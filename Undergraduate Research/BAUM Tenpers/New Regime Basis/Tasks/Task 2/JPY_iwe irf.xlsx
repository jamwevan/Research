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New Regime Basis/Tasks/Task 1/"/>
    </mc:Choice>
  </mc:AlternateContent>
  <xr:revisionPtr revIDLastSave="0" documentId="13_ncr:1_{D3DB665D-BED7-9A4C-AD91-8ABF45EFB164}" xr6:coauthVersionLast="47" xr6:coauthVersionMax="47" xr10:uidLastSave="{00000000-0000-0000-0000-000000000000}"/>
  <bookViews>
    <workbookView xWindow="4800" yWindow="1160" windowWidth="26460" windowHeight="15900" activeTab="2" xr2:uid="{A36B93F0-0765-4100-B432-C2FEA1DDA40C}"/>
  </bookViews>
  <sheets>
    <sheet name="key" sheetId="2" r:id="rId1"/>
    <sheet name="data" sheetId="1" r:id="rId2"/>
    <sheet name="lp_read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105" i="3"/>
  <c r="L105" i="3" s="1"/>
  <c r="J106" i="3"/>
  <c r="L106" i="3" s="1"/>
  <c r="J107" i="3"/>
  <c r="L107" i="3" s="1"/>
  <c r="J108" i="3"/>
  <c r="L108" i="3" s="1"/>
  <c r="J109" i="3"/>
  <c r="L109" i="3" s="1"/>
  <c r="J110" i="3"/>
  <c r="L110" i="3" s="1"/>
  <c r="J111" i="3"/>
  <c r="L111" i="3" s="1"/>
  <c r="J112" i="3"/>
  <c r="L112" i="3" s="1"/>
  <c r="J113" i="3"/>
  <c r="L113" i="3" s="1"/>
  <c r="J114" i="3"/>
  <c r="L114" i="3" s="1"/>
  <c r="J115" i="3"/>
  <c r="L115" i="3" s="1"/>
  <c r="J116" i="3"/>
  <c r="L116" i="3" s="1"/>
  <c r="J117" i="3"/>
  <c r="L117" i="3" s="1"/>
  <c r="J118" i="3"/>
  <c r="L118" i="3" s="1"/>
  <c r="J119" i="3"/>
  <c r="L119" i="3" s="1"/>
  <c r="J120" i="3"/>
  <c r="L120" i="3" s="1"/>
  <c r="J121" i="3"/>
  <c r="L121" i="3" s="1"/>
  <c r="J122" i="3"/>
  <c r="L122" i="3" s="1"/>
  <c r="J123" i="3"/>
  <c r="L123" i="3" s="1"/>
  <c r="J124" i="3"/>
  <c r="L124" i="3" s="1"/>
  <c r="J125" i="3"/>
  <c r="L125" i="3" s="1"/>
  <c r="J126" i="3"/>
  <c r="L126" i="3" s="1"/>
  <c r="J127" i="3"/>
  <c r="L127" i="3" s="1"/>
  <c r="J128" i="3"/>
  <c r="L128" i="3" s="1"/>
  <c r="J129" i="3"/>
  <c r="L129" i="3" s="1"/>
  <c r="J130" i="3"/>
  <c r="L130" i="3" s="1"/>
  <c r="J131" i="3"/>
  <c r="L131" i="3" s="1"/>
  <c r="J132" i="3"/>
  <c r="L132" i="3" s="1"/>
  <c r="J133" i="3"/>
  <c r="L133" i="3" s="1"/>
  <c r="J134" i="3"/>
  <c r="L134" i="3" s="1"/>
  <c r="J135" i="3"/>
  <c r="L135" i="3" s="1"/>
  <c r="J136" i="3"/>
  <c r="L136" i="3" s="1"/>
  <c r="J137" i="3"/>
  <c r="L137" i="3" s="1"/>
  <c r="J138" i="3"/>
  <c r="L138" i="3" s="1"/>
  <c r="J139" i="3"/>
  <c r="L139" i="3" s="1"/>
  <c r="J140" i="3"/>
  <c r="L140" i="3" s="1"/>
  <c r="J141" i="3"/>
  <c r="L141" i="3" s="1"/>
  <c r="J142" i="3"/>
  <c r="L142" i="3" s="1"/>
  <c r="J143" i="3"/>
  <c r="L143" i="3" s="1"/>
  <c r="J144" i="3"/>
  <c r="L144" i="3" s="1"/>
  <c r="J145" i="3"/>
  <c r="L145" i="3" s="1"/>
  <c r="J146" i="3"/>
  <c r="L146" i="3" s="1"/>
  <c r="J147" i="3"/>
  <c r="L147" i="3" s="1"/>
  <c r="J148" i="3"/>
  <c r="L148" i="3" s="1"/>
  <c r="J149" i="3"/>
  <c r="L149" i="3" s="1"/>
  <c r="J150" i="3"/>
  <c r="L150" i="3" s="1"/>
  <c r="J151" i="3"/>
  <c r="L151" i="3" s="1"/>
  <c r="J152" i="3"/>
  <c r="L152" i="3" s="1"/>
  <c r="J153" i="3"/>
  <c r="L153" i="3" s="1"/>
  <c r="J154" i="3"/>
  <c r="L154" i="3" s="1"/>
  <c r="J155" i="3"/>
  <c r="L155" i="3" s="1"/>
  <c r="J156" i="3"/>
  <c r="L156" i="3" s="1"/>
  <c r="J157" i="3"/>
  <c r="L157" i="3" s="1"/>
  <c r="J158" i="3"/>
  <c r="L158" i="3" s="1"/>
  <c r="J159" i="3"/>
  <c r="L159" i="3" s="1"/>
  <c r="J160" i="3"/>
  <c r="L160" i="3" s="1"/>
  <c r="J161" i="3"/>
  <c r="L161" i="3" s="1"/>
  <c r="J162" i="3"/>
  <c r="L162" i="3" s="1"/>
  <c r="J163" i="3"/>
  <c r="L163" i="3" s="1"/>
  <c r="J164" i="3"/>
  <c r="L164" i="3" s="1"/>
  <c r="J165" i="3"/>
  <c r="L165" i="3" s="1"/>
  <c r="J166" i="3"/>
  <c r="L166" i="3" s="1"/>
  <c r="J167" i="3"/>
  <c r="L167" i="3" s="1"/>
  <c r="J168" i="3"/>
  <c r="L168" i="3" s="1"/>
  <c r="J169" i="3"/>
  <c r="L169" i="3" s="1"/>
  <c r="J170" i="3"/>
  <c r="L170" i="3" s="1"/>
  <c r="J171" i="3"/>
  <c r="L171" i="3" s="1"/>
  <c r="J172" i="3"/>
  <c r="L172" i="3" s="1"/>
  <c r="J173" i="3"/>
  <c r="L173" i="3" s="1"/>
  <c r="J174" i="3"/>
  <c r="L174" i="3" s="1"/>
  <c r="J175" i="3"/>
  <c r="L175" i="3" s="1"/>
  <c r="J176" i="3"/>
  <c r="L176" i="3" s="1"/>
  <c r="J177" i="3"/>
  <c r="L177" i="3" s="1"/>
  <c r="J178" i="3"/>
  <c r="L178" i="3" s="1"/>
  <c r="J179" i="3"/>
  <c r="L179" i="3" s="1"/>
  <c r="J180" i="3"/>
  <c r="L180" i="3" s="1"/>
  <c r="J181" i="3"/>
  <c r="L181" i="3" s="1"/>
  <c r="J182" i="3"/>
  <c r="L182" i="3" s="1"/>
  <c r="J183" i="3"/>
  <c r="L183" i="3" s="1"/>
  <c r="J184" i="3"/>
  <c r="L184" i="3" s="1"/>
  <c r="J185" i="3"/>
  <c r="L185" i="3" s="1"/>
  <c r="J186" i="3"/>
  <c r="L186" i="3" s="1"/>
  <c r="J187" i="3"/>
  <c r="L187" i="3" s="1"/>
  <c r="J188" i="3"/>
  <c r="L188" i="3" s="1"/>
  <c r="J189" i="3"/>
  <c r="L189" i="3" s="1"/>
  <c r="J190" i="3"/>
  <c r="L190" i="3" s="1"/>
  <c r="J191" i="3"/>
  <c r="L191" i="3" s="1"/>
  <c r="J192" i="3"/>
  <c r="L192" i="3" s="1"/>
  <c r="J193" i="3"/>
  <c r="L193" i="3" s="1"/>
  <c r="J194" i="3"/>
  <c r="L194" i="3" s="1"/>
  <c r="J195" i="3"/>
  <c r="L195" i="3" s="1"/>
  <c r="J196" i="3"/>
  <c r="L196" i="3" s="1"/>
  <c r="J197" i="3"/>
  <c r="L197" i="3" s="1"/>
  <c r="J198" i="3"/>
  <c r="L198" i="3" s="1"/>
  <c r="J199" i="3"/>
  <c r="L199" i="3" s="1"/>
  <c r="J200" i="3"/>
  <c r="L200" i="3" s="1"/>
  <c r="J201" i="3"/>
  <c r="L201" i="3" s="1"/>
  <c r="J202" i="3"/>
  <c r="L202" i="3" s="1"/>
  <c r="J203" i="3"/>
  <c r="L203" i="3" s="1"/>
  <c r="J204" i="3"/>
  <c r="L204" i="3" s="1"/>
  <c r="J205" i="3"/>
  <c r="L205" i="3" s="1"/>
  <c r="J206" i="3"/>
  <c r="L206" i="3" s="1"/>
  <c r="J207" i="3"/>
  <c r="L207" i="3" s="1"/>
  <c r="J208" i="3"/>
  <c r="L208" i="3" s="1"/>
  <c r="J209" i="3"/>
  <c r="L209" i="3" s="1"/>
  <c r="J210" i="3"/>
  <c r="L210" i="3" s="1"/>
  <c r="J211" i="3"/>
  <c r="L211" i="3" s="1"/>
  <c r="J212" i="3"/>
  <c r="L212" i="3" s="1"/>
  <c r="J213" i="3"/>
  <c r="L213" i="3" s="1"/>
  <c r="J214" i="3"/>
  <c r="L214" i="3" s="1"/>
  <c r="J215" i="3"/>
  <c r="L215" i="3" s="1"/>
  <c r="J216" i="3"/>
  <c r="L216" i="3" s="1"/>
  <c r="J217" i="3"/>
  <c r="L217" i="3" s="1"/>
  <c r="J218" i="3"/>
  <c r="L218" i="3" s="1"/>
  <c r="J219" i="3"/>
  <c r="L219" i="3" s="1"/>
  <c r="J220" i="3"/>
  <c r="L220" i="3" s="1"/>
  <c r="J221" i="3"/>
  <c r="L221" i="3" s="1"/>
  <c r="J222" i="3"/>
  <c r="L222" i="3" s="1"/>
  <c r="J223" i="3"/>
  <c r="L223" i="3" s="1"/>
  <c r="J224" i="3"/>
  <c r="L224" i="3" s="1"/>
  <c r="J225" i="3"/>
  <c r="L225" i="3" s="1"/>
  <c r="J226" i="3"/>
  <c r="L226" i="3" s="1"/>
  <c r="J227" i="3"/>
  <c r="L227" i="3" s="1"/>
  <c r="J228" i="3"/>
  <c r="L228" i="3" s="1"/>
  <c r="J229" i="3"/>
  <c r="L229" i="3" s="1"/>
  <c r="J230" i="3"/>
  <c r="L230" i="3" s="1"/>
  <c r="J231" i="3"/>
  <c r="L231" i="3" s="1"/>
  <c r="J232" i="3"/>
  <c r="L232" i="3" s="1"/>
  <c r="J233" i="3"/>
  <c r="L233" i="3" s="1"/>
  <c r="J234" i="3"/>
  <c r="L234" i="3" s="1"/>
  <c r="J235" i="3"/>
  <c r="L235" i="3" s="1"/>
  <c r="J236" i="3"/>
  <c r="L236" i="3" s="1"/>
  <c r="J237" i="3"/>
  <c r="L237" i="3" s="1"/>
  <c r="J238" i="3"/>
  <c r="L238" i="3" s="1"/>
  <c r="J239" i="3"/>
  <c r="L239" i="3" s="1"/>
  <c r="J240" i="3"/>
  <c r="L240" i="3" s="1"/>
  <c r="J241" i="3"/>
  <c r="L241" i="3" s="1"/>
  <c r="J242" i="3"/>
  <c r="L242" i="3" s="1"/>
  <c r="J243" i="3"/>
  <c r="L243" i="3" s="1"/>
  <c r="J244" i="3"/>
  <c r="L244" i="3" s="1"/>
  <c r="J245" i="3"/>
  <c r="L245" i="3" s="1"/>
  <c r="J246" i="3"/>
  <c r="L246" i="3" s="1"/>
  <c r="J247" i="3"/>
  <c r="L247" i="3" s="1"/>
  <c r="J248" i="3"/>
  <c r="L248" i="3" s="1"/>
  <c r="J249" i="3"/>
  <c r="L249" i="3" s="1"/>
  <c r="J250" i="3"/>
  <c r="L250" i="3" s="1"/>
  <c r="J251" i="3"/>
  <c r="L251" i="3" s="1"/>
  <c r="J252" i="3"/>
  <c r="L252" i="3" s="1"/>
  <c r="J253" i="3"/>
  <c r="L253" i="3" s="1"/>
  <c r="J254" i="3"/>
  <c r="L254" i="3" s="1"/>
  <c r="J255" i="3"/>
  <c r="L255" i="3" s="1"/>
  <c r="J256" i="3"/>
  <c r="L256" i="3" s="1"/>
  <c r="J257" i="3"/>
  <c r="L257" i="3" s="1"/>
  <c r="J258" i="3"/>
  <c r="L258" i="3" s="1"/>
  <c r="J259" i="3"/>
  <c r="L259" i="3" s="1"/>
  <c r="J260" i="3"/>
  <c r="L260" i="3" s="1"/>
  <c r="J261" i="3"/>
  <c r="L261" i="3" s="1"/>
  <c r="J262" i="3"/>
  <c r="L262" i="3" s="1"/>
  <c r="J263" i="3"/>
  <c r="L263" i="3" s="1"/>
  <c r="J264" i="3"/>
  <c r="L264" i="3" s="1"/>
  <c r="J265" i="3"/>
  <c r="L265" i="3" s="1"/>
  <c r="J266" i="3"/>
  <c r="L266" i="3" s="1"/>
  <c r="J267" i="3"/>
  <c r="L267" i="3" s="1"/>
  <c r="J268" i="3"/>
  <c r="L268" i="3" s="1"/>
  <c r="J269" i="3"/>
  <c r="L269" i="3" s="1"/>
  <c r="J270" i="3"/>
  <c r="L270" i="3" s="1"/>
  <c r="J271" i="3"/>
  <c r="L271" i="3" s="1"/>
  <c r="J272" i="3"/>
  <c r="L272" i="3" s="1"/>
  <c r="J273" i="3"/>
  <c r="L273" i="3" s="1"/>
  <c r="J274" i="3"/>
  <c r="L274" i="3" s="1"/>
  <c r="J275" i="3"/>
  <c r="L275" i="3" s="1"/>
  <c r="J276" i="3"/>
  <c r="L276" i="3" s="1"/>
  <c r="J277" i="3"/>
  <c r="L277" i="3" s="1"/>
  <c r="J278" i="3"/>
  <c r="L278" i="3" s="1"/>
  <c r="J279" i="3"/>
  <c r="L279" i="3" s="1"/>
  <c r="J280" i="3"/>
  <c r="L280" i="3" s="1"/>
  <c r="J281" i="3"/>
  <c r="L281" i="3" s="1"/>
  <c r="J282" i="3"/>
  <c r="L282" i="3" s="1"/>
  <c r="J283" i="3"/>
  <c r="L283" i="3" s="1"/>
  <c r="J284" i="3"/>
  <c r="L284" i="3" s="1"/>
  <c r="J285" i="3"/>
  <c r="L285" i="3" s="1"/>
  <c r="J286" i="3"/>
  <c r="L286" i="3" s="1"/>
  <c r="J287" i="3"/>
  <c r="L287" i="3" s="1"/>
  <c r="J288" i="3"/>
  <c r="L288" i="3" s="1"/>
  <c r="J289" i="3"/>
  <c r="L289" i="3" s="1"/>
  <c r="J290" i="3"/>
  <c r="L290" i="3" s="1"/>
  <c r="J291" i="3"/>
  <c r="L291" i="3" s="1"/>
  <c r="J292" i="3"/>
  <c r="L292" i="3" s="1"/>
  <c r="J293" i="3"/>
  <c r="L293" i="3" s="1"/>
  <c r="J294" i="3"/>
  <c r="L294" i="3" s="1"/>
  <c r="J295" i="3"/>
  <c r="L295" i="3" s="1"/>
  <c r="J296" i="3"/>
  <c r="L296" i="3" s="1"/>
  <c r="J297" i="3"/>
  <c r="L297" i="3" s="1"/>
  <c r="J298" i="3"/>
  <c r="L298" i="3" s="1"/>
  <c r="J299" i="3"/>
  <c r="L299" i="3" s="1"/>
  <c r="J300" i="3"/>
  <c r="L300" i="3" s="1"/>
  <c r="J301" i="3"/>
  <c r="L301" i="3" s="1"/>
  <c r="J302" i="3"/>
  <c r="L302" i="3" s="1"/>
  <c r="J303" i="3"/>
  <c r="L303" i="3" s="1"/>
  <c r="J304" i="3"/>
  <c r="L304" i="3" s="1"/>
  <c r="J305" i="3"/>
  <c r="L305" i="3" s="1"/>
  <c r="J306" i="3"/>
  <c r="L306" i="3" s="1"/>
  <c r="J307" i="3"/>
  <c r="L307" i="3" s="1"/>
  <c r="J308" i="3"/>
  <c r="L308" i="3" s="1"/>
  <c r="J309" i="3"/>
  <c r="L309" i="3" s="1"/>
  <c r="J310" i="3"/>
  <c r="L310" i="3" s="1"/>
  <c r="J311" i="3"/>
  <c r="L311" i="3" s="1"/>
  <c r="J312" i="3"/>
  <c r="L312" i="3" s="1"/>
  <c r="J313" i="3"/>
  <c r="L313" i="3" s="1"/>
  <c r="J314" i="3"/>
  <c r="L314" i="3" s="1"/>
  <c r="J315" i="3"/>
  <c r="L315" i="3" s="1"/>
  <c r="J316" i="3"/>
  <c r="L316" i="3" s="1"/>
  <c r="J317" i="3"/>
  <c r="L317" i="3" s="1"/>
  <c r="J318" i="3"/>
  <c r="L318" i="3" s="1"/>
  <c r="J319" i="3"/>
  <c r="L319" i="3" s="1"/>
  <c r="J320" i="3"/>
  <c r="L320" i="3" s="1"/>
  <c r="J321" i="3"/>
  <c r="L321" i="3" s="1"/>
  <c r="J322" i="3"/>
  <c r="L322" i="3" s="1"/>
  <c r="J323" i="3"/>
  <c r="L323" i="3" s="1"/>
  <c r="J324" i="3"/>
  <c r="L324" i="3" s="1"/>
  <c r="J325" i="3"/>
  <c r="L325" i="3" s="1"/>
  <c r="J326" i="3"/>
  <c r="L326" i="3" s="1"/>
  <c r="J327" i="3"/>
  <c r="L327" i="3" s="1"/>
  <c r="J328" i="3"/>
  <c r="L328" i="3" s="1"/>
  <c r="J329" i="3"/>
  <c r="L329" i="3" s="1"/>
  <c r="J330" i="3"/>
  <c r="L330" i="3" s="1"/>
  <c r="J331" i="3"/>
  <c r="L331" i="3" s="1"/>
  <c r="J332" i="3"/>
  <c r="L332" i="3" s="1"/>
  <c r="J333" i="3"/>
  <c r="L333" i="3" s="1"/>
  <c r="J334" i="3"/>
  <c r="L334" i="3" s="1"/>
  <c r="J335" i="3"/>
  <c r="L335" i="3" s="1"/>
  <c r="J336" i="3"/>
  <c r="L336" i="3" s="1"/>
  <c r="J337" i="3"/>
  <c r="L337" i="3" s="1"/>
  <c r="J338" i="3"/>
  <c r="L338" i="3" s="1"/>
  <c r="J339" i="3"/>
  <c r="L339" i="3" s="1"/>
  <c r="J340" i="3"/>
  <c r="L340" i="3" s="1"/>
  <c r="J341" i="3"/>
  <c r="L341" i="3" s="1"/>
  <c r="J342" i="3"/>
  <c r="L342" i="3" s="1"/>
  <c r="J343" i="3"/>
  <c r="L343" i="3" s="1"/>
  <c r="J344" i="3"/>
  <c r="L344" i="3" s="1"/>
  <c r="J345" i="3"/>
  <c r="L345" i="3" s="1"/>
  <c r="J346" i="3"/>
  <c r="L346" i="3" s="1"/>
  <c r="J347" i="3"/>
  <c r="L347" i="3" s="1"/>
  <c r="J348" i="3"/>
  <c r="L348" i="3" s="1"/>
  <c r="J349" i="3"/>
  <c r="L349" i="3" s="1"/>
  <c r="J350" i="3"/>
  <c r="L350" i="3" s="1"/>
  <c r="J351" i="3"/>
  <c r="L351" i="3" s="1"/>
  <c r="J352" i="3"/>
  <c r="L352" i="3" s="1"/>
  <c r="J353" i="3"/>
  <c r="L353" i="3" s="1"/>
  <c r="J354" i="3"/>
  <c r="L354" i="3" s="1"/>
  <c r="J355" i="3"/>
  <c r="L355" i="3" s="1"/>
  <c r="J356" i="3"/>
  <c r="L356" i="3" s="1"/>
  <c r="J357" i="3"/>
  <c r="L357" i="3" s="1"/>
  <c r="J358" i="3"/>
  <c r="L358" i="3" s="1"/>
  <c r="J359" i="3"/>
  <c r="L359" i="3" s="1"/>
  <c r="J360" i="3"/>
  <c r="L360" i="3" s="1"/>
  <c r="J361" i="3"/>
  <c r="L361" i="3" s="1"/>
  <c r="J362" i="3"/>
  <c r="L362" i="3" s="1"/>
  <c r="J363" i="3"/>
  <c r="L363" i="3" s="1"/>
  <c r="J364" i="3"/>
  <c r="L364" i="3" s="1"/>
  <c r="J365" i="3"/>
  <c r="L365" i="3" s="1"/>
  <c r="J366" i="3"/>
  <c r="L366" i="3" s="1"/>
  <c r="J367" i="3"/>
  <c r="L367" i="3" s="1"/>
  <c r="J368" i="3"/>
  <c r="L368" i="3" s="1"/>
  <c r="J369" i="3"/>
  <c r="L369" i="3" s="1"/>
  <c r="J370" i="3"/>
  <c r="L370" i="3" s="1"/>
  <c r="J371" i="3"/>
  <c r="L371" i="3" s="1"/>
  <c r="J372" i="3"/>
  <c r="L372" i="3" s="1"/>
  <c r="J373" i="3"/>
  <c r="L373" i="3" s="1"/>
  <c r="J374" i="3"/>
  <c r="L374" i="3" s="1"/>
  <c r="J375" i="3"/>
  <c r="L375" i="3" s="1"/>
  <c r="J376" i="3"/>
  <c r="L376" i="3" s="1"/>
  <c r="J377" i="3"/>
  <c r="L377" i="3" s="1"/>
  <c r="J378" i="3"/>
  <c r="L378" i="3" s="1"/>
  <c r="J379" i="3"/>
  <c r="L379" i="3" s="1"/>
  <c r="J380" i="3"/>
  <c r="L380" i="3" s="1"/>
  <c r="J381" i="3"/>
  <c r="L381" i="3" s="1"/>
  <c r="J382" i="3"/>
  <c r="L382" i="3" s="1"/>
  <c r="J383" i="3"/>
  <c r="L383" i="3" s="1"/>
  <c r="J384" i="3"/>
  <c r="L384" i="3" s="1"/>
  <c r="J385" i="3"/>
  <c r="L385" i="3" s="1"/>
  <c r="J386" i="3"/>
  <c r="L386" i="3" s="1"/>
  <c r="J387" i="3"/>
  <c r="L387" i="3" s="1"/>
  <c r="J388" i="3"/>
  <c r="L388" i="3" s="1"/>
  <c r="J389" i="3"/>
  <c r="L389" i="3" s="1"/>
  <c r="J390" i="3"/>
  <c r="L390" i="3" s="1"/>
  <c r="J391" i="3"/>
  <c r="L391" i="3" s="1"/>
  <c r="J392" i="3"/>
  <c r="L392" i="3" s="1"/>
  <c r="J393" i="3"/>
  <c r="L393" i="3" s="1"/>
  <c r="J394" i="3"/>
  <c r="L394" i="3" s="1"/>
  <c r="J395" i="3"/>
  <c r="L395" i="3" s="1"/>
  <c r="J396" i="3"/>
  <c r="L396" i="3" s="1"/>
  <c r="J397" i="3"/>
  <c r="L397" i="3" s="1"/>
  <c r="J398" i="3"/>
  <c r="L398" i="3" s="1"/>
  <c r="J399" i="3"/>
  <c r="L399" i="3" s="1"/>
  <c r="J400" i="3"/>
  <c r="L400" i="3" s="1"/>
  <c r="J401" i="3"/>
  <c r="L401" i="3" s="1"/>
  <c r="J402" i="3"/>
  <c r="L402" i="3" s="1"/>
  <c r="J403" i="3"/>
  <c r="L403" i="3" s="1"/>
  <c r="J404" i="3"/>
  <c r="L404" i="3" s="1"/>
  <c r="J405" i="3"/>
  <c r="L405" i="3" s="1"/>
  <c r="J406" i="3"/>
  <c r="L406" i="3" s="1"/>
  <c r="J407" i="3"/>
  <c r="L407" i="3" s="1"/>
  <c r="J408" i="3"/>
  <c r="L408" i="3" s="1"/>
  <c r="J409" i="3"/>
  <c r="L409" i="3" s="1"/>
  <c r="J410" i="3"/>
  <c r="L410" i="3" s="1"/>
  <c r="J411" i="3"/>
  <c r="L411" i="3" s="1"/>
  <c r="J412" i="3"/>
  <c r="L412" i="3" s="1"/>
  <c r="J413" i="3"/>
  <c r="L413" i="3" s="1"/>
  <c r="J414" i="3"/>
  <c r="L414" i="3" s="1"/>
  <c r="J415" i="3"/>
  <c r="L415" i="3" s="1"/>
  <c r="J416" i="3"/>
  <c r="L416" i="3" s="1"/>
  <c r="J417" i="3"/>
  <c r="L417" i="3" s="1"/>
  <c r="J418" i="3"/>
  <c r="L418" i="3" s="1"/>
  <c r="J419" i="3"/>
  <c r="L419" i="3" s="1"/>
  <c r="J420" i="3"/>
  <c r="L420" i="3" s="1"/>
  <c r="J421" i="3"/>
  <c r="L421" i="3" s="1"/>
  <c r="J422" i="3"/>
  <c r="L422" i="3" s="1"/>
  <c r="J423" i="3"/>
  <c r="L423" i="3" s="1"/>
  <c r="J424" i="3"/>
  <c r="L424" i="3" s="1"/>
  <c r="J425" i="3"/>
  <c r="L425" i="3" s="1"/>
  <c r="J426" i="3"/>
  <c r="L426" i="3" s="1"/>
  <c r="J427" i="3"/>
  <c r="L427" i="3" s="1"/>
  <c r="J428" i="3"/>
  <c r="L428" i="3" s="1"/>
  <c r="J429" i="3"/>
  <c r="L429" i="3" s="1"/>
  <c r="J430" i="3"/>
  <c r="L430" i="3" s="1"/>
  <c r="J431" i="3"/>
  <c r="L431" i="3" s="1"/>
  <c r="J432" i="3"/>
  <c r="L432" i="3" s="1"/>
  <c r="J433" i="3"/>
  <c r="L433" i="3" s="1"/>
  <c r="J434" i="3"/>
  <c r="L434" i="3" s="1"/>
  <c r="J435" i="3"/>
  <c r="L435" i="3" s="1"/>
  <c r="J436" i="3"/>
  <c r="L436" i="3" s="1"/>
  <c r="J437" i="3"/>
  <c r="L437" i="3" s="1"/>
  <c r="J438" i="3"/>
  <c r="L438" i="3" s="1"/>
  <c r="J439" i="3"/>
  <c r="L439" i="3" s="1"/>
  <c r="J440" i="3"/>
  <c r="L440" i="3" s="1"/>
  <c r="J441" i="3"/>
  <c r="L441" i="3" s="1"/>
  <c r="J442" i="3"/>
  <c r="L442" i="3" s="1"/>
  <c r="J443" i="3"/>
  <c r="L443" i="3" s="1"/>
  <c r="J444" i="3"/>
  <c r="L444" i="3" s="1"/>
  <c r="J445" i="3"/>
  <c r="L445" i="3" s="1"/>
  <c r="J446" i="3"/>
  <c r="L446" i="3" s="1"/>
  <c r="J447" i="3"/>
  <c r="L447" i="3" s="1"/>
  <c r="J448" i="3"/>
  <c r="L448" i="3" s="1"/>
  <c r="J449" i="3"/>
  <c r="L449" i="3" s="1"/>
  <c r="J450" i="3"/>
  <c r="L450" i="3" s="1"/>
  <c r="J451" i="3"/>
  <c r="L451" i="3" s="1"/>
  <c r="J452" i="3"/>
  <c r="L452" i="3" s="1"/>
  <c r="J453" i="3"/>
  <c r="L453" i="3" s="1"/>
  <c r="J454" i="3"/>
  <c r="L454" i="3" s="1"/>
  <c r="J455" i="3"/>
  <c r="L455" i="3" s="1"/>
  <c r="J456" i="3"/>
  <c r="L456" i="3" s="1"/>
  <c r="J457" i="3"/>
  <c r="L457" i="3" s="1"/>
  <c r="J458" i="3"/>
  <c r="L458" i="3" s="1"/>
  <c r="J459" i="3"/>
  <c r="L459" i="3" s="1"/>
  <c r="J460" i="3"/>
  <c r="L460" i="3" s="1"/>
  <c r="J461" i="3"/>
  <c r="L461" i="3" s="1"/>
  <c r="J462" i="3"/>
  <c r="L462" i="3" s="1"/>
  <c r="J463" i="3"/>
  <c r="L463" i="3" s="1"/>
  <c r="J464" i="3"/>
  <c r="L464" i="3" s="1"/>
  <c r="J465" i="3"/>
  <c r="L465" i="3" s="1"/>
  <c r="J466" i="3"/>
  <c r="L466" i="3" s="1"/>
  <c r="J467" i="3"/>
  <c r="L467" i="3" s="1"/>
  <c r="J468" i="3"/>
  <c r="L468" i="3" s="1"/>
  <c r="J469" i="3"/>
  <c r="L469" i="3" s="1"/>
  <c r="J470" i="3"/>
  <c r="L470" i="3" s="1"/>
  <c r="J471" i="3"/>
  <c r="L471" i="3" s="1"/>
  <c r="J472" i="3"/>
  <c r="L472" i="3" s="1"/>
  <c r="J473" i="3"/>
  <c r="L473" i="3" s="1"/>
  <c r="J474" i="3"/>
  <c r="L474" i="3" s="1"/>
  <c r="J475" i="3"/>
  <c r="L475" i="3" s="1"/>
  <c r="J476" i="3"/>
  <c r="L476" i="3" s="1"/>
  <c r="J477" i="3"/>
  <c r="L477" i="3" s="1"/>
  <c r="J478" i="3"/>
  <c r="L478" i="3" s="1"/>
  <c r="J479" i="3"/>
  <c r="L479" i="3" s="1"/>
  <c r="J480" i="3"/>
  <c r="L480" i="3" s="1"/>
  <c r="J481" i="3"/>
  <c r="L481" i="3" s="1"/>
  <c r="J482" i="3"/>
  <c r="L482" i="3" s="1"/>
  <c r="J483" i="3"/>
  <c r="L483" i="3" s="1"/>
  <c r="J484" i="3"/>
  <c r="L484" i="3" s="1"/>
  <c r="J485" i="3"/>
  <c r="L485" i="3" s="1"/>
  <c r="J486" i="3"/>
  <c r="L486" i="3" s="1"/>
  <c r="J487" i="3"/>
  <c r="L487" i="3" s="1"/>
  <c r="J488" i="3"/>
  <c r="L488" i="3" s="1"/>
  <c r="J489" i="3"/>
  <c r="L489" i="3" s="1"/>
  <c r="J490" i="3"/>
  <c r="L490" i="3" s="1"/>
  <c r="J491" i="3"/>
  <c r="L491" i="3" s="1"/>
  <c r="J492" i="3"/>
  <c r="L492" i="3" s="1"/>
  <c r="J493" i="3"/>
  <c r="L493" i="3" s="1"/>
  <c r="J494" i="3"/>
  <c r="L494" i="3" s="1"/>
  <c r="J495" i="3"/>
  <c r="L495" i="3" s="1"/>
  <c r="J496" i="3"/>
  <c r="L496" i="3" s="1"/>
  <c r="J497" i="3"/>
  <c r="L497" i="3" s="1"/>
  <c r="J498" i="3"/>
  <c r="L498" i="3" s="1"/>
  <c r="J499" i="3"/>
  <c r="L499" i="3" s="1"/>
  <c r="J500" i="3"/>
  <c r="L500" i="3" s="1"/>
  <c r="J501" i="3"/>
  <c r="L501" i="3" s="1"/>
  <c r="J502" i="3"/>
  <c r="L502" i="3" s="1"/>
  <c r="J503" i="3"/>
  <c r="L503" i="3" s="1"/>
  <c r="J504" i="3"/>
  <c r="L504" i="3" s="1"/>
  <c r="J505" i="3"/>
  <c r="L505" i="3" s="1"/>
  <c r="J506" i="3"/>
  <c r="L506" i="3" s="1"/>
  <c r="J507" i="3"/>
  <c r="L507" i="3" s="1"/>
  <c r="J508" i="3"/>
  <c r="L508" i="3" s="1"/>
  <c r="J509" i="3"/>
  <c r="L509" i="3" s="1"/>
  <c r="J510" i="3"/>
  <c r="L510" i="3" s="1"/>
  <c r="J511" i="3"/>
  <c r="L511" i="3" s="1"/>
  <c r="J512" i="3"/>
  <c r="L512" i="3" s="1"/>
  <c r="J513" i="3"/>
  <c r="L513" i="3" s="1"/>
  <c r="J514" i="3"/>
  <c r="L514" i="3" s="1"/>
  <c r="J515" i="3"/>
  <c r="L515" i="3" s="1"/>
  <c r="J516" i="3"/>
  <c r="L516" i="3" s="1"/>
  <c r="J517" i="3"/>
  <c r="L517" i="3" s="1"/>
  <c r="J518" i="3"/>
  <c r="L518" i="3" s="1"/>
  <c r="J519" i="3"/>
  <c r="L519" i="3" s="1"/>
  <c r="J520" i="3"/>
  <c r="L520" i="3" s="1"/>
  <c r="J521" i="3"/>
  <c r="L521" i="3" s="1"/>
  <c r="J522" i="3"/>
  <c r="L522" i="3" s="1"/>
  <c r="J523" i="3"/>
  <c r="L523" i="3" s="1"/>
  <c r="J524" i="3"/>
  <c r="L524" i="3" s="1"/>
  <c r="J525" i="3"/>
  <c r="L525" i="3" s="1"/>
  <c r="J526" i="3"/>
  <c r="L526" i="3" s="1"/>
  <c r="J527" i="3"/>
  <c r="L527" i="3" s="1"/>
  <c r="J528" i="3"/>
  <c r="L528" i="3" s="1"/>
  <c r="J529" i="3"/>
  <c r="L529" i="3" s="1"/>
  <c r="J530" i="3"/>
  <c r="L530" i="3" s="1"/>
  <c r="J531" i="3"/>
  <c r="L531" i="3" s="1"/>
  <c r="J532" i="3"/>
  <c r="L532" i="3" s="1"/>
  <c r="J533" i="3"/>
  <c r="L533" i="3" s="1"/>
  <c r="J534" i="3"/>
  <c r="L534" i="3" s="1"/>
  <c r="J535" i="3"/>
  <c r="L535" i="3" s="1"/>
  <c r="J536" i="3"/>
  <c r="L536" i="3" s="1"/>
  <c r="J537" i="3"/>
  <c r="L537" i="3" s="1"/>
  <c r="J538" i="3"/>
  <c r="L538" i="3" s="1"/>
  <c r="J539" i="3"/>
  <c r="L539" i="3" s="1"/>
  <c r="J540" i="3"/>
  <c r="L540" i="3" s="1"/>
  <c r="J541" i="3"/>
  <c r="L541" i="3" s="1"/>
  <c r="J542" i="3"/>
  <c r="L542" i="3" s="1"/>
  <c r="J543" i="3"/>
  <c r="L543" i="3" s="1"/>
  <c r="J544" i="3"/>
  <c r="L544" i="3" s="1"/>
  <c r="J545" i="3"/>
  <c r="L545" i="3" s="1"/>
  <c r="J546" i="3"/>
  <c r="L546" i="3" s="1"/>
  <c r="J547" i="3"/>
  <c r="L547" i="3" s="1"/>
  <c r="J548" i="3"/>
  <c r="L548" i="3" s="1"/>
  <c r="J549" i="3"/>
  <c r="L549" i="3" s="1"/>
  <c r="J550" i="3"/>
  <c r="L550" i="3" s="1"/>
  <c r="J551" i="3"/>
  <c r="L551" i="3" s="1"/>
  <c r="J552" i="3"/>
  <c r="L552" i="3" s="1"/>
  <c r="J553" i="3"/>
  <c r="L553" i="3" s="1"/>
  <c r="J554" i="3"/>
  <c r="L554" i="3" s="1"/>
  <c r="J555" i="3"/>
  <c r="L555" i="3" s="1"/>
  <c r="J556" i="3"/>
  <c r="L556" i="3" s="1"/>
  <c r="J557" i="3"/>
  <c r="L557" i="3" s="1"/>
  <c r="J558" i="3"/>
  <c r="L558" i="3" s="1"/>
  <c r="J559" i="3"/>
  <c r="L559" i="3" s="1"/>
  <c r="J560" i="3"/>
  <c r="L560" i="3" s="1"/>
  <c r="J561" i="3"/>
  <c r="L561" i="3" s="1"/>
  <c r="J562" i="3"/>
  <c r="L562" i="3" s="1"/>
  <c r="J563" i="3"/>
  <c r="L563" i="3" s="1"/>
  <c r="J564" i="3"/>
  <c r="L564" i="3" s="1"/>
  <c r="J565" i="3"/>
  <c r="L565" i="3" s="1"/>
  <c r="J566" i="3"/>
  <c r="L566" i="3" s="1"/>
  <c r="J567" i="3"/>
  <c r="L567" i="3" s="1"/>
  <c r="J568" i="3"/>
  <c r="L568" i="3" s="1"/>
  <c r="J569" i="3"/>
  <c r="L569" i="3" s="1"/>
  <c r="J570" i="3"/>
  <c r="L570" i="3" s="1"/>
  <c r="J571" i="3"/>
  <c r="L571" i="3" s="1"/>
  <c r="J572" i="3"/>
  <c r="L572" i="3" s="1"/>
  <c r="J573" i="3"/>
  <c r="L573" i="3" s="1"/>
  <c r="J574" i="3"/>
  <c r="L574" i="3" s="1"/>
  <c r="J575" i="3"/>
  <c r="L575" i="3" s="1"/>
  <c r="J576" i="3"/>
  <c r="L576" i="3" s="1"/>
  <c r="J577" i="3"/>
  <c r="L577" i="3" s="1"/>
  <c r="J578" i="3"/>
  <c r="L578" i="3" s="1"/>
  <c r="J579" i="3"/>
  <c r="L579" i="3" s="1"/>
  <c r="J580" i="3"/>
  <c r="L580" i="3" s="1"/>
  <c r="J581" i="3"/>
  <c r="L581" i="3" s="1"/>
  <c r="J582" i="3"/>
  <c r="L582" i="3" s="1"/>
  <c r="J583" i="3"/>
  <c r="L583" i="3" s="1"/>
  <c r="J584" i="3"/>
  <c r="L584" i="3" s="1"/>
  <c r="J585" i="3"/>
  <c r="L585" i="3" s="1"/>
  <c r="J586" i="3"/>
  <c r="L586" i="3" s="1"/>
  <c r="J587" i="3"/>
  <c r="L587" i="3" s="1"/>
  <c r="J588" i="3"/>
  <c r="L588" i="3" s="1"/>
  <c r="J589" i="3"/>
  <c r="L589" i="3" s="1"/>
  <c r="J590" i="3"/>
  <c r="L590" i="3" s="1"/>
  <c r="J591" i="3"/>
  <c r="L591" i="3" s="1"/>
  <c r="J592" i="3"/>
  <c r="L592" i="3" s="1"/>
  <c r="J593" i="3"/>
  <c r="L593" i="3" s="1"/>
  <c r="J594" i="3"/>
  <c r="L594" i="3" s="1"/>
  <c r="J595" i="3"/>
  <c r="L595" i="3" s="1"/>
  <c r="J596" i="3"/>
  <c r="L596" i="3" s="1"/>
  <c r="J597" i="3"/>
  <c r="L597" i="3" s="1"/>
  <c r="J598" i="3"/>
  <c r="L598" i="3" s="1"/>
  <c r="J599" i="3"/>
  <c r="L599" i="3" s="1"/>
  <c r="J600" i="3"/>
  <c r="L600" i="3" s="1"/>
  <c r="J601" i="3"/>
  <c r="L601" i="3" s="1"/>
  <c r="J602" i="3"/>
  <c r="L602" i="3" s="1"/>
  <c r="J603" i="3"/>
  <c r="L603" i="3" s="1"/>
  <c r="J604" i="3"/>
  <c r="L604" i="3" s="1"/>
  <c r="J605" i="3"/>
  <c r="L605" i="3" s="1"/>
  <c r="J606" i="3"/>
  <c r="L606" i="3" s="1"/>
  <c r="J607" i="3"/>
  <c r="L607" i="3" s="1"/>
  <c r="J608" i="3"/>
  <c r="L608" i="3" s="1"/>
  <c r="J609" i="3"/>
  <c r="L609" i="3" s="1"/>
  <c r="J610" i="3"/>
  <c r="L610" i="3" s="1"/>
  <c r="J611" i="3"/>
  <c r="L611" i="3" s="1"/>
  <c r="J612" i="3"/>
  <c r="L612" i="3" s="1"/>
  <c r="J613" i="3"/>
  <c r="L613" i="3" s="1"/>
  <c r="J614" i="3"/>
  <c r="L614" i="3" s="1"/>
  <c r="J615" i="3"/>
  <c r="L615" i="3" s="1"/>
  <c r="J616" i="3"/>
  <c r="L616" i="3" s="1"/>
  <c r="J617" i="3"/>
  <c r="L617" i="3" s="1"/>
  <c r="J618" i="3"/>
  <c r="L618" i="3" s="1"/>
  <c r="J619" i="3"/>
  <c r="L619" i="3" s="1"/>
  <c r="J620" i="3"/>
  <c r="L620" i="3" s="1"/>
  <c r="J621" i="3"/>
  <c r="L621" i="3" s="1"/>
  <c r="J622" i="3"/>
  <c r="L622" i="3" s="1"/>
  <c r="J623" i="3"/>
  <c r="L623" i="3" s="1"/>
  <c r="J624" i="3"/>
  <c r="L624" i="3" s="1"/>
  <c r="J625" i="3"/>
  <c r="L625" i="3" s="1"/>
  <c r="J626" i="3"/>
  <c r="L626" i="3" s="1"/>
  <c r="J627" i="3"/>
  <c r="L627" i="3" s="1"/>
  <c r="J628" i="3"/>
  <c r="L628" i="3" s="1"/>
  <c r="J629" i="3"/>
  <c r="L629" i="3" s="1"/>
  <c r="J630" i="3"/>
  <c r="L630" i="3" s="1"/>
  <c r="J631" i="3"/>
  <c r="L631" i="3" s="1"/>
  <c r="J632" i="3"/>
  <c r="L632" i="3" s="1"/>
  <c r="J633" i="3"/>
  <c r="L633" i="3" s="1"/>
  <c r="J634" i="3"/>
  <c r="L634" i="3" s="1"/>
  <c r="J635" i="3"/>
  <c r="L635" i="3" s="1"/>
  <c r="J636" i="3"/>
  <c r="L636" i="3" s="1"/>
  <c r="J637" i="3"/>
  <c r="L637" i="3" s="1"/>
  <c r="J638" i="3"/>
  <c r="L638" i="3" s="1"/>
  <c r="J639" i="3"/>
  <c r="L639" i="3" s="1"/>
  <c r="J640" i="3"/>
  <c r="L640" i="3" s="1"/>
  <c r="J641" i="3"/>
  <c r="L641" i="3" s="1"/>
  <c r="J642" i="3"/>
  <c r="L642" i="3" s="1"/>
  <c r="J643" i="3"/>
  <c r="L643" i="3" s="1"/>
  <c r="J644" i="3"/>
  <c r="L644" i="3" s="1"/>
  <c r="J645" i="3"/>
  <c r="L645" i="3" s="1"/>
  <c r="J646" i="3"/>
  <c r="L646" i="3" s="1"/>
  <c r="J647" i="3"/>
  <c r="L647" i="3" s="1"/>
  <c r="J648" i="3"/>
  <c r="L648" i="3" s="1"/>
  <c r="J649" i="3"/>
  <c r="L649" i="3" s="1"/>
  <c r="J650" i="3"/>
  <c r="L650" i="3" s="1"/>
  <c r="J651" i="3"/>
  <c r="L651" i="3" s="1"/>
  <c r="J652" i="3"/>
  <c r="L652" i="3" s="1"/>
  <c r="J653" i="3"/>
  <c r="L653" i="3" s="1"/>
  <c r="J654" i="3"/>
  <c r="L654" i="3" s="1"/>
  <c r="J655" i="3"/>
  <c r="L655" i="3" s="1"/>
  <c r="J656" i="3"/>
  <c r="L656" i="3" s="1"/>
  <c r="J657" i="3"/>
  <c r="L657" i="3" s="1"/>
  <c r="J658" i="3"/>
  <c r="L658" i="3" s="1"/>
  <c r="J659" i="3"/>
  <c r="L659" i="3" s="1"/>
  <c r="J660" i="3"/>
  <c r="L660" i="3" s="1"/>
  <c r="J661" i="3"/>
  <c r="L661" i="3" s="1"/>
  <c r="J662" i="3"/>
  <c r="L662" i="3" s="1"/>
  <c r="J663" i="3"/>
  <c r="L663" i="3" s="1"/>
  <c r="J664" i="3"/>
  <c r="L664" i="3" s="1"/>
  <c r="J665" i="3"/>
  <c r="L665" i="3" s="1"/>
  <c r="J666" i="3"/>
  <c r="L666" i="3" s="1"/>
  <c r="J667" i="3"/>
  <c r="L667" i="3" s="1"/>
  <c r="J668" i="3"/>
  <c r="L668" i="3" s="1"/>
  <c r="J669" i="3"/>
  <c r="L669" i="3" s="1"/>
  <c r="J670" i="3"/>
  <c r="L670" i="3" s="1"/>
  <c r="J671" i="3"/>
  <c r="L671" i="3" s="1"/>
  <c r="J672" i="3"/>
  <c r="L672" i="3" s="1"/>
  <c r="J673" i="3"/>
  <c r="L673" i="3" s="1"/>
  <c r="J674" i="3"/>
  <c r="L674" i="3" s="1"/>
  <c r="J675" i="3"/>
  <c r="L675" i="3" s="1"/>
  <c r="J676" i="3"/>
  <c r="L676" i="3" s="1"/>
  <c r="J677" i="3"/>
  <c r="L677" i="3" s="1"/>
  <c r="J678" i="3"/>
  <c r="L678" i="3" s="1"/>
  <c r="J679" i="3"/>
  <c r="L679" i="3" s="1"/>
  <c r="J680" i="3"/>
  <c r="L680" i="3" s="1"/>
  <c r="J681" i="3"/>
  <c r="L681" i="3" s="1"/>
  <c r="J682" i="3"/>
  <c r="L682" i="3" s="1"/>
  <c r="J683" i="3"/>
  <c r="L683" i="3" s="1"/>
  <c r="J684" i="3"/>
  <c r="L684" i="3" s="1"/>
  <c r="J685" i="3"/>
  <c r="L685" i="3" s="1"/>
  <c r="J686" i="3"/>
  <c r="L686" i="3" s="1"/>
  <c r="J687" i="3"/>
  <c r="L687" i="3" s="1"/>
  <c r="J688" i="3"/>
  <c r="L688" i="3" s="1"/>
  <c r="J689" i="3"/>
  <c r="L689" i="3" s="1"/>
  <c r="J690" i="3"/>
  <c r="L690" i="3" s="1"/>
  <c r="J691" i="3"/>
  <c r="L691" i="3" s="1"/>
  <c r="J692" i="3"/>
  <c r="L692" i="3" s="1"/>
  <c r="J693" i="3"/>
  <c r="L693" i="3" s="1"/>
  <c r="J694" i="3"/>
  <c r="L694" i="3" s="1"/>
  <c r="J695" i="3"/>
  <c r="L695" i="3" s="1"/>
  <c r="J696" i="3"/>
  <c r="L696" i="3" s="1"/>
  <c r="J697" i="3"/>
  <c r="L697" i="3" s="1"/>
  <c r="J698" i="3"/>
  <c r="L698" i="3" s="1"/>
  <c r="J699" i="3"/>
  <c r="L699" i="3" s="1"/>
  <c r="J700" i="3"/>
  <c r="L700" i="3" s="1"/>
  <c r="J701" i="3"/>
  <c r="L701" i="3" s="1"/>
  <c r="J702" i="3"/>
  <c r="L702" i="3" s="1"/>
  <c r="J703" i="3"/>
  <c r="L703" i="3" s="1"/>
  <c r="J704" i="3"/>
  <c r="L704" i="3" s="1"/>
  <c r="J705" i="3"/>
  <c r="L705" i="3" s="1"/>
  <c r="J706" i="3"/>
  <c r="L706" i="3" s="1"/>
  <c r="J707" i="3"/>
  <c r="L707" i="3" s="1"/>
  <c r="J708" i="3"/>
  <c r="L708" i="3" s="1"/>
  <c r="J709" i="3"/>
  <c r="L709" i="3" s="1"/>
  <c r="J710" i="3"/>
  <c r="L710" i="3" s="1"/>
  <c r="J711" i="3"/>
  <c r="L711" i="3" s="1"/>
  <c r="J712" i="3"/>
  <c r="L712" i="3" s="1"/>
  <c r="J713" i="3"/>
  <c r="L713" i="3" s="1"/>
  <c r="J714" i="3"/>
  <c r="L714" i="3" s="1"/>
  <c r="J715" i="3"/>
  <c r="L715" i="3" s="1"/>
  <c r="J716" i="3"/>
  <c r="L716" i="3" s="1"/>
  <c r="J717" i="3"/>
  <c r="L717" i="3" s="1"/>
  <c r="J718" i="3"/>
  <c r="L718" i="3" s="1"/>
  <c r="J719" i="3"/>
  <c r="L719" i="3" s="1"/>
  <c r="J720" i="3"/>
  <c r="L720" i="3" s="1"/>
  <c r="J721" i="3"/>
  <c r="L721" i="3" s="1"/>
  <c r="J722" i="3"/>
  <c r="L722" i="3" s="1"/>
  <c r="J723" i="3"/>
  <c r="L723" i="3" s="1"/>
  <c r="J724" i="3"/>
  <c r="L724" i="3" s="1"/>
  <c r="J725" i="3"/>
  <c r="L725" i="3" s="1"/>
  <c r="J726" i="3"/>
  <c r="L726" i="3" s="1"/>
  <c r="J727" i="3"/>
  <c r="L727" i="3" s="1"/>
  <c r="J728" i="3"/>
  <c r="L728" i="3" s="1"/>
  <c r="J729" i="3"/>
  <c r="L729" i="3" s="1"/>
  <c r="J730" i="3"/>
  <c r="L730" i="3" s="1"/>
  <c r="J731" i="3"/>
  <c r="L731" i="3" s="1"/>
  <c r="J732" i="3"/>
  <c r="L732" i="3" s="1"/>
  <c r="J733" i="3"/>
  <c r="L733" i="3" s="1"/>
  <c r="J734" i="3"/>
  <c r="L734" i="3" s="1"/>
  <c r="J735" i="3"/>
  <c r="L735" i="3" s="1"/>
  <c r="J736" i="3"/>
  <c r="L736" i="3" s="1"/>
  <c r="J737" i="3"/>
  <c r="L737" i="3" s="1"/>
  <c r="J738" i="3"/>
  <c r="L738" i="3" s="1"/>
  <c r="J739" i="3"/>
  <c r="L739" i="3" s="1"/>
  <c r="J740" i="3"/>
  <c r="L740" i="3" s="1"/>
  <c r="J741" i="3"/>
  <c r="L741" i="3" s="1"/>
  <c r="J742" i="3"/>
  <c r="L742" i="3" s="1"/>
  <c r="J743" i="3"/>
  <c r="L743" i="3" s="1"/>
  <c r="J744" i="3"/>
  <c r="L744" i="3" s="1"/>
  <c r="J745" i="3"/>
  <c r="L745" i="3" s="1"/>
  <c r="J746" i="3"/>
  <c r="L746" i="3" s="1"/>
  <c r="J747" i="3"/>
  <c r="L747" i="3" s="1"/>
  <c r="J748" i="3"/>
  <c r="L748" i="3" s="1"/>
  <c r="J749" i="3"/>
  <c r="L749" i="3" s="1"/>
  <c r="J750" i="3"/>
  <c r="L750" i="3" s="1"/>
  <c r="J751" i="3"/>
  <c r="L751" i="3" s="1"/>
  <c r="J752" i="3"/>
  <c r="L752" i="3" s="1"/>
  <c r="J753" i="3"/>
  <c r="L753" i="3" s="1"/>
  <c r="J754" i="3"/>
  <c r="L754" i="3" s="1"/>
  <c r="J755" i="3"/>
  <c r="L755" i="3" s="1"/>
  <c r="J756" i="3"/>
  <c r="L756" i="3" s="1"/>
  <c r="J757" i="3"/>
  <c r="L757" i="3" s="1"/>
  <c r="J758" i="3"/>
  <c r="L758" i="3" s="1"/>
  <c r="J759" i="3"/>
  <c r="L759" i="3" s="1"/>
  <c r="J760" i="3"/>
  <c r="L760" i="3" s="1"/>
  <c r="J761" i="3"/>
  <c r="L761" i="3" s="1"/>
  <c r="J762" i="3"/>
  <c r="L762" i="3" s="1"/>
  <c r="J763" i="3"/>
  <c r="L763" i="3" s="1"/>
  <c r="J764" i="3"/>
  <c r="L764" i="3" s="1"/>
  <c r="J765" i="3"/>
  <c r="L765" i="3" s="1"/>
  <c r="J766" i="3"/>
  <c r="L766" i="3" s="1"/>
  <c r="J767" i="3"/>
  <c r="L767" i="3" s="1"/>
  <c r="J768" i="3"/>
  <c r="L768" i="3" s="1"/>
  <c r="J769" i="3"/>
  <c r="L769" i="3" s="1"/>
  <c r="J770" i="3"/>
  <c r="L770" i="3" s="1"/>
  <c r="J771" i="3"/>
  <c r="L771" i="3" s="1"/>
  <c r="J772" i="3"/>
  <c r="L772" i="3" s="1"/>
  <c r="J773" i="3"/>
  <c r="L773" i="3" s="1"/>
  <c r="J774" i="3"/>
  <c r="L774" i="3" s="1"/>
  <c r="J775" i="3"/>
  <c r="L775" i="3" s="1"/>
  <c r="J776" i="3"/>
  <c r="L776" i="3" s="1"/>
  <c r="J777" i="3"/>
  <c r="L777" i="3" s="1"/>
  <c r="J778" i="3"/>
  <c r="L778" i="3" s="1"/>
  <c r="J779" i="3"/>
  <c r="L779" i="3" s="1"/>
  <c r="J780" i="3"/>
  <c r="L780" i="3" s="1"/>
  <c r="J781" i="3"/>
  <c r="L781" i="3" s="1"/>
  <c r="J782" i="3"/>
  <c r="L782" i="3" s="1"/>
  <c r="J783" i="3"/>
  <c r="L783" i="3" s="1"/>
  <c r="J784" i="3"/>
  <c r="L784" i="3" s="1"/>
  <c r="J785" i="3"/>
  <c r="L785" i="3" s="1"/>
  <c r="J786" i="3"/>
  <c r="L786" i="3" s="1"/>
  <c r="J787" i="3"/>
  <c r="L787" i="3" s="1"/>
  <c r="J788" i="3"/>
  <c r="L788" i="3" s="1"/>
  <c r="J789" i="3"/>
  <c r="L789" i="3" s="1"/>
  <c r="J790" i="3"/>
  <c r="L790" i="3" s="1"/>
  <c r="J791" i="3"/>
  <c r="L791" i="3" s="1"/>
  <c r="J792" i="3"/>
  <c r="L792" i="3" s="1"/>
  <c r="J793" i="3"/>
  <c r="L793" i="3" s="1"/>
  <c r="J794" i="3"/>
  <c r="L794" i="3" s="1"/>
  <c r="J795" i="3"/>
  <c r="L795" i="3" s="1"/>
  <c r="J796" i="3"/>
  <c r="L796" i="3" s="1"/>
  <c r="J797" i="3"/>
  <c r="L797" i="3" s="1"/>
  <c r="J798" i="3"/>
  <c r="L798" i="3" s="1"/>
  <c r="J799" i="3"/>
  <c r="L799" i="3" s="1"/>
  <c r="J800" i="3"/>
  <c r="L800" i="3" s="1"/>
  <c r="J801" i="3"/>
  <c r="L801" i="3" s="1"/>
  <c r="J802" i="3"/>
  <c r="L802" i="3" s="1"/>
  <c r="J803" i="3"/>
  <c r="L803" i="3" s="1"/>
  <c r="J804" i="3"/>
  <c r="L804" i="3" s="1"/>
  <c r="J805" i="3"/>
  <c r="L805" i="3" s="1"/>
  <c r="J806" i="3"/>
  <c r="L806" i="3" s="1"/>
  <c r="J807" i="3"/>
  <c r="L807" i="3" s="1"/>
  <c r="J808" i="3"/>
  <c r="L808" i="3" s="1"/>
  <c r="J809" i="3"/>
  <c r="L809" i="3" s="1"/>
  <c r="J810" i="3"/>
  <c r="L810" i="3" s="1"/>
  <c r="J811" i="3"/>
  <c r="L811" i="3" s="1"/>
  <c r="J812" i="3"/>
  <c r="L812" i="3" s="1"/>
  <c r="J813" i="3"/>
  <c r="L813" i="3" s="1"/>
  <c r="J814" i="3"/>
  <c r="L814" i="3" s="1"/>
  <c r="J815" i="3"/>
  <c r="L815" i="3" s="1"/>
  <c r="J816" i="3"/>
  <c r="L816" i="3" s="1"/>
  <c r="J817" i="3"/>
  <c r="L817" i="3" s="1"/>
  <c r="J818" i="3"/>
  <c r="L818" i="3" s="1"/>
  <c r="J819" i="3"/>
  <c r="L819" i="3" s="1"/>
  <c r="J820" i="3"/>
  <c r="L820" i="3" s="1"/>
  <c r="J821" i="3"/>
  <c r="L821" i="3" s="1"/>
  <c r="J822" i="3"/>
  <c r="L822" i="3" s="1"/>
  <c r="J823" i="3"/>
  <c r="L823" i="3" s="1"/>
  <c r="J824" i="3"/>
  <c r="L824" i="3" s="1"/>
  <c r="J825" i="3"/>
  <c r="L825" i="3" s="1"/>
  <c r="J826" i="3"/>
  <c r="L826" i="3" s="1"/>
  <c r="J827" i="3"/>
  <c r="L827" i="3" s="1"/>
  <c r="J828" i="3"/>
  <c r="L828" i="3" s="1"/>
  <c r="J829" i="3"/>
  <c r="L829" i="3" s="1"/>
  <c r="J830" i="3"/>
  <c r="L830" i="3" s="1"/>
  <c r="J831" i="3"/>
  <c r="L831" i="3" s="1"/>
  <c r="J832" i="3"/>
  <c r="L832" i="3" s="1"/>
  <c r="J833" i="3"/>
  <c r="L833" i="3" s="1"/>
  <c r="J834" i="3"/>
  <c r="L834" i="3" s="1"/>
  <c r="J835" i="3"/>
  <c r="L835" i="3" s="1"/>
  <c r="J836" i="3"/>
  <c r="L836" i="3" s="1"/>
  <c r="J837" i="3"/>
  <c r="L837" i="3" s="1"/>
  <c r="J838" i="3"/>
  <c r="L838" i="3" s="1"/>
  <c r="J839" i="3"/>
  <c r="L839" i="3" s="1"/>
  <c r="J840" i="3"/>
  <c r="L840" i="3" s="1"/>
  <c r="J841" i="3"/>
  <c r="L841" i="3" s="1"/>
  <c r="J842" i="3"/>
  <c r="L842" i="3" s="1"/>
  <c r="J843" i="3"/>
  <c r="L843" i="3" s="1"/>
  <c r="J844" i="3"/>
  <c r="L844" i="3" s="1"/>
  <c r="J845" i="3"/>
  <c r="L845" i="3" s="1"/>
  <c r="J846" i="3"/>
  <c r="L846" i="3" s="1"/>
  <c r="J847" i="3"/>
  <c r="L847" i="3" s="1"/>
  <c r="J848" i="3"/>
  <c r="L848" i="3" s="1"/>
  <c r="J849" i="3"/>
  <c r="L849" i="3" s="1"/>
  <c r="J850" i="3"/>
  <c r="L850" i="3" s="1"/>
  <c r="J851" i="3"/>
  <c r="L851" i="3" s="1"/>
  <c r="J852" i="3"/>
  <c r="L852" i="3" s="1"/>
  <c r="J853" i="3"/>
  <c r="L853" i="3" s="1"/>
  <c r="J854" i="3"/>
  <c r="L854" i="3" s="1"/>
  <c r="J855" i="3"/>
  <c r="L855" i="3" s="1"/>
  <c r="J856" i="3"/>
  <c r="L856" i="3" s="1"/>
  <c r="J857" i="3"/>
  <c r="L857" i="3" s="1"/>
  <c r="J858" i="3"/>
  <c r="L858" i="3" s="1"/>
  <c r="J859" i="3"/>
  <c r="L859" i="3" s="1"/>
  <c r="J860" i="3"/>
  <c r="L860" i="3" s="1"/>
  <c r="J861" i="3"/>
  <c r="L861" i="3" s="1"/>
  <c r="J862" i="3"/>
  <c r="L862" i="3" s="1"/>
  <c r="J863" i="3"/>
  <c r="L863" i="3" s="1"/>
  <c r="J864" i="3"/>
  <c r="L864" i="3" s="1"/>
  <c r="J865" i="3"/>
  <c r="L865" i="3" s="1"/>
  <c r="J866" i="3"/>
  <c r="L866" i="3" s="1"/>
  <c r="J867" i="3"/>
  <c r="L867" i="3" s="1"/>
  <c r="J868" i="3"/>
  <c r="L868" i="3" s="1"/>
  <c r="J869" i="3"/>
  <c r="L869" i="3" s="1"/>
  <c r="J870" i="3"/>
  <c r="L870" i="3" s="1"/>
  <c r="J871" i="3"/>
  <c r="L871" i="3" s="1"/>
  <c r="J872" i="3"/>
  <c r="L872" i="3" s="1"/>
  <c r="J873" i="3"/>
  <c r="L873" i="3" s="1"/>
  <c r="J874" i="3"/>
  <c r="L874" i="3" s="1"/>
  <c r="J875" i="3"/>
  <c r="L875" i="3" s="1"/>
  <c r="J876" i="3"/>
  <c r="L876" i="3" s="1"/>
  <c r="J877" i="3"/>
  <c r="L877" i="3" s="1"/>
  <c r="J878" i="3"/>
  <c r="L878" i="3" s="1"/>
  <c r="J879" i="3"/>
  <c r="L879" i="3" s="1"/>
  <c r="J880" i="3"/>
  <c r="L880" i="3" s="1"/>
  <c r="J881" i="3"/>
  <c r="L881" i="3" s="1"/>
  <c r="J882" i="3"/>
  <c r="L882" i="3" s="1"/>
  <c r="J883" i="3"/>
  <c r="L883" i="3" s="1"/>
  <c r="J884" i="3"/>
  <c r="L884" i="3" s="1"/>
  <c r="J885" i="3"/>
  <c r="L885" i="3" s="1"/>
  <c r="J886" i="3"/>
  <c r="L886" i="3" s="1"/>
  <c r="J887" i="3"/>
  <c r="L887" i="3" s="1"/>
  <c r="J888" i="3"/>
  <c r="L888" i="3" s="1"/>
  <c r="J2" i="3"/>
  <c r="I2" i="3"/>
  <c r="L2" i="3"/>
  <c r="BJ3" i="3"/>
  <c r="BJ4" i="3"/>
  <c r="BJ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2" i="3"/>
  <c r="BJ83" i="3"/>
  <c r="BJ84" i="3"/>
  <c r="BJ85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15" i="3"/>
  <c r="BJ116" i="3"/>
  <c r="BJ117" i="3"/>
  <c r="BJ118" i="3"/>
  <c r="BJ119" i="3"/>
  <c r="BJ120" i="3"/>
  <c r="BJ121" i="3"/>
  <c r="BJ122" i="3"/>
  <c r="BJ123" i="3"/>
  <c r="BJ124" i="3"/>
  <c r="BJ125" i="3"/>
  <c r="BJ126" i="3"/>
  <c r="BJ127" i="3"/>
  <c r="BJ128" i="3"/>
  <c r="BJ129" i="3"/>
  <c r="BJ130" i="3"/>
  <c r="BJ131" i="3"/>
  <c r="BJ132" i="3"/>
  <c r="BJ133" i="3"/>
  <c r="BJ134" i="3"/>
  <c r="BJ135" i="3"/>
  <c r="BJ136" i="3"/>
  <c r="BJ137" i="3"/>
  <c r="BJ138" i="3"/>
  <c r="BJ139" i="3"/>
  <c r="BJ140" i="3"/>
  <c r="BJ141" i="3"/>
  <c r="BJ142" i="3"/>
  <c r="BJ143" i="3"/>
  <c r="BJ144" i="3"/>
  <c r="BJ145" i="3"/>
  <c r="BJ146" i="3"/>
  <c r="BJ147" i="3"/>
  <c r="BJ148" i="3"/>
  <c r="BJ149" i="3"/>
  <c r="BJ150" i="3"/>
  <c r="BJ151" i="3"/>
  <c r="BJ152" i="3"/>
  <c r="BJ153" i="3"/>
  <c r="BJ154" i="3"/>
  <c r="BJ155" i="3"/>
  <c r="BJ156" i="3"/>
  <c r="BJ157" i="3"/>
  <c r="BJ158" i="3"/>
  <c r="BJ159" i="3"/>
  <c r="BJ160" i="3"/>
  <c r="BJ161" i="3"/>
  <c r="BJ162" i="3"/>
  <c r="BJ163" i="3"/>
  <c r="BJ164" i="3"/>
  <c r="BJ165" i="3"/>
  <c r="BJ166" i="3"/>
  <c r="BJ167" i="3"/>
  <c r="BJ168" i="3"/>
  <c r="BJ169" i="3"/>
  <c r="BJ170" i="3"/>
  <c r="BJ171" i="3"/>
  <c r="BJ172" i="3"/>
  <c r="BJ173" i="3"/>
  <c r="BJ174" i="3"/>
  <c r="BJ175" i="3"/>
  <c r="BJ176" i="3"/>
  <c r="BJ177" i="3"/>
  <c r="BJ178" i="3"/>
  <c r="BJ179" i="3"/>
  <c r="BJ180" i="3"/>
  <c r="BJ181" i="3"/>
  <c r="BJ182" i="3"/>
  <c r="BJ183" i="3"/>
  <c r="BJ184" i="3"/>
  <c r="BJ185" i="3"/>
  <c r="BJ186" i="3"/>
  <c r="BJ187" i="3"/>
  <c r="BJ188" i="3"/>
  <c r="BJ189" i="3"/>
  <c r="BJ190" i="3"/>
  <c r="BJ191" i="3"/>
  <c r="BJ192" i="3"/>
  <c r="BJ193" i="3"/>
  <c r="BJ194" i="3"/>
  <c r="BJ195" i="3"/>
  <c r="BJ196" i="3"/>
  <c r="BJ197" i="3"/>
  <c r="BJ198" i="3"/>
  <c r="BJ199" i="3"/>
  <c r="BJ200" i="3"/>
  <c r="BJ201" i="3"/>
  <c r="BJ202" i="3"/>
  <c r="BJ203" i="3"/>
  <c r="BJ204" i="3"/>
  <c r="BJ205" i="3"/>
  <c r="BJ206" i="3"/>
  <c r="BJ207" i="3"/>
  <c r="BJ208" i="3"/>
  <c r="BJ209" i="3"/>
  <c r="BJ210" i="3"/>
  <c r="BJ211" i="3"/>
  <c r="BJ212" i="3"/>
  <c r="BJ213" i="3"/>
  <c r="BJ214" i="3"/>
  <c r="BJ215" i="3"/>
  <c r="BJ216" i="3"/>
  <c r="BJ217" i="3"/>
  <c r="BJ218" i="3"/>
  <c r="BJ219" i="3"/>
  <c r="BJ220" i="3"/>
  <c r="BJ221" i="3"/>
  <c r="BJ222" i="3"/>
  <c r="BJ223" i="3"/>
  <c r="BJ224" i="3"/>
  <c r="BJ225" i="3"/>
  <c r="BJ226" i="3"/>
  <c r="BJ227" i="3"/>
  <c r="BJ228" i="3"/>
  <c r="BJ229" i="3"/>
  <c r="BJ230" i="3"/>
  <c r="BJ231" i="3"/>
  <c r="BJ232" i="3"/>
  <c r="BJ233" i="3"/>
  <c r="BJ234" i="3"/>
  <c r="BJ235" i="3"/>
  <c r="BJ236" i="3"/>
  <c r="BJ237" i="3"/>
  <c r="BJ238" i="3"/>
  <c r="BJ239" i="3"/>
  <c r="BJ240" i="3"/>
  <c r="BJ241" i="3"/>
  <c r="BJ242" i="3"/>
  <c r="BJ243" i="3"/>
  <c r="BJ244" i="3"/>
  <c r="BJ245" i="3"/>
  <c r="BJ246" i="3"/>
  <c r="BJ247" i="3"/>
  <c r="BJ248" i="3"/>
  <c r="BJ249" i="3"/>
  <c r="BJ250" i="3"/>
  <c r="BJ251" i="3"/>
  <c r="BJ252" i="3"/>
  <c r="BJ253" i="3"/>
  <c r="BJ254" i="3"/>
  <c r="BJ255" i="3"/>
  <c r="BJ256" i="3"/>
  <c r="BJ257" i="3"/>
  <c r="BJ258" i="3"/>
  <c r="BJ259" i="3"/>
  <c r="BJ260" i="3"/>
  <c r="BJ261" i="3"/>
  <c r="BJ262" i="3"/>
  <c r="BJ263" i="3"/>
  <c r="BJ264" i="3"/>
  <c r="BJ265" i="3"/>
  <c r="BJ266" i="3"/>
  <c r="BJ267" i="3"/>
  <c r="BJ268" i="3"/>
  <c r="BJ269" i="3"/>
  <c r="BJ270" i="3"/>
  <c r="BJ271" i="3"/>
  <c r="BJ272" i="3"/>
  <c r="BJ273" i="3"/>
  <c r="BJ274" i="3"/>
  <c r="BJ275" i="3"/>
  <c r="BJ276" i="3"/>
  <c r="BJ277" i="3"/>
  <c r="BJ278" i="3"/>
  <c r="BJ279" i="3"/>
  <c r="BJ280" i="3"/>
  <c r="BJ281" i="3"/>
  <c r="BJ282" i="3"/>
  <c r="BJ283" i="3"/>
  <c r="BJ284" i="3"/>
  <c r="BJ285" i="3"/>
  <c r="BJ286" i="3"/>
  <c r="BJ287" i="3"/>
  <c r="BJ288" i="3"/>
  <c r="BJ289" i="3"/>
  <c r="BJ290" i="3"/>
  <c r="BJ291" i="3"/>
  <c r="BJ292" i="3"/>
  <c r="BJ293" i="3"/>
  <c r="BJ294" i="3"/>
  <c r="BJ295" i="3"/>
  <c r="BJ296" i="3"/>
  <c r="BJ297" i="3"/>
  <c r="BJ298" i="3"/>
  <c r="BJ299" i="3"/>
  <c r="BJ300" i="3"/>
  <c r="BJ301" i="3"/>
  <c r="BJ302" i="3"/>
  <c r="BJ303" i="3"/>
  <c r="BJ304" i="3"/>
  <c r="BJ305" i="3"/>
  <c r="BJ306" i="3"/>
  <c r="BJ307" i="3"/>
  <c r="BJ308" i="3"/>
  <c r="BJ309" i="3"/>
  <c r="BJ310" i="3"/>
  <c r="BJ311" i="3"/>
  <c r="BJ312" i="3"/>
  <c r="BJ313" i="3"/>
  <c r="BJ314" i="3"/>
  <c r="BJ315" i="3"/>
  <c r="BJ316" i="3"/>
  <c r="BJ317" i="3"/>
  <c r="BJ318" i="3"/>
  <c r="BJ319" i="3"/>
  <c r="BJ320" i="3"/>
  <c r="BJ321" i="3"/>
  <c r="BJ322" i="3"/>
  <c r="BJ323" i="3"/>
  <c r="BJ324" i="3"/>
  <c r="BJ325" i="3"/>
  <c r="BJ326" i="3"/>
  <c r="BJ327" i="3"/>
  <c r="BJ328" i="3"/>
  <c r="BJ329" i="3"/>
  <c r="BJ330" i="3"/>
  <c r="BJ331" i="3"/>
  <c r="BJ332" i="3"/>
  <c r="BJ333" i="3"/>
  <c r="BJ334" i="3"/>
  <c r="BJ335" i="3"/>
  <c r="BJ336" i="3"/>
  <c r="BJ337" i="3"/>
  <c r="BJ338" i="3"/>
  <c r="BJ339" i="3"/>
  <c r="BJ340" i="3"/>
  <c r="BJ341" i="3"/>
  <c r="BJ342" i="3"/>
  <c r="BJ343" i="3"/>
  <c r="BJ344" i="3"/>
  <c r="BJ345" i="3"/>
  <c r="BJ346" i="3"/>
  <c r="BJ347" i="3"/>
  <c r="BJ348" i="3"/>
  <c r="BJ349" i="3"/>
  <c r="BJ350" i="3"/>
  <c r="BJ351" i="3"/>
  <c r="BJ352" i="3"/>
  <c r="BJ353" i="3"/>
  <c r="BJ354" i="3"/>
  <c r="BJ355" i="3"/>
  <c r="BJ356" i="3"/>
  <c r="BJ357" i="3"/>
  <c r="BJ358" i="3"/>
  <c r="BJ359" i="3"/>
  <c r="BJ360" i="3"/>
  <c r="BJ361" i="3"/>
  <c r="BJ362" i="3"/>
  <c r="BJ363" i="3"/>
  <c r="BJ364" i="3"/>
  <c r="BJ365" i="3"/>
  <c r="BJ366" i="3"/>
  <c r="BJ367" i="3"/>
  <c r="BJ368" i="3"/>
  <c r="BJ369" i="3"/>
  <c r="BJ370" i="3"/>
  <c r="BJ371" i="3"/>
  <c r="BJ372" i="3"/>
  <c r="BJ373" i="3"/>
  <c r="BJ374" i="3"/>
  <c r="BJ375" i="3"/>
  <c r="BJ376" i="3"/>
  <c r="BJ377" i="3"/>
  <c r="BJ378" i="3"/>
  <c r="BJ379" i="3"/>
  <c r="BJ380" i="3"/>
  <c r="BJ381" i="3"/>
  <c r="BJ382" i="3"/>
  <c r="BJ383" i="3"/>
  <c r="BJ384" i="3"/>
  <c r="BJ385" i="3"/>
  <c r="BJ386" i="3"/>
  <c r="BJ387" i="3"/>
  <c r="BJ388" i="3"/>
  <c r="BJ389" i="3"/>
  <c r="BJ390" i="3"/>
  <c r="BJ391" i="3"/>
  <c r="BJ392" i="3"/>
  <c r="BJ393" i="3"/>
  <c r="BJ394" i="3"/>
  <c r="BJ395" i="3"/>
  <c r="BJ396" i="3"/>
  <c r="BJ397" i="3"/>
  <c r="BJ398" i="3"/>
  <c r="BJ399" i="3"/>
  <c r="BJ400" i="3"/>
  <c r="BJ401" i="3"/>
  <c r="BJ402" i="3"/>
  <c r="BJ403" i="3"/>
  <c r="BJ404" i="3"/>
  <c r="BJ405" i="3"/>
  <c r="BJ406" i="3"/>
  <c r="BJ407" i="3"/>
  <c r="BJ408" i="3"/>
  <c r="BJ409" i="3"/>
  <c r="BJ410" i="3"/>
  <c r="BJ411" i="3"/>
  <c r="BJ412" i="3"/>
  <c r="BJ413" i="3"/>
  <c r="BJ414" i="3"/>
  <c r="BJ415" i="3"/>
  <c r="BJ416" i="3"/>
  <c r="BJ417" i="3"/>
  <c r="BJ418" i="3"/>
  <c r="BJ419" i="3"/>
  <c r="BJ420" i="3"/>
  <c r="BJ421" i="3"/>
  <c r="BJ422" i="3"/>
  <c r="BJ423" i="3"/>
  <c r="BJ424" i="3"/>
  <c r="BJ425" i="3"/>
  <c r="BJ426" i="3"/>
  <c r="BJ427" i="3"/>
  <c r="BJ428" i="3"/>
  <c r="BJ429" i="3"/>
  <c r="BJ430" i="3"/>
  <c r="BJ431" i="3"/>
  <c r="BJ432" i="3"/>
  <c r="BJ433" i="3"/>
  <c r="BJ434" i="3"/>
  <c r="BJ435" i="3"/>
  <c r="BJ436" i="3"/>
  <c r="BJ437" i="3"/>
  <c r="BJ438" i="3"/>
  <c r="BJ439" i="3"/>
  <c r="BJ440" i="3"/>
  <c r="BJ441" i="3"/>
  <c r="BJ442" i="3"/>
  <c r="BJ443" i="3"/>
  <c r="BJ444" i="3"/>
  <c r="BJ445" i="3"/>
  <c r="BJ446" i="3"/>
  <c r="BJ447" i="3"/>
  <c r="BJ448" i="3"/>
  <c r="BJ449" i="3"/>
  <c r="BJ450" i="3"/>
  <c r="BJ451" i="3"/>
  <c r="BJ452" i="3"/>
  <c r="BJ453" i="3"/>
  <c r="BJ454" i="3"/>
  <c r="BJ455" i="3"/>
  <c r="BJ456" i="3"/>
  <c r="BJ457" i="3"/>
  <c r="BJ458" i="3"/>
  <c r="BJ459" i="3"/>
  <c r="BJ460" i="3"/>
  <c r="BJ461" i="3"/>
  <c r="BJ462" i="3"/>
  <c r="BJ463" i="3"/>
  <c r="BJ464" i="3"/>
  <c r="BJ465" i="3"/>
  <c r="BJ466" i="3"/>
  <c r="BJ467" i="3"/>
  <c r="BJ468" i="3"/>
  <c r="BJ469" i="3"/>
  <c r="BJ470" i="3"/>
  <c r="BJ471" i="3"/>
  <c r="BJ472" i="3"/>
  <c r="BJ473" i="3"/>
  <c r="BJ474" i="3"/>
  <c r="BJ475" i="3"/>
  <c r="BJ476" i="3"/>
  <c r="BJ477" i="3"/>
  <c r="BJ478" i="3"/>
  <c r="BJ479" i="3"/>
  <c r="BJ480" i="3"/>
  <c r="BJ481" i="3"/>
  <c r="BJ482" i="3"/>
  <c r="BJ483" i="3"/>
  <c r="BJ484" i="3"/>
  <c r="BJ485" i="3"/>
  <c r="BJ486" i="3"/>
  <c r="BJ487" i="3"/>
  <c r="BJ488" i="3"/>
  <c r="BJ489" i="3"/>
  <c r="BJ490" i="3"/>
  <c r="BJ491" i="3"/>
  <c r="BJ492" i="3"/>
  <c r="BJ493" i="3"/>
  <c r="BJ494" i="3"/>
  <c r="BJ495" i="3"/>
  <c r="BJ496" i="3"/>
  <c r="BJ497" i="3"/>
  <c r="BJ498" i="3"/>
  <c r="BJ499" i="3"/>
  <c r="BJ500" i="3"/>
  <c r="BJ501" i="3"/>
  <c r="BJ502" i="3"/>
  <c r="BJ503" i="3"/>
  <c r="BJ504" i="3"/>
  <c r="BJ505" i="3"/>
  <c r="BJ506" i="3"/>
  <c r="BJ507" i="3"/>
  <c r="BJ508" i="3"/>
  <c r="BJ509" i="3"/>
  <c r="BJ510" i="3"/>
  <c r="BJ511" i="3"/>
  <c r="BJ512" i="3"/>
  <c r="BJ513" i="3"/>
  <c r="BJ514" i="3"/>
  <c r="BJ515" i="3"/>
  <c r="BJ516" i="3"/>
  <c r="BJ517" i="3"/>
  <c r="BJ518" i="3"/>
  <c r="BJ519" i="3"/>
  <c r="BJ520" i="3"/>
  <c r="BJ521" i="3"/>
  <c r="BJ522" i="3"/>
  <c r="BJ523" i="3"/>
  <c r="BJ524" i="3"/>
  <c r="BJ525" i="3"/>
  <c r="BJ526" i="3"/>
  <c r="BJ527" i="3"/>
  <c r="BJ528" i="3"/>
  <c r="BJ529" i="3"/>
  <c r="BJ530" i="3"/>
  <c r="BJ531" i="3"/>
  <c r="BJ532" i="3"/>
  <c r="BJ533" i="3"/>
  <c r="BJ534" i="3"/>
  <c r="BJ535" i="3"/>
  <c r="BJ536" i="3"/>
  <c r="BJ537" i="3"/>
  <c r="BJ538" i="3"/>
  <c r="BJ539" i="3"/>
  <c r="BJ540" i="3"/>
  <c r="BJ541" i="3"/>
  <c r="BJ542" i="3"/>
  <c r="BJ543" i="3"/>
  <c r="BJ544" i="3"/>
  <c r="BJ545" i="3"/>
  <c r="BJ546" i="3"/>
  <c r="BJ547" i="3"/>
  <c r="BJ548" i="3"/>
  <c r="BJ549" i="3"/>
  <c r="BJ550" i="3"/>
  <c r="BJ551" i="3"/>
  <c r="BJ552" i="3"/>
  <c r="BJ553" i="3"/>
  <c r="BJ554" i="3"/>
  <c r="BJ555" i="3"/>
  <c r="BJ556" i="3"/>
  <c r="BJ557" i="3"/>
  <c r="BJ558" i="3"/>
  <c r="BJ559" i="3"/>
  <c r="BJ560" i="3"/>
  <c r="BJ561" i="3"/>
  <c r="BJ562" i="3"/>
  <c r="BJ563" i="3"/>
  <c r="BJ564" i="3"/>
  <c r="BJ565" i="3"/>
  <c r="BJ566" i="3"/>
  <c r="BJ567" i="3"/>
  <c r="BJ568" i="3"/>
  <c r="BJ569" i="3"/>
  <c r="BJ570" i="3"/>
  <c r="BJ571" i="3"/>
  <c r="BJ572" i="3"/>
  <c r="BJ573" i="3"/>
  <c r="BJ574" i="3"/>
  <c r="BJ575" i="3"/>
  <c r="BJ576" i="3"/>
  <c r="BJ577" i="3"/>
  <c r="BJ578" i="3"/>
  <c r="BJ579" i="3"/>
  <c r="BJ580" i="3"/>
  <c r="BJ581" i="3"/>
  <c r="BJ582" i="3"/>
  <c r="BJ583" i="3"/>
  <c r="BJ584" i="3"/>
  <c r="BJ585" i="3"/>
  <c r="BJ586" i="3"/>
  <c r="BJ587" i="3"/>
  <c r="BJ588" i="3"/>
  <c r="BJ589" i="3"/>
  <c r="BJ590" i="3"/>
  <c r="BJ591" i="3"/>
  <c r="BJ592" i="3"/>
  <c r="BJ593" i="3"/>
  <c r="BJ594" i="3"/>
  <c r="BJ595" i="3"/>
  <c r="BJ596" i="3"/>
  <c r="BJ597" i="3"/>
  <c r="BJ598" i="3"/>
  <c r="BJ599" i="3"/>
  <c r="BJ600" i="3"/>
  <c r="BJ601" i="3"/>
  <c r="BJ602" i="3"/>
  <c r="BJ603" i="3"/>
  <c r="BJ604" i="3"/>
  <c r="BJ605" i="3"/>
  <c r="BJ606" i="3"/>
  <c r="BJ607" i="3"/>
  <c r="BJ608" i="3"/>
  <c r="BJ609" i="3"/>
  <c r="BJ610" i="3"/>
  <c r="BJ611" i="3"/>
  <c r="BJ612" i="3"/>
  <c r="BJ613" i="3"/>
  <c r="BJ614" i="3"/>
  <c r="BJ615" i="3"/>
  <c r="BJ616" i="3"/>
  <c r="BJ617" i="3"/>
  <c r="BJ618" i="3"/>
  <c r="BJ619" i="3"/>
  <c r="BJ620" i="3"/>
  <c r="BJ621" i="3"/>
  <c r="BJ622" i="3"/>
  <c r="BJ623" i="3"/>
  <c r="BJ624" i="3"/>
  <c r="BJ625" i="3"/>
  <c r="BJ626" i="3"/>
  <c r="BJ627" i="3"/>
  <c r="BJ628" i="3"/>
  <c r="BJ629" i="3"/>
  <c r="BJ630" i="3"/>
  <c r="BJ631" i="3"/>
  <c r="BJ632" i="3"/>
  <c r="BJ633" i="3"/>
  <c r="BJ634" i="3"/>
  <c r="BJ635" i="3"/>
  <c r="BJ636" i="3"/>
  <c r="BJ637" i="3"/>
  <c r="BJ638" i="3"/>
  <c r="BJ639" i="3"/>
  <c r="BJ640" i="3"/>
  <c r="BJ641" i="3"/>
  <c r="BJ642" i="3"/>
  <c r="BJ643" i="3"/>
  <c r="BJ644" i="3"/>
  <c r="BJ645" i="3"/>
  <c r="BJ646" i="3"/>
  <c r="BJ647" i="3"/>
  <c r="BJ648" i="3"/>
  <c r="BJ649" i="3"/>
  <c r="BJ650" i="3"/>
  <c r="BJ651" i="3"/>
  <c r="BJ652" i="3"/>
  <c r="BJ653" i="3"/>
  <c r="BJ654" i="3"/>
  <c r="BJ655" i="3"/>
  <c r="BJ656" i="3"/>
  <c r="BJ657" i="3"/>
  <c r="BJ658" i="3"/>
  <c r="BJ659" i="3"/>
  <c r="BJ660" i="3"/>
  <c r="BJ661" i="3"/>
  <c r="BJ662" i="3"/>
  <c r="BJ663" i="3"/>
  <c r="BJ664" i="3"/>
  <c r="BJ665" i="3"/>
  <c r="BJ666" i="3"/>
  <c r="BJ667" i="3"/>
  <c r="BJ668" i="3"/>
  <c r="BJ669" i="3"/>
  <c r="BJ670" i="3"/>
  <c r="BJ671" i="3"/>
  <c r="BJ672" i="3"/>
  <c r="BJ673" i="3"/>
  <c r="BJ674" i="3"/>
  <c r="BJ675" i="3"/>
  <c r="BJ676" i="3"/>
  <c r="BJ677" i="3"/>
  <c r="BJ678" i="3"/>
  <c r="BJ679" i="3"/>
  <c r="BJ680" i="3"/>
  <c r="BJ681" i="3"/>
  <c r="BJ682" i="3"/>
  <c r="BJ683" i="3"/>
  <c r="BJ684" i="3"/>
  <c r="BJ685" i="3"/>
  <c r="BJ686" i="3"/>
  <c r="BJ687" i="3"/>
  <c r="BJ688" i="3"/>
  <c r="BJ689" i="3"/>
  <c r="BJ690" i="3"/>
  <c r="BJ691" i="3"/>
  <c r="BJ692" i="3"/>
  <c r="BJ693" i="3"/>
  <c r="BJ694" i="3"/>
  <c r="BJ695" i="3"/>
  <c r="BJ696" i="3"/>
  <c r="BJ697" i="3"/>
  <c r="BJ698" i="3"/>
  <c r="BJ699" i="3"/>
  <c r="BJ700" i="3"/>
  <c r="BJ701" i="3"/>
  <c r="BJ702" i="3"/>
  <c r="BJ703" i="3"/>
  <c r="BJ704" i="3"/>
  <c r="BJ705" i="3"/>
  <c r="BJ706" i="3"/>
  <c r="BJ707" i="3"/>
  <c r="BJ708" i="3"/>
  <c r="BJ709" i="3"/>
  <c r="BJ710" i="3"/>
  <c r="BJ711" i="3"/>
  <c r="BJ712" i="3"/>
  <c r="BJ713" i="3"/>
  <c r="BJ714" i="3"/>
  <c r="BJ715" i="3"/>
  <c r="BJ716" i="3"/>
  <c r="BJ717" i="3"/>
  <c r="BJ718" i="3"/>
  <c r="BJ719" i="3"/>
  <c r="BJ720" i="3"/>
  <c r="BJ721" i="3"/>
  <c r="BJ722" i="3"/>
  <c r="BJ723" i="3"/>
  <c r="BJ724" i="3"/>
  <c r="BJ725" i="3"/>
  <c r="BJ726" i="3"/>
  <c r="BJ727" i="3"/>
  <c r="BJ728" i="3"/>
  <c r="BJ729" i="3"/>
  <c r="BJ730" i="3"/>
  <c r="BJ731" i="3"/>
  <c r="BJ732" i="3"/>
  <c r="BJ733" i="3"/>
  <c r="BJ734" i="3"/>
  <c r="BJ735" i="3"/>
  <c r="BJ736" i="3"/>
  <c r="BJ737" i="3"/>
  <c r="BJ738" i="3"/>
  <c r="BJ739" i="3"/>
  <c r="BJ740" i="3"/>
  <c r="BJ741" i="3"/>
  <c r="BJ742" i="3"/>
  <c r="BJ743" i="3"/>
  <c r="BJ744" i="3"/>
  <c r="BJ745" i="3"/>
  <c r="BJ746" i="3"/>
  <c r="BJ747" i="3"/>
  <c r="BJ748" i="3"/>
  <c r="BJ749" i="3"/>
  <c r="BJ750" i="3"/>
  <c r="BJ751" i="3"/>
  <c r="BJ752" i="3"/>
  <c r="BJ753" i="3"/>
  <c r="BJ754" i="3"/>
  <c r="BJ755" i="3"/>
  <c r="BJ756" i="3"/>
  <c r="BJ757" i="3"/>
  <c r="BJ758" i="3"/>
  <c r="BJ759" i="3"/>
  <c r="BJ760" i="3"/>
  <c r="BJ761" i="3"/>
  <c r="BJ762" i="3"/>
  <c r="BJ763" i="3"/>
  <c r="BJ764" i="3"/>
  <c r="BJ765" i="3"/>
  <c r="BJ766" i="3"/>
  <c r="BJ767" i="3"/>
  <c r="BJ768" i="3"/>
  <c r="BJ769" i="3"/>
  <c r="BJ770" i="3"/>
  <c r="BJ771" i="3"/>
  <c r="BJ772" i="3"/>
  <c r="BJ773" i="3"/>
  <c r="BJ774" i="3"/>
  <c r="BJ775" i="3"/>
  <c r="BJ776" i="3"/>
  <c r="BJ777" i="3"/>
  <c r="BJ778" i="3"/>
  <c r="BJ779" i="3"/>
  <c r="BJ780" i="3"/>
  <c r="BJ781" i="3"/>
  <c r="BJ782" i="3"/>
  <c r="BJ783" i="3"/>
  <c r="BJ784" i="3"/>
  <c r="BJ785" i="3"/>
  <c r="BJ786" i="3"/>
  <c r="BJ787" i="3"/>
  <c r="BJ788" i="3"/>
  <c r="BJ789" i="3"/>
  <c r="BJ790" i="3"/>
  <c r="BJ791" i="3"/>
  <c r="BJ792" i="3"/>
  <c r="BJ793" i="3"/>
  <c r="BJ794" i="3"/>
  <c r="BJ795" i="3"/>
  <c r="BJ796" i="3"/>
  <c r="BJ797" i="3"/>
  <c r="BJ798" i="3"/>
  <c r="BJ799" i="3"/>
  <c r="BJ800" i="3"/>
  <c r="BJ801" i="3"/>
  <c r="BJ802" i="3"/>
  <c r="BJ803" i="3"/>
  <c r="BJ804" i="3"/>
  <c r="BJ805" i="3"/>
  <c r="BJ806" i="3"/>
  <c r="BJ807" i="3"/>
  <c r="BJ808" i="3"/>
  <c r="BJ809" i="3"/>
  <c r="BJ810" i="3"/>
  <c r="BJ811" i="3"/>
  <c r="BJ812" i="3"/>
  <c r="BJ813" i="3"/>
  <c r="BJ814" i="3"/>
  <c r="BJ815" i="3"/>
  <c r="BJ816" i="3"/>
  <c r="BJ817" i="3"/>
  <c r="BJ818" i="3"/>
  <c r="BJ819" i="3"/>
  <c r="BJ820" i="3"/>
  <c r="BJ821" i="3"/>
  <c r="BJ822" i="3"/>
  <c r="BJ823" i="3"/>
  <c r="BJ824" i="3"/>
  <c r="BJ825" i="3"/>
  <c r="BJ826" i="3"/>
  <c r="BJ827" i="3"/>
  <c r="BJ828" i="3"/>
  <c r="BJ829" i="3"/>
  <c r="BJ830" i="3"/>
  <c r="BJ831" i="3"/>
  <c r="BJ832" i="3"/>
  <c r="BJ833" i="3"/>
  <c r="BJ834" i="3"/>
  <c r="BJ835" i="3"/>
  <c r="BJ836" i="3"/>
  <c r="BJ837" i="3"/>
  <c r="BJ838" i="3"/>
  <c r="BJ839" i="3"/>
  <c r="BJ840" i="3"/>
  <c r="BJ841" i="3"/>
  <c r="BJ842" i="3"/>
  <c r="BJ843" i="3"/>
  <c r="BJ844" i="3"/>
  <c r="BJ845" i="3"/>
  <c r="BJ846" i="3"/>
  <c r="BJ847" i="3"/>
  <c r="BJ848" i="3"/>
  <c r="BJ849" i="3"/>
  <c r="BJ850" i="3"/>
  <c r="BJ851" i="3"/>
  <c r="BJ852" i="3"/>
  <c r="BJ853" i="3"/>
  <c r="BJ854" i="3"/>
  <c r="BJ855" i="3"/>
  <c r="BJ856" i="3"/>
  <c r="BJ857" i="3"/>
  <c r="BJ858" i="3"/>
  <c r="BJ859" i="3"/>
  <c r="BJ860" i="3"/>
  <c r="BJ861" i="3"/>
  <c r="BJ862" i="3"/>
  <c r="BJ863" i="3"/>
  <c r="BJ864" i="3"/>
  <c r="BJ865" i="3"/>
  <c r="BJ866" i="3"/>
  <c r="BJ867" i="3"/>
  <c r="BJ868" i="3"/>
  <c r="BJ869" i="3"/>
  <c r="BJ870" i="3"/>
  <c r="BJ871" i="3"/>
  <c r="BJ872" i="3"/>
  <c r="BJ873" i="3"/>
  <c r="BJ874" i="3"/>
  <c r="BJ875" i="3"/>
  <c r="BJ876" i="3"/>
  <c r="BJ877" i="3"/>
  <c r="BJ878" i="3"/>
  <c r="BJ879" i="3"/>
  <c r="BJ880" i="3"/>
  <c r="BJ881" i="3"/>
  <c r="BJ882" i="3"/>
  <c r="BJ883" i="3"/>
  <c r="BJ884" i="3"/>
  <c r="BJ885" i="3"/>
  <c r="BJ886" i="3"/>
  <c r="BJ887" i="3"/>
  <c r="BJ888" i="3"/>
  <c r="BJ2" i="3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1" i="3"/>
  <c r="BI142" i="3"/>
  <c r="BI143" i="3"/>
  <c r="BI144" i="3"/>
  <c r="BI145" i="3"/>
  <c r="BI146" i="3"/>
  <c r="BI147" i="3"/>
  <c r="BI148" i="3"/>
  <c r="BI149" i="3"/>
  <c r="BI150" i="3"/>
  <c r="BI151" i="3"/>
  <c r="BI152" i="3"/>
  <c r="BI153" i="3"/>
  <c r="BI154" i="3"/>
  <c r="BI155" i="3"/>
  <c r="BI156" i="3"/>
  <c r="BI157" i="3"/>
  <c r="BI158" i="3"/>
  <c r="BI159" i="3"/>
  <c r="BI160" i="3"/>
  <c r="BI161" i="3"/>
  <c r="BI162" i="3"/>
  <c r="BI163" i="3"/>
  <c r="BI164" i="3"/>
  <c r="BI165" i="3"/>
  <c r="BI166" i="3"/>
  <c r="BI167" i="3"/>
  <c r="BI168" i="3"/>
  <c r="BI169" i="3"/>
  <c r="BI170" i="3"/>
  <c r="BI171" i="3"/>
  <c r="BI172" i="3"/>
  <c r="BI173" i="3"/>
  <c r="BI174" i="3"/>
  <c r="BI175" i="3"/>
  <c r="BI176" i="3"/>
  <c r="BI177" i="3"/>
  <c r="BI178" i="3"/>
  <c r="BI179" i="3"/>
  <c r="BI180" i="3"/>
  <c r="BI181" i="3"/>
  <c r="BI182" i="3"/>
  <c r="BI183" i="3"/>
  <c r="BI184" i="3"/>
  <c r="BI185" i="3"/>
  <c r="BI186" i="3"/>
  <c r="BI187" i="3"/>
  <c r="BI188" i="3"/>
  <c r="BI189" i="3"/>
  <c r="BI190" i="3"/>
  <c r="BI191" i="3"/>
  <c r="BI192" i="3"/>
  <c r="BI193" i="3"/>
  <c r="BI194" i="3"/>
  <c r="BI195" i="3"/>
  <c r="BI196" i="3"/>
  <c r="BI197" i="3"/>
  <c r="BI198" i="3"/>
  <c r="BI199" i="3"/>
  <c r="BI200" i="3"/>
  <c r="BI201" i="3"/>
  <c r="BI202" i="3"/>
  <c r="BI203" i="3"/>
  <c r="BI204" i="3"/>
  <c r="BI205" i="3"/>
  <c r="BI206" i="3"/>
  <c r="BI207" i="3"/>
  <c r="BI208" i="3"/>
  <c r="BI209" i="3"/>
  <c r="BI210" i="3"/>
  <c r="BI211" i="3"/>
  <c r="BI212" i="3"/>
  <c r="BI213" i="3"/>
  <c r="BI214" i="3"/>
  <c r="BI215" i="3"/>
  <c r="BI216" i="3"/>
  <c r="BI217" i="3"/>
  <c r="BI218" i="3"/>
  <c r="BI219" i="3"/>
  <c r="BI220" i="3"/>
  <c r="BI221" i="3"/>
  <c r="BI222" i="3"/>
  <c r="BI223" i="3"/>
  <c r="BI224" i="3"/>
  <c r="BI225" i="3"/>
  <c r="BI226" i="3"/>
  <c r="BI227" i="3"/>
  <c r="BI228" i="3"/>
  <c r="BI229" i="3"/>
  <c r="BI230" i="3"/>
  <c r="BI231" i="3"/>
  <c r="BI232" i="3"/>
  <c r="BI233" i="3"/>
  <c r="BI234" i="3"/>
  <c r="BI235" i="3"/>
  <c r="BI236" i="3"/>
  <c r="BI237" i="3"/>
  <c r="BI238" i="3"/>
  <c r="BI239" i="3"/>
  <c r="BI240" i="3"/>
  <c r="BI241" i="3"/>
  <c r="BI242" i="3"/>
  <c r="BI243" i="3"/>
  <c r="BI244" i="3"/>
  <c r="BI245" i="3"/>
  <c r="BI246" i="3"/>
  <c r="BI247" i="3"/>
  <c r="BI248" i="3"/>
  <c r="BI249" i="3"/>
  <c r="BI250" i="3"/>
  <c r="BI251" i="3"/>
  <c r="BI252" i="3"/>
  <c r="BI253" i="3"/>
  <c r="BI254" i="3"/>
  <c r="BI255" i="3"/>
  <c r="BI256" i="3"/>
  <c r="BI257" i="3"/>
  <c r="BI258" i="3"/>
  <c r="BI259" i="3"/>
  <c r="BI260" i="3"/>
  <c r="BI261" i="3"/>
  <c r="BI262" i="3"/>
  <c r="BI263" i="3"/>
  <c r="BI264" i="3"/>
  <c r="BI265" i="3"/>
  <c r="BI266" i="3"/>
  <c r="BI267" i="3"/>
  <c r="BI268" i="3"/>
  <c r="BI269" i="3"/>
  <c r="BI270" i="3"/>
  <c r="BI271" i="3"/>
  <c r="BI272" i="3"/>
  <c r="BI273" i="3"/>
  <c r="BI274" i="3"/>
  <c r="BI275" i="3"/>
  <c r="BI276" i="3"/>
  <c r="BI277" i="3"/>
  <c r="BI278" i="3"/>
  <c r="BI279" i="3"/>
  <c r="BI280" i="3"/>
  <c r="BI281" i="3"/>
  <c r="BI282" i="3"/>
  <c r="BI283" i="3"/>
  <c r="BI284" i="3"/>
  <c r="BI285" i="3"/>
  <c r="BI286" i="3"/>
  <c r="BI287" i="3"/>
  <c r="BI288" i="3"/>
  <c r="BI289" i="3"/>
  <c r="BI290" i="3"/>
  <c r="BI291" i="3"/>
  <c r="BI292" i="3"/>
  <c r="BI293" i="3"/>
  <c r="BI294" i="3"/>
  <c r="BI295" i="3"/>
  <c r="BI296" i="3"/>
  <c r="BI297" i="3"/>
  <c r="BI298" i="3"/>
  <c r="BI299" i="3"/>
  <c r="BI300" i="3"/>
  <c r="BI301" i="3"/>
  <c r="BI302" i="3"/>
  <c r="BI303" i="3"/>
  <c r="BI304" i="3"/>
  <c r="BI305" i="3"/>
  <c r="BI306" i="3"/>
  <c r="BI307" i="3"/>
  <c r="BI308" i="3"/>
  <c r="BI309" i="3"/>
  <c r="BI310" i="3"/>
  <c r="BI311" i="3"/>
  <c r="BI312" i="3"/>
  <c r="BI313" i="3"/>
  <c r="BI314" i="3"/>
  <c r="BI315" i="3"/>
  <c r="BI316" i="3"/>
  <c r="BI317" i="3"/>
  <c r="BI318" i="3"/>
  <c r="BI319" i="3"/>
  <c r="BI320" i="3"/>
  <c r="BI321" i="3"/>
  <c r="BI322" i="3"/>
  <c r="BI323" i="3"/>
  <c r="BI324" i="3"/>
  <c r="BI325" i="3"/>
  <c r="BI326" i="3"/>
  <c r="BI327" i="3"/>
  <c r="BI328" i="3"/>
  <c r="BI329" i="3"/>
  <c r="BI330" i="3"/>
  <c r="BI331" i="3"/>
  <c r="BI332" i="3"/>
  <c r="BI333" i="3"/>
  <c r="BI334" i="3"/>
  <c r="BI335" i="3"/>
  <c r="BI336" i="3"/>
  <c r="BI337" i="3"/>
  <c r="BI338" i="3"/>
  <c r="BI339" i="3"/>
  <c r="BI340" i="3"/>
  <c r="BI341" i="3"/>
  <c r="BI342" i="3"/>
  <c r="BI343" i="3"/>
  <c r="BI344" i="3"/>
  <c r="BI345" i="3"/>
  <c r="BI346" i="3"/>
  <c r="BI347" i="3"/>
  <c r="BI348" i="3"/>
  <c r="BI349" i="3"/>
  <c r="BI350" i="3"/>
  <c r="BI351" i="3"/>
  <c r="BI352" i="3"/>
  <c r="BI353" i="3"/>
  <c r="BI354" i="3"/>
  <c r="BI355" i="3"/>
  <c r="BI356" i="3"/>
  <c r="BI357" i="3"/>
  <c r="BI358" i="3"/>
  <c r="BI359" i="3"/>
  <c r="BI360" i="3"/>
  <c r="BI361" i="3"/>
  <c r="BI362" i="3"/>
  <c r="BI363" i="3"/>
  <c r="BI364" i="3"/>
  <c r="BI365" i="3"/>
  <c r="BI366" i="3"/>
  <c r="BI367" i="3"/>
  <c r="BI368" i="3"/>
  <c r="BI369" i="3"/>
  <c r="BI370" i="3"/>
  <c r="BI371" i="3"/>
  <c r="BI372" i="3"/>
  <c r="BI373" i="3"/>
  <c r="BI374" i="3"/>
  <c r="BI375" i="3"/>
  <c r="BI376" i="3"/>
  <c r="BI377" i="3"/>
  <c r="BI378" i="3"/>
  <c r="BI379" i="3"/>
  <c r="BI380" i="3"/>
  <c r="BI381" i="3"/>
  <c r="BI382" i="3"/>
  <c r="BI383" i="3"/>
  <c r="BI384" i="3"/>
  <c r="BI385" i="3"/>
  <c r="BI386" i="3"/>
  <c r="BI387" i="3"/>
  <c r="BI388" i="3"/>
  <c r="BI389" i="3"/>
  <c r="BI390" i="3"/>
  <c r="BI391" i="3"/>
  <c r="BI392" i="3"/>
  <c r="BI393" i="3"/>
  <c r="BI394" i="3"/>
  <c r="BI395" i="3"/>
  <c r="BI396" i="3"/>
  <c r="BI397" i="3"/>
  <c r="BI398" i="3"/>
  <c r="BI399" i="3"/>
  <c r="BI400" i="3"/>
  <c r="BI401" i="3"/>
  <c r="BI402" i="3"/>
  <c r="BI403" i="3"/>
  <c r="BI404" i="3"/>
  <c r="BI405" i="3"/>
  <c r="BI406" i="3"/>
  <c r="BI407" i="3"/>
  <c r="BI408" i="3"/>
  <c r="BI409" i="3"/>
  <c r="BI410" i="3"/>
  <c r="BI411" i="3"/>
  <c r="BI412" i="3"/>
  <c r="BI413" i="3"/>
  <c r="BI414" i="3"/>
  <c r="BI415" i="3"/>
  <c r="BI416" i="3"/>
  <c r="BI417" i="3"/>
  <c r="BI418" i="3"/>
  <c r="BI419" i="3"/>
  <c r="BI420" i="3"/>
  <c r="BI421" i="3"/>
  <c r="BI422" i="3"/>
  <c r="BI423" i="3"/>
  <c r="BI424" i="3"/>
  <c r="BI425" i="3"/>
  <c r="BI426" i="3"/>
  <c r="BI427" i="3"/>
  <c r="BI428" i="3"/>
  <c r="BI429" i="3"/>
  <c r="BI430" i="3"/>
  <c r="BI431" i="3"/>
  <c r="BI432" i="3"/>
  <c r="BI433" i="3"/>
  <c r="BI434" i="3"/>
  <c r="BI435" i="3"/>
  <c r="BI436" i="3"/>
  <c r="BI437" i="3"/>
  <c r="BI438" i="3"/>
  <c r="BI439" i="3"/>
  <c r="BI440" i="3"/>
  <c r="BI441" i="3"/>
  <c r="BI442" i="3"/>
  <c r="BI443" i="3"/>
  <c r="BI444" i="3"/>
  <c r="BI445" i="3"/>
  <c r="BI446" i="3"/>
  <c r="BI447" i="3"/>
  <c r="BI448" i="3"/>
  <c r="BI449" i="3"/>
  <c r="BI450" i="3"/>
  <c r="BI451" i="3"/>
  <c r="BI452" i="3"/>
  <c r="BI453" i="3"/>
  <c r="BI454" i="3"/>
  <c r="BI455" i="3"/>
  <c r="BI456" i="3"/>
  <c r="BI457" i="3"/>
  <c r="BI458" i="3"/>
  <c r="BI459" i="3"/>
  <c r="BI460" i="3"/>
  <c r="BI461" i="3"/>
  <c r="BI462" i="3"/>
  <c r="BI463" i="3"/>
  <c r="BI464" i="3"/>
  <c r="BI465" i="3"/>
  <c r="BI466" i="3"/>
  <c r="BI467" i="3"/>
  <c r="BI468" i="3"/>
  <c r="BI469" i="3"/>
  <c r="BI470" i="3"/>
  <c r="BI471" i="3"/>
  <c r="BI472" i="3"/>
  <c r="BI473" i="3"/>
  <c r="BI474" i="3"/>
  <c r="BI475" i="3"/>
  <c r="BI476" i="3"/>
  <c r="BI477" i="3"/>
  <c r="BI478" i="3"/>
  <c r="BI479" i="3"/>
  <c r="BI480" i="3"/>
  <c r="BI481" i="3"/>
  <c r="BI482" i="3"/>
  <c r="BI483" i="3"/>
  <c r="BI484" i="3"/>
  <c r="BI485" i="3"/>
  <c r="BI486" i="3"/>
  <c r="BI487" i="3"/>
  <c r="BI488" i="3"/>
  <c r="BI489" i="3"/>
  <c r="BI490" i="3"/>
  <c r="BI491" i="3"/>
  <c r="BI492" i="3"/>
  <c r="BI493" i="3"/>
  <c r="BI494" i="3"/>
  <c r="BI495" i="3"/>
  <c r="BI496" i="3"/>
  <c r="BI497" i="3"/>
  <c r="BI498" i="3"/>
  <c r="BI499" i="3"/>
  <c r="BI500" i="3"/>
  <c r="BI501" i="3"/>
  <c r="BI502" i="3"/>
  <c r="BI503" i="3"/>
  <c r="BI504" i="3"/>
  <c r="BI505" i="3"/>
  <c r="BI506" i="3"/>
  <c r="BI507" i="3"/>
  <c r="BI508" i="3"/>
  <c r="BI509" i="3"/>
  <c r="BI510" i="3"/>
  <c r="BI511" i="3"/>
  <c r="BI512" i="3"/>
  <c r="BI513" i="3"/>
  <c r="BI514" i="3"/>
  <c r="BI515" i="3"/>
  <c r="BI516" i="3"/>
  <c r="BI517" i="3"/>
  <c r="BI518" i="3"/>
  <c r="BI519" i="3"/>
  <c r="BI520" i="3"/>
  <c r="BI521" i="3"/>
  <c r="BI522" i="3"/>
  <c r="BI523" i="3"/>
  <c r="BI524" i="3"/>
  <c r="BI525" i="3"/>
  <c r="BI526" i="3"/>
  <c r="BI527" i="3"/>
  <c r="BI528" i="3"/>
  <c r="BI529" i="3"/>
  <c r="BI530" i="3"/>
  <c r="BI531" i="3"/>
  <c r="BI532" i="3"/>
  <c r="BI533" i="3"/>
  <c r="BI534" i="3"/>
  <c r="BI535" i="3"/>
  <c r="BI536" i="3"/>
  <c r="BI537" i="3"/>
  <c r="BI538" i="3"/>
  <c r="BI539" i="3"/>
  <c r="BI540" i="3"/>
  <c r="BI541" i="3"/>
  <c r="BI542" i="3"/>
  <c r="BI543" i="3"/>
  <c r="BI544" i="3"/>
  <c r="BI545" i="3"/>
  <c r="BI546" i="3"/>
  <c r="BI547" i="3"/>
  <c r="BI548" i="3"/>
  <c r="BI549" i="3"/>
  <c r="BI550" i="3"/>
  <c r="BI551" i="3"/>
  <c r="BI552" i="3"/>
  <c r="BI553" i="3"/>
  <c r="BI554" i="3"/>
  <c r="BI555" i="3"/>
  <c r="BI556" i="3"/>
  <c r="BI557" i="3"/>
  <c r="BI558" i="3"/>
  <c r="BI559" i="3"/>
  <c r="BI560" i="3"/>
  <c r="BI561" i="3"/>
  <c r="BI562" i="3"/>
  <c r="BI563" i="3"/>
  <c r="BI564" i="3"/>
  <c r="BI565" i="3"/>
  <c r="BI566" i="3"/>
  <c r="BI567" i="3"/>
  <c r="BI568" i="3"/>
  <c r="BI569" i="3"/>
  <c r="BI570" i="3"/>
  <c r="BI571" i="3"/>
  <c r="BI572" i="3"/>
  <c r="BI573" i="3"/>
  <c r="BI574" i="3"/>
  <c r="BI575" i="3"/>
  <c r="BI576" i="3"/>
  <c r="BI577" i="3"/>
  <c r="BI578" i="3"/>
  <c r="BI579" i="3"/>
  <c r="BI580" i="3"/>
  <c r="BI581" i="3"/>
  <c r="BI582" i="3"/>
  <c r="BI583" i="3"/>
  <c r="BI584" i="3"/>
  <c r="BI585" i="3"/>
  <c r="BI586" i="3"/>
  <c r="BI587" i="3"/>
  <c r="BI588" i="3"/>
  <c r="BI589" i="3"/>
  <c r="BI590" i="3"/>
  <c r="BI591" i="3"/>
  <c r="BI592" i="3"/>
  <c r="BI593" i="3"/>
  <c r="BI594" i="3"/>
  <c r="BI595" i="3"/>
  <c r="BI596" i="3"/>
  <c r="BI597" i="3"/>
  <c r="BI598" i="3"/>
  <c r="BI599" i="3"/>
  <c r="BI600" i="3"/>
  <c r="BI601" i="3"/>
  <c r="BI602" i="3"/>
  <c r="BI603" i="3"/>
  <c r="BI604" i="3"/>
  <c r="BI605" i="3"/>
  <c r="BI606" i="3"/>
  <c r="BI607" i="3"/>
  <c r="BI608" i="3"/>
  <c r="BI609" i="3"/>
  <c r="BI610" i="3"/>
  <c r="BI611" i="3"/>
  <c r="BI612" i="3"/>
  <c r="BI613" i="3"/>
  <c r="BI614" i="3"/>
  <c r="BI615" i="3"/>
  <c r="BI616" i="3"/>
  <c r="BI617" i="3"/>
  <c r="BI618" i="3"/>
  <c r="BI619" i="3"/>
  <c r="BI620" i="3"/>
  <c r="BI621" i="3"/>
  <c r="BI622" i="3"/>
  <c r="BI623" i="3"/>
  <c r="BI624" i="3"/>
  <c r="BI625" i="3"/>
  <c r="BI626" i="3"/>
  <c r="BI627" i="3"/>
  <c r="BI628" i="3"/>
  <c r="BI629" i="3"/>
  <c r="BI630" i="3"/>
  <c r="BI631" i="3"/>
  <c r="BI632" i="3"/>
  <c r="BI633" i="3"/>
  <c r="BI634" i="3"/>
  <c r="BI635" i="3"/>
  <c r="BI636" i="3"/>
  <c r="BI637" i="3"/>
  <c r="BI638" i="3"/>
  <c r="BI639" i="3"/>
  <c r="BI640" i="3"/>
  <c r="BI641" i="3"/>
  <c r="BI642" i="3"/>
  <c r="BI643" i="3"/>
  <c r="BI644" i="3"/>
  <c r="BI645" i="3"/>
  <c r="BI646" i="3"/>
  <c r="BI647" i="3"/>
  <c r="BI648" i="3"/>
  <c r="BI649" i="3"/>
  <c r="BI650" i="3"/>
  <c r="BI651" i="3"/>
  <c r="BI652" i="3"/>
  <c r="BI653" i="3"/>
  <c r="BI654" i="3"/>
  <c r="BI655" i="3"/>
  <c r="BI656" i="3"/>
  <c r="BI657" i="3"/>
  <c r="BI658" i="3"/>
  <c r="BI659" i="3"/>
  <c r="BI660" i="3"/>
  <c r="BI661" i="3"/>
  <c r="BI662" i="3"/>
  <c r="BI663" i="3"/>
  <c r="BI664" i="3"/>
  <c r="BI665" i="3"/>
  <c r="BI666" i="3"/>
  <c r="BI667" i="3"/>
  <c r="BI668" i="3"/>
  <c r="BI669" i="3"/>
  <c r="BI670" i="3"/>
  <c r="BI671" i="3"/>
  <c r="BI672" i="3"/>
  <c r="BI673" i="3"/>
  <c r="BI674" i="3"/>
  <c r="BI675" i="3"/>
  <c r="BI676" i="3"/>
  <c r="BI677" i="3"/>
  <c r="BI678" i="3"/>
  <c r="BI679" i="3"/>
  <c r="BI680" i="3"/>
  <c r="BI681" i="3"/>
  <c r="BI682" i="3"/>
  <c r="BI683" i="3"/>
  <c r="BI684" i="3"/>
  <c r="BI685" i="3"/>
  <c r="BI686" i="3"/>
  <c r="BI687" i="3"/>
  <c r="BI688" i="3"/>
  <c r="BI689" i="3"/>
  <c r="BI690" i="3"/>
  <c r="BI691" i="3"/>
  <c r="BI692" i="3"/>
  <c r="BI693" i="3"/>
  <c r="BI694" i="3"/>
  <c r="BI695" i="3"/>
  <c r="BI696" i="3"/>
  <c r="BI697" i="3"/>
  <c r="BI698" i="3"/>
  <c r="BI699" i="3"/>
  <c r="BI700" i="3"/>
  <c r="BI701" i="3"/>
  <c r="BI702" i="3"/>
  <c r="BI703" i="3"/>
  <c r="BI704" i="3"/>
  <c r="BI705" i="3"/>
  <c r="BI706" i="3"/>
  <c r="BI707" i="3"/>
  <c r="BI708" i="3"/>
  <c r="BI709" i="3"/>
  <c r="BI710" i="3"/>
  <c r="BI711" i="3"/>
  <c r="BI712" i="3"/>
  <c r="BI713" i="3"/>
  <c r="BI714" i="3"/>
  <c r="BI715" i="3"/>
  <c r="BI716" i="3"/>
  <c r="BI717" i="3"/>
  <c r="BI718" i="3"/>
  <c r="BI719" i="3"/>
  <c r="BI720" i="3"/>
  <c r="BI721" i="3"/>
  <c r="BI722" i="3"/>
  <c r="BI723" i="3"/>
  <c r="BI724" i="3"/>
  <c r="BI725" i="3"/>
  <c r="BI726" i="3"/>
  <c r="BI727" i="3"/>
  <c r="BI728" i="3"/>
  <c r="BI729" i="3"/>
  <c r="BI730" i="3"/>
  <c r="BI731" i="3"/>
  <c r="BI732" i="3"/>
  <c r="BI733" i="3"/>
  <c r="BI734" i="3"/>
  <c r="BI735" i="3"/>
  <c r="BI736" i="3"/>
  <c r="BI737" i="3"/>
  <c r="BI738" i="3"/>
  <c r="BI739" i="3"/>
  <c r="BI740" i="3"/>
  <c r="BI741" i="3"/>
  <c r="BI742" i="3"/>
  <c r="BI743" i="3"/>
  <c r="BI744" i="3"/>
  <c r="BI745" i="3"/>
  <c r="BI746" i="3"/>
  <c r="BI747" i="3"/>
  <c r="BI748" i="3"/>
  <c r="BI749" i="3"/>
  <c r="BI750" i="3"/>
  <c r="BI751" i="3"/>
  <c r="BI752" i="3"/>
  <c r="BI753" i="3"/>
  <c r="BI754" i="3"/>
  <c r="BI755" i="3"/>
  <c r="BI756" i="3"/>
  <c r="BI757" i="3"/>
  <c r="BI758" i="3"/>
  <c r="BI759" i="3"/>
  <c r="BI760" i="3"/>
  <c r="BI761" i="3"/>
  <c r="BI762" i="3"/>
  <c r="BI763" i="3"/>
  <c r="BI764" i="3"/>
  <c r="BI765" i="3"/>
  <c r="BI766" i="3"/>
  <c r="BI767" i="3"/>
  <c r="BI768" i="3"/>
  <c r="BI769" i="3"/>
  <c r="BI770" i="3"/>
  <c r="BI771" i="3"/>
  <c r="BI772" i="3"/>
  <c r="BI773" i="3"/>
  <c r="BI774" i="3"/>
  <c r="BI775" i="3"/>
  <c r="BI776" i="3"/>
  <c r="BI777" i="3"/>
  <c r="BI778" i="3"/>
  <c r="BI779" i="3"/>
  <c r="BI780" i="3"/>
  <c r="BI781" i="3"/>
  <c r="BI782" i="3"/>
  <c r="BI783" i="3"/>
  <c r="BI784" i="3"/>
  <c r="BI785" i="3"/>
  <c r="BI786" i="3"/>
  <c r="BI787" i="3"/>
  <c r="BI788" i="3"/>
  <c r="BI789" i="3"/>
  <c r="BI790" i="3"/>
  <c r="BI791" i="3"/>
  <c r="BI792" i="3"/>
  <c r="BI793" i="3"/>
  <c r="BI794" i="3"/>
  <c r="BI795" i="3"/>
  <c r="BI796" i="3"/>
  <c r="BI797" i="3"/>
  <c r="BI798" i="3"/>
  <c r="BI799" i="3"/>
  <c r="BI800" i="3"/>
  <c r="BI801" i="3"/>
  <c r="BI802" i="3"/>
  <c r="BI803" i="3"/>
  <c r="BI804" i="3"/>
  <c r="BI805" i="3"/>
  <c r="BI806" i="3"/>
  <c r="BI807" i="3"/>
  <c r="BI808" i="3"/>
  <c r="BI809" i="3"/>
  <c r="BI810" i="3"/>
  <c r="BI811" i="3"/>
  <c r="BI812" i="3"/>
  <c r="BI813" i="3"/>
  <c r="BI814" i="3"/>
  <c r="BI815" i="3"/>
  <c r="BI816" i="3"/>
  <c r="BI817" i="3"/>
  <c r="BI818" i="3"/>
  <c r="BI819" i="3"/>
  <c r="BI820" i="3"/>
  <c r="BI821" i="3"/>
  <c r="BI822" i="3"/>
  <c r="BI823" i="3"/>
  <c r="BI824" i="3"/>
  <c r="BI825" i="3"/>
  <c r="BI826" i="3"/>
  <c r="BI827" i="3"/>
  <c r="BI828" i="3"/>
  <c r="BI829" i="3"/>
  <c r="BI830" i="3"/>
  <c r="BI831" i="3"/>
  <c r="BI832" i="3"/>
  <c r="BI833" i="3"/>
  <c r="BI834" i="3"/>
  <c r="BI835" i="3"/>
  <c r="BI836" i="3"/>
  <c r="BI837" i="3"/>
  <c r="BI838" i="3"/>
  <c r="BI839" i="3"/>
  <c r="BI840" i="3"/>
  <c r="BI841" i="3"/>
  <c r="BI842" i="3"/>
  <c r="BI843" i="3"/>
  <c r="BI844" i="3"/>
  <c r="BI845" i="3"/>
  <c r="BI846" i="3"/>
  <c r="BI847" i="3"/>
  <c r="BI848" i="3"/>
  <c r="BI849" i="3"/>
  <c r="BI850" i="3"/>
  <c r="BI851" i="3"/>
  <c r="BI852" i="3"/>
  <c r="BI853" i="3"/>
  <c r="BI854" i="3"/>
  <c r="BI855" i="3"/>
  <c r="BI856" i="3"/>
  <c r="BI857" i="3"/>
  <c r="BI858" i="3"/>
  <c r="BI859" i="3"/>
  <c r="BI860" i="3"/>
  <c r="BI861" i="3"/>
  <c r="BI862" i="3"/>
  <c r="BI863" i="3"/>
  <c r="BI864" i="3"/>
  <c r="BI865" i="3"/>
  <c r="BI866" i="3"/>
  <c r="BI867" i="3"/>
  <c r="BI868" i="3"/>
  <c r="BI869" i="3"/>
  <c r="BI870" i="3"/>
  <c r="BI871" i="3"/>
  <c r="BI872" i="3"/>
  <c r="BI873" i="3"/>
  <c r="BI874" i="3"/>
  <c r="BI875" i="3"/>
  <c r="BI876" i="3"/>
  <c r="BI877" i="3"/>
  <c r="BI878" i="3"/>
  <c r="BI879" i="3"/>
  <c r="BI880" i="3"/>
  <c r="BI881" i="3"/>
  <c r="BI882" i="3"/>
  <c r="BI883" i="3"/>
  <c r="BI884" i="3"/>
  <c r="BI885" i="3"/>
  <c r="BI886" i="3"/>
  <c r="BI887" i="3"/>
  <c r="BI888" i="3"/>
  <c r="BI2" i="3"/>
  <c r="BH3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104" i="3"/>
  <c r="BH105" i="3"/>
  <c r="BH106" i="3"/>
  <c r="BH107" i="3"/>
  <c r="BH108" i="3"/>
  <c r="BH109" i="3"/>
  <c r="BH110" i="3"/>
  <c r="BH111" i="3"/>
  <c r="BH112" i="3"/>
  <c r="BH113" i="3"/>
  <c r="BH114" i="3"/>
  <c r="BH115" i="3"/>
  <c r="BH116" i="3"/>
  <c r="BH117" i="3"/>
  <c r="BH118" i="3"/>
  <c r="BH119" i="3"/>
  <c r="BH120" i="3"/>
  <c r="BH121" i="3"/>
  <c r="BH122" i="3"/>
  <c r="BH123" i="3"/>
  <c r="BH124" i="3"/>
  <c r="BH125" i="3"/>
  <c r="BH126" i="3"/>
  <c r="BH127" i="3"/>
  <c r="BH128" i="3"/>
  <c r="BH129" i="3"/>
  <c r="BH130" i="3"/>
  <c r="BH131" i="3"/>
  <c r="BH132" i="3"/>
  <c r="BH133" i="3"/>
  <c r="BH134" i="3"/>
  <c r="BH135" i="3"/>
  <c r="BH136" i="3"/>
  <c r="BH137" i="3"/>
  <c r="BH138" i="3"/>
  <c r="BH139" i="3"/>
  <c r="BH140" i="3"/>
  <c r="BH141" i="3"/>
  <c r="BH142" i="3"/>
  <c r="BH143" i="3"/>
  <c r="BH144" i="3"/>
  <c r="BH145" i="3"/>
  <c r="BH146" i="3"/>
  <c r="BH147" i="3"/>
  <c r="BH148" i="3"/>
  <c r="BH149" i="3"/>
  <c r="BH150" i="3"/>
  <c r="BH151" i="3"/>
  <c r="BH152" i="3"/>
  <c r="BH153" i="3"/>
  <c r="BH154" i="3"/>
  <c r="BH155" i="3"/>
  <c r="BH156" i="3"/>
  <c r="BH157" i="3"/>
  <c r="BH158" i="3"/>
  <c r="BH159" i="3"/>
  <c r="BH160" i="3"/>
  <c r="BH161" i="3"/>
  <c r="BH162" i="3"/>
  <c r="BH163" i="3"/>
  <c r="BH164" i="3"/>
  <c r="BH165" i="3"/>
  <c r="BH166" i="3"/>
  <c r="BH167" i="3"/>
  <c r="BH168" i="3"/>
  <c r="BH169" i="3"/>
  <c r="BH170" i="3"/>
  <c r="BH171" i="3"/>
  <c r="BH172" i="3"/>
  <c r="BH173" i="3"/>
  <c r="BH174" i="3"/>
  <c r="BH175" i="3"/>
  <c r="BH176" i="3"/>
  <c r="BH177" i="3"/>
  <c r="BH178" i="3"/>
  <c r="BH179" i="3"/>
  <c r="BH180" i="3"/>
  <c r="BH181" i="3"/>
  <c r="BH182" i="3"/>
  <c r="BH183" i="3"/>
  <c r="BH184" i="3"/>
  <c r="BH185" i="3"/>
  <c r="BH186" i="3"/>
  <c r="BH187" i="3"/>
  <c r="BH188" i="3"/>
  <c r="BH189" i="3"/>
  <c r="BH190" i="3"/>
  <c r="BH191" i="3"/>
  <c r="BH192" i="3"/>
  <c r="BH193" i="3"/>
  <c r="BH194" i="3"/>
  <c r="BH195" i="3"/>
  <c r="BH196" i="3"/>
  <c r="BH197" i="3"/>
  <c r="BH198" i="3"/>
  <c r="BH199" i="3"/>
  <c r="BH200" i="3"/>
  <c r="BH201" i="3"/>
  <c r="BH202" i="3"/>
  <c r="BH203" i="3"/>
  <c r="BH204" i="3"/>
  <c r="BH205" i="3"/>
  <c r="BH206" i="3"/>
  <c r="BH207" i="3"/>
  <c r="BH208" i="3"/>
  <c r="BH209" i="3"/>
  <c r="BH210" i="3"/>
  <c r="BH211" i="3"/>
  <c r="BH212" i="3"/>
  <c r="BH213" i="3"/>
  <c r="BH214" i="3"/>
  <c r="BH215" i="3"/>
  <c r="BH216" i="3"/>
  <c r="BH217" i="3"/>
  <c r="BH218" i="3"/>
  <c r="BH219" i="3"/>
  <c r="BH220" i="3"/>
  <c r="BH221" i="3"/>
  <c r="BH222" i="3"/>
  <c r="BH223" i="3"/>
  <c r="BH224" i="3"/>
  <c r="BH225" i="3"/>
  <c r="BH226" i="3"/>
  <c r="BH227" i="3"/>
  <c r="BH228" i="3"/>
  <c r="BH229" i="3"/>
  <c r="BH230" i="3"/>
  <c r="BH231" i="3"/>
  <c r="BH232" i="3"/>
  <c r="BH233" i="3"/>
  <c r="BH234" i="3"/>
  <c r="BH235" i="3"/>
  <c r="BH236" i="3"/>
  <c r="BH237" i="3"/>
  <c r="BH238" i="3"/>
  <c r="BH239" i="3"/>
  <c r="BH240" i="3"/>
  <c r="BH241" i="3"/>
  <c r="BH242" i="3"/>
  <c r="BH243" i="3"/>
  <c r="BH244" i="3"/>
  <c r="BH245" i="3"/>
  <c r="BH246" i="3"/>
  <c r="BH247" i="3"/>
  <c r="BH248" i="3"/>
  <c r="BH249" i="3"/>
  <c r="BH250" i="3"/>
  <c r="BH251" i="3"/>
  <c r="BH252" i="3"/>
  <c r="BH253" i="3"/>
  <c r="BH254" i="3"/>
  <c r="BH255" i="3"/>
  <c r="BH256" i="3"/>
  <c r="BH257" i="3"/>
  <c r="BH258" i="3"/>
  <c r="BH259" i="3"/>
  <c r="BH260" i="3"/>
  <c r="BH261" i="3"/>
  <c r="BH262" i="3"/>
  <c r="BH263" i="3"/>
  <c r="BH264" i="3"/>
  <c r="BH265" i="3"/>
  <c r="BH266" i="3"/>
  <c r="BH267" i="3"/>
  <c r="BH268" i="3"/>
  <c r="BH269" i="3"/>
  <c r="BH270" i="3"/>
  <c r="BH271" i="3"/>
  <c r="BH272" i="3"/>
  <c r="BH273" i="3"/>
  <c r="BH274" i="3"/>
  <c r="BH275" i="3"/>
  <c r="BH276" i="3"/>
  <c r="BH277" i="3"/>
  <c r="BH278" i="3"/>
  <c r="BH279" i="3"/>
  <c r="BH280" i="3"/>
  <c r="BH281" i="3"/>
  <c r="BH282" i="3"/>
  <c r="BH283" i="3"/>
  <c r="BH284" i="3"/>
  <c r="BH285" i="3"/>
  <c r="BH286" i="3"/>
  <c r="BH287" i="3"/>
  <c r="BH288" i="3"/>
  <c r="BH289" i="3"/>
  <c r="BH290" i="3"/>
  <c r="BH291" i="3"/>
  <c r="BH292" i="3"/>
  <c r="BH293" i="3"/>
  <c r="BH294" i="3"/>
  <c r="BH295" i="3"/>
  <c r="BH296" i="3"/>
  <c r="BH297" i="3"/>
  <c r="BH298" i="3"/>
  <c r="BH299" i="3"/>
  <c r="BH300" i="3"/>
  <c r="BH301" i="3"/>
  <c r="BH302" i="3"/>
  <c r="BH303" i="3"/>
  <c r="BH304" i="3"/>
  <c r="BH305" i="3"/>
  <c r="BH306" i="3"/>
  <c r="BH307" i="3"/>
  <c r="BH308" i="3"/>
  <c r="BH309" i="3"/>
  <c r="BH310" i="3"/>
  <c r="BH311" i="3"/>
  <c r="BH312" i="3"/>
  <c r="BH313" i="3"/>
  <c r="BH314" i="3"/>
  <c r="BH315" i="3"/>
  <c r="BH316" i="3"/>
  <c r="BH317" i="3"/>
  <c r="BH318" i="3"/>
  <c r="BH319" i="3"/>
  <c r="BH320" i="3"/>
  <c r="BH321" i="3"/>
  <c r="BH322" i="3"/>
  <c r="BH323" i="3"/>
  <c r="BH324" i="3"/>
  <c r="BH325" i="3"/>
  <c r="BH326" i="3"/>
  <c r="BH327" i="3"/>
  <c r="BH328" i="3"/>
  <c r="BH329" i="3"/>
  <c r="BH330" i="3"/>
  <c r="BH331" i="3"/>
  <c r="BH332" i="3"/>
  <c r="BH333" i="3"/>
  <c r="BH334" i="3"/>
  <c r="BH335" i="3"/>
  <c r="BH336" i="3"/>
  <c r="BH337" i="3"/>
  <c r="BH338" i="3"/>
  <c r="BH339" i="3"/>
  <c r="BH340" i="3"/>
  <c r="BH341" i="3"/>
  <c r="BH342" i="3"/>
  <c r="BH343" i="3"/>
  <c r="BH344" i="3"/>
  <c r="BH345" i="3"/>
  <c r="BH346" i="3"/>
  <c r="BH347" i="3"/>
  <c r="BH348" i="3"/>
  <c r="BH349" i="3"/>
  <c r="BH350" i="3"/>
  <c r="BH351" i="3"/>
  <c r="BH352" i="3"/>
  <c r="BH353" i="3"/>
  <c r="BH354" i="3"/>
  <c r="BH355" i="3"/>
  <c r="BH356" i="3"/>
  <c r="BH357" i="3"/>
  <c r="BH358" i="3"/>
  <c r="BH359" i="3"/>
  <c r="BH360" i="3"/>
  <c r="BH361" i="3"/>
  <c r="BH362" i="3"/>
  <c r="BH363" i="3"/>
  <c r="BH364" i="3"/>
  <c r="BH365" i="3"/>
  <c r="BH366" i="3"/>
  <c r="BH367" i="3"/>
  <c r="BH368" i="3"/>
  <c r="BH369" i="3"/>
  <c r="BH370" i="3"/>
  <c r="BH371" i="3"/>
  <c r="BH372" i="3"/>
  <c r="BH373" i="3"/>
  <c r="BH374" i="3"/>
  <c r="BH375" i="3"/>
  <c r="BH376" i="3"/>
  <c r="BH377" i="3"/>
  <c r="BH378" i="3"/>
  <c r="BH379" i="3"/>
  <c r="BH380" i="3"/>
  <c r="BH381" i="3"/>
  <c r="BH382" i="3"/>
  <c r="BH383" i="3"/>
  <c r="BH384" i="3"/>
  <c r="BH385" i="3"/>
  <c r="BH386" i="3"/>
  <c r="BH387" i="3"/>
  <c r="BH388" i="3"/>
  <c r="BH389" i="3"/>
  <c r="BH390" i="3"/>
  <c r="BH391" i="3"/>
  <c r="BH392" i="3"/>
  <c r="BH393" i="3"/>
  <c r="BH394" i="3"/>
  <c r="BH395" i="3"/>
  <c r="BH396" i="3"/>
  <c r="BH397" i="3"/>
  <c r="BH398" i="3"/>
  <c r="BH399" i="3"/>
  <c r="BH400" i="3"/>
  <c r="BH401" i="3"/>
  <c r="BH402" i="3"/>
  <c r="BH403" i="3"/>
  <c r="BH404" i="3"/>
  <c r="BH405" i="3"/>
  <c r="BH406" i="3"/>
  <c r="BH407" i="3"/>
  <c r="BH408" i="3"/>
  <c r="BH409" i="3"/>
  <c r="BH410" i="3"/>
  <c r="BH411" i="3"/>
  <c r="BH412" i="3"/>
  <c r="BH413" i="3"/>
  <c r="BH414" i="3"/>
  <c r="BH415" i="3"/>
  <c r="BH416" i="3"/>
  <c r="BH417" i="3"/>
  <c r="BH418" i="3"/>
  <c r="BH419" i="3"/>
  <c r="BH420" i="3"/>
  <c r="BH421" i="3"/>
  <c r="BH422" i="3"/>
  <c r="BH423" i="3"/>
  <c r="BH424" i="3"/>
  <c r="BH425" i="3"/>
  <c r="BH426" i="3"/>
  <c r="BH427" i="3"/>
  <c r="BH428" i="3"/>
  <c r="BH429" i="3"/>
  <c r="BH430" i="3"/>
  <c r="BH431" i="3"/>
  <c r="BH432" i="3"/>
  <c r="BH433" i="3"/>
  <c r="BH434" i="3"/>
  <c r="BH435" i="3"/>
  <c r="BH436" i="3"/>
  <c r="BH437" i="3"/>
  <c r="BH438" i="3"/>
  <c r="BH439" i="3"/>
  <c r="BH440" i="3"/>
  <c r="BH441" i="3"/>
  <c r="BH442" i="3"/>
  <c r="BH443" i="3"/>
  <c r="BH444" i="3"/>
  <c r="BH445" i="3"/>
  <c r="BH446" i="3"/>
  <c r="BH447" i="3"/>
  <c r="BH448" i="3"/>
  <c r="BH449" i="3"/>
  <c r="BH450" i="3"/>
  <c r="BH451" i="3"/>
  <c r="BH452" i="3"/>
  <c r="BH453" i="3"/>
  <c r="BH454" i="3"/>
  <c r="BH455" i="3"/>
  <c r="BH456" i="3"/>
  <c r="BH457" i="3"/>
  <c r="BH458" i="3"/>
  <c r="BH459" i="3"/>
  <c r="BH460" i="3"/>
  <c r="BH461" i="3"/>
  <c r="BH462" i="3"/>
  <c r="BH463" i="3"/>
  <c r="BH464" i="3"/>
  <c r="BH465" i="3"/>
  <c r="BH466" i="3"/>
  <c r="BH467" i="3"/>
  <c r="BH468" i="3"/>
  <c r="BH469" i="3"/>
  <c r="BH470" i="3"/>
  <c r="BH471" i="3"/>
  <c r="BH472" i="3"/>
  <c r="BH473" i="3"/>
  <c r="BH474" i="3"/>
  <c r="BH475" i="3"/>
  <c r="BH476" i="3"/>
  <c r="BH477" i="3"/>
  <c r="BH478" i="3"/>
  <c r="BH479" i="3"/>
  <c r="BH480" i="3"/>
  <c r="BH481" i="3"/>
  <c r="BH482" i="3"/>
  <c r="BH483" i="3"/>
  <c r="BH484" i="3"/>
  <c r="BH485" i="3"/>
  <c r="BH486" i="3"/>
  <c r="BH487" i="3"/>
  <c r="BH488" i="3"/>
  <c r="BH489" i="3"/>
  <c r="BH490" i="3"/>
  <c r="BH491" i="3"/>
  <c r="BH492" i="3"/>
  <c r="BH493" i="3"/>
  <c r="BH494" i="3"/>
  <c r="BH495" i="3"/>
  <c r="BH496" i="3"/>
  <c r="BH497" i="3"/>
  <c r="BH498" i="3"/>
  <c r="BH499" i="3"/>
  <c r="BH500" i="3"/>
  <c r="BH501" i="3"/>
  <c r="BH502" i="3"/>
  <c r="BH503" i="3"/>
  <c r="BH504" i="3"/>
  <c r="BH505" i="3"/>
  <c r="BH506" i="3"/>
  <c r="BH507" i="3"/>
  <c r="BH508" i="3"/>
  <c r="BH509" i="3"/>
  <c r="BH510" i="3"/>
  <c r="BH511" i="3"/>
  <c r="BH512" i="3"/>
  <c r="BH513" i="3"/>
  <c r="BH514" i="3"/>
  <c r="BH515" i="3"/>
  <c r="BH516" i="3"/>
  <c r="BH517" i="3"/>
  <c r="BH518" i="3"/>
  <c r="BH519" i="3"/>
  <c r="BH520" i="3"/>
  <c r="BH521" i="3"/>
  <c r="BH522" i="3"/>
  <c r="BH523" i="3"/>
  <c r="BH524" i="3"/>
  <c r="BH525" i="3"/>
  <c r="BH526" i="3"/>
  <c r="BH527" i="3"/>
  <c r="BH528" i="3"/>
  <c r="BH529" i="3"/>
  <c r="BH530" i="3"/>
  <c r="BH531" i="3"/>
  <c r="BH532" i="3"/>
  <c r="BH533" i="3"/>
  <c r="BH534" i="3"/>
  <c r="BH535" i="3"/>
  <c r="BH536" i="3"/>
  <c r="BH537" i="3"/>
  <c r="BH538" i="3"/>
  <c r="BH539" i="3"/>
  <c r="BH540" i="3"/>
  <c r="BH541" i="3"/>
  <c r="BH542" i="3"/>
  <c r="BH543" i="3"/>
  <c r="BH544" i="3"/>
  <c r="BH545" i="3"/>
  <c r="BH546" i="3"/>
  <c r="BH547" i="3"/>
  <c r="BH548" i="3"/>
  <c r="BH549" i="3"/>
  <c r="BH550" i="3"/>
  <c r="BH551" i="3"/>
  <c r="BH552" i="3"/>
  <c r="BH553" i="3"/>
  <c r="BH554" i="3"/>
  <c r="BH555" i="3"/>
  <c r="BH556" i="3"/>
  <c r="BH557" i="3"/>
  <c r="BH558" i="3"/>
  <c r="BH559" i="3"/>
  <c r="BH560" i="3"/>
  <c r="BH561" i="3"/>
  <c r="BH562" i="3"/>
  <c r="BH563" i="3"/>
  <c r="BH564" i="3"/>
  <c r="BH565" i="3"/>
  <c r="BH566" i="3"/>
  <c r="BH567" i="3"/>
  <c r="BH568" i="3"/>
  <c r="BH569" i="3"/>
  <c r="BH570" i="3"/>
  <c r="BH571" i="3"/>
  <c r="BH572" i="3"/>
  <c r="BH573" i="3"/>
  <c r="BH574" i="3"/>
  <c r="BH575" i="3"/>
  <c r="BH576" i="3"/>
  <c r="BH577" i="3"/>
  <c r="BH578" i="3"/>
  <c r="BH579" i="3"/>
  <c r="BH580" i="3"/>
  <c r="BH581" i="3"/>
  <c r="BH582" i="3"/>
  <c r="BH583" i="3"/>
  <c r="BH584" i="3"/>
  <c r="BH585" i="3"/>
  <c r="BH586" i="3"/>
  <c r="BH587" i="3"/>
  <c r="BH588" i="3"/>
  <c r="BH589" i="3"/>
  <c r="BH590" i="3"/>
  <c r="BH591" i="3"/>
  <c r="BH592" i="3"/>
  <c r="BH593" i="3"/>
  <c r="BH594" i="3"/>
  <c r="BH595" i="3"/>
  <c r="BH596" i="3"/>
  <c r="BH597" i="3"/>
  <c r="BH598" i="3"/>
  <c r="BH599" i="3"/>
  <c r="BH600" i="3"/>
  <c r="BH601" i="3"/>
  <c r="BH602" i="3"/>
  <c r="BH603" i="3"/>
  <c r="BH604" i="3"/>
  <c r="BH605" i="3"/>
  <c r="BH606" i="3"/>
  <c r="BH607" i="3"/>
  <c r="BH608" i="3"/>
  <c r="BH609" i="3"/>
  <c r="BH610" i="3"/>
  <c r="BH611" i="3"/>
  <c r="BH612" i="3"/>
  <c r="BH613" i="3"/>
  <c r="BH614" i="3"/>
  <c r="BH615" i="3"/>
  <c r="BH616" i="3"/>
  <c r="BH617" i="3"/>
  <c r="BH618" i="3"/>
  <c r="BH619" i="3"/>
  <c r="BH620" i="3"/>
  <c r="BH621" i="3"/>
  <c r="BH622" i="3"/>
  <c r="BH623" i="3"/>
  <c r="BH624" i="3"/>
  <c r="BH625" i="3"/>
  <c r="BH626" i="3"/>
  <c r="BH627" i="3"/>
  <c r="BH628" i="3"/>
  <c r="BH629" i="3"/>
  <c r="BH630" i="3"/>
  <c r="BH631" i="3"/>
  <c r="BH632" i="3"/>
  <c r="BH633" i="3"/>
  <c r="BH634" i="3"/>
  <c r="BH635" i="3"/>
  <c r="BH636" i="3"/>
  <c r="BH637" i="3"/>
  <c r="BH638" i="3"/>
  <c r="BH639" i="3"/>
  <c r="BH640" i="3"/>
  <c r="BH641" i="3"/>
  <c r="BH642" i="3"/>
  <c r="BH643" i="3"/>
  <c r="BH644" i="3"/>
  <c r="BH645" i="3"/>
  <c r="BH646" i="3"/>
  <c r="BH647" i="3"/>
  <c r="BH648" i="3"/>
  <c r="BH649" i="3"/>
  <c r="BH650" i="3"/>
  <c r="BH651" i="3"/>
  <c r="BH652" i="3"/>
  <c r="BH653" i="3"/>
  <c r="BH654" i="3"/>
  <c r="BH655" i="3"/>
  <c r="BH656" i="3"/>
  <c r="BH657" i="3"/>
  <c r="BH658" i="3"/>
  <c r="BH659" i="3"/>
  <c r="BH660" i="3"/>
  <c r="BH661" i="3"/>
  <c r="BH662" i="3"/>
  <c r="BH663" i="3"/>
  <c r="BH664" i="3"/>
  <c r="BH665" i="3"/>
  <c r="BH666" i="3"/>
  <c r="BH667" i="3"/>
  <c r="BH668" i="3"/>
  <c r="BH669" i="3"/>
  <c r="BH670" i="3"/>
  <c r="BH671" i="3"/>
  <c r="BH672" i="3"/>
  <c r="BH673" i="3"/>
  <c r="BH674" i="3"/>
  <c r="BH675" i="3"/>
  <c r="BH676" i="3"/>
  <c r="BH677" i="3"/>
  <c r="BH678" i="3"/>
  <c r="BH679" i="3"/>
  <c r="BH680" i="3"/>
  <c r="BH681" i="3"/>
  <c r="BH682" i="3"/>
  <c r="BH683" i="3"/>
  <c r="BH684" i="3"/>
  <c r="BH685" i="3"/>
  <c r="BH686" i="3"/>
  <c r="BH687" i="3"/>
  <c r="BH688" i="3"/>
  <c r="BH689" i="3"/>
  <c r="BH690" i="3"/>
  <c r="BH691" i="3"/>
  <c r="BH692" i="3"/>
  <c r="BH693" i="3"/>
  <c r="BH694" i="3"/>
  <c r="BH695" i="3"/>
  <c r="BH696" i="3"/>
  <c r="BH697" i="3"/>
  <c r="BH698" i="3"/>
  <c r="BH699" i="3"/>
  <c r="BH700" i="3"/>
  <c r="BH701" i="3"/>
  <c r="BH702" i="3"/>
  <c r="BH703" i="3"/>
  <c r="BH704" i="3"/>
  <c r="BH705" i="3"/>
  <c r="BH706" i="3"/>
  <c r="BH707" i="3"/>
  <c r="BH708" i="3"/>
  <c r="BH709" i="3"/>
  <c r="BH710" i="3"/>
  <c r="BH711" i="3"/>
  <c r="BH712" i="3"/>
  <c r="BH713" i="3"/>
  <c r="BH714" i="3"/>
  <c r="BH715" i="3"/>
  <c r="BH716" i="3"/>
  <c r="BH717" i="3"/>
  <c r="BH718" i="3"/>
  <c r="BH719" i="3"/>
  <c r="BH720" i="3"/>
  <c r="BH721" i="3"/>
  <c r="BH722" i="3"/>
  <c r="BH723" i="3"/>
  <c r="BH724" i="3"/>
  <c r="BH725" i="3"/>
  <c r="BH726" i="3"/>
  <c r="BH727" i="3"/>
  <c r="BH728" i="3"/>
  <c r="BH729" i="3"/>
  <c r="BH730" i="3"/>
  <c r="BH731" i="3"/>
  <c r="BH732" i="3"/>
  <c r="BH733" i="3"/>
  <c r="BH734" i="3"/>
  <c r="BH735" i="3"/>
  <c r="BH736" i="3"/>
  <c r="BH737" i="3"/>
  <c r="BH738" i="3"/>
  <c r="BH739" i="3"/>
  <c r="BH740" i="3"/>
  <c r="BH741" i="3"/>
  <c r="BH742" i="3"/>
  <c r="BH743" i="3"/>
  <c r="BH744" i="3"/>
  <c r="BH745" i="3"/>
  <c r="BH746" i="3"/>
  <c r="BH747" i="3"/>
  <c r="BH748" i="3"/>
  <c r="BH749" i="3"/>
  <c r="BH750" i="3"/>
  <c r="BH751" i="3"/>
  <c r="BH752" i="3"/>
  <c r="BH753" i="3"/>
  <c r="BH754" i="3"/>
  <c r="BH755" i="3"/>
  <c r="BH756" i="3"/>
  <c r="BH757" i="3"/>
  <c r="BH758" i="3"/>
  <c r="BH759" i="3"/>
  <c r="BH760" i="3"/>
  <c r="BH761" i="3"/>
  <c r="BH762" i="3"/>
  <c r="BH763" i="3"/>
  <c r="BH764" i="3"/>
  <c r="BH765" i="3"/>
  <c r="BH766" i="3"/>
  <c r="BH767" i="3"/>
  <c r="BH768" i="3"/>
  <c r="BH769" i="3"/>
  <c r="BH770" i="3"/>
  <c r="BH771" i="3"/>
  <c r="BH772" i="3"/>
  <c r="BH773" i="3"/>
  <c r="BH774" i="3"/>
  <c r="BH775" i="3"/>
  <c r="BH776" i="3"/>
  <c r="BH777" i="3"/>
  <c r="BH778" i="3"/>
  <c r="BH779" i="3"/>
  <c r="BH780" i="3"/>
  <c r="BH781" i="3"/>
  <c r="BH782" i="3"/>
  <c r="BH783" i="3"/>
  <c r="BH784" i="3"/>
  <c r="BH785" i="3"/>
  <c r="BH786" i="3"/>
  <c r="BH787" i="3"/>
  <c r="BH788" i="3"/>
  <c r="BH789" i="3"/>
  <c r="BH790" i="3"/>
  <c r="BH791" i="3"/>
  <c r="BH792" i="3"/>
  <c r="BH793" i="3"/>
  <c r="BH794" i="3"/>
  <c r="BH795" i="3"/>
  <c r="BH796" i="3"/>
  <c r="BH797" i="3"/>
  <c r="BH798" i="3"/>
  <c r="BH799" i="3"/>
  <c r="BH800" i="3"/>
  <c r="BH801" i="3"/>
  <c r="BH802" i="3"/>
  <c r="BH803" i="3"/>
  <c r="BH804" i="3"/>
  <c r="BH805" i="3"/>
  <c r="BH806" i="3"/>
  <c r="BH807" i="3"/>
  <c r="BH808" i="3"/>
  <c r="BH809" i="3"/>
  <c r="BH810" i="3"/>
  <c r="BH811" i="3"/>
  <c r="BH812" i="3"/>
  <c r="BH813" i="3"/>
  <c r="BH814" i="3"/>
  <c r="BH815" i="3"/>
  <c r="BH816" i="3"/>
  <c r="BH817" i="3"/>
  <c r="BH818" i="3"/>
  <c r="BH819" i="3"/>
  <c r="BH820" i="3"/>
  <c r="BH821" i="3"/>
  <c r="BH822" i="3"/>
  <c r="BH823" i="3"/>
  <c r="BH824" i="3"/>
  <c r="BH825" i="3"/>
  <c r="BH826" i="3"/>
  <c r="BH827" i="3"/>
  <c r="BH828" i="3"/>
  <c r="BH829" i="3"/>
  <c r="BH830" i="3"/>
  <c r="BH831" i="3"/>
  <c r="BH832" i="3"/>
  <c r="BH833" i="3"/>
  <c r="BH834" i="3"/>
  <c r="BH835" i="3"/>
  <c r="BH836" i="3"/>
  <c r="BH837" i="3"/>
  <c r="BH838" i="3"/>
  <c r="BH839" i="3"/>
  <c r="BH840" i="3"/>
  <c r="BH841" i="3"/>
  <c r="BH842" i="3"/>
  <c r="BH843" i="3"/>
  <c r="BH844" i="3"/>
  <c r="BH845" i="3"/>
  <c r="BH846" i="3"/>
  <c r="BH847" i="3"/>
  <c r="BH848" i="3"/>
  <c r="BH849" i="3"/>
  <c r="BH850" i="3"/>
  <c r="BH851" i="3"/>
  <c r="BH852" i="3"/>
  <c r="BH853" i="3"/>
  <c r="BH854" i="3"/>
  <c r="BH855" i="3"/>
  <c r="BH856" i="3"/>
  <c r="BH857" i="3"/>
  <c r="BH858" i="3"/>
  <c r="BH859" i="3"/>
  <c r="BH860" i="3"/>
  <c r="BH861" i="3"/>
  <c r="BH862" i="3"/>
  <c r="BH863" i="3"/>
  <c r="BH864" i="3"/>
  <c r="BH865" i="3"/>
  <c r="BH866" i="3"/>
  <c r="BH867" i="3"/>
  <c r="BH868" i="3"/>
  <c r="BH869" i="3"/>
  <c r="BH870" i="3"/>
  <c r="BH871" i="3"/>
  <c r="BH872" i="3"/>
  <c r="BH873" i="3"/>
  <c r="BH874" i="3"/>
  <c r="BH875" i="3"/>
  <c r="BH876" i="3"/>
  <c r="BH877" i="3"/>
  <c r="BH878" i="3"/>
  <c r="BH879" i="3"/>
  <c r="BH880" i="3"/>
  <c r="BH881" i="3"/>
  <c r="BH882" i="3"/>
  <c r="BH883" i="3"/>
  <c r="BH884" i="3"/>
  <c r="BH885" i="3"/>
  <c r="BH886" i="3"/>
  <c r="BH887" i="3"/>
  <c r="BH888" i="3"/>
  <c r="BH2" i="3"/>
  <c r="BG3" i="3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G73" i="3"/>
  <c r="BG74" i="3"/>
  <c r="BG75" i="3"/>
  <c r="BG76" i="3"/>
  <c r="BG77" i="3"/>
  <c r="BG78" i="3"/>
  <c r="BG79" i="3"/>
  <c r="BG80" i="3"/>
  <c r="BG81" i="3"/>
  <c r="BG82" i="3"/>
  <c r="BG83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96" i="3"/>
  <c r="BG97" i="3"/>
  <c r="BG98" i="3"/>
  <c r="BG99" i="3"/>
  <c r="BG100" i="3"/>
  <c r="BG101" i="3"/>
  <c r="BG102" i="3"/>
  <c r="BG103" i="3"/>
  <c r="BG104" i="3"/>
  <c r="BG105" i="3"/>
  <c r="BG106" i="3"/>
  <c r="BG107" i="3"/>
  <c r="BG108" i="3"/>
  <c r="BG109" i="3"/>
  <c r="BG110" i="3"/>
  <c r="BG111" i="3"/>
  <c r="BG112" i="3"/>
  <c r="BG113" i="3"/>
  <c r="BG114" i="3"/>
  <c r="BG115" i="3"/>
  <c r="BG116" i="3"/>
  <c r="BG117" i="3"/>
  <c r="BG118" i="3"/>
  <c r="BG119" i="3"/>
  <c r="BG120" i="3"/>
  <c r="BG121" i="3"/>
  <c r="BG122" i="3"/>
  <c r="BG123" i="3"/>
  <c r="BG124" i="3"/>
  <c r="BG125" i="3"/>
  <c r="BG126" i="3"/>
  <c r="BG127" i="3"/>
  <c r="BG128" i="3"/>
  <c r="BG129" i="3"/>
  <c r="BG130" i="3"/>
  <c r="BG131" i="3"/>
  <c r="BG132" i="3"/>
  <c r="BG133" i="3"/>
  <c r="BG134" i="3"/>
  <c r="BG135" i="3"/>
  <c r="BG136" i="3"/>
  <c r="BG137" i="3"/>
  <c r="BG138" i="3"/>
  <c r="BG139" i="3"/>
  <c r="BG140" i="3"/>
  <c r="BG141" i="3"/>
  <c r="BG142" i="3"/>
  <c r="BG143" i="3"/>
  <c r="BG144" i="3"/>
  <c r="BG145" i="3"/>
  <c r="BG146" i="3"/>
  <c r="BG147" i="3"/>
  <c r="BG148" i="3"/>
  <c r="BG149" i="3"/>
  <c r="BG150" i="3"/>
  <c r="BG151" i="3"/>
  <c r="BG152" i="3"/>
  <c r="BG153" i="3"/>
  <c r="BG154" i="3"/>
  <c r="BG155" i="3"/>
  <c r="BG156" i="3"/>
  <c r="BG157" i="3"/>
  <c r="BG158" i="3"/>
  <c r="BG159" i="3"/>
  <c r="BG160" i="3"/>
  <c r="BG161" i="3"/>
  <c r="BG162" i="3"/>
  <c r="BG163" i="3"/>
  <c r="BG164" i="3"/>
  <c r="BG165" i="3"/>
  <c r="BG166" i="3"/>
  <c r="BG167" i="3"/>
  <c r="BG168" i="3"/>
  <c r="BG169" i="3"/>
  <c r="BG170" i="3"/>
  <c r="BG171" i="3"/>
  <c r="BG172" i="3"/>
  <c r="BG173" i="3"/>
  <c r="BG174" i="3"/>
  <c r="BG175" i="3"/>
  <c r="BG176" i="3"/>
  <c r="BG177" i="3"/>
  <c r="BG178" i="3"/>
  <c r="BG179" i="3"/>
  <c r="BG180" i="3"/>
  <c r="BG181" i="3"/>
  <c r="BG182" i="3"/>
  <c r="BG183" i="3"/>
  <c r="BG184" i="3"/>
  <c r="BG185" i="3"/>
  <c r="BG186" i="3"/>
  <c r="BG187" i="3"/>
  <c r="BG188" i="3"/>
  <c r="BG189" i="3"/>
  <c r="BG190" i="3"/>
  <c r="BG191" i="3"/>
  <c r="BG192" i="3"/>
  <c r="BG193" i="3"/>
  <c r="BG194" i="3"/>
  <c r="BG195" i="3"/>
  <c r="BG196" i="3"/>
  <c r="BG197" i="3"/>
  <c r="BG198" i="3"/>
  <c r="BG199" i="3"/>
  <c r="BG200" i="3"/>
  <c r="BG201" i="3"/>
  <c r="BG202" i="3"/>
  <c r="BG203" i="3"/>
  <c r="BG204" i="3"/>
  <c r="BG205" i="3"/>
  <c r="BG206" i="3"/>
  <c r="BG207" i="3"/>
  <c r="BG208" i="3"/>
  <c r="BG209" i="3"/>
  <c r="BG210" i="3"/>
  <c r="BG211" i="3"/>
  <c r="BG212" i="3"/>
  <c r="BG213" i="3"/>
  <c r="BG214" i="3"/>
  <c r="BG215" i="3"/>
  <c r="BG216" i="3"/>
  <c r="BG217" i="3"/>
  <c r="BG218" i="3"/>
  <c r="BG219" i="3"/>
  <c r="BG220" i="3"/>
  <c r="BG221" i="3"/>
  <c r="BG222" i="3"/>
  <c r="BG223" i="3"/>
  <c r="BG224" i="3"/>
  <c r="BG225" i="3"/>
  <c r="BG226" i="3"/>
  <c r="BG227" i="3"/>
  <c r="BG228" i="3"/>
  <c r="BG229" i="3"/>
  <c r="BG230" i="3"/>
  <c r="BG231" i="3"/>
  <c r="BG232" i="3"/>
  <c r="BG233" i="3"/>
  <c r="BG234" i="3"/>
  <c r="BG235" i="3"/>
  <c r="BG236" i="3"/>
  <c r="BG237" i="3"/>
  <c r="BG238" i="3"/>
  <c r="BG239" i="3"/>
  <c r="BG240" i="3"/>
  <c r="BG241" i="3"/>
  <c r="BG242" i="3"/>
  <c r="BG243" i="3"/>
  <c r="BG244" i="3"/>
  <c r="BG245" i="3"/>
  <c r="BG246" i="3"/>
  <c r="BG247" i="3"/>
  <c r="BG248" i="3"/>
  <c r="BG249" i="3"/>
  <c r="BG250" i="3"/>
  <c r="BG251" i="3"/>
  <c r="BG252" i="3"/>
  <c r="BG253" i="3"/>
  <c r="BG254" i="3"/>
  <c r="BG255" i="3"/>
  <c r="BG256" i="3"/>
  <c r="BG257" i="3"/>
  <c r="BG258" i="3"/>
  <c r="BG259" i="3"/>
  <c r="BG260" i="3"/>
  <c r="BG261" i="3"/>
  <c r="BG262" i="3"/>
  <c r="BG263" i="3"/>
  <c r="BG264" i="3"/>
  <c r="BG265" i="3"/>
  <c r="BG266" i="3"/>
  <c r="BG267" i="3"/>
  <c r="BG268" i="3"/>
  <c r="BG269" i="3"/>
  <c r="BG270" i="3"/>
  <c r="BG271" i="3"/>
  <c r="BG272" i="3"/>
  <c r="BG273" i="3"/>
  <c r="BG274" i="3"/>
  <c r="BG275" i="3"/>
  <c r="BG276" i="3"/>
  <c r="BG277" i="3"/>
  <c r="BG278" i="3"/>
  <c r="BG279" i="3"/>
  <c r="BG280" i="3"/>
  <c r="BG281" i="3"/>
  <c r="BG282" i="3"/>
  <c r="BG283" i="3"/>
  <c r="BG284" i="3"/>
  <c r="BG285" i="3"/>
  <c r="BG286" i="3"/>
  <c r="BG287" i="3"/>
  <c r="BG288" i="3"/>
  <c r="BG289" i="3"/>
  <c r="BG290" i="3"/>
  <c r="BG291" i="3"/>
  <c r="BG292" i="3"/>
  <c r="BG293" i="3"/>
  <c r="BG294" i="3"/>
  <c r="BG295" i="3"/>
  <c r="BG296" i="3"/>
  <c r="BG297" i="3"/>
  <c r="BG298" i="3"/>
  <c r="BG299" i="3"/>
  <c r="BG300" i="3"/>
  <c r="BG301" i="3"/>
  <c r="BG302" i="3"/>
  <c r="BG303" i="3"/>
  <c r="BG304" i="3"/>
  <c r="BG305" i="3"/>
  <c r="BG306" i="3"/>
  <c r="BG307" i="3"/>
  <c r="BG308" i="3"/>
  <c r="BG309" i="3"/>
  <c r="BG310" i="3"/>
  <c r="BG311" i="3"/>
  <c r="BG312" i="3"/>
  <c r="BG313" i="3"/>
  <c r="BG314" i="3"/>
  <c r="BG315" i="3"/>
  <c r="BG316" i="3"/>
  <c r="BG317" i="3"/>
  <c r="BG318" i="3"/>
  <c r="BG319" i="3"/>
  <c r="BG320" i="3"/>
  <c r="BG321" i="3"/>
  <c r="BG322" i="3"/>
  <c r="BG323" i="3"/>
  <c r="BG324" i="3"/>
  <c r="BG325" i="3"/>
  <c r="BG326" i="3"/>
  <c r="BG327" i="3"/>
  <c r="BG328" i="3"/>
  <c r="BG329" i="3"/>
  <c r="BG330" i="3"/>
  <c r="BG331" i="3"/>
  <c r="BG332" i="3"/>
  <c r="BG333" i="3"/>
  <c r="BG334" i="3"/>
  <c r="BG335" i="3"/>
  <c r="BG336" i="3"/>
  <c r="BG337" i="3"/>
  <c r="BG338" i="3"/>
  <c r="BG339" i="3"/>
  <c r="BG340" i="3"/>
  <c r="BG341" i="3"/>
  <c r="BG342" i="3"/>
  <c r="BG343" i="3"/>
  <c r="BG344" i="3"/>
  <c r="BG345" i="3"/>
  <c r="BG346" i="3"/>
  <c r="BG347" i="3"/>
  <c r="BG348" i="3"/>
  <c r="BG349" i="3"/>
  <c r="BG350" i="3"/>
  <c r="BG351" i="3"/>
  <c r="BG352" i="3"/>
  <c r="BG353" i="3"/>
  <c r="BG354" i="3"/>
  <c r="BG355" i="3"/>
  <c r="BG356" i="3"/>
  <c r="BG357" i="3"/>
  <c r="BG358" i="3"/>
  <c r="BG359" i="3"/>
  <c r="BG360" i="3"/>
  <c r="BG361" i="3"/>
  <c r="BG362" i="3"/>
  <c r="BG363" i="3"/>
  <c r="BG364" i="3"/>
  <c r="BG365" i="3"/>
  <c r="BG366" i="3"/>
  <c r="BG367" i="3"/>
  <c r="BG368" i="3"/>
  <c r="BG369" i="3"/>
  <c r="BG370" i="3"/>
  <c r="BG371" i="3"/>
  <c r="BG372" i="3"/>
  <c r="BG373" i="3"/>
  <c r="BG374" i="3"/>
  <c r="BG375" i="3"/>
  <c r="BG376" i="3"/>
  <c r="BG377" i="3"/>
  <c r="BG378" i="3"/>
  <c r="BG379" i="3"/>
  <c r="BG380" i="3"/>
  <c r="BG381" i="3"/>
  <c r="BG382" i="3"/>
  <c r="BG383" i="3"/>
  <c r="BG384" i="3"/>
  <c r="BG385" i="3"/>
  <c r="BG386" i="3"/>
  <c r="BG387" i="3"/>
  <c r="BG388" i="3"/>
  <c r="BG389" i="3"/>
  <c r="BG390" i="3"/>
  <c r="BG391" i="3"/>
  <c r="BG392" i="3"/>
  <c r="BG393" i="3"/>
  <c r="BG394" i="3"/>
  <c r="BG395" i="3"/>
  <c r="BG396" i="3"/>
  <c r="BG397" i="3"/>
  <c r="BG398" i="3"/>
  <c r="BG399" i="3"/>
  <c r="BG400" i="3"/>
  <c r="BG401" i="3"/>
  <c r="BG402" i="3"/>
  <c r="BG403" i="3"/>
  <c r="BG404" i="3"/>
  <c r="BG405" i="3"/>
  <c r="BG406" i="3"/>
  <c r="BG407" i="3"/>
  <c r="BG408" i="3"/>
  <c r="BG409" i="3"/>
  <c r="BG410" i="3"/>
  <c r="BG411" i="3"/>
  <c r="BG412" i="3"/>
  <c r="BG413" i="3"/>
  <c r="BG414" i="3"/>
  <c r="BG415" i="3"/>
  <c r="BG416" i="3"/>
  <c r="BG417" i="3"/>
  <c r="BG418" i="3"/>
  <c r="BG419" i="3"/>
  <c r="BG420" i="3"/>
  <c r="BG421" i="3"/>
  <c r="BG422" i="3"/>
  <c r="BG423" i="3"/>
  <c r="BG424" i="3"/>
  <c r="BG425" i="3"/>
  <c r="BG426" i="3"/>
  <c r="BG427" i="3"/>
  <c r="BG428" i="3"/>
  <c r="BG429" i="3"/>
  <c r="BG430" i="3"/>
  <c r="BG431" i="3"/>
  <c r="BG432" i="3"/>
  <c r="BG433" i="3"/>
  <c r="BG434" i="3"/>
  <c r="BG435" i="3"/>
  <c r="BG436" i="3"/>
  <c r="BG437" i="3"/>
  <c r="BG438" i="3"/>
  <c r="BG439" i="3"/>
  <c r="BG440" i="3"/>
  <c r="BG441" i="3"/>
  <c r="BG442" i="3"/>
  <c r="BG443" i="3"/>
  <c r="BG444" i="3"/>
  <c r="BG445" i="3"/>
  <c r="BG446" i="3"/>
  <c r="BG447" i="3"/>
  <c r="BG448" i="3"/>
  <c r="BG449" i="3"/>
  <c r="BG450" i="3"/>
  <c r="BG451" i="3"/>
  <c r="BG452" i="3"/>
  <c r="BG453" i="3"/>
  <c r="BG454" i="3"/>
  <c r="BG455" i="3"/>
  <c r="BG456" i="3"/>
  <c r="BG457" i="3"/>
  <c r="BG458" i="3"/>
  <c r="BG459" i="3"/>
  <c r="BG460" i="3"/>
  <c r="BG461" i="3"/>
  <c r="BG462" i="3"/>
  <c r="BG463" i="3"/>
  <c r="BG464" i="3"/>
  <c r="BG465" i="3"/>
  <c r="BG466" i="3"/>
  <c r="BG467" i="3"/>
  <c r="BG468" i="3"/>
  <c r="BG469" i="3"/>
  <c r="BG470" i="3"/>
  <c r="BG471" i="3"/>
  <c r="BG472" i="3"/>
  <c r="BG473" i="3"/>
  <c r="BG474" i="3"/>
  <c r="BG475" i="3"/>
  <c r="BG476" i="3"/>
  <c r="BG477" i="3"/>
  <c r="BG478" i="3"/>
  <c r="BG479" i="3"/>
  <c r="BG480" i="3"/>
  <c r="BG481" i="3"/>
  <c r="BG482" i="3"/>
  <c r="BG483" i="3"/>
  <c r="BG484" i="3"/>
  <c r="BG485" i="3"/>
  <c r="BG486" i="3"/>
  <c r="BG487" i="3"/>
  <c r="BG488" i="3"/>
  <c r="BG489" i="3"/>
  <c r="BG490" i="3"/>
  <c r="BG491" i="3"/>
  <c r="BG492" i="3"/>
  <c r="BG493" i="3"/>
  <c r="BG494" i="3"/>
  <c r="BG495" i="3"/>
  <c r="BG496" i="3"/>
  <c r="BG497" i="3"/>
  <c r="BG498" i="3"/>
  <c r="BG499" i="3"/>
  <c r="BG500" i="3"/>
  <c r="BG501" i="3"/>
  <c r="BG502" i="3"/>
  <c r="BG503" i="3"/>
  <c r="BG504" i="3"/>
  <c r="BG505" i="3"/>
  <c r="BG506" i="3"/>
  <c r="BG507" i="3"/>
  <c r="BG508" i="3"/>
  <c r="BG509" i="3"/>
  <c r="BG510" i="3"/>
  <c r="BG511" i="3"/>
  <c r="BG512" i="3"/>
  <c r="BG513" i="3"/>
  <c r="BG514" i="3"/>
  <c r="BG515" i="3"/>
  <c r="BG516" i="3"/>
  <c r="BG517" i="3"/>
  <c r="BG518" i="3"/>
  <c r="BG519" i="3"/>
  <c r="BG520" i="3"/>
  <c r="BG521" i="3"/>
  <c r="BG522" i="3"/>
  <c r="BG523" i="3"/>
  <c r="BG524" i="3"/>
  <c r="BG525" i="3"/>
  <c r="BG526" i="3"/>
  <c r="BG527" i="3"/>
  <c r="BG528" i="3"/>
  <c r="BG529" i="3"/>
  <c r="BG530" i="3"/>
  <c r="BG531" i="3"/>
  <c r="BG532" i="3"/>
  <c r="BG533" i="3"/>
  <c r="BG534" i="3"/>
  <c r="BG535" i="3"/>
  <c r="BG536" i="3"/>
  <c r="BG537" i="3"/>
  <c r="BG538" i="3"/>
  <c r="BG539" i="3"/>
  <c r="BG540" i="3"/>
  <c r="BG541" i="3"/>
  <c r="BG542" i="3"/>
  <c r="BG543" i="3"/>
  <c r="BG544" i="3"/>
  <c r="BG545" i="3"/>
  <c r="BG546" i="3"/>
  <c r="BG547" i="3"/>
  <c r="BG548" i="3"/>
  <c r="BG549" i="3"/>
  <c r="BG550" i="3"/>
  <c r="BG551" i="3"/>
  <c r="BG552" i="3"/>
  <c r="BG553" i="3"/>
  <c r="BG554" i="3"/>
  <c r="BG555" i="3"/>
  <c r="BG556" i="3"/>
  <c r="BG557" i="3"/>
  <c r="BG558" i="3"/>
  <c r="BG559" i="3"/>
  <c r="BG560" i="3"/>
  <c r="BG561" i="3"/>
  <c r="BG562" i="3"/>
  <c r="BG563" i="3"/>
  <c r="BG564" i="3"/>
  <c r="BG565" i="3"/>
  <c r="BG566" i="3"/>
  <c r="BG567" i="3"/>
  <c r="BG568" i="3"/>
  <c r="BG569" i="3"/>
  <c r="BG570" i="3"/>
  <c r="BG571" i="3"/>
  <c r="BG572" i="3"/>
  <c r="BG573" i="3"/>
  <c r="BG574" i="3"/>
  <c r="BG575" i="3"/>
  <c r="BG576" i="3"/>
  <c r="BG577" i="3"/>
  <c r="BG578" i="3"/>
  <c r="BG579" i="3"/>
  <c r="BG580" i="3"/>
  <c r="BG581" i="3"/>
  <c r="BG582" i="3"/>
  <c r="BG583" i="3"/>
  <c r="BG584" i="3"/>
  <c r="BG585" i="3"/>
  <c r="BG586" i="3"/>
  <c r="BG587" i="3"/>
  <c r="BG588" i="3"/>
  <c r="BG589" i="3"/>
  <c r="BG590" i="3"/>
  <c r="BG591" i="3"/>
  <c r="BG592" i="3"/>
  <c r="BG593" i="3"/>
  <c r="BG594" i="3"/>
  <c r="BG595" i="3"/>
  <c r="BG596" i="3"/>
  <c r="BG597" i="3"/>
  <c r="BG598" i="3"/>
  <c r="BG599" i="3"/>
  <c r="BG600" i="3"/>
  <c r="BG601" i="3"/>
  <c r="BG602" i="3"/>
  <c r="BG603" i="3"/>
  <c r="BG604" i="3"/>
  <c r="BG605" i="3"/>
  <c r="BG606" i="3"/>
  <c r="BG607" i="3"/>
  <c r="BG608" i="3"/>
  <c r="BG609" i="3"/>
  <c r="BG610" i="3"/>
  <c r="BG611" i="3"/>
  <c r="BG612" i="3"/>
  <c r="BG613" i="3"/>
  <c r="BG614" i="3"/>
  <c r="BG615" i="3"/>
  <c r="BG616" i="3"/>
  <c r="BG617" i="3"/>
  <c r="BG618" i="3"/>
  <c r="BG619" i="3"/>
  <c r="BG620" i="3"/>
  <c r="BG621" i="3"/>
  <c r="BG622" i="3"/>
  <c r="BG623" i="3"/>
  <c r="BG624" i="3"/>
  <c r="BG625" i="3"/>
  <c r="BG626" i="3"/>
  <c r="BG627" i="3"/>
  <c r="BG628" i="3"/>
  <c r="BG629" i="3"/>
  <c r="BG630" i="3"/>
  <c r="BG631" i="3"/>
  <c r="BG632" i="3"/>
  <c r="BG633" i="3"/>
  <c r="BG634" i="3"/>
  <c r="BG635" i="3"/>
  <c r="BG636" i="3"/>
  <c r="BG637" i="3"/>
  <c r="BG638" i="3"/>
  <c r="BG639" i="3"/>
  <c r="BG640" i="3"/>
  <c r="BG641" i="3"/>
  <c r="BG642" i="3"/>
  <c r="BG643" i="3"/>
  <c r="BG644" i="3"/>
  <c r="BG645" i="3"/>
  <c r="BG646" i="3"/>
  <c r="BG647" i="3"/>
  <c r="BG648" i="3"/>
  <c r="BG649" i="3"/>
  <c r="BG650" i="3"/>
  <c r="BG651" i="3"/>
  <c r="BG652" i="3"/>
  <c r="BG653" i="3"/>
  <c r="BG654" i="3"/>
  <c r="BG655" i="3"/>
  <c r="BG656" i="3"/>
  <c r="BG657" i="3"/>
  <c r="BG658" i="3"/>
  <c r="BG659" i="3"/>
  <c r="BG660" i="3"/>
  <c r="BG661" i="3"/>
  <c r="BG662" i="3"/>
  <c r="BG663" i="3"/>
  <c r="BG664" i="3"/>
  <c r="BG665" i="3"/>
  <c r="BG666" i="3"/>
  <c r="BG667" i="3"/>
  <c r="BG668" i="3"/>
  <c r="BG669" i="3"/>
  <c r="BG670" i="3"/>
  <c r="BG671" i="3"/>
  <c r="BG672" i="3"/>
  <c r="BG673" i="3"/>
  <c r="BG674" i="3"/>
  <c r="BG675" i="3"/>
  <c r="BG676" i="3"/>
  <c r="BG677" i="3"/>
  <c r="BG678" i="3"/>
  <c r="BG679" i="3"/>
  <c r="BG680" i="3"/>
  <c r="BG681" i="3"/>
  <c r="BG682" i="3"/>
  <c r="BG683" i="3"/>
  <c r="BG684" i="3"/>
  <c r="BG685" i="3"/>
  <c r="BG686" i="3"/>
  <c r="BG687" i="3"/>
  <c r="BG688" i="3"/>
  <c r="BG689" i="3"/>
  <c r="BG690" i="3"/>
  <c r="BG691" i="3"/>
  <c r="BG692" i="3"/>
  <c r="BG693" i="3"/>
  <c r="BG694" i="3"/>
  <c r="BG695" i="3"/>
  <c r="BG696" i="3"/>
  <c r="BG697" i="3"/>
  <c r="BG698" i="3"/>
  <c r="BG699" i="3"/>
  <c r="BG700" i="3"/>
  <c r="BG701" i="3"/>
  <c r="BG702" i="3"/>
  <c r="BG703" i="3"/>
  <c r="BG704" i="3"/>
  <c r="BG705" i="3"/>
  <c r="BG706" i="3"/>
  <c r="BG707" i="3"/>
  <c r="BG708" i="3"/>
  <c r="BG709" i="3"/>
  <c r="BG710" i="3"/>
  <c r="BG711" i="3"/>
  <c r="BG712" i="3"/>
  <c r="BG713" i="3"/>
  <c r="BG714" i="3"/>
  <c r="BG715" i="3"/>
  <c r="BG716" i="3"/>
  <c r="BG717" i="3"/>
  <c r="BG718" i="3"/>
  <c r="BG719" i="3"/>
  <c r="BG720" i="3"/>
  <c r="BG721" i="3"/>
  <c r="BG722" i="3"/>
  <c r="BG723" i="3"/>
  <c r="BG724" i="3"/>
  <c r="BG725" i="3"/>
  <c r="BG726" i="3"/>
  <c r="BG727" i="3"/>
  <c r="BG728" i="3"/>
  <c r="BG729" i="3"/>
  <c r="BG730" i="3"/>
  <c r="BG731" i="3"/>
  <c r="BG732" i="3"/>
  <c r="BG733" i="3"/>
  <c r="BG734" i="3"/>
  <c r="BG735" i="3"/>
  <c r="BG736" i="3"/>
  <c r="BG737" i="3"/>
  <c r="BG738" i="3"/>
  <c r="BG739" i="3"/>
  <c r="BG740" i="3"/>
  <c r="BG741" i="3"/>
  <c r="BG742" i="3"/>
  <c r="BG743" i="3"/>
  <c r="BG744" i="3"/>
  <c r="BG745" i="3"/>
  <c r="BG746" i="3"/>
  <c r="BG747" i="3"/>
  <c r="BG748" i="3"/>
  <c r="BG749" i="3"/>
  <c r="BG750" i="3"/>
  <c r="BG751" i="3"/>
  <c r="BG752" i="3"/>
  <c r="BG753" i="3"/>
  <c r="BG754" i="3"/>
  <c r="BG755" i="3"/>
  <c r="BG756" i="3"/>
  <c r="BG757" i="3"/>
  <c r="BG758" i="3"/>
  <c r="BG759" i="3"/>
  <c r="BG760" i="3"/>
  <c r="BG761" i="3"/>
  <c r="BG762" i="3"/>
  <c r="BG763" i="3"/>
  <c r="BG764" i="3"/>
  <c r="BG765" i="3"/>
  <c r="BG766" i="3"/>
  <c r="BG767" i="3"/>
  <c r="BG768" i="3"/>
  <c r="BG769" i="3"/>
  <c r="BG770" i="3"/>
  <c r="BG771" i="3"/>
  <c r="BG772" i="3"/>
  <c r="BG773" i="3"/>
  <c r="BG774" i="3"/>
  <c r="BG775" i="3"/>
  <c r="BG776" i="3"/>
  <c r="BG777" i="3"/>
  <c r="BG778" i="3"/>
  <c r="BG779" i="3"/>
  <c r="BG780" i="3"/>
  <c r="BG781" i="3"/>
  <c r="BG782" i="3"/>
  <c r="BG783" i="3"/>
  <c r="BG784" i="3"/>
  <c r="BG785" i="3"/>
  <c r="BG786" i="3"/>
  <c r="BG787" i="3"/>
  <c r="BG788" i="3"/>
  <c r="BG789" i="3"/>
  <c r="BG790" i="3"/>
  <c r="BG791" i="3"/>
  <c r="BG792" i="3"/>
  <c r="BG793" i="3"/>
  <c r="BG794" i="3"/>
  <c r="BG795" i="3"/>
  <c r="BG796" i="3"/>
  <c r="BG797" i="3"/>
  <c r="BG798" i="3"/>
  <c r="BG799" i="3"/>
  <c r="BG800" i="3"/>
  <c r="BG801" i="3"/>
  <c r="BG802" i="3"/>
  <c r="BG803" i="3"/>
  <c r="BG804" i="3"/>
  <c r="BG805" i="3"/>
  <c r="BG806" i="3"/>
  <c r="BG807" i="3"/>
  <c r="BG808" i="3"/>
  <c r="BG809" i="3"/>
  <c r="BG810" i="3"/>
  <c r="BG811" i="3"/>
  <c r="BG812" i="3"/>
  <c r="BG813" i="3"/>
  <c r="BG814" i="3"/>
  <c r="BG815" i="3"/>
  <c r="BG816" i="3"/>
  <c r="BG817" i="3"/>
  <c r="BG818" i="3"/>
  <c r="BG819" i="3"/>
  <c r="BG820" i="3"/>
  <c r="BG821" i="3"/>
  <c r="BG822" i="3"/>
  <c r="BG823" i="3"/>
  <c r="BG824" i="3"/>
  <c r="BG825" i="3"/>
  <c r="BG826" i="3"/>
  <c r="BG827" i="3"/>
  <c r="BG828" i="3"/>
  <c r="BG829" i="3"/>
  <c r="BG830" i="3"/>
  <c r="BG831" i="3"/>
  <c r="BG832" i="3"/>
  <c r="BG833" i="3"/>
  <c r="BG834" i="3"/>
  <c r="BG835" i="3"/>
  <c r="BG836" i="3"/>
  <c r="BG837" i="3"/>
  <c r="BG838" i="3"/>
  <c r="BG839" i="3"/>
  <c r="BG840" i="3"/>
  <c r="BG841" i="3"/>
  <c r="BG842" i="3"/>
  <c r="BG843" i="3"/>
  <c r="BG844" i="3"/>
  <c r="BG845" i="3"/>
  <c r="BG846" i="3"/>
  <c r="BG847" i="3"/>
  <c r="BG848" i="3"/>
  <c r="BG849" i="3"/>
  <c r="BG850" i="3"/>
  <c r="BG851" i="3"/>
  <c r="BG852" i="3"/>
  <c r="BG853" i="3"/>
  <c r="BG854" i="3"/>
  <c r="BG855" i="3"/>
  <c r="BG856" i="3"/>
  <c r="BG857" i="3"/>
  <c r="BG858" i="3"/>
  <c r="BG859" i="3"/>
  <c r="BG860" i="3"/>
  <c r="BG861" i="3"/>
  <c r="BG862" i="3"/>
  <c r="BG863" i="3"/>
  <c r="BG864" i="3"/>
  <c r="BG865" i="3"/>
  <c r="BG866" i="3"/>
  <c r="BG867" i="3"/>
  <c r="BG868" i="3"/>
  <c r="BG869" i="3"/>
  <c r="BG870" i="3"/>
  <c r="BG871" i="3"/>
  <c r="BG872" i="3"/>
  <c r="BG873" i="3"/>
  <c r="BG874" i="3"/>
  <c r="BG875" i="3"/>
  <c r="BG876" i="3"/>
  <c r="BG877" i="3"/>
  <c r="BG878" i="3"/>
  <c r="BG879" i="3"/>
  <c r="BG880" i="3"/>
  <c r="BG881" i="3"/>
  <c r="BG882" i="3"/>
  <c r="BG883" i="3"/>
  <c r="BG884" i="3"/>
  <c r="BG885" i="3"/>
  <c r="BG886" i="3"/>
  <c r="BG887" i="3"/>
  <c r="BG888" i="3"/>
  <c r="BG2" i="3"/>
  <c r="BF3" i="3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2" i="3"/>
  <c r="BF223" i="3"/>
  <c r="BF224" i="3"/>
  <c r="BF225" i="3"/>
  <c r="BF226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39" i="3"/>
  <c r="BF240" i="3"/>
  <c r="BF241" i="3"/>
  <c r="BF242" i="3"/>
  <c r="BF243" i="3"/>
  <c r="BF244" i="3"/>
  <c r="BF245" i="3"/>
  <c r="BF246" i="3"/>
  <c r="BF247" i="3"/>
  <c r="BF248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F293" i="3"/>
  <c r="BF294" i="3"/>
  <c r="BF295" i="3"/>
  <c r="BF296" i="3"/>
  <c r="BF297" i="3"/>
  <c r="BF298" i="3"/>
  <c r="BF299" i="3"/>
  <c r="BF300" i="3"/>
  <c r="BF301" i="3"/>
  <c r="BF302" i="3"/>
  <c r="BF303" i="3"/>
  <c r="BF304" i="3"/>
  <c r="BF305" i="3"/>
  <c r="BF306" i="3"/>
  <c r="BF307" i="3"/>
  <c r="BF308" i="3"/>
  <c r="BF309" i="3"/>
  <c r="BF310" i="3"/>
  <c r="BF311" i="3"/>
  <c r="BF312" i="3"/>
  <c r="BF313" i="3"/>
  <c r="BF314" i="3"/>
  <c r="BF315" i="3"/>
  <c r="BF316" i="3"/>
  <c r="BF317" i="3"/>
  <c r="BF318" i="3"/>
  <c r="BF319" i="3"/>
  <c r="BF320" i="3"/>
  <c r="BF321" i="3"/>
  <c r="BF322" i="3"/>
  <c r="BF323" i="3"/>
  <c r="BF324" i="3"/>
  <c r="BF325" i="3"/>
  <c r="BF326" i="3"/>
  <c r="BF327" i="3"/>
  <c r="BF328" i="3"/>
  <c r="BF329" i="3"/>
  <c r="BF330" i="3"/>
  <c r="BF331" i="3"/>
  <c r="BF332" i="3"/>
  <c r="BF333" i="3"/>
  <c r="BF334" i="3"/>
  <c r="BF335" i="3"/>
  <c r="BF336" i="3"/>
  <c r="BF337" i="3"/>
  <c r="BF338" i="3"/>
  <c r="BF339" i="3"/>
  <c r="BF340" i="3"/>
  <c r="BF341" i="3"/>
  <c r="BF342" i="3"/>
  <c r="BF343" i="3"/>
  <c r="BF344" i="3"/>
  <c r="BF345" i="3"/>
  <c r="BF346" i="3"/>
  <c r="BF347" i="3"/>
  <c r="BF348" i="3"/>
  <c r="BF349" i="3"/>
  <c r="BF350" i="3"/>
  <c r="BF351" i="3"/>
  <c r="BF352" i="3"/>
  <c r="BF353" i="3"/>
  <c r="BF354" i="3"/>
  <c r="BF355" i="3"/>
  <c r="BF356" i="3"/>
  <c r="BF357" i="3"/>
  <c r="BF358" i="3"/>
  <c r="BF359" i="3"/>
  <c r="BF360" i="3"/>
  <c r="BF361" i="3"/>
  <c r="BF362" i="3"/>
  <c r="BF363" i="3"/>
  <c r="BF364" i="3"/>
  <c r="BF365" i="3"/>
  <c r="BF366" i="3"/>
  <c r="BF367" i="3"/>
  <c r="BF368" i="3"/>
  <c r="BF369" i="3"/>
  <c r="BF370" i="3"/>
  <c r="BF371" i="3"/>
  <c r="BF372" i="3"/>
  <c r="BF373" i="3"/>
  <c r="BF374" i="3"/>
  <c r="BF375" i="3"/>
  <c r="BF376" i="3"/>
  <c r="BF377" i="3"/>
  <c r="BF378" i="3"/>
  <c r="BF379" i="3"/>
  <c r="BF380" i="3"/>
  <c r="BF381" i="3"/>
  <c r="BF382" i="3"/>
  <c r="BF383" i="3"/>
  <c r="BF384" i="3"/>
  <c r="BF385" i="3"/>
  <c r="BF386" i="3"/>
  <c r="BF387" i="3"/>
  <c r="BF388" i="3"/>
  <c r="BF389" i="3"/>
  <c r="BF390" i="3"/>
  <c r="BF391" i="3"/>
  <c r="BF392" i="3"/>
  <c r="BF393" i="3"/>
  <c r="BF394" i="3"/>
  <c r="BF395" i="3"/>
  <c r="BF396" i="3"/>
  <c r="BF397" i="3"/>
  <c r="BF398" i="3"/>
  <c r="BF399" i="3"/>
  <c r="BF400" i="3"/>
  <c r="BF401" i="3"/>
  <c r="BF402" i="3"/>
  <c r="BF403" i="3"/>
  <c r="BF404" i="3"/>
  <c r="BF405" i="3"/>
  <c r="BF406" i="3"/>
  <c r="BF407" i="3"/>
  <c r="BF408" i="3"/>
  <c r="BF409" i="3"/>
  <c r="BF410" i="3"/>
  <c r="BF411" i="3"/>
  <c r="BF412" i="3"/>
  <c r="BF413" i="3"/>
  <c r="BF414" i="3"/>
  <c r="BF415" i="3"/>
  <c r="BF416" i="3"/>
  <c r="BF417" i="3"/>
  <c r="BF418" i="3"/>
  <c r="BF419" i="3"/>
  <c r="BF420" i="3"/>
  <c r="BF421" i="3"/>
  <c r="BF422" i="3"/>
  <c r="BF423" i="3"/>
  <c r="BF424" i="3"/>
  <c r="BF425" i="3"/>
  <c r="BF426" i="3"/>
  <c r="BF427" i="3"/>
  <c r="BF428" i="3"/>
  <c r="BF429" i="3"/>
  <c r="BF430" i="3"/>
  <c r="BF431" i="3"/>
  <c r="BF432" i="3"/>
  <c r="BF433" i="3"/>
  <c r="BF434" i="3"/>
  <c r="BF435" i="3"/>
  <c r="BF436" i="3"/>
  <c r="BF437" i="3"/>
  <c r="BF438" i="3"/>
  <c r="BF439" i="3"/>
  <c r="BF440" i="3"/>
  <c r="BF441" i="3"/>
  <c r="BF442" i="3"/>
  <c r="BF443" i="3"/>
  <c r="BF444" i="3"/>
  <c r="BF445" i="3"/>
  <c r="BF446" i="3"/>
  <c r="BF447" i="3"/>
  <c r="BF448" i="3"/>
  <c r="BF449" i="3"/>
  <c r="BF450" i="3"/>
  <c r="BF451" i="3"/>
  <c r="BF452" i="3"/>
  <c r="BF453" i="3"/>
  <c r="BF454" i="3"/>
  <c r="BF455" i="3"/>
  <c r="BF456" i="3"/>
  <c r="BF457" i="3"/>
  <c r="BF458" i="3"/>
  <c r="BF459" i="3"/>
  <c r="BF460" i="3"/>
  <c r="BF461" i="3"/>
  <c r="BF462" i="3"/>
  <c r="BF463" i="3"/>
  <c r="BF464" i="3"/>
  <c r="BF465" i="3"/>
  <c r="BF466" i="3"/>
  <c r="BF467" i="3"/>
  <c r="BF468" i="3"/>
  <c r="BF469" i="3"/>
  <c r="BF470" i="3"/>
  <c r="BF471" i="3"/>
  <c r="BF472" i="3"/>
  <c r="BF473" i="3"/>
  <c r="BF474" i="3"/>
  <c r="BF475" i="3"/>
  <c r="BF476" i="3"/>
  <c r="BF477" i="3"/>
  <c r="BF478" i="3"/>
  <c r="BF479" i="3"/>
  <c r="BF480" i="3"/>
  <c r="BF481" i="3"/>
  <c r="BF482" i="3"/>
  <c r="BF483" i="3"/>
  <c r="BF484" i="3"/>
  <c r="BF485" i="3"/>
  <c r="BF486" i="3"/>
  <c r="BF487" i="3"/>
  <c r="BF488" i="3"/>
  <c r="BF489" i="3"/>
  <c r="BF490" i="3"/>
  <c r="BF491" i="3"/>
  <c r="BF492" i="3"/>
  <c r="BF493" i="3"/>
  <c r="BF494" i="3"/>
  <c r="BF495" i="3"/>
  <c r="BF496" i="3"/>
  <c r="BF497" i="3"/>
  <c r="BF498" i="3"/>
  <c r="BF499" i="3"/>
  <c r="BF500" i="3"/>
  <c r="BF501" i="3"/>
  <c r="BF502" i="3"/>
  <c r="BF503" i="3"/>
  <c r="BF504" i="3"/>
  <c r="BF505" i="3"/>
  <c r="BF506" i="3"/>
  <c r="BF507" i="3"/>
  <c r="BF508" i="3"/>
  <c r="BF509" i="3"/>
  <c r="BF510" i="3"/>
  <c r="BF511" i="3"/>
  <c r="BF512" i="3"/>
  <c r="BF513" i="3"/>
  <c r="BF514" i="3"/>
  <c r="BF515" i="3"/>
  <c r="BF516" i="3"/>
  <c r="BF517" i="3"/>
  <c r="BF518" i="3"/>
  <c r="BF519" i="3"/>
  <c r="BF520" i="3"/>
  <c r="BF521" i="3"/>
  <c r="BF522" i="3"/>
  <c r="BF523" i="3"/>
  <c r="BF524" i="3"/>
  <c r="BF525" i="3"/>
  <c r="BF526" i="3"/>
  <c r="BF527" i="3"/>
  <c r="BF528" i="3"/>
  <c r="BF529" i="3"/>
  <c r="BF530" i="3"/>
  <c r="BF531" i="3"/>
  <c r="BF532" i="3"/>
  <c r="BF533" i="3"/>
  <c r="BF534" i="3"/>
  <c r="BF535" i="3"/>
  <c r="BF536" i="3"/>
  <c r="BF537" i="3"/>
  <c r="BF538" i="3"/>
  <c r="BF539" i="3"/>
  <c r="BF540" i="3"/>
  <c r="BF541" i="3"/>
  <c r="BF542" i="3"/>
  <c r="BF543" i="3"/>
  <c r="BF544" i="3"/>
  <c r="BF545" i="3"/>
  <c r="BF546" i="3"/>
  <c r="BF547" i="3"/>
  <c r="BF548" i="3"/>
  <c r="BF549" i="3"/>
  <c r="BF550" i="3"/>
  <c r="BF551" i="3"/>
  <c r="BF552" i="3"/>
  <c r="BF553" i="3"/>
  <c r="BF554" i="3"/>
  <c r="BF555" i="3"/>
  <c r="BF556" i="3"/>
  <c r="BF557" i="3"/>
  <c r="BF558" i="3"/>
  <c r="BF559" i="3"/>
  <c r="BF560" i="3"/>
  <c r="BF561" i="3"/>
  <c r="BF562" i="3"/>
  <c r="BF563" i="3"/>
  <c r="BF564" i="3"/>
  <c r="BF565" i="3"/>
  <c r="BF566" i="3"/>
  <c r="BF567" i="3"/>
  <c r="BF568" i="3"/>
  <c r="BF569" i="3"/>
  <c r="BF570" i="3"/>
  <c r="BF571" i="3"/>
  <c r="BF572" i="3"/>
  <c r="BF573" i="3"/>
  <c r="BF574" i="3"/>
  <c r="BF575" i="3"/>
  <c r="BF576" i="3"/>
  <c r="BF577" i="3"/>
  <c r="BF578" i="3"/>
  <c r="BF579" i="3"/>
  <c r="BF580" i="3"/>
  <c r="BF581" i="3"/>
  <c r="BF582" i="3"/>
  <c r="BF583" i="3"/>
  <c r="BF584" i="3"/>
  <c r="BF585" i="3"/>
  <c r="BF586" i="3"/>
  <c r="BF587" i="3"/>
  <c r="BF588" i="3"/>
  <c r="BF589" i="3"/>
  <c r="BF590" i="3"/>
  <c r="BF591" i="3"/>
  <c r="BF592" i="3"/>
  <c r="BF593" i="3"/>
  <c r="BF594" i="3"/>
  <c r="BF595" i="3"/>
  <c r="BF596" i="3"/>
  <c r="BF597" i="3"/>
  <c r="BF598" i="3"/>
  <c r="BF599" i="3"/>
  <c r="BF600" i="3"/>
  <c r="BF601" i="3"/>
  <c r="BF602" i="3"/>
  <c r="BF603" i="3"/>
  <c r="BF604" i="3"/>
  <c r="BF605" i="3"/>
  <c r="BF606" i="3"/>
  <c r="BF607" i="3"/>
  <c r="BF608" i="3"/>
  <c r="BF609" i="3"/>
  <c r="BF610" i="3"/>
  <c r="BF611" i="3"/>
  <c r="BF612" i="3"/>
  <c r="BF613" i="3"/>
  <c r="BF614" i="3"/>
  <c r="BF615" i="3"/>
  <c r="BF616" i="3"/>
  <c r="BF617" i="3"/>
  <c r="BF618" i="3"/>
  <c r="BF619" i="3"/>
  <c r="BF620" i="3"/>
  <c r="BF621" i="3"/>
  <c r="BF622" i="3"/>
  <c r="BF623" i="3"/>
  <c r="BF624" i="3"/>
  <c r="BF625" i="3"/>
  <c r="BF626" i="3"/>
  <c r="BF627" i="3"/>
  <c r="BF628" i="3"/>
  <c r="BF629" i="3"/>
  <c r="BF630" i="3"/>
  <c r="BF631" i="3"/>
  <c r="BF632" i="3"/>
  <c r="BF633" i="3"/>
  <c r="BF634" i="3"/>
  <c r="BF635" i="3"/>
  <c r="BF636" i="3"/>
  <c r="BF637" i="3"/>
  <c r="BF638" i="3"/>
  <c r="BF639" i="3"/>
  <c r="BF640" i="3"/>
  <c r="BF641" i="3"/>
  <c r="BF642" i="3"/>
  <c r="BF643" i="3"/>
  <c r="BF644" i="3"/>
  <c r="BF645" i="3"/>
  <c r="BF646" i="3"/>
  <c r="BF647" i="3"/>
  <c r="BF648" i="3"/>
  <c r="BF649" i="3"/>
  <c r="BF650" i="3"/>
  <c r="BF651" i="3"/>
  <c r="BF652" i="3"/>
  <c r="BF653" i="3"/>
  <c r="BF654" i="3"/>
  <c r="BF655" i="3"/>
  <c r="BF656" i="3"/>
  <c r="BF657" i="3"/>
  <c r="BF658" i="3"/>
  <c r="BF659" i="3"/>
  <c r="BF660" i="3"/>
  <c r="BF661" i="3"/>
  <c r="BF662" i="3"/>
  <c r="BF663" i="3"/>
  <c r="BF664" i="3"/>
  <c r="BF665" i="3"/>
  <c r="BF666" i="3"/>
  <c r="BF667" i="3"/>
  <c r="BF668" i="3"/>
  <c r="BF669" i="3"/>
  <c r="BF670" i="3"/>
  <c r="BF671" i="3"/>
  <c r="BF672" i="3"/>
  <c r="BF673" i="3"/>
  <c r="BF674" i="3"/>
  <c r="BF675" i="3"/>
  <c r="BF676" i="3"/>
  <c r="BF677" i="3"/>
  <c r="BF678" i="3"/>
  <c r="BF679" i="3"/>
  <c r="BF680" i="3"/>
  <c r="BF681" i="3"/>
  <c r="BF682" i="3"/>
  <c r="BF683" i="3"/>
  <c r="BF684" i="3"/>
  <c r="BF685" i="3"/>
  <c r="BF686" i="3"/>
  <c r="BF687" i="3"/>
  <c r="BF688" i="3"/>
  <c r="BF689" i="3"/>
  <c r="BF690" i="3"/>
  <c r="BF691" i="3"/>
  <c r="BF692" i="3"/>
  <c r="BF693" i="3"/>
  <c r="BF694" i="3"/>
  <c r="BF695" i="3"/>
  <c r="BF696" i="3"/>
  <c r="BF697" i="3"/>
  <c r="BF698" i="3"/>
  <c r="BF699" i="3"/>
  <c r="BF700" i="3"/>
  <c r="BF701" i="3"/>
  <c r="BF702" i="3"/>
  <c r="BF703" i="3"/>
  <c r="BF704" i="3"/>
  <c r="BF705" i="3"/>
  <c r="BF706" i="3"/>
  <c r="BF707" i="3"/>
  <c r="BF708" i="3"/>
  <c r="BF709" i="3"/>
  <c r="BF710" i="3"/>
  <c r="BF711" i="3"/>
  <c r="BF712" i="3"/>
  <c r="BF713" i="3"/>
  <c r="BF714" i="3"/>
  <c r="BF715" i="3"/>
  <c r="BF716" i="3"/>
  <c r="BF717" i="3"/>
  <c r="BF718" i="3"/>
  <c r="BF719" i="3"/>
  <c r="BF720" i="3"/>
  <c r="BF721" i="3"/>
  <c r="BF722" i="3"/>
  <c r="BF723" i="3"/>
  <c r="BF724" i="3"/>
  <c r="BF725" i="3"/>
  <c r="BF726" i="3"/>
  <c r="BF727" i="3"/>
  <c r="BF728" i="3"/>
  <c r="BF729" i="3"/>
  <c r="BF730" i="3"/>
  <c r="BF731" i="3"/>
  <c r="BF732" i="3"/>
  <c r="BF733" i="3"/>
  <c r="BF734" i="3"/>
  <c r="BF735" i="3"/>
  <c r="BF736" i="3"/>
  <c r="BF737" i="3"/>
  <c r="BF738" i="3"/>
  <c r="BF739" i="3"/>
  <c r="BF740" i="3"/>
  <c r="BF741" i="3"/>
  <c r="BF742" i="3"/>
  <c r="BF743" i="3"/>
  <c r="BF744" i="3"/>
  <c r="BF745" i="3"/>
  <c r="BF746" i="3"/>
  <c r="BF747" i="3"/>
  <c r="BF748" i="3"/>
  <c r="BF749" i="3"/>
  <c r="BF750" i="3"/>
  <c r="BF751" i="3"/>
  <c r="BF752" i="3"/>
  <c r="BF753" i="3"/>
  <c r="BF754" i="3"/>
  <c r="BF755" i="3"/>
  <c r="BF756" i="3"/>
  <c r="BF757" i="3"/>
  <c r="BF758" i="3"/>
  <c r="BF759" i="3"/>
  <c r="BF760" i="3"/>
  <c r="BF761" i="3"/>
  <c r="BF762" i="3"/>
  <c r="BF763" i="3"/>
  <c r="BF764" i="3"/>
  <c r="BF765" i="3"/>
  <c r="BF766" i="3"/>
  <c r="BF767" i="3"/>
  <c r="BF768" i="3"/>
  <c r="BF769" i="3"/>
  <c r="BF770" i="3"/>
  <c r="BF771" i="3"/>
  <c r="BF772" i="3"/>
  <c r="BF773" i="3"/>
  <c r="BF774" i="3"/>
  <c r="BF775" i="3"/>
  <c r="BF776" i="3"/>
  <c r="BF777" i="3"/>
  <c r="BF778" i="3"/>
  <c r="BF779" i="3"/>
  <c r="BF780" i="3"/>
  <c r="BF781" i="3"/>
  <c r="BF782" i="3"/>
  <c r="BF783" i="3"/>
  <c r="BF784" i="3"/>
  <c r="BF785" i="3"/>
  <c r="BF786" i="3"/>
  <c r="BF787" i="3"/>
  <c r="BF788" i="3"/>
  <c r="BF789" i="3"/>
  <c r="BF790" i="3"/>
  <c r="BF791" i="3"/>
  <c r="BF792" i="3"/>
  <c r="BF793" i="3"/>
  <c r="BF794" i="3"/>
  <c r="BF795" i="3"/>
  <c r="BF796" i="3"/>
  <c r="BF797" i="3"/>
  <c r="BF798" i="3"/>
  <c r="BF799" i="3"/>
  <c r="BF800" i="3"/>
  <c r="BF801" i="3"/>
  <c r="BF802" i="3"/>
  <c r="BF803" i="3"/>
  <c r="BF804" i="3"/>
  <c r="BF805" i="3"/>
  <c r="BF806" i="3"/>
  <c r="BF807" i="3"/>
  <c r="BF808" i="3"/>
  <c r="BF809" i="3"/>
  <c r="BF810" i="3"/>
  <c r="BF811" i="3"/>
  <c r="BF812" i="3"/>
  <c r="BF813" i="3"/>
  <c r="BF814" i="3"/>
  <c r="BF815" i="3"/>
  <c r="BF816" i="3"/>
  <c r="BF817" i="3"/>
  <c r="BF818" i="3"/>
  <c r="BF819" i="3"/>
  <c r="BF820" i="3"/>
  <c r="BF821" i="3"/>
  <c r="BF822" i="3"/>
  <c r="BF823" i="3"/>
  <c r="BF824" i="3"/>
  <c r="BF825" i="3"/>
  <c r="BF826" i="3"/>
  <c r="BF827" i="3"/>
  <c r="BF828" i="3"/>
  <c r="BF829" i="3"/>
  <c r="BF830" i="3"/>
  <c r="BF831" i="3"/>
  <c r="BF832" i="3"/>
  <c r="BF833" i="3"/>
  <c r="BF834" i="3"/>
  <c r="BF835" i="3"/>
  <c r="BF836" i="3"/>
  <c r="BF837" i="3"/>
  <c r="BF838" i="3"/>
  <c r="BF839" i="3"/>
  <c r="BF840" i="3"/>
  <c r="BF841" i="3"/>
  <c r="BF842" i="3"/>
  <c r="BF843" i="3"/>
  <c r="BF844" i="3"/>
  <c r="BF845" i="3"/>
  <c r="BF846" i="3"/>
  <c r="BF847" i="3"/>
  <c r="BF848" i="3"/>
  <c r="BF849" i="3"/>
  <c r="BF850" i="3"/>
  <c r="BF851" i="3"/>
  <c r="BF852" i="3"/>
  <c r="BF853" i="3"/>
  <c r="BF854" i="3"/>
  <c r="BF855" i="3"/>
  <c r="BF856" i="3"/>
  <c r="BF857" i="3"/>
  <c r="BF858" i="3"/>
  <c r="BF859" i="3"/>
  <c r="BF860" i="3"/>
  <c r="BF861" i="3"/>
  <c r="BF862" i="3"/>
  <c r="BF863" i="3"/>
  <c r="BF864" i="3"/>
  <c r="BF865" i="3"/>
  <c r="BF866" i="3"/>
  <c r="BF867" i="3"/>
  <c r="BF868" i="3"/>
  <c r="BF869" i="3"/>
  <c r="BF870" i="3"/>
  <c r="BF871" i="3"/>
  <c r="BF872" i="3"/>
  <c r="BF873" i="3"/>
  <c r="BF874" i="3"/>
  <c r="BF875" i="3"/>
  <c r="BF876" i="3"/>
  <c r="BF877" i="3"/>
  <c r="BF878" i="3"/>
  <c r="BF879" i="3"/>
  <c r="BF880" i="3"/>
  <c r="BF881" i="3"/>
  <c r="BF882" i="3"/>
  <c r="BF883" i="3"/>
  <c r="BF884" i="3"/>
  <c r="BF885" i="3"/>
  <c r="BF886" i="3"/>
  <c r="BF887" i="3"/>
  <c r="BF888" i="3"/>
  <c r="BF2" i="3"/>
  <c r="BE3" i="3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E682" i="3"/>
  <c r="BE683" i="3"/>
  <c r="BE684" i="3"/>
  <c r="BE685" i="3"/>
  <c r="BE686" i="3"/>
  <c r="BE687" i="3"/>
  <c r="BE688" i="3"/>
  <c r="BE689" i="3"/>
  <c r="BE690" i="3"/>
  <c r="BE691" i="3"/>
  <c r="BE692" i="3"/>
  <c r="BE693" i="3"/>
  <c r="BE694" i="3"/>
  <c r="BE695" i="3"/>
  <c r="BE696" i="3"/>
  <c r="BE697" i="3"/>
  <c r="BE698" i="3"/>
  <c r="BE699" i="3"/>
  <c r="BE700" i="3"/>
  <c r="BE701" i="3"/>
  <c r="BE702" i="3"/>
  <c r="BE703" i="3"/>
  <c r="BE704" i="3"/>
  <c r="BE705" i="3"/>
  <c r="BE706" i="3"/>
  <c r="BE707" i="3"/>
  <c r="BE708" i="3"/>
  <c r="BE709" i="3"/>
  <c r="BE710" i="3"/>
  <c r="BE711" i="3"/>
  <c r="BE712" i="3"/>
  <c r="BE713" i="3"/>
  <c r="BE714" i="3"/>
  <c r="BE715" i="3"/>
  <c r="BE716" i="3"/>
  <c r="BE717" i="3"/>
  <c r="BE718" i="3"/>
  <c r="BE719" i="3"/>
  <c r="BE720" i="3"/>
  <c r="BE721" i="3"/>
  <c r="BE722" i="3"/>
  <c r="BE723" i="3"/>
  <c r="BE724" i="3"/>
  <c r="BE725" i="3"/>
  <c r="BE726" i="3"/>
  <c r="BE727" i="3"/>
  <c r="BE728" i="3"/>
  <c r="BE729" i="3"/>
  <c r="BE730" i="3"/>
  <c r="BE731" i="3"/>
  <c r="BE732" i="3"/>
  <c r="BE733" i="3"/>
  <c r="BE734" i="3"/>
  <c r="BE735" i="3"/>
  <c r="BE736" i="3"/>
  <c r="BE737" i="3"/>
  <c r="BE738" i="3"/>
  <c r="BE739" i="3"/>
  <c r="BE740" i="3"/>
  <c r="BE741" i="3"/>
  <c r="BE742" i="3"/>
  <c r="BE743" i="3"/>
  <c r="BE744" i="3"/>
  <c r="BE745" i="3"/>
  <c r="BE746" i="3"/>
  <c r="BE747" i="3"/>
  <c r="BE748" i="3"/>
  <c r="BE749" i="3"/>
  <c r="BE750" i="3"/>
  <c r="BE751" i="3"/>
  <c r="BE752" i="3"/>
  <c r="BE753" i="3"/>
  <c r="BE754" i="3"/>
  <c r="BE755" i="3"/>
  <c r="BE756" i="3"/>
  <c r="BE757" i="3"/>
  <c r="BE758" i="3"/>
  <c r="BE759" i="3"/>
  <c r="BE760" i="3"/>
  <c r="BE761" i="3"/>
  <c r="BE762" i="3"/>
  <c r="BE763" i="3"/>
  <c r="BE764" i="3"/>
  <c r="BE765" i="3"/>
  <c r="BE766" i="3"/>
  <c r="BE767" i="3"/>
  <c r="BE768" i="3"/>
  <c r="BE769" i="3"/>
  <c r="BE770" i="3"/>
  <c r="BE771" i="3"/>
  <c r="BE772" i="3"/>
  <c r="BE773" i="3"/>
  <c r="BE774" i="3"/>
  <c r="BE775" i="3"/>
  <c r="BE776" i="3"/>
  <c r="BE777" i="3"/>
  <c r="BE778" i="3"/>
  <c r="BE779" i="3"/>
  <c r="BE780" i="3"/>
  <c r="BE781" i="3"/>
  <c r="BE782" i="3"/>
  <c r="BE783" i="3"/>
  <c r="BE784" i="3"/>
  <c r="BE785" i="3"/>
  <c r="BE786" i="3"/>
  <c r="BE787" i="3"/>
  <c r="BE788" i="3"/>
  <c r="BE789" i="3"/>
  <c r="BE790" i="3"/>
  <c r="BE791" i="3"/>
  <c r="BE792" i="3"/>
  <c r="BE793" i="3"/>
  <c r="BE794" i="3"/>
  <c r="BE795" i="3"/>
  <c r="BE796" i="3"/>
  <c r="BE797" i="3"/>
  <c r="BE798" i="3"/>
  <c r="BE799" i="3"/>
  <c r="BE800" i="3"/>
  <c r="BE801" i="3"/>
  <c r="BE802" i="3"/>
  <c r="BE803" i="3"/>
  <c r="BE804" i="3"/>
  <c r="BE805" i="3"/>
  <c r="BE806" i="3"/>
  <c r="BE807" i="3"/>
  <c r="BE808" i="3"/>
  <c r="BE809" i="3"/>
  <c r="BE810" i="3"/>
  <c r="BE811" i="3"/>
  <c r="BE812" i="3"/>
  <c r="BE813" i="3"/>
  <c r="BE814" i="3"/>
  <c r="BE815" i="3"/>
  <c r="BE816" i="3"/>
  <c r="BE817" i="3"/>
  <c r="BE818" i="3"/>
  <c r="BE819" i="3"/>
  <c r="BE820" i="3"/>
  <c r="BE821" i="3"/>
  <c r="BE822" i="3"/>
  <c r="BE823" i="3"/>
  <c r="BE824" i="3"/>
  <c r="BE825" i="3"/>
  <c r="BE826" i="3"/>
  <c r="BE827" i="3"/>
  <c r="BE828" i="3"/>
  <c r="BE829" i="3"/>
  <c r="BE830" i="3"/>
  <c r="BE831" i="3"/>
  <c r="BE832" i="3"/>
  <c r="BE833" i="3"/>
  <c r="BE834" i="3"/>
  <c r="BE835" i="3"/>
  <c r="BE836" i="3"/>
  <c r="BE837" i="3"/>
  <c r="BE838" i="3"/>
  <c r="BE839" i="3"/>
  <c r="BE840" i="3"/>
  <c r="BE841" i="3"/>
  <c r="BE842" i="3"/>
  <c r="BE843" i="3"/>
  <c r="BE844" i="3"/>
  <c r="BE845" i="3"/>
  <c r="BE846" i="3"/>
  <c r="BE847" i="3"/>
  <c r="BE848" i="3"/>
  <c r="BE849" i="3"/>
  <c r="BE850" i="3"/>
  <c r="BE851" i="3"/>
  <c r="BE852" i="3"/>
  <c r="BE853" i="3"/>
  <c r="BE854" i="3"/>
  <c r="BE855" i="3"/>
  <c r="BE856" i="3"/>
  <c r="BE857" i="3"/>
  <c r="BE858" i="3"/>
  <c r="BE859" i="3"/>
  <c r="BE860" i="3"/>
  <c r="BE861" i="3"/>
  <c r="BE862" i="3"/>
  <c r="BE863" i="3"/>
  <c r="BE864" i="3"/>
  <c r="BE865" i="3"/>
  <c r="BE866" i="3"/>
  <c r="BE867" i="3"/>
  <c r="BE868" i="3"/>
  <c r="BE869" i="3"/>
  <c r="BE870" i="3"/>
  <c r="BE871" i="3"/>
  <c r="BE872" i="3"/>
  <c r="BE873" i="3"/>
  <c r="BE874" i="3"/>
  <c r="BE875" i="3"/>
  <c r="BE876" i="3"/>
  <c r="BE877" i="3"/>
  <c r="BE878" i="3"/>
  <c r="BE879" i="3"/>
  <c r="BE880" i="3"/>
  <c r="BE881" i="3"/>
  <c r="BE882" i="3"/>
  <c r="BE883" i="3"/>
  <c r="BE884" i="3"/>
  <c r="BE885" i="3"/>
  <c r="BE886" i="3"/>
  <c r="BE887" i="3"/>
  <c r="BE888" i="3"/>
  <c r="BE2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29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BD293" i="3"/>
  <c r="BD294" i="3"/>
  <c r="BD295" i="3"/>
  <c r="BD296" i="3"/>
  <c r="BD297" i="3"/>
  <c r="BD298" i="3"/>
  <c r="BD299" i="3"/>
  <c r="BD300" i="3"/>
  <c r="BD301" i="3"/>
  <c r="BD302" i="3"/>
  <c r="BD303" i="3"/>
  <c r="BD304" i="3"/>
  <c r="BD305" i="3"/>
  <c r="BD306" i="3"/>
  <c r="BD307" i="3"/>
  <c r="BD308" i="3"/>
  <c r="BD309" i="3"/>
  <c r="BD310" i="3"/>
  <c r="BD311" i="3"/>
  <c r="BD312" i="3"/>
  <c r="BD313" i="3"/>
  <c r="BD314" i="3"/>
  <c r="BD315" i="3"/>
  <c r="BD316" i="3"/>
  <c r="BD317" i="3"/>
  <c r="BD318" i="3"/>
  <c r="BD319" i="3"/>
  <c r="BD320" i="3"/>
  <c r="BD321" i="3"/>
  <c r="BD322" i="3"/>
  <c r="BD323" i="3"/>
  <c r="BD324" i="3"/>
  <c r="BD325" i="3"/>
  <c r="BD326" i="3"/>
  <c r="BD327" i="3"/>
  <c r="BD328" i="3"/>
  <c r="BD329" i="3"/>
  <c r="BD330" i="3"/>
  <c r="BD331" i="3"/>
  <c r="BD332" i="3"/>
  <c r="BD333" i="3"/>
  <c r="BD334" i="3"/>
  <c r="BD335" i="3"/>
  <c r="BD336" i="3"/>
  <c r="BD337" i="3"/>
  <c r="BD338" i="3"/>
  <c r="BD339" i="3"/>
  <c r="BD340" i="3"/>
  <c r="BD341" i="3"/>
  <c r="BD342" i="3"/>
  <c r="BD343" i="3"/>
  <c r="BD344" i="3"/>
  <c r="BD345" i="3"/>
  <c r="BD346" i="3"/>
  <c r="BD347" i="3"/>
  <c r="BD348" i="3"/>
  <c r="BD349" i="3"/>
  <c r="BD350" i="3"/>
  <c r="BD351" i="3"/>
  <c r="BD352" i="3"/>
  <c r="BD353" i="3"/>
  <c r="BD354" i="3"/>
  <c r="BD355" i="3"/>
  <c r="BD356" i="3"/>
  <c r="BD357" i="3"/>
  <c r="BD358" i="3"/>
  <c r="BD359" i="3"/>
  <c r="BD360" i="3"/>
  <c r="BD361" i="3"/>
  <c r="BD362" i="3"/>
  <c r="BD363" i="3"/>
  <c r="BD364" i="3"/>
  <c r="BD365" i="3"/>
  <c r="BD366" i="3"/>
  <c r="BD367" i="3"/>
  <c r="BD368" i="3"/>
  <c r="BD369" i="3"/>
  <c r="BD370" i="3"/>
  <c r="BD371" i="3"/>
  <c r="BD372" i="3"/>
  <c r="BD373" i="3"/>
  <c r="BD374" i="3"/>
  <c r="BD375" i="3"/>
  <c r="BD376" i="3"/>
  <c r="BD377" i="3"/>
  <c r="BD378" i="3"/>
  <c r="BD379" i="3"/>
  <c r="BD380" i="3"/>
  <c r="BD381" i="3"/>
  <c r="BD382" i="3"/>
  <c r="BD383" i="3"/>
  <c r="BD384" i="3"/>
  <c r="BD385" i="3"/>
  <c r="BD386" i="3"/>
  <c r="BD387" i="3"/>
  <c r="BD388" i="3"/>
  <c r="BD389" i="3"/>
  <c r="BD390" i="3"/>
  <c r="BD391" i="3"/>
  <c r="BD392" i="3"/>
  <c r="BD393" i="3"/>
  <c r="BD394" i="3"/>
  <c r="BD395" i="3"/>
  <c r="BD396" i="3"/>
  <c r="BD397" i="3"/>
  <c r="BD398" i="3"/>
  <c r="BD399" i="3"/>
  <c r="BD400" i="3"/>
  <c r="BD401" i="3"/>
  <c r="BD402" i="3"/>
  <c r="BD403" i="3"/>
  <c r="BD404" i="3"/>
  <c r="BD405" i="3"/>
  <c r="BD406" i="3"/>
  <c r="BD407" i="3"/>
  <c r="BD408" i="3"/>
  <c r="BD409" i="3"/>
  <c r="BD410" i="3"/>
  <c r="BD411" i="3"/>
  <c r="BD412" i="3"/>
  <c r="BD413" i="3"/>
  <c r="BD414" i="3"/>
  <c r="BD415" i="3"/>
  <c r="BD416" i="3"/>
  <c r="BD417" i="3"/>
  <c r="BD418" i="3"/>
  <c r="BD419" i="3"/>
  <c r="BD420" i="3"/>
  <c r="BD421" i="3"/>
  <c r="BD422" i="3"/>
  <c r="BD423" i="3"/>
  <c r="BD424" i="3"/>
  <c r="BD425" i="3"/>
  <c r="BD426" i="3"/>
  <c r="BD427" i="3"/>
  <c r="BD428" i="3"/>
  <c r="BD429" i="3"/>
  <c r="BD430" i="3"/>
  <c r="BD431" i="3"/>
  <c r="BD432" i="3"/>
  <c r="BD433" i="3"/>
  <c r="BD434" i="3"/>
  <c r="BD435" i="3"/>
  <c r="BD436" i="3"/>
  <c r="BD437" i="3"/>
  <c r="BD438" i="3"/>
  <c r="BD439" i="3"/>
  <c r="BD440" i="3"/>
  <c r="BD441" i="3"/>
  <c r="BD442" i="3"/>
  <c r="BD443" i="3"/>
  <c r="BD444" i="3"/>
  <c r="BD445" i="3"/>
  <c r="BD446" i="3"/>
  <c r="BD447" i="3"/>
  <c r="BD448" i="3"/>
  <c r="BD449" i="3"/>
  <c r="BD450" i="3"/>
  <c r="BD451" i="3"/>
  <c r="BD452" i="3"/>
  <c r="BD453" i="3"/>
  <c r="BD454" i="3"/>
  <c r="BD455" i="3"/>
  <c r="BD456" i="3"/>
  <c r="BD457" i="3"/>
  <c r="BD458" i="3"/>
  <c r="BD459" i="3"/>
  <c r="BD460" i="3"/>
  <c r="BD461" i="3"/>
  <c r="BD462" i="3"/>
  <c r="BD463" i="3"/>
  <c r="BD464" i="3"/>
  <c r="BD465" i="3"/>
  <c r="BD466" i="3"/>
  <c r="BD467" i="3"/>
  <c r="BD468" i="3"/>
  <c r="BD469" i="3"/>
  <c r="BD470" i="3"/>
  <c r="BD471" i="3"/>
  <c r="BD472" i="3"/>
  <c r="BD473" i="3"/>
  <c r="BD474" i="3"/>
  <c r="BD475" i="3"/>
  <c r="BD476" i="3"/>
  <c r="BD477" i="3"/>
  <c r="BD478" i="3"/>
  <c r="BD479" i="3"/>
  <c r="BD480" i="3"/>
  <c r="BD481" i="3"/>
  <c r="BD482" i="3"/>
  <c r="BD483" i="3"/>
  <c r="BD484" i="3"/>
  <c r="BD485" i="3"/>
  <c r="BD486" i="3"/>
  <c r="BD487" i="3"/>
  <c r="BD488" i="3"/>
  <c r="BD489" i="3"/>
  <c r="BD490" i="3"/>
  <c r="BD491" i="3"/>
  <c r="BD492" i="3"/>
  <c r="BD493" i="3"/>
  <c r="BD494" i="3"/>
  <c r="BD495" i="3"/>
  <c r="BD496" i="3"/>
  <c r="BD497" i="3"/>
  <c r="BD498" i="3"/>
  <c r="BD499" i="3"/>
  <c r="BD500" i="3"/>
  <c r="BD501" i="3"/>
  <c r="BD502" i="3"/>
  <c r="BD503" i="3"/>
  <c r="BD504" i="3"/>
  <c r="BD505" i="3"/>
  <c r="BD506" i="3"/>
  <c r="BD507" i="3"/>
  <c r="BD508" i="3"/>
  <c r="BD509" i="3"/>
  <c r="BD510" i="3"/>
  <c r="BD511" i="3"/>
  <c r="BD512" i="3"/>
  <c r="BD513" i="3"/>
  <c r="BD514" i="3"/>
  <c r="BD515" i="3"/>
  <c r="BD516" i="3"/>
  <c r="BD517" i="3"/>
  <c r="BD518" i="3"/>
  <c r="BD519" i="3"/>
  <c r="BD520" i="3"/>
  <c r="BD521" i="3"/>
  <c r="BD522" i="3"/>
  <c r="BD523" i="3"/>
  <c r="BD524" i="3"/>
  <c r="BD525" i="3"/>
  <c r="BD526" i="3"/>
  <c r="BD527" i="3"/>
  <c r="BD528" i="3"/>
  <c r="BD529" i="3"/>
  <c r="BD530" i="3"/>
  <c r="BD531" i="3"/>
  <c r="BD532" i="3"/>
  <c r="BD533" i="3"/>
  <c r="BD534" i="3"/>
  <c r="BD535" i="3"/>
  <c r="BD536" i="3"/>
  <c r="BD537" i="3"/>
  <c r="BD538" i="3"/>
  <c r="BD539" i="3"/>
  <c r="BD540" i="3"/>
  <c r="BD541" i="3"/>
  <c r="BD542" i="3"/>
  <c r="BD543" i="3"/>
  <c r="BD544" i="3"/>
  <c r="BD545" i="3"/>
  <c r="BD546" i="3"/>
  <c r="BD547" i="3"/>
  <c r="BD548" i="3"/>
  <c r="BD549" i="3"/>
  <c r="BD550" i="3"/>
  <c r="BD551" i="3"/>
  <c r="BD552" i="3"/>
  <c r="BD553" i="3"/>
  <c r="BD554" i="3"/>
  <c r="BD555" i="3"/>
  <c r="BD556" i="3"/>
  <c r="BD557" i="3"/>
  <c r="BD558" i="3"/>
  <c r="BD559" i="3"/>
  <c r="BD560" i="3"/>
  <c r="BD561" i="3"/>
  <c r="BD562" i="3"/>
  <c r="BD563" i="3"/>
  <c r="BD564" i="3"/>
  <c r="BD565" i="3"/>
  <c r="BD566" i="3"/>
  <c r="BD567" i="3"/>
  <c r="BD568" i="3"/>
  <c r="BD569" i="3"/>
  <c r="BD570" i="3"/>
  <c r="BD571" i="3"/>
  <c r="BD572" i="3"/>
  <c r="BD573" i="3"/>
  <c r="BD574" i="3"/>
  <c r="BD575" i="3"/>
  <c r="BD576" i="3"/>
  <c r="BD577" i="3"/>
  <c r="BD578" i="3"/>
  <c r="BD579" i="3"/>
  <c r="BD580" i="3"/>
  <c r="BD581" i="3"/>
  <c r="BD582" i="3"/>
  <c r="BD583" i="3"/>
  <c r="BD584" i="3"/>
  <c r="BD585" i="3"/>
  <c r="BD586" i="3"/>
  <c r="BD587" i="3"/>
  <c r="BD588" i="3"/>
  <c r="BD589" i="3"/>
  <c r="BD590" i="3"/>
  <c r="BD591" i="3"/>
  <c r="BD592" i="3"/>
  <c r="BD593" i="3"/>
  <c r="BD594" i="3"/>
  <c r="BD595" i="3"/>
  <c r="BD596" i="3"/>
  <c r="BD597" i="3"/>
  <c r="BD598" i="3"/>
  <c r="BD599" i="3"/>
  <c r="BD600" i="3"/>
  <c r="BD601" i="3"/>
  <c r="BD602" i="3"/>
  <c r="BD603" i="3"/>
  <c r="BD604" i="3"/>
  <c r="BD605" i="3"/>
  <c r="BD606" i="3"/>
  <c r="BD607" i="3"/>
  <c r="BD608" i="3"/>
  <c r="BD609" i="3"/>
  <c r="BD610" i="3"/>
  <c r="BD611" i="3"/>
  <c r="BD612" i="3"/>
  <c r="BD613" i="3"/>
  <c r="BD614" i="3"/>
  <c r="BD615" i="3"/>
  <c r="BD616" i="3"/>
  <c r="BD617" i="3"/>
  <c r="BD618" i="3"/>
  <c r="BD619" i="3"/>
  <c r="BD620" i="3"/>
  <c r="BD621" i="3"/>
  <c r="BD622" i="3"/>
  <c r="BD623" i="3"/>
  <c r="BD624" i="3"/>
  <c r="BD625" i="3"/>
  <c r="BD626" i="3"/>
  <c r="BD627" i="3"/>
  <c r="BD628" i="3"/>
  <c r="BD629" i="3"/>
  <c r="BD630" i="3"/>
  <c r="BD631" i="3"/>
  <c r="BD632" i="3"/>
  <c r="BD633" i="3"/>
  <c r="BD634" i="3"/>
  <c r="BD635" i="3"/>
  <c r="BD636" i="3"/>
  <c r="BD637" i="3"/>
  <c r="BD638" i="3"/>
  <c r="BD639" i="3"/>
  <c r="BD640" i="3"/>
  <c r="BD641" i="3"/>
  <c r="BD642" i="3"/>
  <c r="BD643" i="3"/>
  <c r="BD644" i="3"/>
  <c r="BD645" i="3"/>
  <c r="BD646" i="3"/>
  <c r="BD647" i="3"/>
  <c r="BD648" i="3"/>
  <c r="BD649" i="3"/>
  <c r="BD650" i="3"/>
  <c r="BD651" i="3"/>
  <c r="BD652" i="3"/>
  <c r="BD653" i="3"/>
  <c r="BD654" i="3"/>
  <c r="BD655" i="3"/>
  <c r="BD656" i="3"/>
  <c r="BD657" i="3"/>
  <c r="BD658" i="3"/>
  <c r="BD659" i="3"/>
  <c r="BD660" i="3"/>
  <c r="BD661" i="3"/>
  <c r="BD662" i="3"/>
  <c r="BD663" i="3"/>
  <c r="BD664" i="3"/>
  <c r="BD665" i="3"/>
  <c r="BD666" i="3"/>
  <c r="BD667" i="3"/>
  <c r="BD668" i="3"/>
  <c r="BD669" i="3"/>
  <c r="BD670" i="3"/>
  <c r="BD671" i="3"/>
  <c r="BD672" i="3"/>
  <c r="BD673" i="3"/>
  <c r="BD674" i="3"/>
  <c r="BD675" i="3"/>
  <c r="BD676" i="3"/>
  <c r="BD677" i="3"/>
  <c r="BD678" i="3"/>
  <c r="BD679" i="3"/>
  <c r="BD680" i="3"/>
  <c r="BD681" i="3"/>
  <c r="BD682" i="3"/>
  <c r="BD683" i="3"/>
  <c r="BD684" i="3"/>
  <c r="BD685" i="3"/>
  <c r="BD686" i="3"/>
  <c r="BD687" i="3"/>
  <c r="BD688" i="3"/>
  <c r="BD689" i="3"/>
  <c r="BD690" i="3"/>
  <c r="BD691" i="3"/>
  <c r="BD692" i="3"/>
  <c r="BD693" i="3"/>
  <c r="BD694" i="3"/>
  <c r="BD695" i="3"/>
  <c r="BD696" i="3"/>
  <c r="BD697" i="3"/>
  <c r="BD698" i="3"/>
  <c r="BD699" i="3"/>
  <c r="BD700" i="3"/>
  <c r="BD701" i="3"/>
  <c r="BD702" i="3"/>
  <c r="BD703" i="3"/>
  <c r="BD704" i="3"/>
  <c r="BD705" i="3"/>
  <c r="BD706" i="3"/>
  <c r="BD707" i="3"/>
  <c r="BD708" i="3"/>
  <c r="BD709" i="3"/>
  <c r="BD710" i="3"/>
  <c r="BD711" i="3"/>
  <c r="BD712" i="3"/>
  <c r="BD713" i="3"/>
  <c r="BD714" i="3"/>
  <c r="BD715" i="3"/>
  <c r="BD716" i="3"/>
  <c r="BD717" i="3"/>
  <c r="BD718" i="3"/>
  <c r="BD719" i="3"/>
  <c r="BD720" i="3"/>
  <c r="BD721" i="3"/>
  <c r="BD722" i="3"/>
  <c r="BD723" i="3"/>
  <c r="BD724" i="3"/>
  <c r="BD725" i="3"/>
  <c r="BD726" i="3"/>
  <c r="BD727" i="3"/>
  <c r="BD728" i="3"/>
  <c r="BD729" i="3"/>
  <c r="BD730" i="3"/>
  <c r="BD731" i="3"/>
  <c r="BD732" i="3"/>
  <c r="BD733" i="3"/>
  <c r="BD734" i="3"/>
  <c r="BD735" i="3"/>
  <c r="BD736" i="3"/>
  <c r="BD737" i="3"/>
  <c r="BD738" i="3"/>
  <c r="BD739" i="3"/>
  <c r="BD740" i="3"/>
  <c r="BD741" i="3"/>
  <c r="BD742" i="3"/>
  <c r="BD743" i="3"/>
  <c r="BD744" i="3"/>
  <c r="BD745" i="3"/>
  <c r="BD746" i="3"/>
  <c r="BD747" i="3"/>
  <c r="BD748" i="3"/>
  <c r="BD749" i="3"/>
  <c r="BD750" i="3"/>
  <c r="BD751" i="3"/>
  <c r="BD752" i="3"/>
  <c r="BD753" i="3"/>
  <c r="BD754" i="3"/>
  <c r="BD755" i="3"/>
  <c r="BD756" i="3"/>
  <c r="BD757" i="3"/>
  <c r="BD758" i="3"/>
  <c r="BD759" i="3"/>
  <c r="BD760" i="3"/>
  <c r="BD761" i="3"/>
  <c r="BD762" i="3"/>
  <c r="BD763" i="3"/>
  <c r="BD764" i="3"/>
  <c r="BD765" i="3"/>
  <c r="BD766" i="3"/>
  <c r="BD767" i="3"/>
  <c r="BD768" i="3"/>
  <c r="BD769" i="3"/>
  <c r="BD770" i="3"/>
  <c r="BD771" i="3"/>
  <c r="BD772" i="3"/>
  <c r="BD773" i="3"/>
  <c r="BD774" i="3"/>
  <c r="BD775" i="3"/>
  <c r="BD776" i="3"/>
  <c r="BD777" i="3"/>
  <c r="BD778" i="3"/>
  <c r="BD779" i="3"/>
  <c r="BD780" i="3"/>
  <c r="BD781" i="3"/>
  <c r="BD782" i="3"/>
  <c r="BD783" i="3"/>
  <c r="BD784" i="3"/>
  <c r="BD785" i="3"/>
  <c r="BD786" i="3"/>
  <c r="BD787" i="3"/>
  <c r="BD788" i="3"/>
  <c r="BD789" i="3"/>
  <c r="BD790" i="3"/>
  <c r="BD791" i="3"/>
  <c r="BD792" i="3"/>
  <c r="BD793" i="3"/>
  <c r="BD794" i="3"/>
  <c r="BD795" i="3"/>
  <c r="BD796" i="3"/>
  <c r="BD797" i="3"/>
  <c r="BD798" i="3"/>
  <c r="BD799" i="3"/>
  <c r="BD800" i="3"/>
  <c r="BD801" i="3"/>
  <c r="BD802" i="3"/>
  <c r="BD803" i="3"/>
  <c r="BD804" i="3"/>
  <c r="BD805" i="3"/>
  <c r="BD806" i="3"/>
  <c r="BD807" i="3"/>
  <c r="BD808" i="3"/>
  <c r="BD809" i="3"/>
  <c r="BD810" i="3"/>
  <c r="BD811" i="3"/>
  <c r="BD812" i="3"/>
  <c r="BD813" i="3"/>
  <c r="BD814" i="3"/>
  <c r="BD815" i="3"/>
  <c r="BD816" i="3"/>
  <c r="BD817" i="3"/>
  <c r="BD818" i="3"/>
  <c r="BD819" i="3"/>
  <c r="BD820" i="3"/>
  <c r="BD821" i="3"/>
  <c r="BD822" i="3"/>
  <c r="BD823" i="3"/>
  <c r="BD824" i="3"/>
  <c r="BD825" i="3"/>
  <c r="BD826" i="3"/>
  <c r="BD827" i="3"/>
  <c r="BD828" i="3"/>
  <c r="BD829" i="3"/>
  <c r="BD830" i="3"/>
  <c r="BD831" i="3"/>
  <c r="BD832" i="3"/>
  <c r="BD833" i="3"/>
  <c r="BD834" i="3"/>
  <c r="BD835" i="3"/>
  <c r="BD836" i="3"/>
  <c r="BD837" i="3"/>
  <c r="BD838" i="3"/>
  <c r="BD839" i="3"/>
  <c r="BD840" i="3"/>
  <c r="BD841" i="3"/>
  <c r="BD842" i="3"/>
  <c r="BD843" i="3"/>
  <c r="BD844" i="3"/>
  <c r="BD845" i="3"/>
  <c r="BD846" i="3"/>
  <c r="BD847" i="3"/>
  <c r="BD848" i="3"/>
  <c r="BD849" i="3"/>
  <c r="BD850" i="3"/>
  <c r="BD85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682" i="3"/>
  <c r="BC683" i="3"/>
  <c r="BC684" i="3"/>
  <c r="BC685" i="3"/>
  <c r="BC686" i="3"/>
  <c r="BC687" i="3"/>
  <c r="BC688" i="3"/>
  <c r="BC689" i="3"/>
  <c r="BC690" i="3"/>
  <c r="BC691" i="3"/>
  <c r="BC692" i="3"/>
  <c r="BC693" i="3"/>
  <c r="BC694" i="3"/>
  <c r="BC695" i="3"/>
  <c r="BC696" i="3"/>
  <c r="BC697" i="3"/>
  <c r="BC698" i="3"/>
  <c r="BC699" i="3"/>
  <c r="BC700" i="3"/>
  <c r="BC701" i="3"/>
  <c r="BC702" i="3"/>
  <c r="BC703" i="3"/>
  <c r="BC704" i="3"/>
  <c r="BC705" i="3"/>
  <c r="BC706" i="3"/>
  <c r="BC707" i="3"/>
  <c r="BC708" i="3"/>
  <c r="BC709" i="3"/>
  <c r="BC710" i="3"/>
  <c r="BC711" i="3"/>
  <c r="BC712" i="3"/>
  <c r="BC713" i="3"/>
  <c r="BC714" i="3"/>
  <c r="BC715" i="3"/>
  <c r="BC716" i="3"/>
  <c r="BC717" i="3"/>
  <c r="BC718" i="3"/>
  <c r="BC719" i="3"/>
  <c r="BC720" i="3"/>
  <c r="BC721" i="3"/>
  <c r="BC722" i="3"/>
  <c r="BC723" i="3"/>
  <c r="BC724" i="3"/>
  <c r="BC725" i="3"/>
  <c r="BC726" i="3"/>
  <c r="BC727" i="3"/>
  <c r="BC728" i="3"/>
  <c r="BC729" i="3"/>
  <c r="BC730" i="3"/>
  <c r="BC731" i="3"/>
  <c r="BC732" i="3"/>
  <c r="BC733" i="3"/>
  <c r="BC734" i="3"/>
  <c r="BC735" i="3"/>
  <c r="BC736" i="3"/>
  <c r="BC737" i="3"/>
  <c r="BC738" i="3"/>
  <c r="BC739" i="3"/>
  <c r="BC740" i="3"/>
  <c r="BC741" i="3"/>
  <c r="BC742" i="3"/>
  <c r="BC743" i="3"/>
  <c r="BC744" i="3"/>
  <c r="BC745" i="3"/>
  <c r="BC746" i="3"/>
  <c r="BC747" i="3"/>
  <c r="BC748" i="3"/>
  <c r="BC749" i="3"/>
  <c r="BC750" i="3"/>
  <c r="BC751" i="3"/>
  <c r="BC752" i="3"/>
  <c r="BC753" i="3"/>
  <c r="BC754" i="3"/>
  <c r="BC755" i="3"/>
  <c r="BC756" i="3"/>
  <c r="BC757" i="3"/>
  <c r="BC758" i="3"/>
  <c r="BC759" i="3"/>
  <c r="BC760" i="3"/>
  <c r="BC761" i="3"/>
  <c r="BC762" i="3"/>
  <c r="BC763" i="3"/>
  <c r="BC764" i="3"/>
  <c r="BC765" i="3"/>
  <c r="BC766" i="3"/>
  <c r="BC767" i="3"/>
  <c r="BC768" i="3"/>
  <c r="BC769" i="3"/>
  <c r="BC770" i="3"/>
  <c r="BC771" i="3"/>
  <c r="BC772" i="3"/>
  <c r="BC773" i="3"/>
  <c r="BC774" i="3"/>
  <c r="BC775" i="3"/>
  <c r="BC776" i="3"/>
  <c r="BC777" i="3"/>
  <c r="BC778" i="3"/>
  <c r="BC779" i="3"/>
  <c r="BC780" i="3"/>
  <c r="BC781" i="3"/>
  <c r="BC782" i="3"/>
  <c r="BC783" i="3"/>
  <c r="BC784" i="3"/>
  <c r="BC785" i="3"/>
  <c r="BC786" i="3"/>
  <c r="BC787" i="3"/>
  <c r="BC788" i="3"/>
  <c r="BC789" i="3"/>
  <c r="BC790" i="3"/>
  <c r="BC791" i="3"/>
  <c r="BC792" i="3"/>
  <c r="BC793" i="3"/>
  <c r="BC794" i="3"/>
  <c r="BC795" i="3"/>
  <c r="BC796" i="3"/>
  <c r="BC797" i="3"/>
  <c r="BC798" i="3"/>
  <c r="BC799" i="3"/>
  <c r="BC800" i="3"/>
  <c r="BC801" i="3"/>
  <c r="BC802" i="3"/>
  <c r="BC803" i="3"/>
  <c r="BC804" i="3"/>
  <c r="BC805" i="3"/>
  <c r="BC806" i="3"/>
  <c r="BC807" i="3"/>
  <c r="BC808" i="3"/>
  <c r="BC809" i="3"/>
  <c r="BC810" i="3"/>
  <c r="BC811" i="3"/>
  <c r="BC812" i="3"/>
  <c r="BC813" i="3"/>
  <c r="BC814" i="3"/>
  <c r="BC815" i="3"/>
  <c r="BC816" i="3"/>
  <c r="BC817" i="3"/>
  <c r="BC818" i="3"/>
  <c r="BC819" i="3"/>
  <c r="BC820" i="3"/>
  <c r="BC821" i="3"/>
  <c r="BC822" i="3"/>
  <c r="BC823" i="3"/>
  <c r="BC824" i="3"/>
  <c r="BC825" i="3"/>
  <c r="BC826" i="3"/>
  <c r="BC827" i="3"/>
  <c r="BC828" i="3"/>
  <c r="BC829" i="3"/>
  <c r="BC830" i="3"/>
  <c r="BC831" i="3"/>
  <c r="BC832" i="3"/>
  <c r="BC833" i="3"/>
  <c r="BC834" i="3"/>
  <c r="BC835" i="3"/>
  <c r="BC836" i="3"/>
  <c r="BC837" i="3"/>
  <c r="BC838" i="3"/>
  <c r="BC839" i="3"/>
  <c r="BC840" i="3"/>
  <c r="BC841" i="3"/>
  <c r="BC842" i="3"/>
  <c r="BC843" i="3"/>
  <c r="BC844" i="3"/>
  <c r="BC845" i="3"/>
  <c r="BC846" i="3"/>
  <c r="BC847" i="3"/>
  <c r="BC848" i="3"/>
  <c r="BC849" i="3"/>
  <c r="BC850" i="3"/>
  <c r="BC851" i="3"/>
  <c r="BC852" i="3"/>
  <c r="BC853" i="3"/>
  <c r="BC854" i="3"/>
  <c r="BC855" i="3"/>
  <c r="BC856" i="3"/>
  <c r="BC857" i="3"/>
  <c r="BC858" i="3"/>
  <c r="BC859" i="3"/>
  <c r="BC860" i="3"/>
  <c r="BC861" i="3"/>
  <c r="BC862" i="3"/>
  <c r="BC863" i="3"/>
  <c r="BC864" i="3"/>
  <c r="BC865" i="3"/>
  <c r="BC866" i="3"/>
  <c r="BC867" i="3"/>
  <c r="BC868" i="3"/>
  <c r="BC869" i="3"/>
  <c r="BC870" i="3"/>
  <c r="BC871" i="3"/>
  <c r="BC872" i="3"/>
  <c r="BC873" i="3"/>
  <c r="BC874" i="3"/>
  <c r="BC875" i="3"/>
  <c r="BC876" i="3"/>
  <c r="BC877" i="3"/>
  <c r="BC878" i="3"/>
  <c r="BC879" i="3"/>
  <c r="BC880" i="3"/>
  <c r="BC881" i="3"/>
  <c r="BC882" i="3"/>
  <c r="BC883" i="3"/>
  <c r="BC884" i="3"/>
  <c r="BC885" i="3"/>
  <c r="BC886" i="3"/>
  <c r="BC887" i="3"/>
  <c r="BC888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2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4" i="3"/>
  <c r="BB115" i="3"/>
  <c r="BB116" i="3"/>
  <c r="BB117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0" i="3"/>
  <c r="BB131" i="3"/>
  <c r="BB132" i="3"/>
  <c r="BB133" i="3"/>
  <c r="BB134" i="3"/>
  <c r="BB135" i="3"/>
  <c r="BB136" i="3"/>
  <c r="BB137" i="3"/>
  <c r="BB138" i="3"/>
  <c r="BB139" i="3"/>
  <c r="BB140" i="3"/>
  <c r="BB141" i="3"/>
  <c r="BB142" i="3"/>
  <c r="BB143" i="3"/>
  <c r="BB144" i="3"/>
  <c r="BB145" i="3"/>
  <c r="BB146" i="3"/>
  <c r="BB147" i="3"/>
  <c r="BB148" i="3"/>
  <c r="BB149" i="3"/>
  <c r="BB150" i="3"/>
  <c r="BB151" i="3"/>
  <c r="BB152" i="3"/>
  <c r="BB153" i="3"/>
  <c r="BB154" i="3"/>
  <c r="BB155" i="3"/>
  <c r="BB156" i="3"/>
  <c r="BB157" i="3"/>
  <c r="BB158" i="3"/>
  <c r="BB159" i="3"/>
  <c r="BB160" i="3"/>
  <c r="BB161" i="3"/>
  <c r="BB162" i="3"/>
  <c r="BB163" i="3"/>
  <c r="BB164" i="3"/>
  <c r="BB165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8" i="3"/>
  <c r="BB179" i="3"/>
  <c r="BB180" i="3"/>
  <c r="BB181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4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0" i="3"/>
  <c r="BB211" i="3"/>
  <c r="BB212" i="3"/>
  <c r="BB213" i="3"/>
  <c r="BB214" i="3"/>
  <c r="BB215" i="3"/>
  <c r="BB216" i="3"/>
  <c r="BB217" i="3"/>
  <c r="BB218" i="3"/>
  <c r="BB219" i="3"/>
  <c r="BB220" i="3"/>
  <c r="BB221" i="3"/>
  <c r="BB222" i="3"/>
  <c r="BB223" i="3"/>
  <c r="BB224" i="3"/>
  <c r="BB225" i="3"/>
  <c r="BB226" i="3"/>
  <c r="BB227" i="3"/>
  <c r="BB228" i="3"/>
  <c r="BB229" i="3"/>
  <c r="BB230" i="3"/>
  <c r="BB231" i="3"/>
  <c r="BB232" i="3"/>
  <c r="BB233" i="3"/>
  <c r="BB234" i="3"/>
  <c r="BB235" i="3"/>
  <c r="BB236" i="3"/>
  <c r="BB237" i="3"/>
  <c r="BB238" i="3"/>
  <c r="BB239" i="3"/>
  <c r="BB240" i="3"/>
  <c r="BB241" i="3"/>
  <c r="BB242" i="3"/>
  <c r="BB243" i="3"/>
  <c r="BB244" i="3"/>
  <c r="BB245" i="3"/>
  <c r="BB246" i="3"/>
  <c r="BB247" i="3"/>
  <c r="BB248" i="3"/>
  <c r="BB249" i="3"/>
  <c r="BB250" i="3"/>
  <c r="BB251" i="3"/>
  <c r="BB252" i="3"/>
  <c r="BB253" i="3"/>
  <c r="BB254" i="3"/>
  <c r="BB255" i="3"/>
  <c r="BB256" i="3"/>
  <c r="BB257" i="3"/>
  <c r="BB258" i="3"/>
  <c r="BB259" i="3"/>
  <c r="BB260" i="3"/>
  <c r="BB261" i="3"/>
  <c r="BB262" i="3"/>
  <c r="BB263" i="3"/>
  <c r="BB264" i="3"/>
  <c r="BB265" i="3"/>
  <c r="BB266" i="3"/>
  <c r="BB267" i="3"/>
  <c r="BB268" i="3"/>
  <c r="BB269" i="3"/>
  <c r="BB270" i="3"/>
  <c r="BB271" i="3"/>
  <c r="BB272" i="3"/>
  <c r="BB273" i="3"/>
  <c r="BB274" i="3"/>
  <c r="BB275" i="3"/>
  <c r="BB276" i="3"/>
  <c r="BB277" i="3"/>
  <c r="BB278" i="3"/>
  <c r="BB279" i="3"/>
  <c r="BB280" i="3"/>
  <c r="BB281" i="3"/>
  <c r="BB282" i="3"/>
  <c r="BB283" i="3"/>
  <c r="BB284" i="3"/>
  <c r="BB285" i="3"/>
  <c r="BB286" i="3"/>
  <c r="BB287" i="3"/>
  <c r="BB288" i="3"/>
  <c r="BB289" i="3"/>
  <c r="BB290" i="3"/>
  <c r="BB291" i="3"/>
  <c r="BB292" i="3"/>
  <c r="BB293" i="3"/>
  <c r="BB294" i="3"/>
  <c r="BB295" i="3"/>
  <c r="BB296" i="3"/>
  <c r="BB297" i="3"/>
  <c r="BB298" i="3"/>
  <c r="BB299" i="3"/>
  <c r="BB300" i="3"/>
  <c r="BB301" i="3"/>
  <c r="BB302" i="3"/>
  <c r="BB303" i="3"/>
  <c r="BB304" i="3"/>
  <c r="BB305" i="3"/>
  <c r="BB306" i="3"/>
  <c r="BB307" i="3"/>
  <c r="BB308" i="3"/>
  <c r="BB309" i="3"/>
  <c r="BB310" i="3"/>
  <c r="BB311" i="3"/>
  <c r="BB312" i="3"/>
  <c r="BB313" i="3"/>
  <c r="BB314" i="3"/>
  <c r="BB315" i="3"/>
  <c r="BB316" i="3"/>
  <c r="BB317" i="3"/>
  <c r="BB318" i="3"/>
  <c r="BB319" i="3"/>
  <c r="BB320" i="3"/>
  <c r="BB321" i="3"/>
  <c r="BB322" i="3"/>
  <c r="BB323" i="3"/>
  <c r="BB324" i="3"/>
  <c r="BB325" i="3"/>
  <c r="BB326" i="3"/>
  <c r="BB327" i="3"/>
  <c r="BB328" i="3"/>
  <c r="BB329" i="3"/>
  <c r="BB330" i="3"/>
  <c r="BB331" i="3"/>
  <c r="BB332" i="3"/>
  <c r="BB333" i="3"/>
  <c r="BB334" i="3"/>
  <c r="BB335" i="3"/>
  <c r="BB336" i="3"/>
  <c r="BB337" i="3"/>
  <c r="BB338" i="3"/>
  <c r="BB339" i="3"/>
  <c r="BB340" i="3"/>
  <c r="BB341" i="3"/>
  <c r="BB342" i="3"/>
  <c r="BB343" i="3"/>
  <c r="BB344" i="3"/>
  <c r="BB345" i="3"/>
  <c r="BB346" i="3"/>
  <c r="BB347" i="3"/>
  <c r="BB348" i="3"/>
  <c r="BB349" i="3"/>
  <c r="BB350" i="3"/>
  <c r="BB351" i="3"/>
  <c r="BB352" i="3"/>
  <c r="BB353" i="3"/>
  <c r="BB354" i="3"/>
  <c r="BB355" i="3"/>
  <c r="BB356" i="3"/>
  <c r="BB357" i="3"/>
  <c r="BB358" i="3"/>
  <c r="BB359" i="3"/>
  <c r="BB360" i="3"/>
  <c r="BB361" i="3"/>
  <c r="BB362" i="3"/>
  <c r="BB363" i="3"/>
  <c r="BB364" i="3"/>
  <c r="BB365" i="3"/>
  <c r="BB366" i="3"/>
  <c r="BB367" i="3"/>
  <c r="BB368" i="3"/>
  <c r="BB369" i="3"/>
  <c r="BB370" i="3"/>
  <c r="BB371" i="3"/>
  <c r="BB372" i="3"/>
  <c r="BB373" i="3"/>
  <c r="BB374" i="3"/>
  <c r="BB375" i="3"/>
  <c r="BB376" i="3"/>
  <c r="BB377" i="3"/>
  <c r="BB378" i="3"/>
  <c r="BB379" i="3"/>
  <c r="BB380" i="3"/>
  <c r="BB381" i="3"/>
  <c r="BB382" i="3"/>
  <c r="BB383" i="3"/>
  <c r="BB384" i="3"/>
  <c r="BB385" i="3"/>
  <c r="BB386" i="3"/>
  <c r="BB387" i="3"/>
  <c r="BB388" i="3"/>
  <c r="BB389" i="3"/>
  <c r="BB390" i="3"/>
  <c r="BB391" i="3"/>
  <c r="BB392" i="3"/>
  <c r="BB393" i="3"/>
  <c r="BB394" i="3"/>
  <c r="BB395" i="3"/>
  <c r="BB396" i="3"/>
  <c r="BB397" i="3"/>
  <c r="BB398" i="3"/>
  <c r="BB399" i="3"/>
  <c r="BB400" i="3"/>
  <c r="BB401" i="3"/>
  <c r="BB402" i="3"/>
  <c r="BB403" i="3"/>
  <c r="BB404" i="3"/>
  <c r="BB405" i="3"/>
  <c r="BB406" i="3"/>
  <c r="BB407" i="3"/>
  <c r="BB408" i="3"/>
  <c r="BB409" i="3"/>
  <c r="BB410" i="3"/>
  <c r="BB411" i="3"/>
  <c r="BB412" i="3"/>
  <c r="BB413" i="3"/>
  <c r="BB414" i="3"/>
  <c r="BB415" i="3"/>
  <c r="BB416" i="3"/>
  <c r="BB417" i="3"/>
  <c r="BB418" i="3"/>
  <c r="BB419" i="3"/>
  <c r="BB420" i="3"/>
  <c r="BB421" i="3"/>
  <c r="BB422" i="3"/>
  <c r="BB423" i="3"/>
  <c r="BB424" i="3"/>
  <c r="BB425" i="3"/>
  <c r="BB426" i="3"/>
  <c r="BB427" i="3"/>
  <c r="BB428" i="3"/>
  <c r="BB429" i="3"/>
  <c r="BB430" i="3"/>
  <c r="BB431" i="3"/>
  <c r="BB432" i="3"/>
  <c r="BB433" i="3"/>
  <c r="BB434" i="3"/>
  <c r="BB435" i="3"/>
  <c r="BB436" i="3"/>
  <c r="BB437" i="3"/>
  <c r="BB438" i="3"/>
  <c r="BB439" i="3"/>
  <c r="BB440" i="3"/>
  <c r="BB441" i="3"/>
  <c r="BB442" i="3"/>
  <c r="BB443" i="3"/>
  <c r="BB444" i="3"/>
  <c r="BB445" i="3"/>
  <c r="BB446" i="3"/>
  <c r="BB447" i="3"/>
  <c r="BB448" i="3"/>
  <c r="BB449" i="3"/>
  <c r="BB450" i="3"/>
  <c r="BB451" i="3"/>
  <c r="BB452" i="3"/>
  <c r="BB453" i="3"/>
  <c r="BB454" i="3"/>
  <c r="BB455" i="3"/>
  <c r="BB456" i="3"/>
  <c r="BB457" i="3"/>
  <c r="BB458" i="3"/>
  <c r="BB459" i="3"/>
  <c r="BB460" i="3"/>
  <c r="BB461" i="3"/>
  <c r="BB462" i="3"/>
  <c r="BB463" i="3"/>
  <c r="BB464" i="3"/>
  <c r="BB465" i="3"/>
  <c r="BB466" i="3"/>
  <c r="BB467" i="3"/>
  <c r="BB468" i="3"/>
  <c r="BB469" i="3"/>
  <c r="BB470" i="3"/>
  <c r="BB471" i="3"/>
  <c r="BB472" i="3"/>
  <c r="BB473" i="3"/>
  <c r="BB474" i="3"/>
  <c r="BB475" i="3"/>
  <c r="BB476" i="3"/>
  <c r="BB477" i="3"/>
  <c r="BB478" i="3"/>
  <c r="BB479" i="3"/>
  <c r="BB480" i="3"/>
  <c r="BB481" i="3"/>
  <c r="BB482" i="3"/>
  <c r="BB483" i="3"/>
  <c r="BB484" i="3"/>
  <c r="BB485" i="3"/>
  <c r="BB486" i="3"/>
  <c r="BB487" i="3"/>
  <c r="BB488" i="3"/>
  <c r="BB489" i="3"/>
  <c r="BB490" i="3"/>
  <c r="BB491" i="3"/>
  <c r="BB492" i="3"/>
  <c r="BB493" i="3"/>
  <c r="BB494" i="3"/>
  <c r="BB495" i="3"/>
  <c r="BB496" i="3"/>
  <c r="BB497" i="3"/>
  <c r="BB498" i="3"/>
  <c r="BB499" i="3"/>
  <c r="BB500" i="3"/>
  <c r="BB501" i="3"/>
  <c r="BB502" i="3"/>
  <c r="BB503" i="3"/>
  <c r="BB504" i="3"/>
  <c r="BB505" i="3"/>
  <c r="BB506" i="3"/>
  <c r="BB507" i="3"/>
  <c r="BB508" i="3"/>
  <c r="BB509" i="3"/>
  <c r="BB510" i="3"/>
  <c r="BB511" i="3"/>
  <c r="BB512" i="3"/>
  <c r="BB513" i="3"/>
  <c r="BB514" i="3"/>
  <c r="BB515" i="3"/>
  <c r="BB516" i="3"/>
  <c r="BB517" i="3"/>
  <c r="BB518" i="3"/>
  <c r="BB519" i="3"/>
  <c r="BB520" i="3"/>
  <c r="BB521" i="3"/>
  <c r="BB522" i="3"/>
  <c r="BB523" i="3"/>
  <c r="BB524" i="3"/>
  <c r="BB525" i="3"/>
  <c r="BB526" i="3"/>
  <c r="BB527" i="3"/>
  <c r="BB528" i="3"/>
  <c r="BB529" i="3"/>
  <c r="BB530" i="3"/>
  <c r="BB531" i="3"/>
  <c r="BB532" i="3"/>
  <c r="BB533" i="3"/>
  <c r="BB534" i="3"/>
  <c r="BB535" i="3"/>
  <c r="BB536" i="3"/>
  <c r="BB537" i="3"/>
  <c r="BB538" i="3"/>
  <c r="BB539" i="3"/>
  <c r="BB540" i="3"/>
  <c r="BB541" i="3"/>
  <c r="BB542" i="3"/>
  <c r="BB543" i="3"/>
  <c r="BB544" i="3"/>
  <c r="BB545" i="3"/>
  <c r="BB546" i="3"/>
  <c r="BB547" i="3"/>
  <c r="BB548" i="3"/>
  <c r="BB549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2" i="3"/>
  <c r="BB563" i="3"/>
  <c r="BB564" i="3"/>
  <c r="BB565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8" i="3"/>
  <c r="BB579" i="3"/>
  <c r="BB580" i="3"/>
  <c r="BB581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4" i="3"/>
  <c r="BB595" i="3"/>
  <c r="BB596" i="3"/>
  <c r="BB597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0" i="3"/>
  <c r="BB611" i="3"/>
  <c r="BB612" i="3"/>
  <c r="BB613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6" i="3"/>
  <c r="BB627" i="3"/>
  <c r="BB628" i="3"/>
  <c r="BB629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2" i="3"/>
  <c r="BB643" i="3"/>
  <c r="BB644" i="3"/>
  <c r="BB645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8" i="3"/>
  <c r="BB659" i="3"/>
  <c r="BB660" i="3"/>
  <c r="BB661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4" i="3"/>
  <c r="BB675" i="3"/>
  <c r="BB676" i="3"/>
  <c r="BB677" i="3"/>
  <c r="BB678" i="3"/>
  <c r="BB679" i="3"/>
  <c r="BB680" i="3"/>
  <c r="BB681" i="3"/>
  <c r="BB682" i="3"/>
  <c r="BB683" i="3"/>
  <c r="BB684" i="3"/>
  <c r="BB685" i="3"/>
  <c r="BB686" i="3"/>
  <c r="BB687" i="3"/>
  <c r="BB688" i="3"/>
  <c r="BB689" i="3"/>
  <c r="BB690" i="3"/>
  <c r="BB691" i="3"/>
  <c r="BB692" i="3"/>
  <c r="BB693" i="3"/>
  <c r="BB694" i="3"/>
  <c r="BB695" i="3"/>
  <c r="BB696" i="3"/>
  <c r="BB697" i="3"/>
  <c r="BB698" i="3"/>
  <c r="BB699" i="3"/>
  <c r="BB700" i="3"/>
  <c r="BB701" i="3"/>
  <c r="BB702" i="3"/>
  <c r="BB703" i="3"/>
  <c r="BB704" i="3"/>
  <c r="BB705" i="3"/>
  <c r="BB706" i="3"/>
  <c r="BB707" i="3"/>
  <c r="BB708" i="3"/>
  <c r="BB709" i="3"/>
  <c r="BB710" i="3"/>
  <c r="BB711" i="3"/>
  <c r="BB712" i="3"/>
  <c r="BB713" i="3"/>
  <c r="BB714" i="3"/>
  <c r="BB715" i="3"/>
  <c r="BB716" i="3"/>
  <c r="BB717" i="3"/>
  <c r="BB718" i="3"/>
  <c r="BB719" i="3"/>
  <c r="BB720" i="3"/>
  <c r="BB721" i="3"/>
  <c r="BB722" i="3"/>
  <c r="BB723" i="3"/>
  <c r="BB724" i="3"/>
  <c r="BB725" i="3"/>
  <c r="BB726" i="3"/>
  <c r="BB727" i="3"/>
  <c r="BB728" i="3"/>
  <c r="BB729" i="3"/>
  <c r="BB730" i="3"/>
  <c r="BB731" i="3"/>
  <c r="BB732" i="3"/>
  <c r="BB733" i="3"/>
  <c r="BB734" i="3"/>
  <c r="BB735" i="3"/>
  <c r="BB736" i="3"/>
  <c r="BB737" i="3"/>
  <c r="BB738" i="3"/>
  <c r="BB739" i="3"/>
  <c r="BB740" i="3"/>
  <c r="BB741" i="3"/>
  <c r="BB742" i="3"/>
  <c r="BB743" i="3"/>
  <c r="BB744" i="3"/>
  <c r="BB745" i="3"/>
  <c r="BB746" i="3"/>
  <c r="BB747" i="3"/>
  <c r="BB748" i="3"/>
  <c r="BB749" i="3"/>
  <c r="BB750" i="3"/>
  <c r="BB751" i="3"/>
  <c r="BB752" i="3"/>
  <c r="BB753" i="3"/>
  <c r="BB754" i="3"/>
  <c r="BB755" i="3"/>
  <c r="BB756" i="3"/>
  <c r="BB757" i="3"/>
  <c r="BB758" i="3"/>
  <c r="BB759" i="3"/>
  <c r="BB760" i="3"/>
  <c r="BB761" i="3"/>
  <c r="BB762" i="3"/>
  <c r="BB763" i="3"/>
  <c r="BB764" i="3"/>
  <c r="BB765" i="3"/>
  <c r="BB766" i="3"/>
  <c r="BB767" i="3"/>
  <c r="BB768" i="3"/>
  <c r="BB769" i="3"/>
  <c r="BB770" i="3"/>
  <c r="BB771" i="3"/>
  <c r="BB772" i="3"/>
  <c r="BB773" i="3"/>
  <c r="BB774" i="3"/>
  <c r="BB775" i="3"/>
  <c r="BB776" i="3"/>
  <c r="BB777" i="3"/>
  <c r="BB778" i="3"/>
  <c r="BB779" i="3"/>
  <c r="BB780" i="3"/>
  <c r="BB781" i="3"/>
  <c r="BB782" i="3"/>
  <c r="BB783" i="3"/>
  <c r="BB784" i="3"/>
  <c r="BB785" i="3"/>
  <c r="BB786" i="3"/>
  <c r="BB787" i="3"/>
  <c r="BB788" i="3"/>
  <c r="BB789" i="3"/>
  <c r="BB790" i="3"/>
  <c r="BB791" i="3"/>
  <c r="BB792" i="3"/>
  <c r="BB793" i="3"/>
  <c r="BB794" i="3"/>
  <c r="BB795" i="3"/>
  <c r="BB796" i="3"/>
  <c r="BB797" i="3"/>
  <c r="BB798" i="3"/>
  <c r="BB799" i="3"/>
  <c r="BB800" i="3"/>
  <c r="BB801" i="3"/>
  <c r="BB802" i="3"/>
  <c r="BB803" i="3"/>
  <c r="BB804" i="3"/>
  <c r="BB805" i="3"/>
  <c r="BB806" i="3"/>
  <c r="BB807" i="3"/>
  <c r="BB808" i="3"/>
  <c r="BB809" i="3"/>
  <c r="BB810" i="3"/>
  <c r="BB811" i="3"/>
  <c r="BB812" i="3"/>
  <c r="BB813" i="3"/>
  <c r="BB814" i="3"/>
  <c r="BB815" i="3"/>
  <c r="BB816" i="3"/>
  <c r="BB817" i="3"/>
  <c r="BB818" i="3"/>
  <c r="BB819" i="3"/>
  <c r="BB820" i="3"/>
  <c r="BB821" i="3"/>
  <c r="BB822" i="3"/>
  <c r="BB823" i="3"/>
  <c r="BB824" i="3"/>
  <c r="BB825" i="3"/>
  <c r="BB826" i="3"/>
  <c r="BB827" i="3"/>
  <c r="BB828" i="3"/>
  <c r="BB829" i="3"/>
  <c r="BB830" i="3"/>
  <c r="BB831" i="3"/>
  <c r="BB832" i="3"/>
  <c r="BB833" i="3"/>
  <c r="BB834" i="3"/>
  <c r="BB835" i="3"/>
  <c r="BB836" i="3"/>
  <c r="BB837" i="3"/>
  <c r="BB838" i="3"/>
  <c r="BB839" i="3"/>
  <c r="BB840" i="3"/>
  <c r="BB841" i="3"/>
  <c r="BB842" i="3"/>
  <c r="BB843" i="3"/>
  <c r="BB844" i="3"/>
  <c r="BB845" i="3"/>
  <c r="BB846" i="3"/>
  <c r="BB847" i="3"/>
  <c r="BB848" i="3"/>
  <c r="BB849" i="3"/>
  <c r="BB850" i="3"/>
  <c r="BB851" i="3"/>
  <c r="BB852" i="3"/>
  <c r="BB853" i="3"/>
  <c r="BB854" i="3"/>
  <c r="BB855" i="3"/>
  <c r="BB856" i="3"/>
  <c r="BB857" i="3"/>
  <c r="BB858" i="3"/>
  <c r="BB859" i="3"/>
  <c r="BB860" i="3"/>
  <c r="BB861" i="3"/>
  <c r="BB862" i="3"/>
  <c r="BB863" i="3"/>
  <c r="BB864" i="3"/>
  <c r="BB865" i="3"/>
  <c r="BB866" i="3"/>
  <c r="BB867" i="3"/>
  <c r="BB868" i="3"/>
  <c r="BB869" i="3"/>
  <c r="BB870" i="3"/>
  <c r="BB871" i="3"/>
  <c r="BB872" i="3"/>
  <c r="BB873" i="3"/>
  <c r="BB874" i="3"/>
  <c r="BB875" i="3"/>
  <c r="BB876" i="3"/>
  <c r="BB877" i="3"/>
  <c r="BB878" i="3"/>
  <c r="BB879" i="3"/>
  <c r="BB880" i="3"/>
  <c r="BB881" i="3"/>
  <c r="BB882" i="3"/>
  <c r="BB883" i="3"/>
  <c r="BB884" i="3"/>
  <c r="BB885" i="3"/>
  <c r="BB886" i="3"/>
  <c r="BB887" i="3"/>
  <c r="BB888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4" i="3"/>
  <c r="BA605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0" i="3"/>
  <c r="BA621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6" i="3"/>
  <c r="BA637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2" i="3"/>
  <c r="BA653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8" i="3"/>
  <c r="BA669" i="3"/>
  <c r="BA670" i="3"/>
  <c r="BA671" i="3"/>
  <c r="BA672" i="3"/>
  <c r="BA673" i="3"/>
  <c r="BA674" i="3"/>
  <c r="BA675" i="3"/>
  <c r="BA676" i="3"/>
  <c r="BA677" i="3"/>
  <c r="BA678" i="3"/>
  <c r="BA679" i="3"/>
  <c r="BA680" i="3"/>
  <c r="BA681" i="3"/>
  <c r="BA682" i="3"/>
  <c r="BA683" i="3"/>
  <c r="BA684" i="3"/>
  <c r="BA685" i="3"/>
  <c r="BA686" i="3"/>
  <c r="BA687" i="3"/>
  <c r="BA688" i="3"/>
  <c r="BA689" i="3"/>
  <c r="BA690" i="3"/>
  <c r="BA691" i="3"/>
  <c r="BA692" i="3"/>
  <c r="BA693" i="3"/>
  <c r="BA694" i="3"/>
  <c r="BA695" i="3"/>
  <c r="BA696" i="3"/>
  <c r="BA697" i="3"/>
  <c r="BA698" i="3"/>
  <c r="BA699" i="3"/>
  <c r="BA700" i="3"/>
  <c r="BA701" i="3"/>
  <c r="BA702" i="3"/>
  <c r="BA703" i="3"/>
  <c r="BA704" i="3"/>
  <c r="BA705" i="3"/>
  <c r="BA706" i="3"/>
  <c r="BA707" i="3"/>
  <c r="BA708" i="3"/>
  <c r="BA709" i="3"/>
  <c r="BA710" i="3"/>
  <c r="BA711" i="3"/>
  <c r="BA712" i="3"/>
  <c r="BA713" i="3"/>
  <c r="BA714" i="3"/>
  <c r="BA715" i="3"/>
  <c r="BA716" i="3"/>
  <c r="BA717" i="3"/>
  <c r="BA718" i="3"/>
  <c r="BA719" i="3"/>
  <c r="BA720" i="3"/>
  <c r="BA721" i="3"/>
  <c r="BA722" i="3"/>
  <c r="BA723" i="3"/>
  <c r="BA724" i="3"/>
  <c r="BA725" i="3"/>
  <c r="BA726" i="3"/>
  <c r="BA727" i="3"/>
  <c r="BA728" i="3"/>
  <c r="BA729" i="3"/>
  <c r="BA730" i="3"/>
  <c r="BA731" i="3"/>
  <c r="BA732" i="3"/>
  <c r="BA733" i="3"/>
  <c r="BA734" i="3"/>
  <c r="BA735" i="3"/>
  <c r="BA736" i="3"/>
  <c r="BA737" i="3"/>
  <c r="BA738" i="3"/>
  <c r="BA739" i="3"/>
  <c r="BA740" i="3"/>
  <c r="BA741" i="3"/>
  <c r="BA742" i="3"/>
  <c r="BA743" i="3"/>
  <c r="BA744" i="3"/>
  <c r="BA745" i="3"/>
  <c r="BA746" i="3"/>
  <c r="BA747" i="3"/>
  <c r="BA748" i="3"/>
  <c r="BA749" i="3"/>
  <c r="BA750" i="3"/>
  <c r="BA751" i="3"/>
  <c r="BA752" i="3"/>
  <c r="BA753" i="3"/>
  <c r="BA754" i="3"/>
  <c r="BA755" i="3"/>
  <c r="BA756" i="3"/>
  <c r="BA757" i="3"/>
  <c r="BA758" i="3"/>
  <c r="BA759" i="3"/>
  <c r="BA760" i="3"/>
  <c r="BA761" i="3"/>
  <c r="BA762" i="3"/>
  <c r="BA763" i="3"/>
  <c r="BA764" i="3"/>
  <c r="BA765" i="3"/>
  <c r="BA766" i="3"/>
  <c r="BA767" i="3"/>
  <c r="BA768" i="3"/>
  <c r="BA769" i="3"/>
  <c r="BA770" i="3"/>
  <c r="BA771" i="3"/>
  <c r="BA772" i="3"/>
  <c r="BA773" i="3"/>
  <c r="BA774" i="3"/>
  <c r="BA775" i="3"/>
  <c r="BA776" i="3"/>
  <c r="BA777" i="3"/>
  <c r="BA778" i="3"/>
  <c r="BA779" i="3"/>
  <c r="BA780" i="3"/>
  <c r="BA781" i="3"/>
  <c r="BA782" i="3"/>
  <c r="BA783" i="3"/>
  <c r="BA784" i="3"/>
  <c r="BA785" i="3"/>
  <c r="BA786" i="3"/>
  <c r="BA787" i="3"/>
  <c r="BA788" i="3"/>
  <c r="BA789" i="3"/>
  <c r="BA790" i="3"/>
  <c r="BA791" i="3"/>
  <c r="BA792" i="3"/>
  <c r="BA793" i="3"/>
  <c r="BA794" i="3"/>
  <c r="BA795" i="3"/>
  <c r="BA796" i="3"/>
  <c r="BA797" i="3"/>
  <c r="BA798" i="3"/>
  <c r="BA799" i="3"/>
  <c r="BA800" i="3"/>
  <c r="BA801" i="3"/>
  <c r="BA802" i="3"/>
  <c r="BA803" i="3"/>
  <c r="BA804" i="3"/>
  <c r="BA805" i="3"/>
  <c r="BA806" i="3"/>
  <c r="BA807" i="3"/>
  <c r="BA808" i="3"/>
  <c r="BA809" i="3"/>
  <c r="BA810" i="3"/>
  <c r="BA811" i="3"/>
  <c r="BA812" i="3"/>
  <c r="BA813" i="3"/>
  <c r="BA814" i="3"/>
  <c r="BA815" i="3"/>
  <c r="BA816" i="3"/>
  <c r="BA817" i="3"/>
  <c r="BA818" i="3"/>
  <c r="BA819" i="3"/>
  <c r="BA820" i="3"/>
  <c r="BA821" i="3"/>
  <c r="BA822" i="3"/>
  <c r="BA823" i="3"/>
  <c r="BA824" i="3"/>
  <c r="BA825" i="3"/>
  <c r="BA826" i="3"/>
  <c r="BA827" i="3"/>
  <c r="BA828" i="3"/>
  <c r="BA829" i="3"/>
  <c r="BA830" i="3"/>
  <c r="BA831" i="3"/>
  <c r="BA832" i="3"/>
  <c r="BA833" i="3"/>
  <c r="BA834" i="3"/>
  <c r="BA835" i="3"/>
  <c r="BA836" i="3"/>
  <c r="BA837" i="3"/>
  <c r="BA838" i="3"/>
  <c r="BA839" i="3"/>
  <c r="BA840" i="3"/>
  <c r="BA841" i="3"/>
  <c r="BA842" i="3"/>
  <c r="BA843" i="3"/>
  <c r="BA844" i="3"/>
  <c r="BA845" i="3"/>
  <c r="BA846" i="3"/>
  <c r="BA847" i="3"/>
  <c r="BA848" i="3"/>
  <c r="BA849" i="3"/>
  <c r="BA850" i="3"/>
  <c r="BA851" i="3"/>
  <c r="BA852" i="3"/>
  <c r="BA853" i="3"/>
  <c r="BA854" i="3"/>
  <c r="BA855" i="3"/>
  <c r="BA856" i="3"/>
  <c r="BA857" i="3"/>
  <c r="BA858" i="3"/>
  <c r="BA859" i="3"/>
  <c r="BA860" i="3"/>
  <c r="BA861" i="3"/>
  <c r="BA862" i="3"/>
  <c r="BA863" i="3"/>
  <c r="BA864" i="3"/>
  <c r="BA865" i="3"/>
  <c r="BA866" i="3"/>
  <c r="BA867" i="3"/>
  <c r="BA868" i="3"/>
  <c r="BA869" i="3"/>
  <c r="BA870" i="3"/>
  <c r="BA871" i="3"/>
  <c r="BA872" i="3"/>
  <c r="BA873" i="3"/>
  <c r="BA874" i="3"/>
  <c r="BA875" i="3"/>
  <c r="BA876" i="3"/>
  <c r="BA877" i="3"/>
  <c r="BA878" i="3"/>
  <c r="BA879" i="3"/>
  <c r="BA880" i="3"/>
  <c r="BA881" i="3"/>
  <c r="BA882" i="3"/>
  <c r="BA883" i="3"/>
  <c r="BA884" i="3"/>
  <c r="BA885" i="3"/>
  <c r="BA886" i="3"/>
  <c r="BA887" i="3"/>
  <c r="BA888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8" i="3"/>
  <c r="AZ679" i="3"/>
  <c r="AZ680" i="3"/>
  <c r="AZ681" i="3"/>
  <c r="AZ682" i="3"/>
  <c r="AZ683" i="3"/>
  <c r="AZ684" i="3"/>
  <c r="AZ685" i="3"/>
  <c r="AZ686" i="3"/>
  <c r="AZ687" i="3"/>
  <c r="AZ688" i="3"/>
  <c r="AZ689" i="3"/>
  <c r="AZ690" i="3"/>
  <c r="AZ691" i="3"/>
  <c r="AZ692" i="3"/>
  <c r="AZ693" i="3"/>
  <c r="AZ694" i="3"/>
  <c r="AZ695" i="3"/>
  <c r="AZ696" i="3"/>
  <c r="AZ697" i="3"/>
  <c r="AZ698" i="3"/>
  <c r="AZ699" i="3"/>
  <c r="AZ700" i="3"/>
  <c r="AZ701" i="3"/>
  <c r="AZ702" i="3"/>
  <c r="AZ703" i="3"/>
  <c r="AZ704" i="3"/>
  <c r="AZ705" i="3"/>
  <c r="AZ706" i="3"/>
  <c r="AZ707" i="3"/>
  <c r="AZ708" i="3"/>
  <c r="AZ709" i="3"/>
  <c r="AZ710" i="3"/>
  <c r="AZ711" i="3"/>
  <c r="AZ712" i="3"/>
  <c r="AZ713" i="3"/>
  <c r="AZ714" i="3"/>
  <c r="AZ715" i="3"/>
  <c r="AZ716" i="3"/>
  <c r="AZ717" i="3"/>
  <c r="AZ718" i="3"/>
  <c r="AZ719" i="3"/>
  <c r="AZ720" i="3"/>
  <c r="AZ721" i="3"/>
  <c r="AZ722" i="3"/>
  <c r="AZ723" i="3"/>
  <c r="AZ724" i="3"/>
  <c r="AZ725" i="3"/>
  <c r="AZ726" i="3"/>
  <c r="AZ727" i="3"/>
  <c r="AZ728" i="3"/>
  <c r="AZ729" i="3"/>
  <c r="AZ730" i="3"/>
  <c r="AZ731" i="3"/>
  <c r="AZ732" i="3"/>
  <c r="AZ733" i="3"/>
  <c r="AZ734" i="3"/>
  <c r="AZ735" i="3"/>
  <c r="AZ736" i="3"/>
  <c r="AZ737" i="3"/>
  <c r="AZ738" i="3"/>
  <c r="AZ739" i="3"/>
  <c r="AZ740" i="3"/>
  <c r="AZ741" i="3"/>
  <c r="AZ742" i="3"/>
  <c r="AZ743" i="3"/>
  <c r="AZ744" i="3"/>
  <c r="AZ745" i="3"/>
  <c r="AZ746" i="3"/>
  <c r="AZ747" i="3"/>
  <c r="AZ748" i="3"/>
  <c r="AZ749" i="3"/>
  <c r="AZ750" i="3"/>
  <c r="AZ751" i="3"/>
  <c r="AZ752" i="3"/>
  <c r="AZ753" i="3"/>
  <c r="AZ754" i="3"/>
  <c r="AZ755" i="3"/>
  <c r="AZ756" i="3"/>
  <c r="AZ757" i="3"/>
  <c r="AZ758" i="3"/>
  <c r="AZ759" i="3"/>
  <c r="AZ760" i="3"/>
  <c r="AZ761" i="3"/>
  <c r="AZ762" i="3"/>
  <c r="AZ763" i="3"/>
  <c r="AZ764" i="3"/>
  <c r="AZ765" i="3"/>
  <c r="AZ766" i="3"/>
  <c r="AZ767" i="3"/>
  <c r="AZ768" i="3"/>
  <c r="AZ769" i="3"/>
  <c r="AZ770" i="3"/>
  <c r="AZ771" i="3"/>
  <c r="AZ772" i="3"/>
  <c r="AZ773" i="3"/>
  <c r="AZ774" i="3"/>
  <c r="AZ775" i="3"/>
  <c r="AZ776" i="3"/>
  <c r="AZ777" i="3"/>
  <c r="AZ778" i="3"/>
  <c r="AZ779" i="3"/>
  <c r="AZ780" i="3"/>
  <c r="AZ781" i="3"/>
  <c r="AZ782" i="3"/>
  <c r="AZ783" i="3"/>
  <c r="AZ784" i="3"/>
  <c r="AZ785" i="3"/>
  <c r="AZ786" i="3"/>
  <c r="AZ787" i="3"/>
  <c r="AZ788" i="3"/>
  <c r="AZ789" i="3"/>
  <c r="AZ790" i="3"/>
  <c r="AZ791" i="3"/>
  <c r="AZ792" i="3"/>
  <c r="AZ793" i="3"/>
  <c r="AZ794" i="3"/>
  <c r="AZ795" i="3"/>
  <c r="AZ796" i="3"/>
  <c r="AZ797" i="3"/>
  <c r="AZ798" i="3"/>
  <c r="AZ799" i="3"/>
  <c r="AZ800" i="3"/>
  <c r="AZ801" i="3"/>
  <c r="AZ802" i="3"/>
  <c r="AZ803" i="3"/>
  <c r="AZ804" i="3"/>
  <c r="AZ805" i="3"/>
  <c r="AZ806" i="3"/>
  <c r="AZ807" i="3"/>
  <c r="AZ808" i="3"/>
  <c r="AZ809" i="3"/>
  <c r="AZ810" i="3"/>
  <c r="AZ811" i="3"/>
  <c r="AZ812" i="3"/>
  <c r="AZ813" i="3"/>
  <c r="AZ814" i="3"/>
  <c r="AZ815" i="3"/>
  <c r="AZ816" i="3"/>
  <c r="AZ817" i="3"/>
  <c r="AZ818" i="3"/>
  <c r="AZ819" i="3"/>
  <c r="AZ820" i="3"/>
  <c r="AZ821" i="3"/>
  <c r="AZ822" i="3"/>
  <c r="AZ823" i="3"/>
  <c r="AZ824" i="3"/>
  <c r="AZ825" i="3"/>
  <c r="AZ826" i="3"/>
  <c r="AZ827" i="3"/>
  <c r="AZ828" i="3"/>
  <c r="AZ829" i="3"/>
  <c r="AZ830" i="3"/>
  <c r="AZ831" i="3"/>
  <c r="AZ832" i="3"/>
  <c r="AZ833" i="3"/>
  <c r="AZ834" i="3"/>
  <c r="AZ835" i="3"/>
  <c r="AZ836" i="3"/>
  <c r="AZ837" i="3"/>
  <c r="AZ838" i="3"/>
  <c r="AZ839" i="3"/>
  <c r="AZ840" i="3"/>
  <c r="AZ841" i="3"/>
  <c r="AZ842" i="3"/>
  <c r="AZ843" i="3"/>
  <c r="AZ844" i="3"/>
  <c r="AZ845" i="3"/>
  <c r="AZ846" i="3"/>
  <c r="AZ847" i="3"/>
  <c r="AZ848" i="3"/>
  <c r="AZ849" i="3"/>
  <c r="AZ850" i="3"/>
  <c r="AZ851" i="3"/>
  <c r="AZ852" i="3"/>
  <c r="AZ853" i="3"/>
  <c r="AZ854" i="3"/>
  <c r="AZ855" i="3"/>
  <c r="AZ856" i="3"/>
  <c r="AZ857" i="3"/>
  <c r="AZ858" i="3"/>
  <c r="AZ859" i="3"/>
  <c r="AZ860" i="3"/>
  <c r="AZ861" i="3"/>
  <c r="AZ862" i="3"/>
  <c r="AZ863" i="3"/>
  <c r="AZ864" i="3"/>
  <c r="AZ865" i="3"/>
  <c r="AZ866" i="3"/>
  <c r="AZ867" i="3"/>
  <c r="AZ868" i="3"/>
  <c r="AZ869" i="3"/>
  <c r="AZ870" i="3"/>
  <c r="AZ871" i="3"/>
  <c r="AZ872" i="3"/>
  <c r="AZ873" i="3"/>
  <c r="AZ874" i="3"/>
  <c r="AZ875" i="3"/>
  <c r="AZ876" i="3"/>
  <c r="AZ877" i="3"/>
  <c r="AZ878" i="3"/>
  <c r="AZ879" i="3"/>
  <c r="AZ880" i="3"/>
  <c r="AZ881" i="3"/>
  <c r="AZ882" i="3"/>
  <c r="AZ883" i="3"/>
  <c r="AZ884" i="3"/>
  <c r="AZ885" i="3"/>
  <c r="AZ886" i="3"/>
  <c r="AZ887" i="3"/>
  <c r="AZ888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770" i="3"/>
  <c r="AY771" i="3"/>
  <c r="AY772" i="3"/>
  <c r="AY773" i="3"/>
  <c r="AY774" i="3"/>
  <c r="AY775" i="3"/>
  <c r="AY776" i="3"/>
  <c r="AY777" i="3"/>
  <c r="AY778" i="3"/>
  <c r="AY779" i="3"/>
  <c r="AY780" i="3"/>
  <c r="AY781" i="3"/>
  <c r="AY782" i="3"/>
  <c r="AY783" i="3"/>
  <c r="AY784" i="3"/>
  <c r="AY785" i="3"/>
  <c r="AY786" i="3"/>
  <c r="AY787" i="3"/>
  <c r="AY788" i="3"/>
  <c r="AY789" i="3"/>
  <c r="AY790" i="3"/>
  <c r="AY791" i="3"/>
  <c r="AY792" i="3"/>
  <c r="AY793" i="3"/>
  <c r="AY794" i="3"/>
  <c r="AY795" i="3"/>
  <c r="AY796" i="3"/>
  <c r="AY797" i="3"/>
  <c r="AY798" i="3"/>
  <c r="AY799" i="3"/>
  <c r="AY800" i="3"/>
  <c r="AY801" i="3"/>
  <c r="AY802" i="3"/>
  <c r="AY803" i="3"/>
  <c r="AY804" i="3"/>
  <c r="AY805" i="3"/>
  <c r="AY806" i="3"/>
  <c r="AY807" i="3"/>
  <c r="AY808" i="3"/>
  <c r="AY809" i="3"/>
  <c r="AY810" i="3"/>
  <c r="AY811" i="3"/>
  <c r="AY812" i="3"/>
  <c r="AY813" i="3"/>
  <c r="AY814" i="3"/>
  <c r="AY815" i="3"/>
  <c r="AY816" i="3"/>
  <c r="AY817" i="3"/>
  <c r="AY818" i="3"/>
  <c r="AY819" i="3"/>
  <c r="AY820" i="3"/>
  <c r="AY821" i="3"/>
  <c r="AY822" i="3"/>
  <c r="AY823" i="3"/>
  <c r="AY824" i="3"/>
  <c r="AY825" i="3"/>
  <c r="AY826" i="3"/>
  <c r="AY827" i="3"/>
  <c r="AY828" i="3"/>
  <c r="AY829" i="3"/>
  <c r="AY830" i="3"/>
  <c r="AY831" i="3"/>
  <c r="AY832" i="3"/>
  <c r="AY833" i="3"/>
  <c r="AY834" i="3"/>
  <c r="AY835" i="3"/>
  <c r="AY836" i="3"/>
  <c r="AY837" i="3"/>
  <c r="AY838" i="3"/>
  <c r="AY839" i="3"/>
  <c r="AY840" i="3"/>
  <c r="AY841" i="3"/>
  <c r="AY842" i="3"/>
  <c r="AY843" i="3"/>
  <c r="AY844" i="3"/>
  <c r="AY845" i="3"/>
  <c r="AY846" i="3"/>
  <c r="AY847" i="3"/>
  <c r="AY848" i="3"/>
  <c r="AY849" i="3"/>
  <c r="AY850" i="3"/>
  <c r="AY851" i="3"/>
  <c r="AY852" i="3"/>
  <c r="AY853" i="3"/>
  <c r="AY854" i="3"/>
  <c r="AY855" i="3"/>
  <c r="AY856" i="3"/>
  <c r="AY857" i="3"/>
  <c r="AY858" i="3"/>
  <c r="AY859" i="3"/>
  <c r="AY860" i="3"/>
  <c r="AY861" i="3"/>
  <c r="AY862" i="3"/>
  <c r="AY863" i="3"/>
  <c r="AY864" i="3"/>
  <c r="AY865" i="3"/>
  <c r="AY866" i="3"/>
  <c r="AY867" i="3"/>
  <c r="AY868" i="3"/>
  <c r="AY869" i="3"/>
  <c r="AY870" i="3"/>
  <c r="AY871" i="3"/>
  <c r="AY872" i="3"/>
  <c r="AY873" i="3"/>
  <c r="AY874" i="3"/>
  <c r="AY875" i="3"/>
  <c r="AY876" i="3"/>
  <c r="AY877" i="3"/>
  <c r="AY878" i="3"/>
  <c r="AY879" i="3"/>
  <c r="AY880" i="3"/>
  <c r="AY881" i="3"/>
  <c r="AY882" i="3"/>
  <c r="AY883" i="3"/>
  <c r="AY884" i="3"/>
  <c r="AY885" i="3"/>
  <c r="AY886" i="3"/>
  <c r="AY887" i="3"/>
  <c r="AY888" i="3"/>
  <c r="AY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X722" i="3"/>
  <c r="AX723" i="3"/>
  <c r="AX724" i="3"/>
  <c r="AX725" i="3"/>
  <c r="AX726" i="3"/>
  <c r="AX727" i="3"/>
  <c r="AX728" i="3"/>
  <c r="AX729" i="3"/>
  <c r="AX730" i="3"/>
  <c r="AX731" i="3"/>
  <c r="AX732" i="3"/>
  <c r="AX733" i="3"/>
  <c r="AX734" i="3"/>
  <c r="AX735" i="3"/>
  <c r="AX736" i="3"/>
  <c r="AX737" i="3"/>
  <c r="AX738" i="3"/>
  <c r="AX739" i="3"/>
  <c r="AX740" i="3"/>
  <c r="AX741" i="3"/>
  <c r="AX742" i="3"/>
  <c r="AX743" i="3"/>
  <c r="AX744" i="3"/>
  <c r="AX745" i="3"/>
  <c r="AX746" i="3"/>
  <c r="AX747" i="3"/>
  <c r="AX748" i="3"/>
  <c r="AX749" i="3"/>
  <c r="AX750" i="3"/>
  <c r="AX751" i="3"/>
  <c r="AX752" i="3"/>
  <c r="AX753" i="3"/>
  <c r="AX754" i="3"/>
  <c r="AX755" i="3"/>
  <c r="AX756" i="3"/>
  <c r="AX757" i="3"/>
  <c r="AX758" i="3"/>
  <c r="AX759" i="3"/>
  <c r="AX760" i="3"/>
  <c r="AX761" i="3"/>
  <c r="AX762" i="3"/>
  <c r="AX763" i="3"/>
  <c r="AX764" i="3"/>
  <c r="AX765" i="3"/>
  <c r="AX766" i="3"/>
  <c r="AX767" i="3"/>
  <c r="AX768" i="3"/>
  <c r="AX769" i="3"/>
  <c r="AX770" i="3"/>
  <c r="AX771" i="3"/>
  <c r="AX772" i="3"/>
  <c r="AX773" i="3"/>
  <c r="AX774" i="3"/>
  <c r="AX775" i="3"/>
  <c r="AX776" i="3"/>
  <c r="AX777" i="3"/>
  <c r="AX778" i="3"/>
  <c r="AX779" i="3"/>
  <c r="AX780" i="3"/>
  <c r="AX781" i="3"/>
  <c r="AX782" i="3"/>
  <c r="AX783" i="3"/>
  <c r="AX784" i="3"/>
  <c r="AX785" i="3"/>
  <c r="AX786" i="3"/>
  <c r="AX787" i="3"/>
  <c r="AX788" i="3"/>
  <c r="AX789" i="3"/>
  <c r="AX790" i="3"/>
  <c r="AX791" i="3"/>
  <c r="AX792" i="3"/>
  <c r="AX793" i="3"/>
  <c r="AX794" i="3"/>
  <c r="AX795" i="3"/>
  <c r="AX796" i="3"/>
  <c r="AX797" i="3"/>
  <c r="AX798" i="3"/>
  <c r="AX799" i="3"/>
  <c r="AX800" i="3"/>
  <c r="AX801" i="3"/>
  <c r="AX802" i="3"/>
  <c r="AX803" i="3"/>
  <c r="AX804" i="3"/>
  <c r="AX805" i="3"/>
  <c r="AX806" i="3"/>
  <c r="AX807" i="3"/>
  <c r="AX808" i="3"/>
  <c r="AX809" i="3"/>
  <c r="AX810" i="3"/>
  <c r="AX811" i="3"/>
  <c r="AX812" i="3"/>
  <c r="AX813" i="3"/>
  <c r="AX814" i="3"/>
  <c r="AX815" i="3"/>
  <c r="AX816" i="3"/>
  <c r="AX817" i="3"/>
  <c r="AX818" i="3"/>
  <c r="AX819" i="3"/>
  <c r="AX820" i="3"/>
  <c r="AX821" i="3"/>
  <c r="AX822" i="3"/>
  <c r="AX823" i="3"/>
  <c r="AX824" i="3"/>
  <c r="AX825" i="3"/>
  <c r="AX826" i="3"/>
  <c r="AX827" i="3"/>
  <c r="AX828" i="3"/>
  <c r="AX829" i="3"/>
  <c r="AX830" i="3"/>
  <c r="AX831" i="3"/>
  <c r="AX832" i="3"/>
  <c r="AX833" i="3"/>
  <c r="AX834" i="3"/>
  <c r="AX835" i="3"/>
  <c r="AX836" i="3"/>
  <c r="AX837" i="3"/>
  <c r="AX838" i="3"/>
  <c r="AX839" i="3"/>
  <c r="AX840" i="3"/>
  <c r="AX841" i="3"/>
  <c r="AX842" i="3"/>
  <c r="AX843" i="3"/>
  <c r="AX844" i="3"/>
  <c r="AX845" i="3"/>
  <c r="AX846" i="3"/>
  <c r="AX847" i="3"/>
  <c r="AX848" i="3"/>
  <c r="AX849" i="3"/>
  <c r="AX850" i="3"/>
  <c r="AX851" i="3"/>
  <c r="AX852" i="3"/>
  <c r="AX853" i="3"/>
  <c r="AX854" i="3"/>
  <c r="AX855" i="3"/>
  <c r="AX856" i="3"/>
  <c r="AX857" i="3"/>
  <c r="AX858" i="3"/>
  <c r="AX859" i="3"/>
  <c r="AX860" i="3"/>
  <c r="AX861" i="3"/>
  <c r="AX862" i="3"/>
  <c r="AX863" i="3"/>
  <c r="AX864" i="3"/>
  <c r="AX865" i="3"/>
  <c r="AX866" i="3"/>
  <c r="AX867" i="3"/>
  <c r="AX868" i="3"/>
  <c r="AX869" i="3"/>
  <c r="AX870" i="3"/>
  <c r="AX871" i="3"/>
  <c r="AX872" i="3"/>
  <c r="AX873" i="3"/>
  <c r="AX874" i="3"/>
  <c r="AX875" i="3"/>
  <c r="AX876" i="3"/>
  <c r="AX877" i="3"/>
  <c r="AX878" i="3"/>
  <c r="AX879" i="3"/>
  <c r="AX880" i="3"/>
  <c r="AX881" i="3"/>
  <c r="AX882" i="3"/>
  <c r="AX883" i="3"/>
  <c r="AX884" i="3"/>
  <c r="AX885" i="3"/>
  <c r="AX886" i="3"/>
  <c r="AX887" i="3"/>
  <c r="AX888" i="3"/>
  <c r="AX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AW722" i="3"/>
  <c r="AW723" i="3"/>
  <c r="AW724" i="3"/>
  <c r="AW725" i="3"/>
  <c r="AW726" i="3"/>
  <c r="AW727" i="3"/>
  <c r="AW728" i="3"/>
  <c r="AW729" i="3"/>
  <c r="AW730" i="3"/>
  <c r="AW731" i="3"/>
  <c r="AW732" i="3"/>
  <c r="AW733" i="3"/>
  <c r="AW734" i="3"/>
  <c r="AW735" i="3"/>
  <c r="AW736" i="3"/>
  <c r="AW737" i="3"/>
  <c r="AW738" i="3"/>
  <c r="AW739" i="3"/>
  <c r="AW740" i="3"/>
  <c r="AW741" i="3"/>
  <c r="AW742" i="3"/>
  <c r="AW743" i="3"/>
  <c r="AW744" i="3"/>
  <c r="AW745" i="3"/>
  <c r="AW746" i="3"/>
  <c r="AW747" i="3"/>
  <c r="AW748" i="3"/>
  <c r="AW749" i="3"/>
  <c r="AW750" i="3"/>
  <c r="AW751" i="3"/>
  <c r="AW752" i="3"/>
  <c r="AW753" i="3"/>
  <c r="AW754" i="3"/>
  <c r="AW755" i="3"/>
  <c r="AW756" i="3"/>
  <c r="AW757" i="3"/>
  <c r="AW758" i="3"/>
  <c r="AW759" i="3"/>
  <c r="AW760" i="3"/>
  <c r="AW761" i="3"/>
  <c r="AW762" i="3"/>
  <c r="AW763" i="3"/>
  <c r="AW764" i="3"/>
  <c r="AW765" i="3"/>
  <c r="AW766" i="3"/>
  <c r="AW767" i="3"/>
  <c r="AW768" i="3"/>
  <c r="AW769" i="3"/>
  <c r="AW770" i="3"/>
  <c r="AW771" i="3"/>
  <c r="AW772" i="3"/>
  <c r="AW773" i="3"/>
  <c r="AW774" i="3"/>
  <c r="AW775" i="3"/>
  <c r="AW776" i="3"/>
  <c r="AW777" i="3"/>
  <c r="AW778" i="3"/>
  <c r="AW779" i="3"/>
  <c r="AW780" i="3"/>
  <c r="AW781" i="3"/>
  <c r="AW782" i="3"/>
  <c r="AW783" i="3"/>
  <c r="AW784" i="3"/>
  <c r="AW785" i="3"/>
  <c r="AW786" i="3"/>
  <c r="AW787" i="3"/>
  <c r="AW788" i="3"/>
  <c r="AW789" i="3"/>
  <c r="AW790" i="3"/>
  <c r="AW791" i="3"/>
  <c r="AW792" i="3"/>
  <c r="AW793" i="3"/>
  <c r="AW794" i="3"/>
  <c r="AW795" i="3"/>
  <c r="AW796" i="3"/>
  <c r="AW797" i="3"/>
  <c r="AW798" i="3"/>
  <c r="AW799" i="3"/>
  <c r="AW800" i="3"/>
  <c r="AW801" i="3"/>
  <c r="AW802" i="3"/>
  <c r="AW803" i="3"/>
  <c r="AW804" i="3"/>
  <c r="AW805" i="3"/>
  <c r="AW806" i="3"/>
  <c r="AW807" i="3"/>
  <c r="AW808" i="3"/>
  <c r="AW809" i="3"/>
  <c r="AW810" i="3"/>
  <c r="AW811" i="3"/>
  <c r="AW812" i="3"/>
  <c r="AW813" i="3"/>
  <c r="AW814" i="3"/>
  <c r="AW815" i="3"/>
  <c r="AW816" i="3"/>
  <c r="AW817" i="3"/>
  <c r="AW818" i="3"/>
  <c r="AW819" i="3"/>
  <c r="AW820" i="3"/>
  <c r="AW821" i="3"/>
  <c r="AW822" i="3"/>
  <c r="AW823" i="3"/>
  <c r="AW824" i="3"/>
  <c r="AW825" i="3"/>
  <c r="AW826" i="3"/>
  <c r="AW827" i="3"/>
  <c r="AW828" i="3"/>
  <c r="AW829" i="3"/>
  <c r="AW830" i="3"/>
  <c r="AW831" i="3"/>
  <c r="AW832" i="3"/>
  <c r="AW833" i="3"/>
  <c r="AW834" i="3"/>
  <c r="AW835" i="3"/>
  <c r="AW836" i="3"/>
  <c r="AW837" i="3"/>
  <c r="AW838" i="3"/>
  <c r="AW839" i="3"/>
  <c r="AW840" i="3"/>
  <c r="AW841" i="3"/>
  <c r="AW842" i="3"/>
  <c r="AW843" i="3"/>
  <c r="AW844" i="3"/>
  <c r="AW845" i="3"/>
  <c r="AW846" i="3"/>
  <c r="AW847" i="3"/>
  <c r="AW848" i="3"/>
  <c r="AW849" i="3"/>
  <c r="AW850" i="3"/>
  <c r="AW851" i="3"/>
  <c r="AW852" i="3"/>
  <c r="AW853" i="3"/>
  <c r="AW854" i="3"/>
  <c r="AW855" i="3"/>
  <c r="AW856" i="3"/>
  <c r="AW857" i="3"/>
  <c r="AW858" i="3"/>
  <c r="AW859" i="3"/>
  <c r="AW860" i="3"/>
  <c r="AW861" i="3"/>
  <c r="AW862" i="3"/>
  <c r="AW863" i="3"/>
  <c r="AW864" i="3"/>
  <c r="AW865" i="3"/>
  <c r="AW866" i="3"/>
  <c r="AW867" i="3"/>
  <c r="AW868" i="3"/>
  <c r="AW869" i="3"/>
  <c r="AW870" i="3"/>
  <c r="AW871" i="3"/>
  <c r="AW872" i="3"/>
  <c r="AW873" i="3"/>
  <c r="AW874" i="3"/>
  <c r="AW875" i="3"/>
  <c r="AW876" i="3"/>
  <c r="AW877" i="3"/>
  <c r="AW878" i="3"/>
  <c r="AW879" i="3"/>
  <c r="AW880" i="3"/>
  <c r="AW881" i="3"/>
  <c r="AW882" i="3"/>
  <c r="AW883" i="3"/>
  <c r="AW884" i="3"/>
  <c r="AW885" i="3"/>
  <c r="AW886" i="3"/>
  <c r="AW887" i="3"/>
  <c r="AW888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V155" i="3"/>
  <c r="AV156" i="3"/>
  <c r="AV157" i="3"/>
  <c r="AV158" i="3"/>
  <c r="AV159" i="3"/>
  <c r="AV160" i="3"/>
  <c r="AV161" i="3"/>
  <c r="AV162" i="3"/>
  <c r="AV163" i="3"/>
  <c r="AV164" i="3"/>
  <c r="AV165" i="3"/>
  <c r="AV166" i="3"/>
  <c r="AV167" i="3"/>
  <c r="AV168" i="3"/>
  <c r="AV169" i="3"/>
  <c r="AV170" i="3"/>
  <c r="AV171" i="3"/>
  <c r="AV172" i="3"/>
  <c r="AV173" i="3"/>
  <c r="AV174" i="3"/>
  <c r="AV175" i="3"/>
  <c r="AV176" i="3"/>
  <c r="AV177" i="3"/>
  <c r="AV178" i="3"/>
  <c r="AV179" i="3"/>
  <c r="AV180" i="3"/>
  <c r="AV181" i="3"/>
  <c r="AV182" i="3"/>
  <c r="AV183" i="3"/>
  <c r="AV184" i="3"/>
  <c r="AV185" i="3"/>
  <c r="AV186" i="3"/>
  <c r="AV187" i="3"/>
  <c r="AV188" i="3"/>
  <c r="AV189" i="3"/>
  <c r="AV190" i="3"/>
  <c r="AV191" i="3"/>
  <c r="AV192" i="3"/>
  <c r="AV193" i="3"/>
  <c r="AV194" i="3"/>
  <c r="AV195" i="3"/>
  <c r="AV196" i="3"/>
  <c r="AV197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1" i="3"/>
  <c r="AV212" i="3"/>
  <c r="AV213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28" i="3"/>
  <c r="AV229" i="3"/>
  <c r="AV230" i="3"/>
  <c r="AV231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4" i="3"/>
  <c r="AV245" i="3"/>
  <c r="AV246" i="3"/>
  <c r="AV247" i="3"/>
  <c r="AV248" i="3"/>
  <c r="AV249" i="3"/>
  <c r="AV250" i="3"/>
  <c r="AV251" i="3"/>
  <c r="AV252" i="3"/>
  <c r="AV253" i="3"/>
  <c r="AV254" i="3"/>
  <c r="AV255" i="3"/>
  <c r="AV256" i="3"/>
  <c r="AV257" i="3"/>
  <c r="AV258" i="3"/>
  <c r="AV259" i="3"/>
  <c r="AV260" i="3"/>
  <c r="AV261" i="3"/>
  <c r="AV262" i="3"/>
  <c r="AV263" i="3"/>
  <c r="AV264" i="3"/>
  <c r="AV265" i="3"/>
  <c r="AV266" i="3"/>
  <c r="AV267" i="3"/>
  <c r="AV268" i="3"/>
  <c r="AV269" i="3"/>
  <c r="AV270" i="3"/>
  <c r="AV271" i="3"/>
  <c r="AV272" i="3"/>
  <c r="AV273" i="3"/>
  <c r="AV274" i="3"/>
  <c r="AV275" i="3"/>
  <c r="AV276" i="3"/>
  <c r="AV277" i="3"/>
  <c r="AV278" i="3"/>
  <c r="AV279" i="3"/>
  <c r="AV280" i="3"/>
  <c r="AV281" i="3"/>
  <c r="AV282" i="3"/>
  <c r="AV283" i="3"/>
  <c r="AV284" i="3"/>
  <c r="AV285" i="3"/>
  <c r="AV286" i="3"/>
  <c r="AV287" i="3"/>
  <c r="AV288" i="3"/>
  <c r="AV289" i="3"/>
  <c r="AV290" i="3"/>
  <c r="AV291" i="3"/>
  <c r="AV292" i="3"/>
  <c r="AV293" i="3"/>
  <c r="AV294" i="3"/>
  <c r="AV295" i="3"/>
  <c r="AV296" i="3"/>
  <c r="AV297" i="3"/>
  <c r="AV298" i="3"/>
  <c r="AV299" i="3"/>
  <c r="AV300" i="3"/>
  <c r="AV301" i="3"/>
  <c r="AV302" i="3"/>
  <c r="AV303" i="3"/>
  <c r="AV304" i="3"/>
  <c r="AV305" i="3"/>
  <c r="AV306" i="3"/>
  <c r="AV307" i="3"/>
  <c r="AV308" i="3"/>
  <c r="AV309" i="3"/>
  <c r="AV310" i="3"/>
  <c r="AV311" i="3"/>
  <c r="AV312" i="3"/>
  <c r="AV313" i="3"/>
  <c r="AV314" i="3"/>
  <c r="AV315" i="3"/>
  <c r="AV316" i="3"/>
  <c r="AV317" i="3"/>
  <c r="AV318" i="3"/>
  <c r="AV319" i="3"/>
  <c r="AV320" i="3"/>
  <c r="AV321" i="3"/>
  <c r="AV322" i="3"/>
  <c r="AV323" i="3"/>
  <c r="AV324" i="3"/>
  <c r="AV325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39" i="3"/>
  <c r="AV340" i="3"/>
  <c r="AV341" i="3"/>
  <c r="AV342" i="3"/>
  <c r="AV343" i="3"/>
  <c r="AV344" i="3"/>
  <c r="AV345" i="3"/>
  <c r="AV346" i="3"/>
  <c r="AV347" i="3"/>
  <c r="AV348" i="3"/>
  <c r="AV349" i="3"/>
  <c r="AV350" i="3"/>
  <c r="AV351" i="3"/>
  <c r="AV352" i="3"/>
  <c r="AV353" i="3"/>
  <c r="AV354" i="3"/>
  <c r="AV355" i="3"/>
  <c r="AV356" i="3"/>
  <c r="AV357" i="3"/>
  <c r="AV358" i="3"/>
  <c r="AV359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2" i="3"/>
  <c r="AV373" i="3"/>
  <c r="AV374" i="3"/>
  <c r="AV375" i="3"/>
  <c r="AV376" i="3"/>
  <c r="AV377" i="3"/>
  <c r="AV378" i="3"/>
  <c r="AV379" i="3"/>
  <c r="AV380" i="3"/>
  <c r="AV381" i="3"/>
  <c r="AV382" i="3"/>
  <c r="AV383" i="3"/>
  <c r="AV384" i="3"/>
  <c r="AV385" i="3"/>
  <c r="AV386" i="3"/>
  <c r="AV387" i="3"/>
  <c r="AV388" i="3"/>
  <c r="AV389" i="3"/>
  <c r="AV390" i="3"/>
  <c r="AV391" i="3"/>
  <c r="AV392" i="3"/>
  <c r="AV393" i="3"/>
  <c r="AV394" i="3"/>
  <c r="AV395" i="3"/>
  <c r="AV396" i="3"/>
  <c r="AV397" i="3"/>
  <c r="AV398" i="3"/>
  <c r="AV399" i="3"/>
  <c r="AV400" i="3"/>
  <c r="AV401" i="3"/>
  <c r="AV402" i="3"/>
  <c r="AV403" i="3"/>
  <c r="AV404" i="3"/>
  <c r="AV405" i="3"/>
  <c r="AV406" i="3"/>
  <c r="AV407" i="3"/>
  <c r="AV408" i="3"/>
  <c r="AV409" i="3"/>
  <c r="AV410" i="3"/>
  <c r="AV411" i="3"/>
  <c r="AV412" i="3"/>
  <c r="AV413" i="3"/>
  <c r="AV414" i="3"/>
  <c r="AV415" i="3"/>
  <c r="AV416" i="3"/>
  <c r="AV417" i="3"/>
  <c r="AV418" i="3"/>
  <c r="AV419" i="3"/>
  <c r="AV420" i="3"/>
  <c r="AV421" i="3"/>
  <c r="AV422" i="3"/>
  <c r="AV423" i="3"/>
  <c r="AV424" i="3"/>
  <c r="AV425" i="3"/>
  <c r="AV426" i="3"/>
  <c r="AV427" i="3"/>
  <c r="AV428" i="3"/>
  <c r="AV429" i="3"/>
  <c r="AV430" i="3"/>
  <c r="AV431" i="3"/>
  <c r="AV432" i="3"/>
  <c r="AV433" i="3"/>
  <c r="AV434" i="3"/>
  <c r="AV435" i="3"/>
  <c r="AV436" i="3"/>
  <c r="AV437" i="3"/>
  <c r="AV438" i="3"/>
  <c r="AV439" i="3"/>
  <c r="AV440" i="3"/>
  <c r="AV441" i="3"/>
  <c r="AV442" i="3"/>
  <c r="AV443" i="3"/>
  <c r="AV444" i="3"/>
  <c r="AV445" i="3"/>
  <c r="AV446" i="3"/>
  <c r="AV447" i="3"/>
  <c r="AV448" i="3"/>
  <c r="AV449" i="3"/>
  <c r="AV450" i="3"/>
  <c r="AV451" i="3"/>
  <c r="AV452" i="3"/>
  <c r="AV453" i="3"/>
  <c r="AV454" i="3"/>
  <c r="AV455" i="3"/>
  <c r="AV456" i="3"/>
  <c r="AV457" i="3"/>
  <c r="AV458" i="3"/>
  <c r="AV459" i="3"/>
  <c r="AV460" i="3"/>
  <c r="AV461" i="3"/>
  <c r="AV462" i="3"/>
  <c r="AV463" i="3"/>
  <c r="AV464" i="3"/>
  <c r="AV465" i="3"/>
  <c r="AV466" i="3"/>
  <c r="AV467" i="3"/>
  <c r="AV468" i="3"/>
  <c r="AV469" i="3"/>
  <c r="AV470" i="3"/>
  <c r="AV471" i="3"/>
  <c r="AV472" i="3"/>
  <c r="AV473" i="3"/>
  <c r="AV474" i="3"/>
  <c r="AV475" i="3"/>
  <c r="AV476" i="3"/>
  <c r="AV477" i="3"/>
  <c r="AV478" i="3"/>
  <c r="AV479" i="3"/>
  <c r="AV480" i="3"/>
  <c r="AV481" i="3"/>
  <c r="AV482" i="3"/>
  <c r="AV483" i="3"/>
  <c r="AV484" i="3"/>
  <c r="AV485" i="3"/>
  <c r="AV486" i="3"/>
  <c r="AV487" i="3"/>
  <c r="AV488" i="3"/>
  <c r="AV489" i="3"/>
  <c r="AV490" i="3"/>
  <c r="AV491" i="3"/>
  <c r="AV492" i="3"/>
  <c r="AV493" i="3"/>
  <c r="AV494" i="3"/>
  <c r="AV495" i="3"/>
  <c r="AV496" i="3"/>
  <c r="AV497" i="3"/>
  <c r="AV498" i="3"/>
  <c r="AV499" i="3"/>
  <c r="AV500" i="3"/>
  <c r="AV501" i="3"/>
  <c r="AV502" i="3"/>
  <c r="AV503" i="3"/>
  <c r="AV504" i="3"/>
  <c r="AV505" i="3"/>
  <c r="AV506" i="3"/>
  <c r="AV507" i="3"/>
  <c r="AV508" i="3"/>
  <c r="AV509" i="3"/>
  <c r="AV510" i="3"/>
  <c r="AV511" i="3"/>
  <c r="AV512" i="3"/>
  <c r="AV513" i="3"/>
  <c r="AV514" i="3"/>
  <c r="AV515" i="3"/>
  <c r="AV516" i="3"/>
  <c r="AV517" i="3"/>
  <c r="AV518" i="3"/>
  <c r="AV519" i="3"/>
  <c r="AV520" i="3"/>
  <c r="AV521" i="3"/>
  <c r="AV522" i="3"/>
  <c r="AV523" i="3"/>
  <c r="AV524" i="3"/>
  <c r="AV525" i="3"/>
  <c r="AV526" i="3"/>
  <c r="AV527" i="3"/>
  <c r="AV528" i="3"/>
  <c r="AV529" i="3"/>
  <c r="AV530" i="3"/>
  <c r="AV531" i="3"/>
  <c r="AV532" i="3"/>
  <c r="AV533" i="3"/>
  <c r="AV534" i="3"/>
  <c r="AV535" i="3"/>
  <c r="AV536" i="3"/>
  <c r="AV537" i="3"/>
  <c r="AV538" i="3"/>
  <c r="AV539" i="3"/>
  <c r="AV540" i="3"/>
  <c r="AV541" i="3"/>
  <c r="AV542" i="3"/>
  <c r="AV543" i="3"/>
  <c r="AV544" i="3"/>
  <c r="AV545" i="3"/>
  <c r="AV546" i="3"/>
  <c r="AV547" i="3"/>
  <c r="AV548" i="3"/>
  <c r="AV549" i="3"/>
  <c r="AV550" i="3"/>
  <c r="AV551" i="3"/>
  <c r="AV552" i="3"/>
  <c r="AV553" i="3"/>
  <c r="AV554" i="3"/>
  <c r="AV555" i="3"/>
  <c r="AV556" i="3"/>
  <c r="AV557" i="3"/>
  <c r="AV558" i="3"/>
  <c r="AV559" i="3"/>
  <c r="AV560" i="3"/>
  <c r="AV561" i="3"/>
  <c r="AV562" i="3"/>
  <c r="AV563" i="3"/>
  <c r="AV564" i="3"/>
  <c r="AV565" i="3"/>
  <c r="AV566" i="3"/>
  <c r="AV567" i="3"/>
  <c r="AV568" i="3"/>
  <c r="AV569" i="3"/>
  <c r="AV570" i="3"/>
  <c r="AV571" i="3"/>
  <c r="AV572" i="3"/>
  <c r="AV573" i="3"/>
  <c r="AV574" i="3"/>
  <c r="AV575" i="3"/>
  <c r="AV576" i="3"/>
  <c r="AV577" i="3"/>
  <c r="AV578" i="3"/>
  <c r="AV579" i="3"/>
  <c r="AV580" i="3"/>
  <c r="AV581" i="3"/>
  <c r="AV582" i="3"/>
  <c r="AV583" i="3"/>
  <c r="AV584" i="3"/>
  <c r="AV585" i="3"/>
  <c r="AV586" i="3"/>
  <c r="AV587" i="3"/>
  <c r="AV588" i="3"/>
  <c r="AV589" i="3"/>
  <c r="AV590" i="3"/>
  <c r="AV591" i="3"/>
  <c r="AV592" i="3"/>
  <c r="AV593" i="3"/>
  <c r="AV594" i="3"/>
  <c r="AV595" i="3"/>
  <c r="AV596" i="3"/>
  <c r="AV597" i="3"/>
  <c r="AV598" i="3"/>
  <c r="AV599" i="3"/>
  <c r="AV600" i="3"/>
  <c r="AV601" i="3"/>
  <c r="AV602" i="3"/>
  <c r="AV603" i="3"/>
  <c r="AV604" i="3"/>
  <c r="AV605" i="3"/>
  <c r="AV606" i="3"/>
  <c r="AV607" i="3"/>
  <c r="AV608" i="3"/>
  <c r="AV609" i="3"/>
  <c r="AV610" i="3"/>
  <c r="AV611" i="3"/>
  <c r="AV612" i="3"/>
  <c r="AV613" i="3"/>
  <c r="AV614" i="3"/>
  <c r="AV615" i="3"/>
  <c r="AV616" i="3"/>
  <c r="AV617" i="3"/>
  <c r="AV618" i="3"/>
  <c r="AV619" i="3"/>
  <c r="AV620" i="3"/>
  <c r="AV621" i="3"/>
  <c r="AV622" i="3"/>
  <c r="AV623" i="3"/>
  <c r="AV624" i="3"/>
  <c r="AV625" i="3"/>
  <c r="AV626" i="3"/>
  <c r="AV627" i="3"/>
  <c r="AV628" i="3"/>
  <c r="AV629" i="3"/>
  <c r="AV630" i="3"/>
  <c r="AV631" i="3"/>
  <c r="AV632" i="3"/>
  <c r="AV633" i="3"/>
  <c r="AV634" i="3"/>
  <c r="AV635" i="3"/>
  <c r="AV636" i="3"/>
  <c r="AV637" i="3"/>
  <c r="AV638" i="3"/>
  <c r="AV639" i="3"/>
  <c r="AV640" i="3"/>
  <c r="AV641" i="3"/>
  <c r="AV642" i="3"/>
  <c r="AV643" i="3"/>
  <c r="AV644" i="3"/>
  <c r="AV645" i="3"/>
  <c r="AV646" i="3"/>
  <c r="AV647" i="3"/>
  <c r="AV648" i="3"/>
  <c r="AV649" i="3"/>
  <c r="AV650" i="3"/>
  <c r="AV651" i="3"/>
  <c r="AV652" i="3"/>
  <c r="AV653" i="3"/>
  <c r="AV654" i="3"/>
  <c r="AV655" i="3"/>
  <c r="AV656" i="3"/>
  <c r="AV657" i="3"/>
  <c r="AV658" i="3"/>
  <c r="AV659" i="3"/>
  <c r="AV660" i="3"/>
  <c r="AV661" i="3"/>
  <c r="AV662" i="3"/>
  <c r="AV663" i="3"/>
  <c r="AV664" i="3"/>
  <c r="AV665" i="3"/>
  <c r="AV666" i="3"/>
  <c r="AV667" i="3"/>
  <c r="AV668" i="3"/>
  <c r="AV669" i="3"/>
  <c r="AV670" i="3"/>
  <c r="AV671" i="3"/>
  <c r="AV672" i="3"/>
  <c r="AV673" i="3"/>
  <c r="AV674" i="3"/>
  <c r="AV675" i="3"/>
  <c r="AV676" i="3"/>
  <c r="AV677" i="3"/>
  <c r="AV678" i="3"/>
  <c r="AV679" i="3"/>
  <c r="AV680" i="3"/>
  <c r="AV681" i="3"/>
  <c r="AV682" i="3"/>
  <c r="AV683" i="3"/>
  <c r="AV684" i="3"/>
  <c r="AV685" i="3"/>
  <c r="AV686" i="3"/>
  <c r="AV687" i="3"/>
  <c r="AV688" i="3"/>
  <c r="AV689" i="3"/>
  <c r="AV690" i="3"/>
  <c r="AV691" i="3"/>
  <c r="AV692" i="3"/>
  <c r="AV693" i="3"/>
  <c r="AV694" i="3"/>
  <c r="AV695" i="3"/>
  <c r="AV696" i="3"/>
  <c r="AV697" i="3"/>
  <c r="AV698" i="3"/>
  <c r="AV699" i="3"/>
  <c r="AV700" i="3"/>
  <c r="AV701" i="3"/>
  <c r="AV702" i="3"/>
  <c r="AV703" i="3"/>
  <c r="AV704" i="3"/>
  <c r="AV705" i="3"/>
  <c r="AV706" i="3"/>
  <c r="AV707" i="3"/>
  <c r="AV708" i="3"/>
  <c r="AV709" i="3"/>
  <c r="AV710" i="3"/>
  <c r="AV711" i="3"/>
  <c r="AV712" i="3"/>
  <c r="AV713" i="3"/>
  <c r="AV714" i="3"/>
  <c r="AV715" i="3"/>
  <c r="AV716" i="3"/>
  <c r="AV717" i="3"/>
  <c r="AV718" i="3"/>
  <c r="AV719" i="3"/>
  <c r="AV720" i="3"/>
  <c r="AV721" i="3"/>
  <c r="AV722" i="3"/>
  <c r="AV723" i="3"/>
  <c r="AV724" i="3"/>
  <c r="AV725" i="3"/>
  <c r="AV726" i="3"/>
  <c r="AV727" i="3"/>
  <c r="AV728" i="3"/>
  <c r="AV729" i="3"/>
  <c r="AV730" i="3"/>
  <c r="AV731" i="3"/>
  <c r="AV732" i="3"/>
  <c r="AV733" i="3"/>
  <c r="AV734" i="3"/>
  <c r="AV735" i="3"/>
  <c r="AV736" i="3"/>
  <c r="AV737" i="3"/>
  <c r="AV738" i="3"/>
  <c r="AV739" i="3"/>
  <c r="AV740" i="3"/>
  <c r="AV741" i="3"/>
  <c r="AV742" i="3"/>
  <c r="AV743" i="3"/>
  <c r="AV744" i="3"/>
  <c r="AV745" i="3"/>
  <c r="AV746" i="3"/>
  <c r="AV747" i="3"/>
  <c r="AV748" i="3"/>
  <c r="AV749" i="3"/>
  <c r="AV750" i="3"/>
  <c r="AV751" i="3"/>
  <c r="AV752" i="3"/>
  <c r="AV753" i="3"/>
  <c r="AV754" i="3"/>
  <c r="AV755" i="3"/>
  <c r="AV756" i="3"/>
  <c r="AV757" i="3"/>
  <c r="AV758" i="3"/>
  <c r="AV759" i="3"/>
  <c r="AV760" i="3"/>
  <c r="AV761" i="3"/>
  <c r="AV762" i="3"/>
  <c r="AV763" i="3"/>
  <c r="AV764" i="3"/>
  <c r="AV765" i="3"/>
  <c r="AV766" i="3"/>
  <c r="AV767" i="3"/>
  <c r="AV768" i="3"/>
  <c r="AV769" i="3"/>
  <c r="AV770" i="3"/>
  <c r="AV771" i="3"/>
  <c r="AV772" i="3"/>
  <c r="AV773" i="3"/>
  <c r="AV774" i="3"/>
  <c r="AV775" i="3"/>
  <c r="AV776" i="3"/>
  <c r="AV777" i="3"/>
  <c r="AV778" i="3"/>
  <c r="AV779" i="3"/>
  <c r="AV780" i="3"/>
  <c r="AV781" i="3"/>
  <c r="AV782" i="3"/>
  <c r="AV783" i="3"/>
  <c r="AV784" i="3"/>
  <c r="AV785" i="3"/>
  <c r="AV786" i="3"/>
  <c r="AV787" i="3"/>
  <c r="AV788" i="3"/>
  <c r="AV789" i="3"/>
  <c r="AV790" i="3"/>
  <c r="AV791" i="3"/>
  <c r="AV792" i="3"/>
  <c r="AV793" i="3"/>
  <c r="AV794" i="3"/>
  <c r="AV795" i="3"/>
  <c r="AV796" i="3"/>
  <c r="AV797" i="3"/>
  <c r="AV798" i="3"/>
  <c r="AV799" i="3"/>
  <c r="AV800" i="3"/>
  <c r="AV801" i="3"/>
  <c r="AV802" i="3"/>
  <c r="AV803" i="3"/>
  <c r="AV804" i="3"/>
  <c r="AV805" i="3"/>
  <c r="AV806" i="3"/>
  <c r="AV807" i="3"/>
  <c r="AV808" i="3"/>
  <c r="AV809" i="3"/>
  <c r="AV810" i="3"/>
  <c r="AV811" i="3"/>
  <c r="AV812" i="3"/>
  <c r="AV813" i="3"/>
  <c r="AV814" i="3"/>
  <c r="AV815" i="3"/>
  <c r="AV816" i="3"/>
  <c r="AV817" i="3"/>
  <c r="AV818" i="3"/>
  <c r="AV819" i="3"/>
  <c r="AV820" i="3"/>
  <c r="AV821" i="3"/>
  <c r="AV822" i="3"/>
  <c r="AV823" i="3"/>
  <c r="AV824" i="3"/>
  <c r="AV825" i="3"/>
  <c r="AV826" i="3"/>
  <c r="AV827" i="3"/>
  <c r="AV828" i="3"/>
  <c r="AV829" i="3"/>
  <c r="AV830" i="3"/>
  <c r="AV831" i="3"/>
  <c r="AV832" i="3"/>
  <c r="AV833" i="3"/>
  <c r="AV834" i="3"/>
  <c r="AV835" i="3"/>
  <c r="AV836" i="3"/>
  <c r="AV837" i="3"/>
  <c r="AV838" i="3"/>
  <c r="AV839" i="3"/>
  <c r="AV840" i="3"/>
  <c r="AV841" i="3"/>
  <c r="AV842" i="3"/>
  <c r="AV843" i="3"/>
  <c r="AV844" i="3"/>
  <c r="AV845" i="3"/>
  <c r="AV846" i="3"/>
  <c r="AV847" i="3"/>
  <c r="AV848" i="3"/>
  <c r="AV849" i="3"/>
  <c r="AV850" i="3"/>
  <c r="AV851" i="3"/>
  <c r="AV852" i="3"/>
  <c r="AV853" i="3"/>
  <c r="AV854" i="3"/>
  <c r="AV855" i="3"/>
  <c r="AV856" i="3"/>
  <c r="AV857" i="3"/>
  <c r="AV858" i="3"/>
  <c r="AV859" i="3"/>
  <c r="AV860" i="3"/>
  <c r="AV861" i="3"/>
  <c r="AV862" i="3"/>
  <c r="AV863" i="3"/>
  <c r="AV864" i="3"/>
  <c r="AV865" i="3"/>
  <c r="AV866" i="3"/>
  <c r="AV867" i="3"/>
  <c r="AV868" i="3"/>
  <c r="AV869" i="3"/>
  <c r="AV870" i="3"/>
  <c r="AV871" i="3"/>
  <c r="AV872" i="3"/>
  <c r="AV873" i="3"/>
  <c r="AV874" i="3"/>
  <c r="AV875" i="3"/>
  <c r="AV876" i="3"/>
  <c r="AV877" i="3"/>
  <c r="AV878" i="3"/>
  <c r="AV879" i="3"/>
  <c r="AV880" i="3"/>
  <c r="AV881" i="3"/>
  <c r="AV882" i="3"/>
  <c r="AV883" i="3"/>
  <c r="AV884" i="3"/>
  <c r="AV885" i="3"/>
  <c r="AV886" i="3"/>
  <c r="AV887" i="3"/>
  <c r="AV888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852" i="3"/>
  <c r="AU853" i="3"/>
  <c r="AU854" i="3"/>
  <c r="AU855" i="3"/>
  <c r="AU856" i="3"/>
  <c r="AU857" i="3"/>
  <c r="AU858" i="3"/>
  <c r="AU859" i="3"/>
  <c r="AU860" i="3"/>
  <c r="AU861" i="3"/>
  <c r="AU862" i="3"/>
  <c r="AU863" i="3"/>
  <c r="AU864" i="3"/>
  <c r="AU865" i="3"/>
  <c r="AU866" i="3"/>
  <c r="AU867" i="3"/>
  <c r="AU868" i="3"/>
  <c r="AU869" i="3"/>
  <c r="AU870" i="3"/>
  <c r="AU871" i="3"/>
  <c r="AU872" i="3"/>
  <c r="AU873" i="3"/>
  <c r="AU874" i="3"/>
  <c r="AU875" i="3"/>
  <c r="AU876" i="3"/>
  <c r="AU877" i="3"/>
  <c r="AU878" i="3"/>
  <c r="AU879" i="3"/>
  <c r="AU880" i="3"/>
  <c r="AU881" i="3"/>
  <c r="AU882" i="3"/>
  <c r="AU883" i="3"/>
  <c r="AU884" i="3"/>
  <c r="AU885" i="3"/>
  <c r="AU886" i="3"/>
  <c r="AU887" i="3"/>
  <c r="AU888" i="3"/>
  <c r="AU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89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5" i="3"/>
  <c r="AT606" i="3"/>
  <c r="AT607" i="3"/>
  <c r="AT608" i="3"/>
  <c r="AT609" i="3"/>
  <c r="AT610" i="3"/>
  <c r="AT611" i="3"/>
  <c r="AT612" i="3"/>
  <c r="AT613" i="3"/>
  <c r="AT614" i="3"/>
  <c r="AT615" i="3"/>
  <c r="AT616" i="3"/>
  <c r="AT617" i="3"/>
  <c r="AT618" i="3"/>
  <c r="AT619" i="3"/>
  <c r="AT620" i="3"/>
  <c r="AT621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7" i="3"/>
  <c r="AT638" i="3"/>
  <c r="AT639" i="3"/>
  <c r="AT640" i="3"/>
  <c r="AT641" i="3"/>
  <c r="AT642" i="3"/>
  <c r="AT643" i="3"/>
  <c r="AT644" i="3"/>
  <c r="AT645" i="3"/>
  <c r="AT646" i="3"/>
  <c r="AT647" i="3"/>
  <c r="AT648" i="3"/>
  <c r="AT649" i="3"/>
  <c r="AT650" i="3"/>
  <c r="AT651" i="3"/>
  <c r="AT652" i="3"/>
  <c r="AT653" i="3"/>
  <c r="AT654" i="3"/>
  <c r="AT655" i="3"/>
  <c r="AT656" i="3"/>
  <c r="AT657" i="3"/>
  <c r="AT658" i="3"/>
  <c r="AT659" i="3"/>
  <c r="AT660" i="3"/>
  <c r="AT661" i="3"/>
  <c r="AT662" i="3"/>
  <c r="AT663" i="3"/>
  <c r="AT664" i="3"/>
  <c r="AT665" i="3"/>
  <c r="AT666" i="3"/>
  <c r="AT667" i="3"/>
  <c r="AT668" i="3"/>
  <c r="AT669" i="3"/>
  <c r="AT670" i="3"/>
  <c r="AT671" i="3"/>
  <c r="AT672" i="3"/>
  <c r="AT673" i="3"/>
  <c r="AT674" i="3"/>
  <c r="AT675" i="3"/>
  <c r="AT676" i="3"/>
  <c r="AT677" i="3"/>
  <c r="AT678" i="3"/>
  <c r="AT679" i="3"/>
  <c r="AT680" i="3"/>
  <c r="AT681" i="3"/>
  <c r="AT682" i="3"/>
  <c r="AT683" i="3"/>
  <c r="AT684" i="3"/>
  <c r="AT685" i="3"/>
  <c r="AT686" i="3"/>
  <c r="AT687" i="3"/>
  <c r="AT688" i="3"/>
  <c r="AT689" i="3"/>
  <c r="AT690" i="3"/>
  <c r="AT691" i="3"/>
  <c r="AT692" i="3"/>
  <c r="AT693" i="3"/>
  <c r="AT694" i="3"/>
  <c r="AT695" i="3"/>
  <c r="AT696" i="3"/>
  <c r="AT697" i="3"/>
  <c r="AT698" i="3"/>
  <c r="AT699" i="3"/>
  <c r="AT700" i="3"/>
  <c r="AT701" i="3"/>
  <c r="AT702" i="3"/>
  <c r="AT703" i="3"/>
  <c r="AT704" i="3"/>
  <c r="AT705" i="3"/>
  <c r="AT706" i="3"/>
  <c r="AT707" i="3"/>
  <c r="AT708" i="3"/>
  <c r="AT709" i="3"/>
  <c r="AT710" i="3"/>
  <c r="AT711" i="3"/>
  <c r="AT712" i="3"/>
  <c r="AT713" i="3"/>
  <c r="AT714" i="3"/>
  <c r="AT715" i="3"/>
  <c r="AT716" i="3"/>
  <c r="AT717" i="3"/>
  <c r="AT718" i="3"/>
  <c r="AT719" i="3"/>
  <c r="AT720" i="3"/>
  <c r="AT721" i="3"/>
  <c r="AT722" i="3"/>
  <c r="AT723" i="3"/>
  <c r="AT724" i="3"/>
  <c r="AT725" i="3"/>
  <c r="AT726" i="3"/>
  <c r="AT727" i="3"/>
  <c r="AT728" i="3"/>
  <c r="AT729" i="3"/>
  <c r="AT730" i="3"/>
  <c r="AT731" i="3"/>
  <c r="AT732" i="3"/>
  <c r="AT733" i="3"/>
  <c r="AT734" i="3"/>
  <c r="AT735" i="3"/>
  <c r="AT736" i="3"/>
  <c r="AT737" i="3"/>
  <c r="AT738" i="3"/>
  <c r="AT739" i="3"/>
  <c r="AT740" i="3"/>
  <c r="AT741" i="3"/>
  <c r="AT742" i="3"/>
  <c r="AT743" i="3"/>
  <c r="AT744" i="3"/>
  <c r="AT745" i="3"/>
  <c r="AT746" i="3"/>
  <c r="AT747" i="3"/>
  <c r="AT748" i="3"/>
  <c r="AT749" i="3"/>
  <c r="AT750" i="3"/>
  <c r="AT751" i="3"/>
  <c r="AT752" i="3"/>
  <c r="AT753" i="3"/>
  <c r="AT754" i="3"/>
  <c r="AT755" i="3"/>
  <c r="AT756" i="3"/>
  <c r="AT757" i="3"/>
  <c r="AT758" i="3"/>
  <c r="AT759" i="3"/>
  <c r="AT760" i="3"/>
  <c r="AT761" i="3"/>
  <c r="AT762" i="3"/>
  <c r="AT763" i="3"/>
  <c r="AT764" i="3"/>
  <c r="AT765" i="3"/>
  <c r="AT766" i="3"/>
  <c r="AT767" i="3"/>
  <c r="AT768" i="3"/>
  <c r="AT769" i="3"/>
  <c r="AT770" i="3"/>
  <c r="AT771" i="3"/>
  <c r="AT772" i="3"/>
  <c r="AT773" i="3"/>
  <c r="AT774" i="3"/>
  <c r="AT775" i="3"/>
  <c r="AT776" i="3"/>
  <c r="AT777" i="3"/>
  <c r="AT778" i="3"/>
  <c r="AT779" i="3"/>
  <c r="AT780" i="3"/>
  <c r="AT781" i="3"/>
  <c r="AT782" i="3"/>
  <c r="AT783" i="3"/>
  <c r="AT784" i="3"/>
  <c r="AT785" i="3"/>
  <c r="AT786" i="3"/>
  <c r="AT787" i="3"/>
  <c r="AT788" i="3"/>
  <c r="AT789" i="3"/>
  <c r="AT790" i="3"/>
  <c r="AT791" i="3"/>
  <c r="AT792" i="3"/>
  <c r="AT793" i="3"/>
  <c r="AT794" i="3"/>
  <c r="AT795" i="3"/>
  <c r="AT796" i="3"/>
  <c r="AT797" i="3"/>
  <c r="AT798" i="3"/>
  <c r="AT799" i="3"/>
  <c r="AT800" i="3"/>
  <c r="AT801" i="3"/>
  <c r="AT802" i="3"/>
  <c r="AT803" i="3"/>
  <c r="AT804" i="3"/>
  <c r="AT805" i="3"/>
  <c r="AT806" i="3"/>
  <c r="AT807" i="3"/>
  <c r="AT808" i="3"/>
  <c r="AT809" i="3"/>
  <c r="AT810" i="3"/>
  <c r="AT811" i="3"/>
  <c r="AT812" i="3"/>
  <c r="AT813" i="3"/>
  <c r="AT814" i="3"/>
  <c r="AT815" i="3"/>
  <c r="AT816" i="3"/>
  <c r="AT817" i="3"/>
  <c r="AT818" i="3"/>
  <c r="AT819" i="3"/>
  <c r="AT820" i="3"/>
  <c r="AT821" i="3"/>
  <c r="AT822" i="3"/>
  <c r="AT823" i="3"/>
  <c r="AT824" i="3"/>
  <c r="AT825" i="3"/>
  <c r="AT826" i="3"/>
  <c r="AT827" i="3"/>
  <c r="AT828" i="3"/>
  <c r="AT829" i="3"/>
  <c r="AT830" i="3"/>
  <c r="AT831" i="3"/>
  <c r="AT832" i="3"/>
  <c r="AT833" i="3"/>
  <c r="AT834" i="3"/>
  <c r="AT835" i="3"/>
  <c r="AT836" i="3"/>
  <c r="AT837" i="3"/>
  <c r="AT838" i="3"/>
  <c r="AT839" i="3"/>
  <c r="AT840" i="3"/>
  <c r="AT841" i="3"/>
  <c r="AT842" i="3"/>
  <c r="AT843" i="3"/>
  <c r="AT844" i="3"/>
  <c r="AT845" i="3"/>
  <c r="AT846" i="3"/>
  <c r="AT847" i="3"/>
  <c r="AT848" i="3"/>
  <c r="AT849" i="3"/>
  <c r="AT850" i="3"/>
  <c r="AT851" i="3"/>
  <c r="AT852" i="3"/>
  <c r="AT853" i="3"/>
  <c r="AT854" i="3"/>
  <c r="AT855" i="3"/>
  <c r="AT856" i="3"/>
  <c r="AT857" i="3"/>
  <c r="AT858" i="3"/>
  <c r="AT859" i="3"/>
  <c r="AT860" i="3"/>
  <c r="AT861" i="3"/>
  <c r="AT862" i="3"/>
  <c r="AT863" i="3"/>
  <c r="AT864" i="3"/>
  <c r="AT865" i="3"/>
  <c r="AT866" i="3"/>
  <c r="AT867" i="3"/>
  <c r="AT868" i="3"/>
  <c r="AT869" i="3"/>
  <c r="AT870" i="3"/>
  <c r="AT871" i="3"/>
  <c r="AT872" i="3"/>
  <c r="AT873" i="3"/>
  <c r="AT874" i="3"/>
  <c r="AT875" i="3"/>
  <c r="AT876" i="3"/>
  <c r="AT877" i="3"/>
  <c r="AT878" i="3"/>
  <c r="AT879" i="3"/>
  <c r="AT880" i="3"/>
  <c r="AT881" i="3"/>
  <c r="AT882" i="3"/>
  <c r="AT883" i="3"/>
  <c r="AT884" i="3"/>
  <c r="AT885" i="3"/>
  <c r="AT886" i="3"/>
  <c r="AT887" i="3"/>
  <c r="AT888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2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" i="3"/>
</calcChain>
</file>

<file path=xl/sharedStrings.xml><?xml version="1.0" encoding="utf-8"?>
<sst xmlns="http://schemas.openxmlformats.org/spreadsheetml/2006/main" count="108" uniqueCount="91">
  <si>
    <t>AUDUSD25R3M Curncy</t>
  </si>
  <si>
    <t>VIX Index</t>
  </si>
  <si>
    <t>USDJPYV3M BGN Curncy</t>
  </si>
  <si>
    <t>USGG10YR Index</t>
  </si>
  <si>
    <t>USGG2YR Index</t>
  </si>
  <si>
    <t>GTJPY10YR @BGN Corp</t>
  </si>
  <si>
    <t>GTJPY2YR @BGN Corp</t>
  </si>
  <si>
    <t>JYBS5 c</t>
  </si>
  <si>
    <t>JYBS1 c</t>
  </si>
  <si>
    <t>JYBS20 c</t>
  </si>
  <si>
    <t>JYBS10 c</t>
  </si>
  <si>
    <t xml:space="preserve">USTWBGD  Index                                                  </t>
  </si>
  <si>
    <t xml:space="preserve">CO1 Comdty                                                      </t>
  </si>
  <si>
    <t xml:space="preserve">CL1 Comdty                                                      </t>
  </si>
  <si>
    <t>USGG3M Index</t>
  </si>
  <si>
    <t>JYBS30 c</t>
  </si>
  <si>
    <t>RR</t>
  </si>
  <si>
    <t>VIX</t>
  </si>
  <si>
    <t>IV</t>
  </si>
  <si>
    <t>US 10Y yield</t>
  </si>
  <si>
    <t>US 2Y yield</t>
  </si>
  <si>
    <t>Japan 10Y yield</t>
  </si>
  <si>
    <t>Japan 2Y yield</t>
  </si>
  <si>
    <t>JPY-USD Basis 5Y</t>
  </si>
  <si>
    <t>JPY-USD Basis 1Y</t>
  </si>
  <si>
    <t>JPY-USD Basis 20Y</t>
  </si>
  <si>
    <t>JPY-USD Basis 10Y</t>
  </si>
  <si>
    <t>JPY-USD Basis 30Y</t>
  </si>
  <si>
    <t>Dollar Index D</t>
  </si>
  <si>
    <t>dVIX</t>
  </si>
  <si>
    <t>dIV</t>
  </si>
  <si>
    <t>dRR</t>
  </si>
  <si>
    <t>ys_level</t>
  </si>
  <si>
    <t>ts_level</t>
  </si>
  <si>
    <t>dYS</t>
  </si>
  <si>
    <t>dTS</t>
  </si>
  <si>
    <t>I_high</t>
  </si>
  <si>
    <t>I_low</t>
  </si>
  <si>
    <t>dD_high</t>
  </si>
  <si>
    <t>dD_low</t>
  </si>
  <si>
    <t>dD</t>
  </si>
  <si>
    <t>x1</t>
  </si>
  <si>
    <t>x5</t>
  </si>
  <si>
    <t>x10</t>
  </si>
  <si>
    <t>x20</t>
  </si>
  <si>
    <t>x30</t>
  </si>
  <si>
    <t>y1_h0</t>
  </si>
  <si>
    <t>y1_h1</t>
  </si>
  <si>
    <t>y1_h2</t>
  </si>
  <si>
    <t>y1_h3</t>
  </si>
  <si>
    <t>y1_h4</t>
  </si>
  <si>
    <t>y1_h5</t>
  </si>
  <si>
    <t>y1_h6</t>
  </si>
  <si>
    <t>y1_h7</t>
  </si>
  <si>
    <t>y1_h8</t>
  </si>
  <si>
    <t>y5_h0</t>
  </si>
  <si>
    <t>y5_h1</t>
  </si>
  <si>
    <t>y5_h3</t>
  </si>
  <si>
    <t>y5_h4</t>
  </si>
  <si>
    <t>y5_h5</t>
  </si>
  <si>
    <t>y5_h6</t>
  </si>
  <si>
    <t>y5_h7</t>
  </si>
  <si>
    <t>y5_h8</t>
  </si>
  <si>
    <t>y10_h0</t>
  </si>
  <si>
    <t>y10_h1</t>
  </si>
  <si>
    <t>y10_h2</t>
  </si>
  <si>
    <t>y10_h3</t>
  </si>
  <si>
    <t>y10_h4</t>
  </si>
  <si>
    <t>y10_h5</t>
  </si>
  <si>
    <t>y10_h6</t>
  </si>
  <si>
    <t>y10_h7</t>
  </si>
  <si>
    <t>y10_h8</t>
  </si>
  <si>
    <t>y20_h0</t>
  </si>
  <si>
    <t>y20_h1</t>
  </si>
  <si>
    <t>y20_h2</t>
  </si>
  <si>
    <t>y20_h3</t>
  </si>
  <si>
    <t>y20_h4</t>
  </si>
  <si>
    <t>y20_h5</t>
  </si>
  <si>
    <t>y20_h6</t>
  </si>
  <si>
    <t>y20_h7</t>
  </si>
  <si>
    <t>y20_h8</t>
  </si>
  <si>
    <t>y30_h0</t>
  </si>
  <si>
    <t>y30_h1</t>
  </si>
  <si>
    <t>y30_h2</t>
  </si>
  <si>
    <t>y30_h3</t>
  </si>
  <si>
    <t>y30_h4</t>
  </si>
  <si>
    <t>y30_h5</t>
  </si>
  <si>
    <t>y30_h6</t>
  </si>
  <si>
    <t>y30_h7</t>
  </si>
  <si>
    <t>y30_h8</t>
  </si>
  <si>
    <t>y5_h2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</si>
</sst>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0" fontId="0" fillId="0" borderId="0" xfId="0" applyFill="1"/>
    <xf numFmtId="0" fontId="0" fillId="3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9DE0-0E04-4C72-83AE-10C36864C00C}">
  <dimension ref="A1:B16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37.5" bestFit="1" customWidth="1"/>
    <col min="2" max="2" width="14.5" bestFit="1" customWidth="1"/>
  </cols>
  <sheetData>
    <row r="1" spans="1:2" x14ac:dyDescent="0.2">
      <c r="A1" s="2" t="s">
        <v>0</v>
      </c>
      <c r="B1" t="s">
        <v>16</v>
      </c>
    </row>
    <row r="2" spans="1:2" x14ac:dyDescent="0.2">
      <c r="A2" s="3" t="s">
        <v>1</v>
      </c>
      <c r="B2" t="s">
        <v>17</v>
      </c>
    </row>
    <row r="3" spans="1:2" x14ac:dyDescent="0.2">
      <c r="A3" t="s">
        <v>2</v>
      </c>
      <c r="B3" t="s">
        <v>18</v>
      </c>
    </row>
    <row r="4" spans="1:2" x14ac:dyDescent="0.2">
      <c r="A4" t="s">
        <v>3</v>
      </c>
      <c r="B4" t="s">
        <v>19</v>
      </c>
    </row>
    <row r="5" spans="1:2" x14ac:dyDescent="0.2">
      <c r="A5" t="s">
        <v>4</v>
      </c>
      <c r="B5" t="s">
        <v>20</v>
      </c>
    </row>
    <row r="6" spans="1:2" x14ac:dyDescent="0.2">
      <c r="A6" t="s">
        <v>5</v>
      </c>
      <c r="B6" t="s">
        <v>21</v>
      </c>
    </row>
    <row r="7" spans="1:2" x14ac:dyDescent="0.2">
      <c r="A7" t="s">
        <v>6</v>
      </c>
      <c r="B7" t="s">
        <v>22</v>
      </c>
    </row>
    <row r="8" spans="1:2" x14ac:dyDescent="0.2">
      <c r="A8" t="s">
        <v>7</v>
      </c>
      <c r="B8" t="s">
        <v>23</v>
      </c>
    </row>
    <row r="9" spans="1:2" x14ac:dyDescent="0.2">
      <c r="A9" t="s">
        <v>8</v>
      </c>
      <c r="B9" t="s">
        <v>24</v>
      </c>
    </row>
    <row r="10" spans="1:2" x14ac:dyDescent="0.2">
      <c r="A10" t="s">
        <v>9</v>
      </c>
      <c r="B10" t="s">
        <v>25</v>
      </c>
    </row>
    <row r="11" spans="1:2" x14ac:dyDescent="0.2">
      <c r="A11" t="s">
        <v>10</v>
      </c>
      <c r="B11" t="s">
        <v>26</v>
      </c>
    </row>
    <row r="12" spans="1:2" x14ac:dyDescent="0.2">
      <c r="A12" t="s">
        <v>15</v>
      </c>
      <c r="B12" t="s">
        <v>27</v>
      </c>
    </row>
    <row r="13" spans="1:2" x14ac:dyDescent="0.2">
      <c r="A13" t="s">
        <v>11</v>
      </c>
      <c r="B13" t="s">
        <v>28</v>
      </c>
    </row>
    <row r="14" spans="1:2" x14ac:dyDescent="0.2">
      <c r="A14" s="2" t="s">
        <v>12</v>
      </c>
    </row>
    <row r="15" spans="1:2" x14ac:dyDescent="0.2">
      <c r="A15" s="2" t="s">
        <v>13</v>
      </c>
    </row>
    <row r="16" spans="1:2" x14ac:dyDescent="0.2">
      <c r="A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C9B1-CE5C-4F62-AA09-1F159B318981}">
  <dimension ref="A1:R889"/>
  <sheetViews>
    <sheetView topLeftCell="F1" zoomScale="125" workbookViewId="0">
      <selection activeCell="T1" sqref="T1"/>
    </sheetView>
  </sheetViews>
  <sheetFormatPr baseColWidth="10" defaultColWidth="8.83203125" defaultRowHeight="15" x14ac:dyDescent="0.2"/>
  <cols>
    <col min="2" max="2" width="20" bestFit="1" customWidth="1"/>
    <col min="4" max="4" width="20.6640625" bestFit="1" customWidth="1"/>
    <col min="5" max="5" width="14.5" bestFit="1" customWidth="1"/>
    <col min="7" max="7" width="19.6640625" bestFit="1" customWidth="1"/>
  </cols>
  <sheetData>
    <row r="1" spans="1:18" x14ac:dyDescent="0.2">
      <c r="A1" s="1"/>
      <c r="B1" s="2" t="s">
        <v>0</v>
      </c>
      <c r="C1" s="3" t="s">
        <v>1</v>
      </c>
      <c r="D1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6" t="s">
        <v>11</v>
      </c>
      <c r="N1" s="2" t="s">
        <v>12</v>
      </c>
      <c r="O1" s="2" t="s">
        <v>13</v>
      </c>
      <c r="P1" t="s">
        <v>14</v>
      </c>
      <c r="Q1" t="s">
        <v>1</v>
      </c>
      <c r="R1" s="7" t="s">
        <v>15</v>
      </c>
    </row>
    <row r="2" spans="1:18" x14ac:dyDescent="0.2">
      <c r="A2" s="1">
        <v>38359</v>
      </c>
      <c r="B2" s="2">
        <v>-0.52500000000000002</v>
      </c>
      <c r="C2" s="3">
        <v>13.49</v>
      </c>
      <c r="D2">
        <v>9.6750000000000007</v>
      </c>
      <c r="E2">
        <v>4.2690000000000001</v>
      </c>
      <c r="F2">
        <v>3.1890999999999998</v>
      </c>
      <c r="G2">
        <v>1.4039999999999999</v>
      </c>
      <c r="H2">
        <v>9.9000000000000005E-2</v>
      </c>
      <c r="I2">
        <v>-2.2999999999999998</v>
      </c>
      <c r="J2">
        <v>-3</v>
      </c>
      <c r="K2">
        <v>-9.35</v>
      </c>
      <c r="L2">
        <v>-3.1</v>
      </c>
      <c r="M2">
        <v>99.914000000000001</v>
      </c>
      <c r="N2">
        <v>43.18</v>
      </c>
      <c r="O2">
        <v>45.43</v>
      </c>
      <c r="P2">
        <v>2.3142</v>
      </c>
      <c r="Q2">
        <v>13.49</v>
      </c>
      <c r="R2">
        <v>-15.2</v>
      </c>
    </row>
    <row r="3" spans="1:18" x14ac:dyDescent="0.2">
      <c r="A3" s="1">
        <v>38366</v>
      </c>
      <c r="B3" s="2">
        <v>-0.52500000000000002</v>
      </c>
      <c r="C3" s="3">
        <v>12.43</v>
      </c>
      <c r="D3">
        <v>10.125</v>
      </c>
      <c r="E3">
        <v>4.2080000000000002</v>
      </c>
      <c r="F3">
        <v>3.2244000000000002</v>
      </c>
      <c r="G3">
        <v>1.383</v>
      </c>
      <c r="H3">
        <v>9.0999999999999998E-2</v>
      </c>
      <c r="I3">
        <v>-2.4</v>
      </c>
      <c r="J3">
        <v>-3.2</v>
      </c>
      <c r="K3">
        <v>-10.25</v>
      </c>
      <c r="L3">
        <v>-3.9</v>
      </c>
      <c r="M3">
        <v>99.1858</v>
      </c>
      <c r="N3">
        <v>45.15</v>
      </c>
      <c r="O3">
        <v>48.38</v>
      </c>
      <c r="P3">
        <v>2.3551000000000002</v>
      </c>
      <c r="Q3">
        <v>12.43</v>
      </c>
      <c r="R3">
        <v>-16</v>
      </c>
    </row>
    <row r="4" spans="1:18" x14ac:dyDescent="0.2">
      <c r="A4" s="1">
        <v>38373</v>
      </c>
      <c r="B4" s="2">
        <v>-0.47499999999999998</v>
      </c>
      <c r="C4" s="3">
        <v>14.36</v>
      </c>
      <c r="D4">
        <v>9.9250000000000007</v>
      </c>
      <c r="E4">
        <v>4.1398999999999999</v>
      </c>
      <c r="F4">
        <v>3.1419000000000001</v>
      </c>
      <c r="G4">
        <v>1.345</v>
      </c>
      <c r="H4">
        <v>9.0999999999999998E-2</v>
      </c>
      <c r="I4">
        <v>-2.5</v>
      </c>
      <c r="J4">
        <v>-2.8</v>
      </c>
      <c r="K4">
        <v>-10.55</v>
      </c>
      <c r="L4">
        <v>-4.5999999999999996</v>
      </c>
      <c r="M4">
        <v>99.295299999999997</v>
      </c>
      <c r="N4">
        <v>45.73</v>
      </c>
      <c r="O4">
        <v>48.53</v>
      </c>
      <c r="P4">
        <v>2.3450000000000002</v>
      </c>
      <c r="Q4">
        <v>14.36</v>
      </c>
      <c r="R4">
        <v>-16</v>
      </c>
    </row>
    <row r="5" spans="1:18" x14ac:dyDescent="0.2">
      <c r="A5" s="1">
        <v>38380</v>
      </c>
      <c r="B5" s="2">
        <v>-0.42499999999999999</v>
      </c>
      <c r="C5" s="3">
        <v>13.24</v>
      </c>
      <c r="D5">
        <v>9.625</v>
      </c>
      <c r="E5">
        <v>4.1397000000000004</v>
      </c>
      <c r="F5">
        <v>3.2551000000000001</v>
      </c>
      <c r="G5">
        <v>1.3049999999999999</v>
      </c>
      <c r="H5">
        <v>0.09</v>
      </c>
      <c r="I5">
        <v>-2.4</v>
      </c>
      <c r="J5">
        <v>-2.9</v>
      </c>
      <c r="K5">
        <v>-11.05</v>
      </c>
      <c r="L5">
        <v>-4.7</v>
      </c>
      <c r="M5">
        <v>99.609399999999994</v>
      </c>
      <c r="N5">
        <v>44.95</v>
      </c>
      <c r="O5">
        <v>47.18</v>
      </c>
      <c r="P5">
        <v>2.4474999999999998</v>
      </c>
      <c r="Q5">
        <v>13.24</v>
      </c>
      <c r="R5">
        <v>-16.5</v>
      </c>
    </row>
    <row r="6" spans="1:18" x14ac:dyDescent="0.2">
      <c r="A6" s="1">
        <v>38387</v>
      </c>
      <c r="B6" s="2">
        <v>-0.42499999999999999</v>
      </c>
      <c r="C6" s="3">
        <v>11.21</v>
      </c>
      <c r="D6">
        <v>9.0749999999999993</v>
      </c>
      <c r="E6">
        <v>4.0753000000000004</v>
      </c>
      <c r="F6">
        <v>3.2808000000000002</v>
      </c>
      <c r="G6">
        <v>1.321</v>
      </c>
      <c r="H6">
        <v>0.09</v>
      </c>
      <c r="I6">
        <v>-2.4</v>
      </c>
      <c r="J6">
        <v>-2.6</v>
      </c>
      <c r="K6">
        <v>-10.75</v>
      </c>
      <c r="L6">
        <v>-4.5</v>
      </c>
      <c r="M6">
        <v>99.735600000000005</v>
      </c>
      <c r="N6">
        <v>43.89</v>
      </c>
      <c r="O6">
        <v>46.48</v>
      </c>
      <c r="P6">
        <v>2.4782999999999999</v>
      </c>
      <c r="Q6">
        <v>11.21</v>
      </c>
      <c r="R6">
        <v>-15.7</v>
      </c>
    </row>
    <row r="7" spans="1:18" x14ac:dyDescent="0.2">
      <c r="A7" s="1">
        <v>38394</v>
      </c>
      <c r="B7" s="2">
        <v>-0.47499999999999998</v>
      </c>
      <c r="C7" s="3">
        <v>11.43</v>
      </c>
      <c r="D7">
        <v>8.9749999999999996</v>
      </c>
      <c r="E7">
        <v>4.0843999999999996</v>
      </c>
      <c r="F7">
        <v>3.3235999999999999</v>
      </c>
      <c r="G7">
        <v>1.399</v>
      </c>
      <c r="H7">
        <v>0.115</v>
      </c>
      <c r="I7">
        <v>-2.1</v>
      </c>
      <c r="J7">
        <v>-1.875</v>
      </c>
      <c r="K7">
        <v>-10.199999999999999</v>
      </c>
      <c r="L7">
        <v>-4.0999999999999996</v>
      </c>
      <c r="M7">
        <v>99.9803</v>
      </c>
      <c r="N7">
        <v>44.8</v>
      </c>
      <c r="O7">
        <v>47.16</v>
      </c>
      <c r="P7">
        <v>2.5398999999999998</v>
      </c>
      <c r="Q7">
        <v>11.43</v>
      </c>
      <c r="R7">
        <v>-15</v>
      </c>
    </row>
    <row r="8" spans="1:18" x14ac:dyDescent="0.2">
      <c r="A8" s="1">
        <v>38401</v>
      </c>
      <c r="B8" s="2">
        <v>-0.47499999999999998</v>
      </c>
      <c r="C8" s="3">
        <v>11.18</v>
      </c>
      <c r="D8">
        <v>8.9250000000000007</v>
      </c>
      <c r="E8">
        <v>4.2655000000000003</v>
      </c>
      <c r="F8">
        <v>3.4350000000000001</v>
      </c>
      <c r="G8">
        <v>1.415</v>
      </c>
      <c r="H8">
        <v>0.109</v>
      </c>
      <c r="I8">
        <v>-1.625</v>
      </c>
      <c r="J8">
        <v>-1.625</v>
      </c>
      <c r="K8">
        <v>-9.65</v>
      </c>
      <c r="L8">
        <v>-3.5</v>
      </c>
      <c r="M8">
        <v>99.203900000000004</v>
      </c>
      <c r="N8">
        <v>46.34</v>
      </c>
      <c r="O8">
        <v>48.35</v>
      </c>
      <c r="P8">
        <v>2.5910000000000002</v>
      </c>
      <c r="Q8">
        <v>11.18</v>
      </c>
      <c r="R8">
        <v>-14.2</v>
      </c>
    </row>
    <row r="9" spans="1:18" x14ac:dyDescent="0.2">
      <c r="A9" s="1">
        <v>38408</v>
      </c>
      <c r="B9" s="2">
        <v>-0.52500000000000002</v>
      </c>
      <c r="C9" s="3">
        <v>11.49</v>
      </c>
      <c r="D9">
        <v>8.8249999999999993</v>
      </c>
      <c r="E9">
        <v>4.2637999999999998</v>
      </c>
      <c r="F9">
        <v>3.5219</v>
      </c>
      <c r="G9">
        <v>1.425</v>
      </c>
      <c r="H9">
        <v>0.115</v>
      </c>
      <c r="I9">
        <v>-1.7</v>
      </c>
      <c r="J9">
        <v>-2</v>
      </c>
      <c r="K9">
        <v>-9.9499999999999993</v>
      </c>
      <c r="L9">
        <v>-3.8</v>
      </c>
      <c r="M9">
        <v>99.052800000000005</v>
      </c>
      <c r="N9">
        <v>49.61</v>
      </c>
      <c r="O9">
        <v>51.49</v>
      </c>
      <c r="P9">
        <v>2.7246999999999999</v>
      </c>
      <c r="Q9">
        <v>11.49</v>
      </c>
      <c r="R9">
        <v>-14.5</v>
      </c>
    </row>
    <row r="10" spans="1:18" x14ac:dyDescent="0.2">
      <c r="A10" s="1">
        <v>38415</v>
      </c>
      <c r="B10" s="2">
        <v>-0.52500000000000002</v>
      </c>
      <c r="C10" s="3">
        <v>11.94</v>
      </c>
      <c r="D10">
        <v>8.9250000000000007</v>
      </c>
      <c r="E10">
        <v>4.3075999999999999</v>
      </c>
      <c r="F10">
        <v>3.556</v>
      </c>
      <c r="G10">
        <v>1.5189999999999999</v>
      </c>
      <c r="H10">
        <v>0.13</v>
      </c>
      <c r="I10">
        <v>-1.7</v>
      </c>
      <c r="J10">
        <v>-1.6</v>
      </c>
      <c r="K10">
        <v>-9.9499999999999993</v>
      </c>
      <c r="L10">
        <v>-3.9</v>
      </c>
      <c r="M10">
        <v>98.738100000000003</v>
      </c>
      <c r="N10">
        <v>51.8</v>
      </c>
      <c r="O10">
        <v>53.78</v>
      </c>
      <c r="P10">
        <v>2.7452000000000001</v>
      </c>
      <c r="Q10">
        <v>11.94</v>
      </c>
      <c r="R10">
        <v>-14.8</v>
      </c>
    </row>
    <row r="11" spans="1:18" x14ac:dyDescent="0.2">
      <c r="A11" s="1">
        <v>38422</v>
      </c>
      <c r="B11" s="2">
        <v>-0.625</v>
      </c>
      <c r="C11" s="3">
        <v>12.8</v>
      </c>
      <c r="D11">
        <v>9.0250000000000004</v>
      </c>
      <c r="E11">
        <v>4.5423</v>
      </c>
      <c r="F11">
        <v>3.7160000000000002</v>
      </c>
      <c r="G11">
        <v>1.48</v>
      </c>
      <c r="H11">
        <v>0.125</v>
      </c>
      <c r="I11">
        <v>-1.5</v>
      </c>
      <c r="J11">
        <v>-1.3</v>
      </c>
      <c r="K11">
        <v>-9.9499999999999993</v>
      </c>
      <c r="L11">
        <v>-3.9</v>
      </c>
      <c r="M11">
        <v>97.807699999999997</v>
      </c>
      <c r="N11">
        <v>53.1</v>
      </c>
      <c r="O11">
        <v>54.43</v>
      </c>
      <c r="P11">
        <v>2.7555000000000001</v>
      </c>
      <c r="Q11">
        <v>12.8</v>
      </c>
      <c r="R11">
        <v>-14.8</v>
      </c>
    </row>
    <row r="12" spans="1:18" x14ac:dyDescent="0.2">
      <c r="A12" s="1">
        <v>38429</v>
      </c>
      <c r="B12" s="2">
        <v>-0.625</v>
      </c>
      <c r="C12" s="3">
        <v>13.14</v>
      </c>
      <c r="D12">
        <v>8.9250000000000007</v>
      </c>
      <c r="E12">
        <v>4.5065999999999997</v>
      </c>
      <c r="F12">
        <v>3.6937000000000002</v>
      </c>
      <c r="G12">
        <v>1.42</v>
      </c>
      <c r="H12">
        <v>0.109</v>
      </c>
      <c r="I12">
        <v>-0.875</v>
      </c>
      <c r="J12">
        <v>-0.7</v>
      </c>
      <c r="K12">
        <v>-11</v>
      </c>
      <c r="L12">
        <v>-3.25</v>
      </c>
      <c r="M12">
        <v>98.366299999999995</v>
      </c>
      <c r="N12">
        <v>55.59</v>
      </c>
      <c r="O12">
        <v>56.72</v>
      </c>
      <c r="P12">
        <v>2.7966000000000002</v>
      </c>
      <c r="Q12">
        <v>13.14</v>
      </c>
      <c r="R12">
        <v>-14.5</v>
      </c>
    </row>
    <row r="13" spans="1:18" x14ac:dyDescent="0.2">
      <c r="A13" s="1">
        <v>38436</v>
      </c>
      <c r="B13" s="2">
        <v>-0.77500000000000002</v>
      </c>
      <c r="C13" s="3">
        <v>13.42</v>
      </c>
      <c r="D13">
        <v>8.8000000000000007</v>
      </c>
      <c r="E13">
        <v>4.5929000000000002</v>
      </c>
      <c r="F13">
        <v>3.8506999999999998</v>
      </c>
      <c r="G13">
        <v>1.367</v>
      </c>
      <c r="H13">
        <v>0.115</v>
      </c>
      <c r="I13">
        <v>-0.7</v>
      </c>
      <c r="J13">
        <v>-0.2</v>
      </c>
      <c r="K13">
        <v>-9.6999999999999993</v>
      </c>
      <c r="L13">
        <v>-3.2</v>
      </c>
      <c r="M13">
        <v>99.765699999999995</v>
      </c>
      <c r="N13">
        <v>53.93</v>
      </c>
      <c r="O13">
        <v>54.84</v>
      </c>
      <c r="P13">
        <v>2.8271999999999999</v>
      </c>
      <c r="Q13">
        <v>13.42</v>
      </c>
      <c r="R13">
        <v>-14.4</v>
      </c>
    </row>
    <row r="14" spans="1:18" x14ac:dyDescent="0.2">
      <c r="A14" s="1">
        <v>38443</v>
      </c>
      <c r="B14" s="2">
        <v>-0.77500000000000002</v>
      </c>
      <c r="C14" s="3">
        <v>14.09</v>
      </c>
      <c r="D14">
        <v>8.7750000000000004</v>
      </c>
      <c r="E14">
        <v>4.4474999999999998</v>
      </c>
      <c r="F14">
        <v>3.7250999999999999</v>
      </c>
      <c r="G14">
        <v>1.329</v>
      </c>
      <c r="H14">
        <v>9.4E-2</v>
      </c>
      <c r="I14">
        <v>-0.2</v>
      </c>
      <c r="J14">
        <v>-0.2</v>
      </c>
      <c r="K14">
        <v>-9.15</v>
      </c>
      <c r="L14">
        <v>-4</v>
      </c>
      <c r="M14">
        <v>99.774600000000007</v>
      </c>
      <c r="N14">
        <v>56.51</v>
      </c>
      <c r="O14">
        <v>57.27</v>
      </c>
      <c r="P14">
        <v>2.7759999999999998</v>
      </c>
      <c r="Q14">
        <v>14.09</v>
      </c>
      <c r="R14">
        <v>-14</v>
      </c>
    </row>
    <row r="15" spans="1:18" x14ac:dyDescent="0.2">
      <c r="A15" s="1">
        <v>38450</v>
      </c>
      <c r="B15" s="2">
        <v>-0.77500000000000002</v>
      </c>
      <c r="C15" s="3">
        <v>12.62</v>
      </c>
      <c r="D15">
        <v>8.4250000000000007</v>
      </c>
      <c r="E15">
        <v>4.4683000000000002</v>
      </c>
      <c r="F15">
        <v>3.7412000000000001</v>
      </c>
      <c r="G15">
        <v>1.359</v>
      </c>
      <c r="H15">
        <v>8.8999999999999996E-2</v>
      </c>
      <c r="I15">
        <v>-0.25</v>
      </c>
      <c r="J15">
        <v>0.25</v>
      </c>
      <c r="K15">
        <v>-9.0500000000000007</v>
      </c>
      <c r="L15">
        <v>-2.5</v>
      </c>
      <c r="M15">
        <v>99.879599999999996</v>
      </c>
      <c r="N15">
        <v>52.89</v>
      </c>
      <c r="O15">
        <v>53.32</v>
      </c>
      <c r="P15">
        <v>2.7658</v>
      </c>
      <c r="Q15">
        <v>12.62</v>
      </c>
      <c r="R15">
        <v>-13.4</v>
      </c>
    </row>
    <row r="16" spans="1:18" x14ac:dyDescent="0.2">
      <c r="A16" s="1">
        <v>38457</v>
      </c>
      <c r="B16" s="2">
        <v>-0.67500000000000004</v>
      </c>
      <c r="C16" s="3">
        <v>17.739999999999998</v>
      </c>
      <c r="D16">
        <v>8.4749999999999996</v>
      </c>
      <c r="E16">
        <v>4.2405999999999997</v>
      </c>
      <c r="F16">
        <v>3.4902000000000002</v>
      </c>
      <c r="G16">
        <v>1.3029999999999999</v>
      </c>
      <c r="H16">
        <v>7.4999999999999997E-2</v>
      </c>
      <c r="I16">
        <v>-0.5</v>
      </c>
      <c r="J16">
        <v>-0.2</v>
      </c>
      <c r="K16">
        <v>-8.25</v>
      </c>
      <c r="L16">
        <v>-2</v>
      </c>
      <c r="M16">
        <v>100.02419999999999</v>
      </c>
      <c r="N16">
        <v>51.61</v>
      </c>
      <c r="O16">
        <v>50.49</v>
      </c>
      <c r="P16">
        <v>2.7759999999999998</v>
      </c>
      <c r="Q16">
        <v>17.739999999999998</v>
      </c>
      <c r="R16">
        <v>-12.8</v>
      </c>
    </row>
    <row r="17" spans="1:18" x14ac:dyDescent="0.2">
      <c r="A17" s="1">
        <v>38464</v>
      </c>
      <c r="B17" s="2">
        <v>-0.625</v>
      </c>
      <c r="C17" s="3">
        <v>15.38</v>
      </c>
      <c r="D17">
        <v>8.8249999999999993</v>
      </c>
      <c r="E17">
        <v>4.2449000000000003</v>
      </c>
      <c r="F17">
        <v>3.597</v>
      </c>
      <c r="G17">
        <v>1.2889999999999999</v>
      </c>
      <c r="H17">
        <v>7.4999999999999997E-2</v>
      </c>
      <c r="I17">
        <v>-0.2</v>
      </c>
      <c r="J17">
        <v>-0.1</v>
      </c>
      <c r="K17">
        <v>-8.75</v>
      </c>
      <c r="L17">
        <v>-1.9</v>
      </c>
      <c r="M17">
        <v>99.243200000000002</v>
      </c>
      <c r="N17">
        <v>54.97</v>
      </c>
      <c r="O17">
        <v>55.39</v>
      </c>
      <c r="P17">
        <v>2.9096000000000002</v>
      </c>
      <c r="Q17">
        <v>15.38</v>
      </c>
      <c r="R17">
        <v>-12.7</v>
      </c>
    </row>
    <row r="18" spans="1:18" x14ac:dyDescent="0.2">
      <c r="A18" s="1">
        <v>38471</v>
      </c>
      <c r="B18" s="2">
        <v>-0.625</v>
      </c>
      <c r="C18" s="3">
        <v>15.31</v>
      </c>
      <c r="D18">
        <v>9.0250000000000004</v>
      </c>
      <c r="E18">
        <v>4.1976000000000004</v>
      </c>
      <c r="F18">
        <v>3.6495000000000002</v>
      </c>
      <c r="G18">
        <v>1.2350000000000001</v>
      </c>
      <c r="H18">
        <v>0.08</v>
      </c>
      <c r="I18">
        <v>-0.3</v>
      </c>
      <c r="J18">
        <v>-0.25</v>
      </c>
      <c r="K18">
        <v>-7.9</v>
      </c>
      <c r="L18">
        <v>-1.8</v>
      </c>
      <c r="M18">
        <v>99.722700000000003</v>
      </c>
      <c r="N18">
        <v>51.09</v>
      </c>
      <c r="O18">
        <v>49.72</v>
      </c>
      <c r="P18">
        <v>2.8891</v>
      </c>
      <c r="Q18">
        <v>15.31</v>
      </c>
      <c r="R18">
        <v>-12.7</v>
      </c>
    </row>
    <row r="19" spans="1:18" x14ac:dyDescent="0.2">
      <c r="A19" s="1">
        <v>38478</v>
      </c>
      <c r="B19" s="2">
        <v>-0.625</v>
      </c>
      <c r="C19" s="3">
        <v>14.05</v>
      </c>
      <c r="D19">
        <v>8.6750000000000007</v>
      </c>
      <c r="E19">
        <v>4.2576000000000001</v>
      </c>
      <c r="F19">
        <v>3.7155999999999998</v>
      </c>
      <c r="G19">
        <v>1.216</v>
      </c>
      <c r="H19">
        <v>7.1999999999999995E-2</v>
      </c>
      <c r="I19">
        <v>-0.3</v>
      </c>
      <c r="J19">
        <v>-0.3</v>
      </c>
      <c r="K19">
        <v>-7.7</v>
      </c>
      <c r="L19">
        <v>-1.8</v>
      </c>
      <c r="M19">
        <v>99.563500000000005</v>
      </c>
      <c r="N19">
        <v>50.77</v>
      </c>
      <c r="O19">
        <v>50.96</v>
      </c>
      <c r="P19">
        <v>2.8582000000000001</v>
      </c>
      <c r="Q19">
        <v>14.05</v>
      </c>
      <c r="R19">
        <v>-12.5</v>
      </c>
    </row>
    <row r="20" spans="1:18" x14ac:dyDescent="0.2">
      <c r="A20" s="1">
        <v>38485</v>
      </c>
      <c r="B20" s="2">
        <v>-0.72499999999999998</v>
      </c>
      <c r="C20" s="3">
        <v>16.32</v>
      </c>
      <c r="D20">
        <v>8.375</v>
      </c>
      <c r="E20">
        <v>4.1173000000000002</v>
      </c>
      <c r="F20">
        <v>3.5825999999999998</v>
      </c>
      <c r="G20">
        <v>1.2749999999999999</v>
      </c>
      <c r="H20">
        <v>7.4999999999999997E-2</v>
      </c>
      <c r="I20">
        <v>-0.2</v>
      </c>
      <c r="J20">
        <v>-0.3</v>
      </c>
      <c r="K20">
        <v>-6.9</v>
      </c>
      <c r="L20">
        <v>-1.2</v>
      </c>
      <c r="M20">
        <v>100.6571</v>
      </c>
      <c r="N20">
        <v>48.66</v>
      </c>
      <c r="O20">
        <v>48.67</v>
      </c>
      <c r="P20">
        <v>2.8068</v>
      </c>
      <c r="Q20">
        <v>16.32</v>
      </c>
      <c r="R20">
        <v>-11.8</v>
      </c>
    </row>
    <row r="21" spans="1:18" x14ac:dyDescent="0.2">
      <c r="A21" s="1">
        <v>38492</v>
      </c>
      <c r="B21" s="2">
        <v>-0.77500000000000002</v>
      </c>
      <c r="C21" s="3">
        <v>13.14</v>
      </c>
      <c r="D21">
        <v>8.3249999999999993</v>
      </c>
      <c r="E21">
        <v>4.1210000000000004</v>
      </c>
      <c r="F21">
        <v>3.6577000000000002</v>
      </c>
      <c r="G21">
        <v>1.264</v>
      </c>
      <c r="H21">
        <v>8.8999999999999996E-2</v>
      </c>
      <c r="I21">
        <v>-0.5</v>
      </c>
      <c r="J21">
        <v>-0.5</v>
      </c>
      <c r="K21">
        <v>-6.75</v>
      </c>
      <c r="L21">
        <v>-1.25</v>
      </c>
      <c r="M21">
        <v>101.01860000000001</v>
      </c>
      <c r="N21">
        <v>48.03</v>
      </c>
      <c r="O21">
        <v>46.8</v>
      </c>
      <c r="P21">
        <v>2.8788</v>
      </c>
      <c r="Q21">
        <v>13.14</v>
      </c>
      <c r="R21">
        <v>-11.6</v>
      </c>
    </row>
    <row r="22" spans="1:18" x14ac:dyDescent="0.2">
      <c r="A22" s="1">
        <v>38499</v>
      </c>
      <c r="B22" s="2">
        <v>-0.67500000000000004</v>
      </c>
      <c r="C22" s="3">
        <v>12.15</v>
      </c>
      <c r="D22">
        <v>8.0749999999999993</v>
      </c>
      <c r="E22">
        <v>4.0709</v>
      </c>
      <c r="F22">
        <v>3.6389</v>
      </c>
      <c r="G22">
        <v>1.244</v>
      </c>
      <c r="H22">
        <v>0.08</v>
      </c>
      <c r="I22">
        <v>-0.3</v>
      </c>
      <c r="J22">
        <v>-0.2</v>
      </c>
      <c r="K22">
        <v>-5.8</v>
      </c>
      <c r="L22">
        <v>-1.3</v>
      </c>
      <c r="M22">
        <v>100.7366</v>
      </c>
      <c r="N22">
        <v>50.7</v>
      </c>
      <c r="O22">
        <v>51.85</v>
      </c>
      <c r="P22">
        <v>2.9401999999999999</v>
      </c>
      <c r="Q22">
        <v>12.15</v>
      </c>
      <c r="R22">
        <v>-10.525</v>
      </c>
    </row>
    <row r="23" spans="1:18" x14ac:dyDescent="0.2">
      <c r="A23" s="1">
        <v>38506</v>
      </c>
      <c r="B23" s="2">
        <v>-0.72499999999999998</v>
      </c>
      <c r="C23" s="3">
        <v>12.15</v>
      </c>
      <c r="D23">
        <v>7.9</v>
      </c>
      <c r="E23">
        <v>3.9731999999999998</v>
      </c>
      <c r="F23">
        <v>3.5573000000000001</v>
      </c>
      <c r="G23">
        <v>1.2350000000000001</v>
      </c>
      <c r="H23">
        <v>8.5000000000000006E-2</v>
      </c>
      <c r="I23">
        <v>-0.1</v>
      </c>
      <c r="J23">
        <v>-0.1</v>
      </c>
      <c r="K23">
        <v>-5.0999999999999996</v>
      </c>
      <c r="L23">
        <v>-0.9</v>
      </c>
      <c r="M23">
        <v>101.2024</v>
      </c>
      <c r="N23">
        <v>54.17</v>
      </c>
      <c r="O23">
        <v>55.03</v>
      </c>
      <c r="P23">
        <v>2.9918999999999998</v>
      </c>
      <c r="Q23">
        <v>12.15</v>
      </c>
      <c r="R23">
        <v>-9.9</v>
      </c>
    </row>
    <row r="24" spans="1:18" x14ac:dyDescent="0.2">
      <c r="A24" s="1">
        <v>38513</v>
      </c>
      <c r="B24" s="2">
        <v>-0.625</v>
      </c>
      <c r="C24" s="3">
        <v>11.96</v>
      </c>
      <c r="D24">
        <v>8.0250000000000004</v>
      </c>
      <c r="E24">
        <v>4.0514000000000001</v>
      </c>
      <c r="F24">
        <v>3.6907999999999999</v>
      </c>
      <c r="G24">
        <v>1.216</v>
      </c>
      <c r="H24">
        <v>0.08</v>
      </c>
      <c r="I24">
        <v>-0.4</v>
      </c>
      <c r="J24">
        <v>-0.4</v>
      </c>
      <c r="K24">
        <v>-5.6</v>
      </c>
      <c r="L24">
        <v>-1.1000000000000001</v>
      </c>
      <c r="M24">
        <v>101.5737</v>
      </c>
      <c r="N24">
        <v>52.67</v>
      </c>
      <c r="O24">
        <v>53.54</v>
      </c>
      <c r="P24">
        <v>2.9918999999999998</v>
      </c>
      <c r="Q24">
        <v>11.96</v>
      </c>
      <c r="R24">
        <v>-10.5</v>
      </c>
    </row>
    <row r="25" spans="1:18" x14ac:dyDescent="0.2">
      <c r="A25" s="1">
        <v>38520</v>
      </c>
      <c r="B25" s="2">
        <v>-0.625</v>
      </c>
      <c r="C25" s="3">
        <v>11.48</v>
      </c>
      <c r="D25">
        <v>8.0250000000000004</v>
      </c>
      <c r="E25">
        <v>4.0705</v>
      </c>
      <c r="F25">
        <v>3.7006999999999999</v>
      </c>
      <c r="G25">
        <v>1.3009999999999999</v>
      </c>
      <c r="H25">
        <v>0.08</v>
      </c>
      <c r="I25">
        <v>-0.5</v>
      </c>
      <c r="J25">
        <v>-0.7</v>
      </c>
      <c r="K25">
        <v>-5.5</v>
      </c>
      <c r="L25">
        <v>-1.3</v>
      </c>
      <c r="M25">
        <v>100.9765</v>
      </c>
      <c r="N25">
        <v>57.76</v>
      </c>
      <c r="O25">
        <v>58.47</v>
      </c>
      <c r="P25">
        <v>2.9712999999999998</v>
      </c>
      <c r="Q25">
        <v>11.48</v>
      </c>
      <c r="R25">
        <v>-10.4</v>
      </c>
    </row>
    <row r="26" spans="1:18" x14ac:dyDescent="0.2">
      <c r="A26" s="1">
        <v>38527</v>
      </c>
      <c r="B26" s="2">
        <v>-0.57499999999999996</v>
      </c>
      <c r="C26" s="3">
        <v>12.18</v>
      </c>
      <c r="D26">
        <v>7.875</v>
      </c>
      <c r="E26">
        <v>3.9169999999999998</v>
      </c>
      <c r="F26">
        <v>3.5750999999999999</v>
      </c>
      <c r="G26">
        <v>1.2050000000000001</v>
      </c>
      <c r="H26">
        <v>7.3999999999999996E-2</v>
      </c>
      <c r="I26">
        <v>-0.5</v>
      </c>
      <c r="J26">
        <v>-0.6</v>
      </c>
      <c r="K26">
        <v>-6.375</v>
      </c>
      <c r="L26">
        <v>-1.625</v>
      </c>
      <c r="M26">
        <v>101.312</v>
      </c>
      <c r="N26">
        <v>58.36</v>
      </c>
      <c r="O26">
        <v>59.84</v>
      </c>
      <c r="P26">
        <v>3.0844999999999998</v>
      </c>
      <c r="Q26">
        <v>12.18</v>
      </c>
      <c r="R26">
        <v>-11.625</v>
      </c>
    </row>
    <row r="27" spans="1:18" x14ac:dyDescent="0.2">
      <c r="A27" s="1">
        <v>38534</v>
      </c>
      <c r="B27" s="2">
        <v>-0.67500000000000004</v>
      </c>
      <c r="C27" s="3">
        <v>11.4</v>
      </c>
      <c r="D27">
        <v>7.9249999999999998</v>
      </c>
      <c r="E27">
        <v>4.0488999999999997</v>
      </c>
      <c r="F27">
        <v>3.7401</v>
      </c>
      <c r="G27">
        <v>1.169</v>
      </c>
      <c r="H27">
        <v>7.0999999999999994E-2</v>
      </c>
      <c r="I27">
        <v>-0.75</v>
      </c>
      <c r="J27">
        <v>-2.5</v>
      </c>
      <c r="K27">
        <v>-6</v>
      </c>
      <c r="L27">
        <v>-1.5</v>
      </c>
      <c r="M27">
        <v>102.22629999999999</v>
      </c>
      <c r="N27">
        <v>57.54</v>
      </c>
      <c r="O27">
        <v>58.75</v>
      </c>
      <c r="P27">
        <v>3.1562000000000001</v>
      </c>
      <c r="Q27">
        <v>11.4</v>
      </c>
      <c r="R27">
        <v>-10.75</v>
      </c>
    </row>
    <row r="28" spans="1:18" x14ac:dyDescent="0.2">
      <c r="A28" s="1">
        <v>38541</v>
      </c>
      <c r="B28" s="2">
        <v>-0.92500000000000004</v>
      </c>
      <c r="C28" s="3">
        <v>11.45</v>
      </c>
      <c r="D28">
        <v>7.875</v>
      </c>
      <c r="E28">
        <v>4.0914000000000001</v>
      </c>
      <c r="F28">
        <v>3.7656999999999998</v>
      </c>
      <c r="G28">
        <v>1.2050000000000001</v>
      </c>
      <c r="H28">
        <v>7.1999999999999995E-2</v>
      </c>
      <c r="I28">
        <v>-0.9</v>
      </c>
      <c r="J28">
        <v>-1.1000000000000001</v>
      </c>
      <c r="K28">
        <v>-5.5</v>
      </c>
      <c r="L28">
        <v>-1.7</v>
      </c>
      <c r="M28">
        <v>102.26739999999999</v>
      </c>
      <c r="N28">
        <v>58.2</v>
      </c>
      <c r="O28">
        <v>59.63</v>
      </c>
      <c r="P28">
        <v>3.1667999999999998</v>
      </c>
      <c r="Q28">
        <v>11.45</v>
      </c>
      <c r="R28">
        <v>-10.199999999999999</v>
      </c>
    </row>
    <row r="29" spans="1:18" x14ac:dyDescent="0.2">
      <c r="A29" s="1">
        <v>38548</v>
      </c>
      <c r="B29" s="2">
        <v>-0.72499999999999998</v>
      </c>
      <c r="C29" s="3">
        <v>10.33</v>
      </c>
      <c r="D29">
        <v>7.8250000000000002</v>
      </c>
      <c r="E29">
        <v>4.1635</v>
      </c>
      <c r="F29">
        <v>3.8591000000000002</v>
      </c>
      <c r="G29">
        <v>1.2689999999999999</v>
      </c>
      <c r="H29">
        <v>7.0000000000000007E-2</v>
      </c>
      <c r="I29">
        <v>-0.55000000000000004</v>
      </c>
      <c r="J29">
        <v>-1.2</v>
      </c>
      <c r="K29">
        <v>-4.7</v>
      </c>
      <c r="L29">
        <v>-2</v>
      </c>
      <c r="M29">
        <v>101.7514</v>
      </c>
      <c r="N29">
        <v>57.61</v>
      </c>
      <c r="O29">
        <v>58.09</v>
      </c>
      <c r="P29">
        <v>3.2387999999999999</v>
      </c>
      <c r="Q29">
        <v>10.33</v>
      </c>
      <c r="R29">
        <v>-9.5</v>
      </c>
    </row>
    <row r="30" spans="1:18" x14ac:dyDescent="0.2">
      <c r="A30" s="1">
        <v>38555</v>
      </c>
      <c r="B30" s="2">
        <v>-0.7</v>
      </c>
      <c r="C30" s="3">
        <v>10.52</v>
      </c>
      <c r="D30">
        <v>8.1750000000000007</v>
      </c>
      <c r="E30">
        <v>4.2184999999999997</v>
      </c>
      <c r="F30">
        <v>3.9036</v>
      </c>
      <c r="G30">
        <v>1.2290000000000001</v>
      </c>
      <c r="H30">
        <v>7.0000000000000007E-2</v>
      </c>
      <c r="I30">
        <v>-0.5</v>
      </c>
      <c r="J30">
        <v>-0.2</v>
      </c>
      <c r="K30">
        <v>-4.3</v>
      </c>
      <c r="L30">
        <v>-1</v>
      </c>
      <c r="M30">
        <v>101.1952</v>
      </c>
      <c r="N30">
        <v>57.58</v>
      </c>
      <c r="O30">
        <v>58.65</v>
      </c>
      <c r="P30">
        <v>3.3624000000000001</v>
      </c>
      <c r="Q30">
        <v>10.52</v>
      </c>
      <c r="R30">
        <v>-8.8000000000000007</v>
      </c>
    </row>
    <row r="31" spans="1:18" x14ac:dyDescent="0.2">
      <c r="A31" s="1">
        <v>38562</v>
      </c>
      <c r="B31" s="2">
        <v>-0.72499999999999998</v>
      </c>
      <c r="C31" s="3">
        <v>11.57</v>
      </c>
      <c r="D31">
        <v>8.0749999999999993</v>
      </c>
      <c r="E31">
        <v>4.2759999999999998</v>
      </c>
      <c r="F31">
        <v>4.0147000000000004</v>
      </c>
      <c r="G31">
        <v>1.3029999999999999</v>
      </c>
      <c r="H31">
        <v>0.11</v>
      </c>
      <c r="I31">
        <v>-0.55000000000000004</v>
      </c>
      <c r="J31">
        <v>-1.2</v>
      </c>
      <c r="K31">
        <v>-4.7</v>
      </c>
      <c r="L31">
        <v>-0.875</v>
      </c>
      <c r="M31">
        <v>101.2856</v>
      </c>
      <c r="N31">
        <v>59.37</v>
      </c>
      <c r="O31">
        <v>60.57</v>
      </c>
      <c r="P31">
        <v>3.3933</v>
      </c>
      <c r="Q31">
        <v>11.57</v>
      </c>
      <c r="R31">
        <v>-8.8000000000000007</v>
      </c>
    </row>
    <row r="32" spans="1:18" x14ac:dyDescent="0.2">
      <c r="A32" s="1">
        <v>38569</v>
      </c>
      <c r="B32" s="2">
        <v>-0.625</v>
      </c>
      <c r="C32" s="3">
        <v>12.48</v>
      </c>
      <c r="D32">
        <v>8.1750000000000007</v>
      </c>
      <c r="E32">
        <v>4.3860999999999999</v>
      </c>
      <c r="F32">
        <v>4.0987999999999998</v>
      </c>
      <c r="G32">
        <v>1.38</v>
      </c>
      <c r="H32">
        <v>0.124</v>
      </c>
      <c r="I32">
        <v>-0.8</v>
      </c>
      <c r="J32">
        <v>-1.4</v>
      </c>
      <c r="K32">
        <v>-4.7</v>
      </c>
      <c r="L32">
        <v>-1.1000000000000001</v>
      </c>
      <c r="M32">
        <v>100.5647</v>
      </c>
      <c r="N32">
        <v>61.07</v>
      </c>
      <c r="O32">
        <v>62.31</v>
      </c>
      <c r="P32">
        <v>3.5066999999999999</v>
      </c>
      <c r="Q32">
        <v>12.48</v>
      </c>
      <c r="R32">
        <v>-9.3000000000000007</v>
      </c>
    </row>
    <row r="33" spans="1:18" x14ac:dyDescent="0.2">
      <c r="A33" s="1">
        <v>38576</v>
      </c>
      <c r="B33" s="2">
        <v>-0.57499999999999996</v>
      </c>
      <c r="C33" s="3">
        <v>12.74</v>
      </c>
      <c r="D33">
        <v>8.2750000000000004</v>
      </c>
      <c r="E33">
        <v>4.2423000000000002</v>
      </c>
      <c r="F33">
        <v>4.0332999999999997</v>
      </c>
      <c r="G33">
        <v>1.44</v>
      </c>
      <c r="H33">
        <v>0.153</v>
      </c>
      <c r="I33">
        <v>-0.8</v>
      </c>
      <c r="J33">
        <v>-1.7</v>
      </c>
      <c r="K33">
        <v>-5.2</v>
      </c>
      <c r="L33">
        <v>-1.9</v>
      </c>
      <c r="M33">
        <v>99.711799999999997</v>
      </c>
      <c r="N33">
        <v>66.45</v>
      </c>
      <c r="O33">
        <v>66.86</v>
      </c>
      <c r="P33">
        <v>3.5066999999999999</v>
      </c>
      <c r="Q33">
        <v>12.74</v>
      </c>
      <c r="R33">
        <v>-9.6</v>
      </c>
    </row>
    <row r="34" spans="1:18" x14ac:dyDescent="0.2">
      <c r="A34" s="1">
        <v>38583</v>
      </c>
      <c r="B34" s="2">
        <v>-0.625</v>
      </c>
      <c r="C34" s="3">
        <v>13.42</v>
      </c>
      <c r="D34">
        <v>8.0250000000000004</v>
      </c>
      <c r="E34">
        <v>4.2054</v>
      </c>
      <c r="F34">
        <v>4.0175999999999998</v>
      </c>
      <c r="G34">
        <v>1.41</v>
      </c>
      <c r="H34">
        <v>0.129</v>
      </c>
      <c r="I34">
        <v>-0.9</v>
      </c>
      <c r="J34">
        <v>-1.6</v>
      </c>
      <c r="K34">
        <v>-6.1</v>
      </c>
      <c r="L34">
        <v>-2.2000000000000002</v>
      </c>
      <c r="M34">
        <v>101.07</v>
      </c>
      <c r="N34">
        <v>64.36</v>
      </c>
      <c r="O34">
        <v>65.349999999999994</v>
      </c>
      <c r="P34">
        <v>3.5066999999999999</v>
      </c>
      <c r="Q34">
        <v>13.42</v>
      </c>
      <c r="R34">
        <v>-10.4</v>
      </c>
    </row>
    <row r="35" spans="1:18" x14ac:dyDescent="0.2">
      <c r="A35" s="1">
        <v>38590</v>
      </c>
      <c r="B35" s="2">
        <v>-0.67500000000000004</v>
      </c>
      <c r="C35" s="3">
        <v>13.72</v>
      </c>
      <c r="D35">
        <v>8.1750000000000007</v>
      </c>
      <c r="E35">
        <v>4.1859999999999999</v>
      </c>
      <c r="F35">
        <v>4.0656999999999996</v>
      </c>
      <c r="G35">
        <v>1.4039999999999999</v>
      </c>
      <c r="H35">
        <v>0.15</v>
      </c>
      <c r="I35">
        <v>-1.4</v>
      </c>
      <c r="J35">
        <v>-1.6</v>
      </c>
      <c r="K35">
        <v>-6.3</v>
      </c>
      <c r="L35">
        <v>-2.875</v>
      </c>
      <c r="M35">
        <v>100.3925</v>
      </c>
      <c r="N35">
        <v>64.87</v>
      </c>
      <c r="O35">
        <v>66.13</v>
      </c>
      <c r="P35">
        <v>3.5379999999999998</v>
      </c>
      <c r="Q35">
        <v>13.72</v>
      </c>
      <c r="R35">
        <v>-11.25</v>
      </c>
    </row>
    <row r="36" spans="1:18" x14ac:dyDescent="0.2">
      <c r="A36" s="1">
        <v>38597</v>
      </c>
      <c r="B36" s="2">
        <v>-0.57499999999999996</v>
      </c>
      <c r="C36" s="3">
        <v>13.57</v>
      </c>
      <c r="D36">
        <v>8.4749999999999996</v>
      </c>
      <c r="E36">
        <v>4.0362</v>
      </c>
      <c r="F36">
        <v>3.7522000000000002</v>
      </c>
      <c r="G36">
        <v>1.3149999999999999</v>
      </c>
      <c r="H36">
        <v>0.109</v>
      </c>
      <c r="I36">
        <v>-1.5</v>
      </c>
      <c r="J36">
        <v>-2</v>
      </c>
      <c r="K36">
        <v>-6.75</v>
      </c>
      <c r="L36">
        <v>-2.7</v>
      </c>
      <c r="M36">
        <v>99.503699999999995</v>
      </c>
      <c r="N36">
        <v>66.06</v>
      </c>
      <c r="O36">
        <v>67.569999999999993</v>
      </c>
      <c r="P36">
        <v>3.4445000000000001</v>
      </c>
      <c r="Q36">
        <v>13.57</v>
      </c>
      <c r="R36">
        <v>-11.125</v>
      </c>
    </row>
    <row r="37" spans="1:18" x14ac:dyDescent="0.2">
      <c r="A37" s="1">
        <v>38604</v>
      </c>
      <c r="B37" s="2">
        <v>-0.47499999999999998</v>
      </c>
      <c r="C37" s="3">
        <v>11.98</v>
      </c>
      <c r="D37">
        <v>8.2750000000000004</v>
      </c>
      <c r="E37">
        <v>4.1181000000000001</v>
      </c>
      <c r="F37">
        <v>3.8660999999999999</v>
      </c>
      <c r="G37">
        <v>1.34</v>
      </c>
      <c r="H37">
        <v>0.14499999999999999</v>
      </c>
      <c r="I37">
        <v>-1.1000000000000001</v>
      </c>
      <c r="J37">
        <v>-1.4</v>
      </c>
      <c r="K37">
        <v>-6</v>
      </c>
      <c r="L37">
        <v>-2.4</v>
      </c>
      <c r="M37">
        <v>99.499499999999998</v>
      </c>
      <c r="N37">
        <v>62.84</v>
      </c>
      <c r="O37">
        <v>64.08</v>
      </c>
      <c r="P37">
        <v>3.4655</v>
      </c>
      <c r="Q37">
        <v>11.98</v>
      </c>
      <c r="R37">
        <v>-10.6</v>
      </c>
    </row>
    <row r="38" spans="1:18" x14ac:dyDescent="0.2">
      <c r="A38" s="1">
        <v>38611</v>
      </c>
      <c r="B38" s="2">
        <v>-0.52500000000000002</v>
      </c>
      <c r="C38" s="3">
        <v>11.22</v>
      </c>
      <c r="D38">
        <v>8.1750000000000007</v>
      </c>
      <c r="E38">
        <v>4.2709999999999999</v>
      </c>
      <c r="F38">
        <v>3.9738000000000002</v>
      </c>
      <c r="G38">
        <v>1.3540000000000001</v>
      </c>
      <c r="H38">
        <v>0.16900000000000001</v>
      </c>
      <c r="I38">
        <v>-1.1000000000000001</v>
      </c>
      <c r="J38">
        <v>-1.4</v>
      </c>
      <c r="K38">
        <v>-5.9</v>
      </c>
      <c r="L38">
        <v>-2.1</v>
      </c>
      <c r="M38">
        <v>100.4318</v>
      </c>
      <c r="N38">
        <v>61.81</v>
      </c>
      <c r="O38">
        <v>63</v>
      </c>
      <c r="P38">
        <v>3.4758</v>
      </c>
      <c r="Q38">
        <v>11.22</v>
      </c>
      <c r="R38">
        <v>-10.5</v>
      </c>
    </row>
    <row r="39" spans="1:18" x14ac:dyDescent="0.2">
      <c r="A39" s="1">
        <v>38618</v>
      </c>
      <c r="B39" s="2">
        <v>-0.5</v>
      </c>
      <c r="C39" s="3">
        <v>12.96</v>
      </c>
      <c r="D39">
        <v>8.125</v>
      </c>
      <c r="E39">
        <v>4.2455999999999996</v>
      </c>
      <c r="F39">
        <v>4.0156999999999998</v>
      </c>
      <c r="G39">
        <v>1.365</v>
      </c>
      <c r="H39">
        <v>0.16500000000000001</v>
      </c>
      <c r="I39">
        <v>-1.125</v>
      </c>
      <c r="J39">
        <v>-1.7</v>
      </c>
      <c r="K39">
        <v>-6.75</v>
      </c>
      <c r="L39">
        <v>-3</v>
      </c>
      <c r="M39">
        <v>100.73950000000001</v>
      </c>
      <c r="N39">
        <v>62.44</v>
      </c>
      <c r="O39">
        <v>64.19</v>
      </c>
      <c r="P39">
        <v>3.4655</v>
      </c>
      <c r="Q39">
        <v>12.96</v>
      </c>
      <c r="R39">
        <v>-11.1875</v>
      </c>
    </row>
    <row r="40" spans="1:18" x14ac:dyDescent="0.2">
      <c r="A40" s="1">
        <v>38625</v>
      </c>
      <c r="B40" s="2">
        <v>-0.52500000000000002</v>
      </c>
      <c r="C40" s="3">
        <v>11.92</v>
      </c>
      <c r="D40">
        <v>8.125</v>
      </c>
      <c r="E40">
        <v>4.3239999999999998</v>
      </c>
      <c r="F40">
        <v>4.1649000000000003</v>
      </c>
      <c r="G40">
        <v>1.474</v>
      </c>
      <c r="H40">
        <v>0.22500000000000001</v>
      </c>
      <c r="I40">
        <v>-1.3</v>
      </c>
      <c r="J40">
        <v>-1.5</v>
      </c>
      <c r="K40">
        <v>-7.7</v>
      </c>
      <c r="L40">
        <v>-3.15</v>
      </c>
      <c r="M40">
        <v>100.627</v>
      </c>
      <c r="N40">
        <v>63.48</v>
      </c>
      <c r="O40">
        <v>66.239999999999995</v>
      </c>
      <c r="P40">
        <v>3.5375999999999999</v>
      </c>
      <c r="Q40">
        <v>11.92</v>
      </c>
      <c r="R40">
        <v>-12.2</v>
      </c>
    </row>
    <row r="41" spans="1:18" x14ac:dyDescent="0.2">
      <c r="A41" s="1">
        <v>38632</v>
      </c>
      <c r="B41" s="2">
        <v>-0.52500000000000002</v>
      </c>
      <c r="C41" s="3">
        <v>14.59</v>
      </c>
      <c r="D41">
        <v>8</v>
      </c>
      <c r="E41">
        <v>4.3540000000000001</v>
      </c>
      <c r="F41">
        <v>4.1829999999999998</v>
      </c>
      <c r="G41">
        <v>1.51</v>
      </c>
      <c r="H41">
        <v>0.215</v>
      </c>
      <c r="I41">
        <v>-1.3</v>
      </c>
      <c r="J41">
        <v>-1.8</v>
      </c>
      <c r="K41">
        <v>-7.9</v>
      </c>
      <c r="L41">
        <v>-3.5</v>
      </c>
      <c r="M41">
        <v>100.8462</v>
      </c>
      <c r="N41">
        <v>59.21</v>
      </c>
      <c r="O41">
        <v>61.84</v>
      </c>
      <c r="P41">
        <v>3.5992000000000002</v>
      </c>
      <c r="Q41">
        <v>14.59</v>
      </c>
      <c r="R41">
        <v>-12.625</v>
      </c>
    </row>
    <row r="42" spans="1:18" x14ac:dyDescent="0.2">
      <c r="A42" s="1">
        <v>38639</v>
      </c>
      <c r="B42" s="2">
        <v>-0.57499999999999996</v>
      </c>
      <c r="C42" s="3">
        <v>14.87</v>
      </c>
      <c r="D42">
        <v>8.0250000000000004</v>
      </c>
      <c r="E42">
        <v>4.4793000000000003</v>
      </c>
      <c r="F42">
        <v>4.2516999999999996</v>
      </c>
      <c r="G42">
        <v>1.5649999999999999</v>
      </c>
      <c r="H42">
        <v>0.26</v>
      </c>
      <c r="I42">
        <v>-1.6</v>
      </c>
      <c r="J42">
        <v>-1.9</v>
      </c>
      <c r="K42">
        <v>-9.1999999999999993</v>
      </c>
      <c r="L42">
        <v>-3.8</v>
      </c>
      <c r="M42">
        <v>101.3186</v>
      </c>
      <c r="N42">
        <v>59.35</v>
      </c>
      <c r="O42">
        <v>62.63</v>
      </c>
      <c r="P42">
        <v>3.7852000000000001</v>
      </c>
      <c r="Q42">
        <v>14.87</v>
      </c>
      <c r="R42">
        <v>-13.3</v>
      </c>
    </row>
    <row r="43" spans="1:18" x14ac:dyDescent="0.2">
      <c r="A43" s="1">
        <v>38646</v>
      </c>
      <c r="B43" s="2">
        <v>-0.52500000000000002</v>
      </c>
      <c r="C43" s="3">
        <v>16.13</v>
      </c>
      <c r="D43">
        <v>8.0749999999999993</v>
      </c>
      <c r="E43">
        <v>4.3837000000000002</v>
      </c>
      <c r="F43">
        <v>4.2026000000000003</v>
      </c>
      <c r="G43">
        <v>1.5049999999999999</v>
      </c>
      <c r="H43">
        <v>0.26100000000000001</v>
      </c>
      <c r="I43">
        <v>-1.6</v>
      </c>
      <c r="J43">
        <v>-1.7</v>
      </c>
      <c r="K43">
        <v>-9.1999999999999993</v>
      </c>
      <c r="L43">
        <v>-3.8</v>
      </c>
      <c r="M43">
        <v>101.7826</v>
      </c>
      <c r="N43">
        <v>58.48</v>
      </c>
      <c r="O43">
        <v>60.63</v>
      </c>
      <c r="P43">
        <v>3.8472</v>
      </c>
      <c r="Q43">
        <v>16.13</v>
      </c>
      <c r="R43">
        <v>-12.9</v>
      </c>
    </row>
    <row r="44" spans="1:18" x14ac:dyDescent="0.2">
      <c r="A44" s="1">
        <v>38653</v>
      </c>
      <c r="B44" s="2">
        <v>-0.5</v>
      </c>
      <c r="C44" s="3">
        <v>14.25</v>
      </c>
      <c r="D44">
        <v>8.0250000000000004</v>
      </c>
      <c r="E44">
        <v>4.5648</v>
      </c>
      <c r="F44">
        <v>4.3818999999999999</v>
      </c>
      <c r="G44">
        <v>1.512</v>
      </c>
      <c r="H44">
        <v>0.27</v>
      </c>
      <c r="I44">
        <v>-2.4</v>
      </c>
      <c r="J44">
        <v>-2.2999999999999998</v>
      </c>
      <c r="K44">
        <v>-10.7</v>
      </c>
      <c r="L44">
        <v>-5.2</v>
      </c>
      <c r="M44">
        <v>101.17359999999999</v>
      </c>
      <c r="N44">
        <v>59.42</v>
      </c>
      <c r="O44">
        <v>61.22</v>
      </c>
      <c r="P44">
        <v>3.9091</v>
      </c>
      <c r="Q44">
        <v>14.25</v>
      </c>
      <c r="R44">
        <v>-15</v>
      </c>
    </row>
    <row r="45" spans="1:18" x14ac:dyDescent="0.2">
      <c r="A45" s="1">
        <v>38660</v>
      </c>
      <c r="B45" s="2">
        <v>-0.57499999999999996</v>
      </c>
      <c r="C45" s="3">
        <v>13.17</v>
      </c>
      <c r="D45">
        <v>8.0250000000000004</v>
      </c>
      <c r="E45">
        <v>4.6589999999999998</v>
      </c>
      <c r="F45">
        <v>4.4661</v>
      </c>
      <c r="G45">
        <v>1.605</v>
      </c>
      <c r="H45">
        <v>0.32600000000000001</v>
      </c>
      <c r="I45">
        <v>-2.75</v>
      </c>
      <c r="J45">
        <v>-3.5</v>
      </c>
      <c r="K45">
        <v>-11.1</v>
      </c>
      <c r="L45">
        <v>-5.5</v>
      </c>
      <c r="M45">
        <v>102.01179999999999</v>
      </c>
      <c r="N45">
        <v>59.25</v>
      </c>
      <c r="O45">
        <v>60.58</v>
      </c>
      <c r="P45">
        <v>3.9504999999999999</v>
      </c>
      <c r="Q45">
        <v>13.17</v>
      </c>
      <c r="R45">
        <v>-14.25</v>
      </c>
    </row>
    <row r="46" spans="1:18" x14ac:dyDescent="0.2">
      <c r="A46" s="1">
        <v>38667</v>
      </c>
      <c r="B46" s="2">
        <v>-0.625</v>
      </c>
      <c r="C46" s="3">
        <v>11.63</v>
      </c>
      <c r="D46">
        <v>7.9249999999999998</v>
      </c>
      <c r="E46">
        <v>4.5332999999999997</v>
      </c>
      <c r="F46">
        <v>4.4260000000000002</v>
      </c>
      <c r="G46">
        <v>1.5649999999999999</v>
      </c>
      <c r="H46">
        <v>0.28499999999999998</v>
      </c>
      <c r="I46">
        <v>-2.6</v>
      </c>
      <c r="J46">
        <v>-3.5</v>
      </c>
      <c r="K46">
        <v>-11.2</v>
      </c>
      <c r="L46">
        <v>-5.4</v>
      </c>
      <c r="M46">
        <v>102.20740000000001</v>
      </c>
      <c r="N46">
        <v>54.99</v>
      </c>
      <c r="O46">
        <v>57.53</v>
      </c>
      <c r="P46">
        <v>3.9603999999999999</v>
      </c>
      <c r="Q46">
        <v>11.63</v>
      </c>
      <c r="R46">
        <v>-15.25</v>
      </c>
    </row>
    <row r="47" spans="1:18" x14ac:dyDescent="0.2">
      <c r="A47" s="1">
        <v>38674</v>
      </c>
      <c r="B47" s="2">
        <v>-0.625</v>
      </c>
      <c r="C47" s="3">
        <v>11.12</v>
      </c>
      <c r="D47">
        <v>7.95</v>
      </c>
      <c r="E47">
        <v>4.4881000000000002</v>
      </c>
      <c r="F47">
        <v>4.3844000000000003</v>
      </c>
      <c r="G47">
        <v>1.4550000000000001</v>
      </c>
      <c r="H47">
        <v>0.24099999999999999</v>
      </c>
      <c r="I47">
        <v>-2.4</v>
      </c>
      <c r="J47">
        <v>-3.5</v>
      </c>
      <c r="K47">
        <v>-9.9</v>
      </c>
      <c r="L47">
        <v>-4.7</v>
      </c>
      <c r="M47">
        <v>102.4233</v>
      </c>
      <c r="N47">
        <v>54.88</v>
      </c>
      <c r="O47">
        <v>56.14</v>
      </c>
      <c r="P47">
        <v>4.0021000000000004</v>
      </c>
      <c r="Q47">
        <v>11.12</v>
      </c>
      <c r="R47">
        <v>-14</v>
      </c>
    </row>
    <row r="48" spans="1:18" x14ac:dyDescent="0.2">
      <c r="A48" s="1">
        <v>38681</v>
      </c>
      <c r="B48" s="2">
        <v>-0.52500000000000002</v>
      </c>
      <c r="C48" s="3">
        <v>10.88</v>
      </c>
      <c r="D48">
        <v>7.875</v>
      </c>
      <c r="E48">
        <v>4.4273999999999996</v>
      </c>
      <c r="F48">
        <v>4.3159999999999998</v>
      </c>
      <c r="G48">
        <v>1.44</v>
      </c>
      <c r="H48">
        <v>0.22</v>
      </c>
      <c r="I48">
        <v>-2.4</v>
      </c>
      <c r="J48">
        <v>-3.5</v>
      </c>
      <c r="K48">
        <v>-9.9</v>
      </c>
      <c r="L48">
        <v>-4.5999999999999996</v>
      </c>
      <c r="M48">
        <v>102.03830000000001</v>
      </c>
      <c r="N48">
        <v>55.01</v>
      </c>
      <c r="O48">
        <v>58.71</v>
      </c>
      <c r="P48">
        <v>3.9397000000000002</v>
      </c>
      <c r="Q48">
        <v>10.88</v>
      </c>
      <c r="R48">
        <v>-14</v>
      </c>
    </row>
    <row r="49" spans="1:18" x14ac:dyDescent="0.2">
      <c r="A49" s="1">
        <v>38688</v>
      </c>
      <c r="B49" s="2">
        <v>-0.5</v>
      </c>
      <c r="C49" s="3">
        <v>11.01</v>
      </c>
      <c r="D49">
        <v>8.125</v>
      </c>
      <c r="E49">
        <v>4.5114999999999998</v>
      </c>
      <c r="F49">
        <v>4.4157000000000002</v>
      </c>
      <c r="G49">
        <v>1.5049999999999999</v>
      </c>
      <c r="H49">
        <v>0.22900000000000001</v>
      </c>
      <c r="I49">
        <v>-2.1</v>
      </c>
      <c r="J49">
        <v>-3.5</v>
      </c>
      <c r="K49">
        <v>-8.1999999999999993</v>
      </c>
      <c r="L49">
        <v>-3.9</v>
      </c>
      <c r="M49">
        <v>101.76690000000001</v>
      </c>
      <c r="N49">
        <v>57.05</v>
      </c>
      <c r="O49">
        <v>59.32</v>
      </c>
      <c r="P49">
        <v>3.9815</v>
      </c>
      <c r="Q49">
        <v>11.01</v>
      </c>
      <c r="R49">
        <v>-12</v>
      </c>
    </row>
    <row r="50" spans="1:18" x14ac:dyDescent="0.2">
      <c r="A50" s="1">
        <v>38695</v>
      </c>
      <c r="B50" s="2">
        <v>-0.42499999999999999</v>
      </c>
      <c r="C50" s="3">
        <v>11.69</v>
      </c>
      <c r="D50">
        <v>8.125</v>
      </c>
      <c r="E50">
        <v>4.5232999999999999</v>
      </c>
      <c r="F50">
        <v>4.4001000000000001</v>
      </c>
      <c r="G50">
        <v>1.554</v>
      </c>
      <c r="H50">
        <v>0.25</v>
      </c>
      <c r="I50">
        <v>-2.4</v>
      </c>
      <c r="J50">
        <v>-3.5</v>
      </c>
      <c r="K50">
        <v>-8.4</v>
      </c>
      <c r="L50">
        <v>-4.2</v>
      </c>
      <c r="M50">
        <v>101.5012</v>
      </c>
      <c r="N50">
        <v>57.31</v>
      </c>
      <c r="O50">
        <v>59.39</v>
      </c>
      <c r="P50">
        <v>3.9298000000000002</v>
      </c>
      <c r="Q50">
        <v>11.69</v>
      </c>
      <c r="R50">
        <v>-12.2</v>
      </c>
    </row>
    <row r="51" spans="1:18" x14ac:dyDescent="0.2">
      <c r="A51" s="1">
        <v>38702</v>
      </c>
      <c r="B51" s="2">
        <v>-0.55000000000000004</v>
      </c>
      <c r="C51" s="3">
        <v>10.68</v>
      </c>
      <c r="D51">
        <v>8.7249999999999996</v>
      </c>
      <c r="E51">
        <v>4.4326999999999996</v>
      </c>
      <c r="F51">
        <v>4.3502999999999998</v>
      </c>
      <c r="G51">
        <v>1.5249999999999999</v>
      </c>
      <c r="H51">
        <v>0.25</v>
      </c>
      <c r="I51">
        <v>-2.5</v>
      </c>
      <c r="J51">
        <v>-3.25</v>
      </c>
      <c r="K51">
        <v>-9</v>
      </c>
      <c r="L51">
        <v>-4.5</v>
      </c>
      <c r="M51">
        <v>100.7809</v>
      </c>
      <c r="N51">
        <v>57.13</v>
      </c>
      <c r="O51">
        <v>58.06</v>
      </c>
      <c r="P51">
        <v>3.9195000000000002</v>
      </c>
      <c r="Q51">
        <v>10.68</v>
      </c>
      <c r="R51">
        <v>-12.75</v>
      </c>
    </row>
    <row r="52" spans="1:18" x14ac:dyDescent="0.2">
      <c r="A52" s="1">
        <v>38709</v>
      </c>
      <c r="B52" s="2">
        <v>-0.57499999999999996</v>
      </c>
      <c r="C52" s="3">
        <v>10.27</v>
      </c>
      <c r="D52">
        <v>8.3249999999999993</v>
      </c>
      <c r="E52">
        <v>4.3719999999999999</v>
      </c>
      <c r="F52">
        <v>4.351</v>
      </c>
      <c r="G52">
        <v>1.5449999999999999</v>
      </c>
      <c r="H52">
        <v>0.28299999999999997</v>
      </c>
      <c r="I52">
        <v>-2.5</v>
      </c>
      <c r="J52">
        <v>-3.2</v>
      </c>
      <c r="K52">
        <v>-9.3000000000000007</v>
      </c>
      <c r="L52">
        <v>-4.7</v>
      </c>
      <c r="M52">
        <v>101.32340000000001</v>
      </c>
      <c r="N52">
        <v>56.69</v>
      </c>
      <c r="O52">
        <v>58.43</v>
      </c>
      <c r="P52">
        <v>3.9809999999999999</v>
      </c>
      <c r="Q52">
        <v>10.27</v>
      </c>
      <c r="R52">
        <v>-13.625</v>
      </c>
    </row>
    <row r="53" spans="1:18" x14ac:dyDescent="0.2">
      <c r="A53" s="1">
        <v>38716</v>
      </c>
      <c r="B53" s="2">
        <v>-0.625</v>
      </c>
      <c r="C53" s="3">
        <v>12.07</v>
      </c>
      <c r="D53">
        <v>8.4749999999999996</v>
      </c>
      <c r="E53">
        <v>4.3910999999999998</v>
      </c>
      <c r="F53">
        <v>4.3996000000000004</v>
      </c>
      <c r="G53">
        <v>1.47</v>
      </c>
      <c r="H53">
        <v>0.28199999999999997</v>
      </c>
      <c r="I53">
        <v>-2.5</v>
      </c>
      <c r="J53">
        <v>-3.25</v>
      </c>
      <c r="K53">
        <v>-9.25</v>
      </c>
      <c r="L53">
        <v>-4.75</v>
      </c>
      <c r="M53">
        <v>101.42189999999999</v>
      </c>
      <c r="N53">
        <v>58.98</v>
      </c>
      <c r="O53">
        <v>61.04</v>
      </c>
      <c r="P53">
        <v>4.0739999999999998</v>
      </c>
      <c r="Q53">
        <v>12.07</v>
      </c>
      <c r="R53">
        <v>-13.25</v>
      </c>
    </row>
    <row r="54" spans="1:18" x14ac:dyDescent="0.2">
      <c r="A54" s="1">
        <v>38723</v>
      </c>
      <c r="B54" s="2">
        <v>-0.52500000000000002</v>
      </c>
      <c r="C54" s="3">
        <v>11</v>
      </c>
      <c r="D54">
        <v>8.8249999999999993</v>
      </c>
      <c r="E54">
        <v>4.3733000000000004</v>
      </c>
      <c r="F54">
        <v>4.3494000000000002</v>
      </c>
      <c r="G54">
        <v>1.44</v>
      </c>
      <c r="H54">
        <v>0.27500000000000002</v>
      </c>
      <c r="I54">
        <v>-2.5</v>
      </c>
      <c r="J54">
        <v>-3.1</v>
      </c>
      <c r="K54">
        <v>-10.375</v>
      </c>
      <c r="L54">
        <v>-5.125</v>
      </c>
      <c r="M54">
        <v>100.0241</v>
      </c>
      <c r="N54">
        <v>62.72</v>
      </c>
      <c r="O54">
        <v>64.209999999999994</v>
      </c>
      <c r="P54">
        <v>4.1985000000000001</v>
      </c>
      <c r="Q54">
        <v>11</v>
      </c>
      <c r="R54">
        <v>-14.375</v>
      </c>
    </row>
    <row r="55" spans="1:18" x14ac:dyDescent="0.2">
      <c r="A55" s="1">
        <v>38730</v>
      </c>
      <c r="B55" s="2">
        <v>-0.47499999999999998</v>
      </c>
      <c r="C55" s="3">
        <v>11.23</v>
      </c>
      <c r="D55">
        <v>9</v>
      </c>
      <c r="E55">
        <v>4.3533999999999997</v>
      </c>
      <c r="F55">
        <v>4.3319999999999999</v>
      </c>
      <c r="G55">
        <v>1.4490000000000001</v>
      </c>
      <c r="H55">
        <v>0.255</v>
      </c>
      <c r="I55">
        <v>-2.4</v>
      </c>
      <c r="J55">
        <v>-2.375</v>
      </c>
      <c r="K55">
        <v>-9</v>
      </c>
      <c r="L55">
        <v>-4.3</v>
      </c>
      <c r="M55">
        <v>99.967500000000001</v>
      </c>
      <c r="N55">
        <v>62.26</v>
      </c>
      <c r="O55">
        <v>63.92</v>
      </c>
      <c r="P55">
        <v>4.3221999999999996</v>
      </c>
      <c r="Q55">
        <v>11.23</v>
      </c>
      <c r="R55">
        <v>-12.875</v>
      </c>
    </row>
    <row r="56" spans="1:18" x14ac:dyDescent="0.2">
      <c r="A56" s="1">
        <v>38737</v>
      </c>
      <c r="B56" s="2">
        <v>-0.48749999999999999</v>
      </c>
      <c r="C56" s="3">
        <v>14.56</v>
      </c>
      <c r="D56">
        <v>8.7249999999999996</v>
      </c>
      <c r="E56">
        <v>4.3493000000000004</v>
      </c>
      <c r="F56">
        <v>4.3480999999999996</v>
      </c>
      <c r="G56">
        <v>1.47</v>
      </c>
      <c r="H56">
        <v>0.245</v>
      </c>
      <c r="I56">
        <v>-2.2000000000000002</v>
      </c>
      <c r="J56">
        <v>-2.4</v>
      </c>
      <c r="K56">
        <v>-9.5</v>
      </c>
      <c r="L56">
        <v>-4.5</v>
      </c>
      <c r="M56">
        <v>99.901700000000005</v>
      </c>
      <c r="N56">
        <v>66.430000000000007</v>
      </c>
      <c r="O56">
        <v>68.349999999999994</v>
      </c>
      <c r="P56">
        <v>4.3536999999999999</v>
      </c>
      <c r="Q56">
        <v>14.56</v>
      </c>
      <c r="R56">
        <v>-13.025</v>
      </c>
    </row>
    <row r="57" spans="1:18" x14ac:dyDescent="0.2">
      <c r="A57" s="1">
        <v>38744</v>
      </c>
      <c r="B57" s="2">
        <v>-0.47499999999999998</v>
      </c>
      <c r="C57" s="3">
        <v>11.97</v>
      </c>
      <c r="D57">
        <v>8.625</v>
      </c>
      <c r="E57">
        <v>4.5091999999999999</v>
      </c>
      <c r="F57">
        <v>4.4905999999999997</v>
      </c>
      <c r="G57">
        <v>1.54</v>
      </c>
      <c r="H57">
        <v>0.28899999999999998</v>
      </c>
      <c r="I57">
        <v>-2.1</v>
      </c>
      <c r="J57">
        <v>-2.1</v>
      </c>
      <c r="K57">
        <v>-9</v>
      </c>
      <c r="L57">
        <v>-4.4000000000000004</v>
      </c>
      <c r="M57">
        <v>99.643299999999996</v>
      </c>
      <c r="N57">
        <v>66.239999999999995</v>
      </c>
      <c r="O57">
        <v>67.760000000000005</v>
      </c>
      <c r="P57">
        <v>4.4366000000000003</v>
      </c>
      <c r="Q57">
        <v>11.97</v>
      </c>
      <c r="R57">
        <v>-12.5</v>
      </c>
    </row>
    <row r="58" spans="1:18" x14ac:dyDescent="0.2">
      <c r="A58" s="1">
        <v>38751</v>
      </c>
      <c r="B58" s="2">
        <v>-0.4</v>
      </c>
      <c r="C58" s="3">
        <v>12.96</v>
      </c>
      <c r="D58">
        <v>8.6750000000000007</v>
      </c>
      <c r="E58">
        <v>4.5232000000000001</v>
      </c>
      <c r="F58">
        <v>4.5662000000000003</v>
      </c>
      <c r="G58">
        <v>1.579</v>
      </c>
      <c r="H58">
        <v>0.31</v>
      </c>
      <c r="I58">
        <v>-2.2000000000000002</v>
      </c>
      <c r="J58">
        <v>-2.1</v>
      </c>
      <c r="K58">
        <v>-9.3000000000000007</v>
      </c>
      <c r="L58">
        <v>-4.5</v>
      </c>
      <c r="M58">
        <v>100.11799999999999</v>
      </c>
      <c r="N58">
        <v>63.39</v>
      </c>
      <c r="O58">
        <v>65.37</v>
      </c>
      <c r="P58">
        <v>4.4676</v>
      </c>
      <c r="Q58">
        <v>12.96</v>
      </c>
      <c r="R58">
        <v>-13</v>
      </c>
    </row>
    <row r="59" spans="1:18" x14ac:dyDescent="0.2">
      <c r="A59" s="1">
        <v>38758</v>
      </c>
      <c r="B59" s="2">
        <v>-0.47499999999999998</v>
      </c>
      <c r="C59" s="3">
        <v>12.87</v>
      </c>
      <c r="D59">
        <v>8.875</v>
      </c>
      <c r="E59">
        <v>4.5845000000000002</v>
      </c>
      <c r="F59">
        <v>4.6772</v>
      </c>
      <c r="G59">
        <v>1.595</v>
      </c>
      <c r="H59">
        <v>0.36499999999999999</v>
      </c>
      <c r="I59">
        <v>-2.2000000000000002</v>
      </c>
      <c r="J59">
        <v>-1.79</v>
      </c>
      <c r="K59">
        <v>-10.525</v>
      </c>
      <c r="L59">
        <v>-5.05</v>
      </c>
      <c r="M59">
        <v>100.322</v>
      </c>
      <c r="N59">
        <v>59.64</v>
      </c>
      <c r="O59">
        <v>61.84</v>
      </c>
      <c r="P59">
        <v>4.5297999999999998</v>
      </c>
      <c r="Q59">
        <v>12.87</v>
      </c>
      <c r="R59">
        <v>-13.79</v>
      </c>
    </row>
    <row r="60" spans="1:18" x14ac:dyDescent="0.2">
      <c r="A60" s="1">
        <v>38765</v>
      </c>
      <c r="B60" s="2">
        <v>-0.47499999999999998</v>
      </c>
      <c r="C60" s="3">
        <v>12.01</v>
      </c>
      <c r="D60">
        <v>8.7249999999999996</v>
      </c>
      <c r="E60">
        <v>4.5372000000000003</v>
      </c>
      <c r="F60">
        <v>4.6714000000000002</v>
      </c>
      <c r="G60">
        <v>1.51</v>
      </c>
      <c r="H60">
        <v>0.41399999999999998</v>
      </c>
      <c r="I60">
        <v>-2.2000000000000002</v>
      </c>
      <c r="J60">
        <v>-1.9</v>
      </c>
      <c r="K60">
        <v>-10.4</v>
      </c>
      <c r="L60">
        <v>-5.3</v>
      </c>
      <c r="M60">
        <v>100.3404</v>
      </c>
      <c r="N60">
        <v>59.89</v>
      </c>
      <c r="O60">
        <v>59.88</v>
      </c>
      <c r="P60">
        <v>4.5292000000000003</v>
      </c>
      <c r="Q60">
        <v>12.01</v>
      </c>
      <c r="R60">
        <v>-13.5</v>
      </c>
    </row>
    <row r="61" spans="1:18" x14ac:dyDescent="0.2">
      <c r="A61" s="1">
        <v>38772</v>
      </c>
      <c r="B61" s="2">
        <v>-0.42499999999999999</v>
      </c>
      <c r="C61" s="3">
        <v>11.46</v>
      </c>
      <c r="D61">
        <v>8.8249999999999993</v>
      </c>
      <c r="E61">
        <v>4.5727000000000002</v>
      </c>
      <c r="F61">
        <v>4.7161</v>
      </c>
      <c r="G61">
        <v>1.585</v>
      </c>
      <c r="H61">
        <v>0.46899999999999997</v>
      </c>
      <c r="I61">
        <v>-2.6</v>
      </c>
      <c r="J61">
        <v>-2.2000000000000002</v>
      </c>
      <c r="K61">
        <v>-11.7</v>
      </c>
      <c r="L61">
        <v>-6.1</v>
      </c>
      <c r="M61">
        <v>100.2594</v>
      </c>
      <c r="N61">
        <v>62.6</v>
      </c>
      <c r="O61">
        <v>62.91</v>
      </c>
      <c r="P61">
        <v>4.5815999999999999</v>
      </c>
      <c r="Q61">
        <v>11.46</v>
      </c>
      <c r="R61">
        <v>-15</v>
      </c>
    </row>
    <row r="62" spans="1:18" x14ac:dyDescent="0.2">
      <c r="A62" s="1">
        <v>38779</v>
      </c>
      <c r="B62" s="2">
        <v>-0.375</v>
      </c>
      <c r="C62" s="3">
        <v>11.96</v>
      </c>
      <c r="D62">
        <v>8.7750000000000004</v>
      </c>
      <c r="E62">
        <v>4.6801000000000004</v>
      </c>
      <c r="F62">
        <v>4.7413999999999996</v>
      </c>
      <c r="G62">
        <v>1.62</v>
      </c>
      <c r="H62">
        <v>0.5</v>
      </c>
      <c r="I62">
        <v>-2.4</v>
      </c>
      <c r="J62">
        <v>-2.2000000000000002</v>
      </c>
      <c r="K62">
        <v>-11.9</v>
      </c>
      <c r="L62">
        <v>-5.75</v>
      </c>
      <c r="M62">
        <v>99.702399999999997</v>
      </c>
      <c r="N62">
        <v>64.180000000000007</v>
      </c>
      <c r="O62">
        <v>63.67</v>
      </c>
      <c r="P62">
        <v>4.6022999999999996</v>
      </c>
      <c r="Q62">
        <v>11.96</v>
      </c>
      <c r="R62">
        <v>-16</v>
      </c>
    </row>
    <row r="63" spans="1:18" x14ac:dyDescent="0.2">
      <c r="A63" s="1">
        <v>38786</v>
      </c>
      <c r="B63" s="2">
        <v>-0.47499999999999998</v>
      </c>
      <c r="C63" s="3">
        <v>11.85</v>
      </c>
      <c r="D63">
        <v>8.6750000000000007</v>
      </c>
      <c r="E63">
        <v>4.7567000000000004</v>
      </c>
      <c r="F63">
        <v>4.7335000000000003</v>
      </c>
      <c r="G63">
        <v>1.65</v>
      </c>
      <c r="H63">
        <v>0.46899999999999997</v>
      </c>
      <c r="I63">
        <v>-1.875</v>
      </c>
      <c r="J63">
        <v>-1.4</v>
      </c>
      <c r="K63">
        <v>-12.9</v>
      </c>
      <c r="L63">
        <v>-5.8</v>
      </c>
      <c r="M63">
        <v>100.95659999999999</v>
      </c>
      <c r="N63">
        <v>60.83</v>
      </c>
      <c r="O63">
        <v>59.96</v>
      </c>
      <c r="P63">
        <v>4.6022999999999996</v>
      </c>
      <c r="Q63">
        <v>11.85</v>
      </c>
      <c r="R63">
        <v>-16.75</v>
      </c>
    </row>
    <row r="64" spans="1:18" x14ac:dyDescent="0.2">
      <c r="A64" s="1">
        <v>38793</v>
      </c>
      <c r="B64" s="2">
        <v>-0.45</v>
      </c>
      <c r="C64" s="3">
        <v>12.12</v>
      </c>
      <c r="D64">
        <v>8.9250000000000007</v>
      </c>
      <c r="E64">
        <v>4.6704999999999997</v>
      </c>
      <c r="F64">
        <v>4.6321000000000003</v>
      </c>
      <c r="G64">
        <v>1.7130000000000001</v>
      </c>
      <c r="H64">
        <v>0.54500000000000004</v>
      </c>
      <c r="I64">
        <v>-1.5</v>
      </c>
      <c r="J64">
        <v>-1.2</v>
      </c>
      <c r="K64">
        <v>-12.5</v>
      </c>
      <c r="L64">
        <v>-4.9000000000000004</v>
      </c>
      <c r="M64">
        <v>99.861400000000003</v>
      </c>
      <c r="N64">
        <v>63.26</v>
      </c>
      <c r="O64">
        <v>62.77</v>
      </c>
      <c r="P64">
        <v>4.6127000000000002</v>
      </c>
      <c r="Q64">
        <v>12.12</v>
      </c>
      <c r="R64">
        <v>-16.5</v>
      </c>
    </row>
    <row r="65" spans="1:18" x14ac:dyDescent="0.2">
      <c r="A65" s="1">
        <v>38800</v>
      </c>
      <c r="B65" s="2">
        <v>-0.8</v>
      </c>
      <c r="C65" s="3">
        <v>11.19</v>
      </c>
      <c r="D65">
        <v>8.6750000000000007</v>
      </c>
      <c r="E65">
        <v>4.6685999999999996</v>
      </c>
      <c r="F65">
        <v>4.7088999999999999</v>
      </c>
      <c r="G65">
        <v>1.7250000000000001</v>
      </c>
      <c r="H65">
        <v>0.61</v>
      </c>
      <c r="I65">
        <v>-1.4</v>
      </c>
      <c r="J65">
        <v>-1</v>
      </c>
      <c r="K65">
        <v>-12.5</v>
      </c>
      <c r="L65">
        <v>-4.5999999999999996</v>
      </c>
      <c r="M65">
        <v>100.7773</v>
      </c>
      <c r="N65">
        <v>63.51</v>
      </c>
      <c r="O65">
        <v>64.260000000000005</v>
      </c>
      <c r="P65">
        <v>4.6334</v>
      </c>
      <c r="Q65">
        <v>11.19</v>
      </c>
      <c r="R65">
        <v>-16.7</v>
      </c>
    </row>
    <row r="66" spans="1:18" x14ac:dyDescent="0.2">
      <c r="A66" s="1">
        <v>38807</v>
      </c>
      <c r="B66" s="2">
        <v>-0.75</v>
      </c>
      <c r="C66" s="3">
        <v>11.39</v>
      </c>
      <c r="D66">
        <v>8.8000000000000007</v>
      </c>
      <c r="E66">
        <v>4.8472</v>
      </c>
      <c r="F66">
        <v>4.8160999999999996</v>
      </c>
      <c r="G66">
        <v>1.77</v>
      </c>
      <c r="H66">
        <v>0.68</v>
      </c>
      <c r="I66">
        <v>-1.0900000000000001</v>
      </c>
      <c r="J66">
        <v>-0.92</v>
      </c>
      <c r="K66">
        <v>-12.5</v>
      </c>
      <c r="L66">
        <v>-4.25</v>
      </c>
      <c r="M66">
        <v>100.56</v>
      </c>
      <c r="N66">
        <v>65.91</v>
      </c>
      <c r="O66">
        <v>66.63</v>
      </c>
      <c r="P66">
        <v>4.6022999999999996</v>
      </c>
      <c r="Q66">
        <v>11.39</v>
      </c>
      <c r="R66">
        <v>-16.75</v>
      </c>
    </row>
    <row r="67" spans="1:18" x14ac:dyDescent="0.2">
      <c r="A67" s="1">
        <v>38814</v>
      </c>
      <c r="B67" s="2">
        <v>-0.625</v>
      </c>
      <c r="C67" s="3">
        <v>12.26</v>
      </c>
      <c r="D67">
        <v>8.65</v>
      </c>
      <c r="E67">
        <v>4.9774000000000003</v>
      </c>
      <c r="F67">
        <v>4.8932000000000002</v>
      </c>
      <c r="G67">
        <v>1.8740000000000001</v>
      </c>
      <c r="H67">
        <v>0.67400000000000004</v>
      </c>
      <c r="I67">
        <v>-0.7</v>
      </c>
      <c r="J67">
        <v>-0.6</v>
      </c>
      <c r="K67">
        <v>-11.8</v>
      </c>
      <c r="L67">
        <v>-3.5</v>
      </c>
      <c r="M67">
        <v>100.4187</v>
      </c>
      <c r="N67">
        <v>67.290000000000006</v>
      </c>
      <c r="O67">
        <v>67.39</v>
      </c>
      <c r="P67">
        <v>4.6749000000000001</v>
      </c>
      <c r="Q67">
        <v>12.26</v>
      </c>
      <c r="R67">
        <v>-16</v>
      </c>
    </row>
    <row r="68" spans="1:18" x14ac:dyDescent="0.2">
      <c r="A68" s="1">
        <v>38821</v>
      </c>
      <c r="B68" s="2">
        <v>-0.57499999999999996</v>
      </c>
      <c r="C68" s="3">
        <v>12.38</v>
      </c>
      <c r="D68">
        <v>8.375</v>
      </c>
      <c r="E68">
        <v>5.0448000000000004</v>
      </c>
      <c r="F68">
        <v>4.9466999999999999</v>
      </c>
      <c r="G68">
        <v>1.964</v>
      </c>
      <c r="H68">
        <v>0.67500000000000004</v>
      </c>
      <c r="I68">
        <v>-0.7</v>
      </c>
      <c r="J68">
        <v>-1.35</v>
      </c>
      <c r="K68">
        <v>-11</v>
      </c>
      <c r="L68">
        <v>-3</v>
      </c>
      <c r="M68">
        <v>100.4697</v>
      </c>
      <c r="N68">
        <v>70.14</v>
      </c>
      <c r="O68">
        <v>69.319999999999993</v>
      </c>
      <c r="P68">
        <v>4.6845999999999997</v>
      </c>
      <c r="Q68">
        <v>12.38</v>
      </c>
      <c r="R68">
        <v>-15.125</v>
      </c>
    </row>
    <row r="69" spans="1:18" x14ac:dyDescent="0.2">
      <c r="A69" s="1">
        <v>38828</v>
      </c>
      <c r="B69" s="2">
        <v>-0.45</v>
      </c>
      <c r="C69" s="3">
        <v>11.59</v>
      </c>
      <c r="D69">
        <v>8.6750000000000007</v>
      </c>
      <c r="E69">
        <v>5.0079000000000002</v>
      </c>
      <c r="F69">
        <v>4.8973000000000004</v>
      </c>
      <c r="G69">
        <v>1.905</v>
      </c>
      <c r="H69">
        <v>0.625</v>
      </c>
      <c r="I69">
        <v>-0.9</v>
      </c>
      <c r="J69">
        <v>-1.7</v>
      </c>
      <c r="K69">
        <v>-11.4</v>
      </c>
      <c r="L69">
        <v>-3.5</v>
      </c>
      <c r="M69">
        <v>99.4345</v>
      </c>
      <c r="N69">
        <v>74.17</v>
      </c>
      <c r="O69">
        <v>75.17</v>
      </c>
      <c r="P69">
        <v>4.7370999999999999</v>
      </c>
      <c r="Q69">
        <v>11.59</v>
      </c>
      <c r="R69">
        <v>-15.4</v>
      </c>
    </row>
    <row r="70" spans="1:18" x14ac:dyDescent="0.2">
      <c r="A70" s="1">
        <v>38835</v>
      </c>
      <c r="B70" s="2">
        <v>-0.42499999999999999</v>
      </c>
      <c r="C70" s="3">
        <v>11.59</v>
      </c>
      <c r="D70">
        <v>9.2750000000000004</v>
      </c>
      <c r="E70">
        <v>5.0505000000000004</v>
      </c>
      <c r="F70">
        <v>4.8582999999999998</v>
      </c>
      <c r="G70">
        <v>1.92</v>
      </c>
      <c r="H70">
        <v>0.66500000000000004</v>
      </c>
      <c r="I70">
        <v>-0.7</v>
      </c>
      <c r="J70">
        <v>-0.7</v>
      </c>
      <c r="K70">
        <v>-11.2</v>
      </c>
      <c r="L70">
        <v>-3.2</v>
      </c>
      <c r="M70">
        <v>98.141199999999998</v>
      </c>
      <c r="N70">
        <v>72.5</v>
      </c>
      <c r="O70">
        <v>71.88</v>
      </c>
      <c r="P70">
        <v>4.7577999999999996</v>
      </c>
      <c r="Q70">
        <v>11.59</v>
      </c>
      <c r="R70">
        <v>-15.2</v>
      </c>
    </row>
    <row r="71" spans="1:18" x14ac:dyDescent="0.2">
      <c r="A71" s="1">
        <v>38842</v>
      </c>
      <c r="B71" s="2">
        <v>-0.30299999999999999</v>
      </c>
      <c r="C71" s="3">
        <v>11.62</v>
      </c>
      <c r="D71">
        <v>9.5749999999999993</v>
      </c>
      <c r="E71">
        <v>5.0997000000000003</v>
      </c>
      <c r="F71">
        <v>4.9246999999999996</v>
      </c>
      <c r="G71">
        <v>1.92</v>
      </c>
      <c r="H71">
        <v>0.65</v>
      </c>
      <c r="I71">
        <v>-0.7</v>
      </c>
      <c r="J71">
        <v>-0.7</v>
      </c>
      <c r="K71">
        <v>-11.4</v>
      </c>
      <c r="L71">
        <v>-3.2</v>
      </c>
      <c r="M71">
        <v>97.258499999999998</v>
      </c>
      <c r="N71">
        <v>70.88</v>
      </c>
      <c r="O71">
        <v>70.19</v>
      </c>
      <c r="P71">
        <v>4.8097000000000003</v>
      </c>
      <c r="Q71">
        <v>11.62</v>
      </c>
      <c r="R71">
        <v>-15.4</v>
      </c>
    </row>
    <row r="72" spans="1:18" x14ac:dyDescent="0.2">
      <c r="A72" s="1">
        <v>38849</v>
      </c>
      <c r="B72" s="2">
        <v>-0.32500000000000001</v>
      </c>
      <c r="C72" s="3">
        <v>14.19</v>
      </c>
      <c r="D72">
        <v>10.475</v>
      </c>
      <c r="E72">
        <v>5.1938000000000004</v>
      </c>
      <c r="F72">
        <v>5.0008999999999997</v>
      </c>
      <c r="G72">
        <v>1.9830000000000001</v>
      </c>
      <c r="H72">
        <v>0.79500000000000004</v>
      </c>
      <c r="I72">
        <v>1.625</v>
      </c>
      <c r="J72">
        <v>1.6</v>
      </c>
      <c r="K72">
        <v>-7.25</v>
      </c>
      <c r="L72">
        <v>0.2</v>
      </c>
      <c r="M72">
        <v>96.878799999999998</v>
      </c>
      <c r="N72">
        <v>72.180000000000007</v>
      </c>
      <c r="O72">
        <v>72.040000000000006</v>
      </c>
      <c r="P72">
        <v>4.8097000000000003</v>
      </c>
      <c r="Q72">
        <v>14.19</v>
      </c>
      <c r="R72">
        <v>-11.75</v>
      </c>
    </row>
    <row r="73" spans="1:18" x14ac:dyDescent="0.2">
      <c r="A73" s="1">
        <v>38856</v>
      </c>
      <c r="B73" s="2">
        <v>-0.625</v>
      </c>
      <c r="C73" s="3">
        <v>17.18</v>
      </c>
      <c r="D73">
        <v>10.1</v>
      </c>
      <c r="E73">
        <v>5.0583999999999998</v>
      </c>
      <c r="F73">
        <v>4.9587000000000003</v>
      </c>
      <c r="G73">
        <v>1.905</v>
      </c>
      <c r="H73">
        <v>0.755</v>
      </c>
      <c r="I73">
        <v>0.94</v>
      </c>
      <c r="J73">
        <v>0.89</v>
      </c>
      <c r="K73">
        <v>-8.2249999999999996</v>
      </c>
      <c r="L73">
        <v>-0.5</v>
      </c>
      <c r="M73">
        <v>97.933000000000007</v>
      </c>
      <c r="N73">
        <v>68.680000000000007</v>
      </c>
      <c r="O73">
        <v>68.53</v>
      </c>
      <c r="P73">
        <v>4.8097000000000003</v>
      </c>
      <c r="Q73">
        <v>17.18</v>
      </c>
      <c r="R73">
        <v>-12.8</v>
      </c>
    </row>
    <row r="74" spans="1:18" x14ac:dyDescent="0.2">
      <c r="A74" s="1">
        <v>38863</v>
      </c>
      <c r="B74" s="2">
        <v>-0.67500000000000004</v>
      </c>
      <c r="C74" s="3">
        <v>14.26</v>
      </c>
      <c r="D74">
        <v>9.9504999999999999</v>
      </c>
      <c r="E74">
        <v>5.0480999999999998</v>
      </c>
      <c r="F74">
        <v>4.9413999999999998</v>
      </c>
      <c r="G74">
        <v>1.851</v>
      </c>
      <c r="H74">
        <v>0.84099999999999997</v>
      </c>
      <c r="I74">
        <v>-0.5</v>
      </c>
      <c r="J74">
        <v>1.5</v>
      </c>
      <c r="K74">
        <v>-8.4</v>
      </c>
      <c r="L74">
        <v>-2</v>
      </c>
      <c r="M74">
        <v>97.899500000000003</v>
      </c>
      <c r="N74">
        <v>70.59</v>
      </c>
      <c r="O74">
        <v>71.37</v>
      </c>
      <c r="P74">
        <v>4.8297999999999996</v>
      </c>
      <c r="Q74">
        <v>14.26</v>
      </c>
      <c r="R74">
        <v>-13</v>
      </c>
    </row>
    <row r="75" spans="1:18" x14ac:dyDescent="0.2">
      <c r="A75" s="1">
        <v>38870</v>
      </c>
      <c r="B75" s="2">
        <v>-0.67500000000000004</v>
      </c>
      <c r="C75" s="3">
        <v>14.32</v>
      </c>
      <c r="D75">
        <v>9.6750000000000007</v>
      </c>
      <c r="E75">
        <v>4.9897999999999998</v>
      </c>
      <c r="F75">
        <v>4.9080000000000004</v>
      </c>
      <c r="G75">
        <v>1.905</v>
      </c>
      <c r="H75">
        <v>0.86</v>
      </c>
      <c r="I75">
        <v>2.2000000000000002</v>
      </c>
      <c r="J75">
        <v>1.5</v>
      </c>
      <c r="K75">
        <v>-5</v>
      </c>
      <c r="L75">
        <v>1.0249999999999999</v>
      </c>
      <c r="M75">
        <v>97.554400000000001</v>
      </c>
      <c r="N75">
        <v>71.03</v>
      </c>
      <c r="O75">
        <v>72.33</v>
      </c>
      <c r="P75">
        <v>4.7992999999999997</v>
      </c>
      <c r="Q75">
        <v>14.32</v>
      </c>
      <c r="R75">
        <v>-8.8000000000000007</v>
      </c>
    </row>
    <row r="76" spans="1:18" x14ac:dyDescent="0.2">
      <c r="A76" s="1">
        <v>38877</v>
      </c>
      <c r="B76" s="2">
        <v>-0.65</v>
      </c>
      <c r="C76" s="3">
        <v>18.12</v>
      </c>
      <c r="D76">
        <v>8.9499999999999993</v>
      </c>
      <c r="E76">
        <v>4.9714</v>
      </c>
      <c r="F76">
        <v>4.9920999999999998</v>
      </c>
      <c r="G76">
        <v>1.8360000000000001</v>
      </c>
      <c r="H76">
        <v>0.73899999999999999</v>
      </c>
      <c r="I76">
        <v>1.625</v>
      </c>
      <c r="J76">
        <v>-0.3</v>
      </c>
      <c r="K76">
        <v>-4.9000000000000004</v>
      </c>
      <c r="L76">
        <v>0.7</v>
      </c>
      <c r="M76">
        <v>98.5471</v>
      </c>
      <c r="N76">
        <v>70.48</v>
      </c>
      <c r="O76">
        <v>71.63</v>
      </c>
      <c r="P76">
        <v>4.8719000000000001</v>
      </c>
      <c r="Q76">
        <v>18.12</v>
      </c>
      <c r="R76">
        <v>-8.5</v>
      </c>
    </row>
    <row r="77" spans="1:18" x14ac:dyDescent="0.2">
      <c r="A77" s="1">
        <v>38884</v>
      </c>
      <c r="B77" s="2">
        <v>-0.65</v>
      </c>
      <c r="C77" s="3">
        <v>17.25</v>
      </c>
      <c r="D77">
        <v>8.6</v>
      </c>
      <c r="E77">
        <v>5.1264000000000003</v>
      </c>
      <c r="F77">
        <v>5.1550000000000002</v>
      </c>
      <c r="G77">
        <v>1.8049999999999999</v>
      </c>
      <c r="H77">
        <v>0.747</v>
      </c>
      <c r="I77">
        <v>-0.625</v>
      </c>
      <c r="J77">
        <v>-0.1</v>
      </c>
      <c r="K77">
        <v>-5.6</v>
      </c>
      <c r="L77">
        <v>-0.2</v>
      </c>
      <c r="M77">
        <v>98.912700000000001</v>
      </c>
      <c r="N77">
        <v>68.8</v>
      </c>
      <c r="O77">
        <v>69.88</v>
      </c>
      <c r="P77">
        <v>4.8615000000000004</v>
      </c>
      <c r="Q77">
        <v>17.25</v>
      </c>
      <c r="R77">
        <v>-8.625</v>
      </c>
    </row>
    <row r="78" spans="1:18" x14ac:dyDescent="0.2">
      <c r="A78" s="1">
        <v>38891</v>
      </c>
      <c r="B78" s="2">
        <v>-0.625</v>
      </c>
      <c r="C78" s="3">
        <v>15.89</v>
      </c>
      <c r="D78">
        <v>8.5500000000000007</v>
      </c>
      <c r="E78">
        <v>5.2222999999999997</v>
      </c>
      <c r="F78">
        <v>5.2610000000000001</v>
      </c>
      <c r="G78">
        <v>1.87</v>
      </c>
      <c r="H78">
        <v>0.78500000000000003</v>
      </c>
      <c r="I78">
        <v>0.7</v>
      </c>
      <c r="J78">
        <v>0.1</v>
      </c>
      <c r="K78">
        <v>-5</v>
      </c>
      <c r="L78">
        <v>-0.2</v>
      </c>
      <c r="M78">
        <v>99.421599999999998</v>
      </c>
      <c r="N78">
        <v>69.930000000000007</v>
      </c>
      <c r="O78">
        <v>70.87</v>
      </c>
      <c r="P78">
        <v>4.9549000000000003</v>
      </c>
      <c r="Q78">
        <v>15.89</v>
      </c>
      <c r="R78">
        <v>-8.6999999999999993</v>
      </c>
    </row>
    <row r="79" spans="1:18" x14ac:dyDescent="0.2">
      <c r="A79" s="1">
        <v>38898</v>
      </c>
      <c r="B79" s="2">
        <v>-0.5</v>
      </c>
      <c r="C79" s="3">
        <v>13.08</v>
      </c>
      <c r="D79">
        <v>8.875</v>
      </c>
      <c r="E79">
        <v>5.1364000000000001</v>
      </c>
      <c r="F79">
        <v>5.1497999999999999</v>
      </c>
      <c r="G79">
        <v>1.92</v>
      </c>
      <c r="H79">
        <v>0.84</v>
      </c>
      <c r="I79">
        <v>0.85</v>
      </c>
      <c r="J79">
        <v>0.1</v>
      </c>
      <c r="K79">
        <v>-5.0999999999999996</v>
      </c>
      <c r="L79">
        <v>-0.1</v>
      </c>
      <c r="M79">
        <v>98.2483</v>
      </c>
      <c r="N79">
        <v>73.510000000000005</v>
      </c>
      <c r="O79">
        <v>73.930000000000007</v>
      </c>
      <c r="P79">
        <v>4.9756999999999998</v>
      </c>
      <c r="Q79">
        <v>13.08</v>
      </c>
      <c r="R79">
        <v>-8.73</v>
      </c>
    </row>
    <row r="80" spans="1:18" x14ac:dyDescent="0.2">
      <c r="A80" s="1">
        <v>38905</v>
      </c>
      <c r="B80" s="2">
        <v>-0.5</v>
      </c>
      <c r="C80" s="3">
        <v>13.97</v>
      </c>
      <c r="D80">
        <v>8.75</v>
      </c>
      <c r="E80">
        <v>5.1261000000000001</v>
      </c>
      <c r="F80">
        <v>5.1662999999999997</v>
      </c>
      <c r="G80">
        <v>1.95</v>
      </c>
      <c r="H80">
        <v>0.89500000000000002</v>
      </c>
      <c r="I80">
        <v>0.85</v>
      </c>
      <c r="J80">
        <v>0.3</v>
      </c>
      <c r="K80">
        <v>-4.9000000000000004</v>
      </c>
      <c r="L80">
        <v>-0.2</v>
      </c>
      <c r="M80">
        <v>97.750799999999998</v>
      </c>
      <c r="N80">
        <v>73.510000000000005</v>
      </c>
      <c r="O80">
        <v>74.09</v>
      </c>
      <c r="P80">
        <v>4.9964000000000004</v>
      </c>
      <c r="Q80">
        <v>13.97</v>
      </c>
      <c r="R80">
        <v>-8.25</v>
      </c>
    </row>
    <row r="81" spans="1:18" x14ac:dyDescent="0.2">
      <c r="A81" s="1">
        <v>38912</v>
      </c>
      <c r="B81" s="2">
        <v>-0.47499999999999998</v>
      </c>
      <c r="C81" s="3">
        <v>18.05</v>
      </c>
      <c r="D81">
        <v>8.5500000000000007</v>
      </c>
      <c r="E81">
        <v>5.0629</v>
      </c>
      <c r="F81">
        <v>5.0895000000000001</v>
      </c>
      <c r="G81">
        <v>1.837</v>
      </c>
      <c r="H81">
        <v>0.79100000000000004</v>
      </c>
      <c r="I81">
        <v>0.85</v>
      </c>
      <c r="J81">
        <v>0.25</v>
      </c>
      <c r="K81">
        <v>-4.7300000000000004</v>
      </c>
      <c r="L81">
        <v>0.15</v>
      </c>
      <c r="M81">
        <v>98.681399999999996</v>
      </c>
      <c r="N81">
        <v>77.27</v>
      </c>
      <c r="O81">
        <v>77.03</v>
      </c>
      <c r="P81">
        <v>5.0484</v>
      </c>
      <c r="Q81">
        <v>18.05</v>
      </c>
      <c r="R81">
        <v>-8.73</v>
      </c>
    </row>
    <row r="82" spans="1:18" x14ac:dyDescent="0.2">
      <c r="A82" s="1">
        <v>38919</v>
      </c>
      <c r="B82" s="2">
        <v>-0.55000000000000004</v>
      </c>
      <c r="C82" s="3">
        <v>17.399999999999999</v>
      </c>
      <c r="D82">
        <v>8.4749999999999996</v>
      </c>
      <c r="E82">
        <v>5.0404</v>
      </c>
      <c r="F82">
        <v>5.0715000000000003</v>
      </c>
      <c r="G82">
        <v>1.81</v>
      </c>
      <c r="H82">
        <v>0.74399999999999999</v>
      </c>
      <c r="I82">
        <v>0.6</v>
      </c>
      <c r="J82">
        <v>-0.4</v>
      </c>
      <c r="K82">
        <v>-5.0999999999999996</v>
      </c>
      <c r="L82">
        <v>-0.3</v>
      </c>
      <c r="M82">
        <v>98.522099999999995</v>
      </c>
      <c r="N82">
        <v>73.75</v>
      </c>
      <c r="O82">
        <v>74.430000000000007</v>
      </c>
      <c r="P82">
        <v>5.0690999999999997</v>
      </c>
      <c r="Q82">
        <v>17.399999999999999</v>
      </c>
      <c r="R82">
        <v>-7.5</v>
      </c>
    </row>
    <row r="83" spans="1:18" x14ac:dyDescent="0.2">
      <c r="A83" s="1">
        <v>38926</v>
      </c>
      <c r="B83" s="2">
        <v>-0.42499999999999999</v>
      </c>
      <c r="C83" s="3">
        <v>14.33</v>
      </c>
      <c r="D83">
        <v>8.625</v>
      </c>
      <c r="E83">
        <v>4.9896000000000003</v>
      </c>
      <c r="F83">
        <v>4.9751000000000003</v>
      </c>
      <c r="G83">
        <v>1.921</v>
      </c>
      <c r="H83">
        <v>0.81899999999999995</v>
      </c>
      <c r="I83">
        <v>0.5625</v>
      </c>
      <c r="J83">
        <v>-0.5</v>
      </c>
      <c r="K83">
        <v>-4.5</v>
      </c>
      <c r="L83">
        <v>-0.5</v>
      </c>
      <c r="M83">
        <v>98.053899999999999</v>
      </c>
      <c r="N83">
        <v>73.39</v>
      </c>
      <c r="O83">
        <v>73.239999999999995</v>
      </c>
      <c r="P83">
        <v>5.0484</v>
      </c>
      <c r="Q83">
        <v>14.33</v>
      </c>
      <c r="R83">
        <v>-7.75</v>
      </c>
    </row>
    <row r="84" spans="1:18" x14ac:dyDescent="0.2">
      <c r="A84" s="1">
        <v>38933</v>
      </c>
      <c r="B84" s="2">
        <v>-0.45</v>
      </c>
      <c r="C84" s="3">
        <v>14.34</v>
      </c>
      <c r="D84">
        <v>8.5749999999999993</v>
      </c>
      <c r="E84">
        <v>4.8925000000000001</v>
      </c>
      <c r="F84">
        <v>4.8989000000000003</v>
      </c>
      <c r="G84">
        <v>1.865</v>
      </c>
      <c r="H84">
        <v>0.80900000000000005</v>
      </c>
      <c r="I84">
        <v>0.9</v>
      </c>
      <c r="J84">
        <v>-0.5</v>
      </c>
      <c r="K84">
        <v>-4.7</v>
      </c>
      <c r="L84">
        <v>-0.1</v>
      </c>
      <c r="M84">
        <v>97.600499999999997</v>
      </c>
      <c r="N84">
        <v>76.17</v>
      </c>
      <c r="O84">
        <v>74.760000000000005</v>
      </c>
      <c r="P84">
        <v>5.0690999999999997</v>
      </c>
      <c r="Q84">
        <v>14.34</v>
      </c>
      <c r="R84">
        <v>-7.7</v>
      </c>
    </row>
    <row r="85" spans="1:18" x14ac:dyDescent="0.2">
      <c r="A85" s="1">
        <v>38940</v>
      </c>
      <c r="B85" s="2">
        <v>-0.45</v>
      </c>
      <c r="C85" s="3">
        <v>14.3</v>
      </c>
      <c r="D85">
        <v>8.35</v>
      </c>
      <c r="E85">
        <v>4.9691000000000001</v>
      </c>
      <c r="F85">
        <v>4.9649999999999999</v>
      </c>
      <c r="G85">
        <v>1.833</v>
      </c>
      <c r="H85">
        <v>0.78600000000000003</v>
      </c>
      <c r="I85">
        <v>0.9</v>
      </c>
      <c r="J85">
        <v>-0.25</v>
      </c>
      <c r="K85">
        <v>-4.75</v>
      </c>
      <c r="L85">
        <v>-0.1</v>
      </c>
      <c r="M85">
        <v>97.786299999999997</v>
      </c>
      <c r="N85">
        <v>75.63</v>
      </c>
      <c r="O85">
        <v>74.349999999999994</v>
      </c>
      <c r="P85">
        <v>5.0587</v>
      </c>
      <c r="Q85">
        <v>14.3</v>
      </c>
      <c r="R85">
        <v>-8</v>
      </c>
    </row>
    <row r="86" spans="1:18" x14ac:dyDescent="0.2">
      <c r="A86" s="1">
        <v>38947</v>
      </c>
      <c r="B86" s="2">
        <v>-0.45</v>
      </c>
      <c r="C86" s="3">
        <v>11.64</v>
      </c>
      <c r="D86">
        <v>8.3000000000000007</v>
      </c>
      <c r="E86">
        <v>4.8410000000000002</v>
      </c>
      <c r="F86">
        <v>4.8704999999999998</v>
      </c>
      <c r="G86">
        <v>1.849</v>
      </c>
      <c r="H86">
        <v>0.79</v>
      </c>
      <c r="I86">
        <v>0.9</v>
      </c>
      <c r="J86">
        <v>-0.5</v>
      </c>
      <c r="K86">
        <v>-4.8</v>
      </c>
      <c r="L86">
        <v>-0.4</v>
      </c>
      <c r="M86">
        <v>97.7577</v>
      </c>
      <c r="N86">
        <v>72.3</v>
      </c>
      <c r="O86">
        <v>71.14</v>
      </c>
      <c r="P86">
        <v>5.0899000000000001</v>
      </c>
      <c r="Q86">
        <v>11.64</v>
      </c>
      <c r="R86">
        <v>-7.8</v>
      </c>
    </row>
    <row r="87" spans="1:18" x14ac:dyDescent="0.2">
      <c r="A87" s="1">
        <v>38954</v>
      </c>
      <c r="B87" s="2">
        <v>-0.45</v>
      </c>
      <c r="C87" s="3">
        <v>12.31</v>
      </c>
      <c r="D87">
        <v>8.125</v>
      </c>
      <c r="E87">
        <v>4.7793000000000001</v>
      </c>
      <c r="F87">
        <v>4.8516000000000004</v>
      </c>
      <c r="G87">
        <v>1.7010000000000001</v>
      </c>
      <c r="H87">
        <v>0.65400000000000003</v>
      </c>
      <c r="I87">
        <v>0.9</v>
      </c>
      <c r="J87">
        <v>-0.5</v>
      </c>
      <c r="K87">
        <v>-4.5999999999999996</v>
      </c>
      <c r="L87">
        <v>-0.3</v>
      </c>
      <c r="M87">
        <v>97.8827</v>
      </c>
      <c r="N87">
        <v>72.7</v>
      </c>
      <c r="O87">
        <v>72.510000000000005</v>
      </c>
      <c r="P87">
        <v>5.101</v>
      </c>
      <c r="Q87">
        <v>12.31</v>
      </c>
      <c r="R87">
        <v>-7.5</v>
      </c>
    </row>
    <row r="88" spans="1:18" x14ac:dyDescent="0.2">
      <c r="A88" s="1">
        <v>38961</v>
      </c>
      <c r="B88" s="2">
        <v>-0.45</v>
      </c>
      <c r="C88" s="3">
        <v>11.96</v>
      </c>
      <c r="D88">
        <v>8.0500000000000007</v>
      </c>
      <c r="E88">
        <v>4.7236000000000002</v>
      </c>
      <c r="F88">
        <v>4.7579000000000002</v>
      </c>
      <c r="G88">
        <v>1.64</v>
      </c>
      <c r="H88">
        <v>0.64100000000000001</v>
      </c>
      <c r="I88">
        <v>0.875</v>
      </c>
      <c r="J88">
        <v>-0.4</v>
      </c>
      <c r="K88">
        <v>-4.4000000000000004</v>
      </c>
      <c r="L88">
        <v>-0.1</v>
      </c>
      <c r="M88">
        <v>97.508399999999995</v>
      </c>
      <c r="N88">
        <v>69.150000000000006</v>
      </c>
      <c r="O88">
        <v>69.19</v>
      </c>
      <c r="P88">
        <v>5.0061</v>
      </c>
      <c r="Q88">
        <v>11.96</v>
      </c>
      <c r="R88">
        <v>-7.29</v>
      </c>
    </row>
    <row r="89" spans="1:18" x14ac:dyDescent="0.2">
      <c r="A89" s="1">
        <v>38968</v>
      </c>
      <c r="B89" s="2">
        <v>-0.35</v>
      </c>
      <c r="C89" s="3">
        <v>13.16</v>
      </c>
      <c r="D89">
        <v>8.125</v>
      </c>
      <c r="E89">
        <v>4.7708000000000004</v>
      </c>
      <c r="F89">
        <v>4.8068</v>
      </c>
      <c r="G89">
        <v>1.7190000000000001</v>
      </c>
      <c r="H89">
        <v>0.69399999999999995</v>
      </c>
      <c r="I89">
        <v>1</v>
      </c>
      <c r="J89">
        <v>0.375</v>
      </c>
      <c r="K89">
        <v>-4.25</v>
      </c>
      <c r="L89">
        <v>0.375</v>
      </c>
      <c r="M89">
        <v>98.2119</v>
      </c>
      <c r="N89">
        <v>65.33</v>
      </c>
      <c r="O89">
        <v>66.25</v>
      </c>
      <c r="P89">
        <v>4.9238</v>
      </c>
      <c r="Q89">
        <v>13.16</v>
      </c>
      <c r="R89">
        <v>-6.5</v>
      </c>
    </row>
    <row r="90" spans="1:18" x14ac:dyDescent="0.2">
      <c r="A90" s="1">
        <v>38975</v>
      </c>
      <c r="B90" s="2">
        <v>-0.52500000000000002</v>
      </c>
      <c r="C90" s="3">
        <v>11.76</v>
      </c>
      <c r="D90">
        <v>8</v>
      </c>
      <c r="E90">
        <v>4.7885</v>
      </c>
      <c r="F90">
        <v>4.8566000000000003</v>
      </c>
      <c r="G90">
        <v>1.655</v>
      </c>
      <c r="H90">
        <v>0.63500000000000001</v>
      </c>
      <c r="I90">
        <v>1.3</v>
      </c>
      <c r="J90">
        <v>0.4</v>
      </c>
      <c r="K90">
        <v>-4</v>
      </c>
      <c r="L90">
        <v>0.4</v>
      </c>
      <c r="M90">
        <v>98.210400000000007</v>
      </c>
      <c r="N90">
        <v>63.33</v>
      </c>
      <c r="O90">
        <v>63.33</v>
      </c>
      <c r="P90">
        <v>4.9341999999999997</v>
      </c>
      <c r="Q90">
        <v>11.76</v>
      </c>
      <c r="R90">
        <v>-6.4</v>
      </c>
    </row>
    <row r="91" spans="1:18" x14ac:dyDescent="0.2">
      <c r="A91" s="1">
        <v>38982</v>
      </c>
      <c r="B91" s="2">
        <v>-0.5</v>
      </c>
      <c r="C91" s="3">
        <v>12.59</v>
      </c>
      <c r="D91">
        <v>7.85</v>
      </c>
      <c r="E91">
        <v>4.5888</v>
      </c>
      <c r="F91">
        <v>4.6677999999999997</v>
      </c>
      <c r="G91">
        <v>1.62</v>
      </c>
      <c r="H91">
        <v>0.624</v>
      </c>
      <c r="I91">
        <v>1.75</v>
      </c>
      <c r="J91">
        <v>1.625</v>
      </c>
      <c r="K91">
        <v>-2.3250000000000002</v>
      </c>
      <c r="L91">
        <v>1.125</v>
      </c>
      <c r="M91">
        <v>97.866699999999994</v>
      </c>
      <c r="N91">
        <v>60.41</v>
      </c>
      <c r="O91">
        <v>60.55</v>
      </c>
      <c r="P91">
        <v>4.9134000000000002</v>
      </c>
      <c r="Q91">
        <v>12.59</v>
      </c>
      <c r="R91">
        <v>-5.78</v>
      </c>
    </row>
    <row r="92" spans="1:18" x14ac:dyDescent="0.2">
      <c r="A92" s="1">
        <v>38989</v>
      </c>
      <c r="B92" s="2">
        <v>-0.5</v>
      </c>
      <c r="C92" s="3">
        <v>11.98</v>
      </c>
      <c r="D92">
        <v>6.9</v>
      </c>
      <c r="E92">
        <v>4.6276000000000002</v>
      </c>
      <c r="F92">
        <v>4.6829000000000001</v>
      </c>
      <c r="G92">
        <v>1.665</v>
      </c>
      <c r="H92">
        <v>0.65</v>
      </c>
      <c r="I92">
        <v>2.1</v>
      </c>
      <c r="J92">
        <v>1.5</v>
      </c>
      <c r="K92">
        <v>-2.2999999999999998</v>
      </c>
      <c r="L92">
        <v>1.4</v>
      </c>
      <c r="M92">
        <v>98.105400000000003</v>
      </c>
      <c r="N92">
        <v>62.48</v>
      </c>
      <c r="O92">
        <v>62.91</v>
      </c>
      <c r="P92">
        <v>4.8719000000000001</v>
      </c>
      <c r="Q92">
        <v>11.98</v>
      </c>
      <c r="R92">
        <v>-4.5</v>
      </c>
    </row>
    <row r="93" spans="1:18" x14ac:dyDescent="0.2">
      <c r="A93" s="1">
        <v>38996</v>
      </c>
      <c r="B93" s="2">
        <v>-0.5</v>
      </c>
      <c r="C93" s="3">
        <v>11.56</v>
      </c>
      <c r="D93">
        <v>7.0250000000000004</v>
      </c>
      <c r="E93">
        <v>4.6943000000000001</v>
      </c>
      <c r="F93">
        <v>4.7332999999999998</v>
      </c>
      <c r="G93">
        <v>1.696</v>
      </c>
      <c r="H93">
        <v>0.66</v>
      </c>
      <c r="I93">
        <v>2.1</v>
      </c>
      <c r="J93">
        <v>1.5</v>
      </c>
      <c r="K93">
        <v>-2.1</v>
      </c>
      <c r="L93">
        <v>1.7</v>
      </c>
      <c r="M93">
        <v>98.561899999999994</v>
      </c>
      <c r="N93">
        <v>59.83</v>
      </c>
      <c r="O93">
        <v>59.76</v>
      </c>
      <c r="P93">
        <v>4.9335000000000004</v>
      </c>
      <c r="Q93">
        <v>11.56</v>
      </c>
      <c r="R93">
        <v>-4.5999999999999996</v>
      </c>
    </row>
    <row r="94" spans="1:18" x14ac:dyDescent="0.2">
      <c r="A94" s="1">
        <v>39003</v>
      </c>
      <c r="B94" s="2">
        <v>-0.5</v>
      </c>
      <c r="C94" s="3">
        <v>10.75</v>
      </c>
      <c r="D94">
        <v>7.1749999999999998</v>
      </c>
      <c r="E94">
        <v>4.7976999999999999</v>
      </c>
      <c r="F94">
        <v>4.8609999999999998</v>
      </c>
      <c r="G94">
        <v>1.76</v>
      </c>
      <c r="H94">
        <v>0.70499999999999996</v>
      </c>
      <c r="I94">
        <v>2.59</v>
      </c>
      <c r="J94">
        <v>1.3149999999999999</v>
      </c>
      <c r="K94">
        <v>-1.5</v>
      </c>
      <c r="L94">
        <v>1.65</v>
      </c>
      <c r="M94">
        <v>98.800200000000004</v>
      </c>
      <c r="N94">
        <v>59.52</v>
      </c>
      <c r="O94">
        <v>58.57</v>
      </c>
      <c r="P94">
        <v>5.0484</v>
      </c>
      <c r="Q94">
        <v>10.75</v>
      </c>
      <c r="R94">
        <v>-3.55</v>
      </c>
    </row>
    <row r="95" spans="1:18" x14ac:dyDescent="0.2">
      <c r="A95" s="1">
        <v>39010</v>
      </c>
      <c r="B95" s="2">
        <v>-0.5</v>
      </c>
      <c r="C95" s="3">
        <v>10.63</v>
      </c>
      <c r="D95">
        <v>7.125</v>
      </c>
      <c r="E95">
        <v>4.7854999999999999</v>
      </c>
      <c r="F95">
        <v>4.8712999999999997</v>
      </c>
      <c r="G95">
        <v>1.7949999999999999</v>
      </c>
      <c r="H95">
        <v>0.78100000000000003</v>
      </c>
      <c r="I95">
        <v>2.4</v>
      </c>
      <c r="J95">
        <v>1.2</v>
      </c>
      <c r="K95">
        <v>-1.25</v>
      </c>
      <c r="L95">
        <v>2</v>
      </c>
      <c r="M95">
        <v>98.162899999999993</v>
      </c>
      <c r="N95">
        <v>59.68</v>
      </c>
      <c r="O95">
        <v>56.82</v>
      </c>
      <c r="P95">
        <v>5.0795000000000003</v>
      </c>
      <c r="Q95">
        <v>10.63</v>
      </c>
      <c r="R95">
        <v>-3.75</v>
      </c>
    </row>
    <row r="96" spans="1:18" x14ac:dyDescent="0.2">
      <c r="A96" s="1">
        <v>39017</v>
      </c>
      <c r="B96" s="2">
        <v>-0.4</v>
      </c>
      <c r="C96" s="3">
        <v>10.8</v>
      </c>
      <c r="D96">
        <v>6.6749999999999998</v>
      </c>
      <c r="E96">
        <v>4.6715</v>
      </c>
      <c r="F96">
        <v>4.7424999999999997</v>
      </c>
      <c r="G96">
        <v>1.7310000000000001</v>
      </c>
      <c r="H96">
        <v>0.76</v>
      </c>
      <c r="I96">
        <v>1.3</v>
      </c>
      <c r="J96">
        <v>0.5</v>
      </c>
      <c r="K96">
        <v>-2.75</v>
      </c>
      <c r="L96">
        <v>0.5</v>
      </c>
      <c r="M96">
        <v>97.491399999999999</v>
      </c>
      <c r="N96">
        <v>61.08</v>
      </c>
      <c r="O96">
        <v>60.75</v>
      </c>
      <c r="P96">
        <v>5.0899000000000001</v>
      </c>
      <c r="Q96">
        <v>10.8</v>
      </c>
      <c r="R96">
        <v>-5</v>
      </c>
    </row>
    <row r="97" spans="1:18" x14ac:dyDescent="0.2">
      <c r="A97" s="1">
        <v>39024</v>
      </c>
      <c r="B97" s="2">
        <v>-0.4</v>
      </c>
      <c r="C97" s="3">
        <v>11.16</v>
      </c>
      <c r="D97">
        <v>7.05</v>
      </c>
      <c r="E97">
        <v>4.7149999999999999</v>
      </c>
      <c r="F97">
        <v>4.8159999999999998</v>
      </c>
      <c r="G97">
        <v>1.706</v>
      </c>
      <c r="H97">
        <v>0.74199999999999999</v>
      </c>
      <c r="I97">
        <v>1.4</v>
      </c>
      <c r="J97">
        <v>0.3</v>
      </c>
      <c r="K97">
        <v>-1.5</v>
      </c>
      <c r="L97">
        <v>1.5</v>
      </c>
      <c r="M97">
        <v>97.7209</v>
      </c>
      <c r="N97">
        <v>59.15</v>
      </c>
      <c r="O97">
        <v>59.14</v>
      </c>
      <c r="P97">
        <v>5.0795000000000003</v>
      </c>
      <c r="Q97">
        <v>11.16</v>
      </c>
      <c r="R97">
        <v>-3.8</v>
      </c>
    </row>
    <row r="98" spans="1:18" x14ac:dyDescent="0.2">
      <c r="A98" s="1">
        <v>39031</v>
      </c>
      <c r="B98" s="2">
        <v>-0.4</v>
      </c>
      <c r="C98" s="3">
        <v>10.79</v>
      </c>
      <c r="D98">
        <v>7</v>
      </c>
      <c r="E98">
        <v>4.5876999999999999</v>
      </c>
      <c r="F98">
        <v>4.7308000000000003</v>
      </c>
      <c r="G98">
        <v>1.6779999999999999</v>
      </c>
      <c r="H98">
        <v>0.755</v>
      </c>
      <c r="I98">
        <v>2.2999999999999998</v>
      </c>
      <c r="J98">
        <v>1.375</v>
      </c>
      <c r="K98">
        <v>-1.5</v>
      </c>
      <c r="L98">
        <v>1.6</v>
      </c>
      <c r="M98">
        <v>97.463800000000006</v>
      </c>
      <c r="N98">
        <v>59.71</v>
      </c>
      <c r="O98">
        <v>59.59</v>
      </c>
      <c r="P98">
        <v>5.0795000000000003</v>
      </c>
      <c r="Q98">
        <v>10.79</v>
      </c>
      <c r="R98">
        <v>-3.8</v>
      </c>
    </row>
    <row r="99" spans="1:18" x14ac:dyDescent="0.2">
      <c r="A99" s="1">
        <v>39038</v>
      </c>
      <c r="B99" s="2">
        <v>-0.4</v>
      </c>
      <c r="C99" s="3">
        <v>10.050000000000001</v>
      </c>
      <c r="D99">
        <v>6.5750000000000002</v>
      </c>
      <c r="E99">
        <v>4.5993000000000004</v>
      </c>
      <c r="F99">
        <v>4.7629000000000001</v>
      </c>
      <c r="G99">
        <v>1.708</v>
      </c>
      <c r="H99">
        <v>0.80600000000000005</v>
      </c>
      <c r="I99">
        <v>3.05</v>
      </c>
      <c r="J99">
        <v>1.8049999999999999</v>
      </c>
      <c r="K99">
        <v>-1.2150000000000001</v>
      </c>
      <c r="L99">
        <v>2</v>
      </c>
      <c r="M99">
        <v>97.985500000000002</v>
      </c>
      <c r="N99">
        <v>58.99</v>
      </c>
      <c r="O99">
        <v>55.81</v>
      </c>
      <c r="P99">
        <v>5.0795000000000003</v>
      </c>
      <c r="Q99">
        <v>10.050000000000001</v>
      </c>
      <c r="R99">
        <v>-2.75</v>
      </c>
    </row>
    <row r="100" spans="1:18" x14ac:dyDescent="0.2">
      <c r="A100" s="1">
        <v>39045</v>
      </c>
      <c r="B100" s="2">
        <v>-0.3</v>
      </c>
      <c r="C100" s="3">
        <v>10.73</v>
      </c>
      <c r="D100">
        <v>7.375</v>
      </c>
      <c r="E100">
        <v>4.548</v>
      </c>
      <c r="F100">
        <v>4.7267999999999999</v>
      </c>
      <c r="G100">
        <v>1.6539999999999999</v>
      </c>
      <c r="H100">
        <v>0.8</v>
      </c>
      <c r="I100">
        <v>2.74</v>
      </c>
      <c r="J100">
        <v>1.55</v>
      </c>
      <c r="K100">
        <v>-0.3</v>
      </c>
      <c r="L100">
        <v>2.09</v>
      </c>
      <c r="M100">
        <v>97.065700000000007</v>
      </c>
      <c r="N100">
        <v>60.03</v>
      </c>
      <c r="O100">
        <v>59.24</v>
      </c>
      <c r="P100">
        <v>5.0269000000000004</v>
      </c>
      <c r="Q100">
        <v>10.73</v>
      </c>
      <c r="R100">
        <v>-1.84</v>
      </c>
    </row>
    <row r="101" spans="1:18" x14ac:dyDescent="0.2">
      <c r="A101" s="1">
        <v>39052</v>
      </c>
      <c r="B101" s="2">
        <v>-0.3</v>
      </c>
      <c r="C101" s="3">
        <v>11.66</v>
      </c>
      <c r="D101">
        <v>7.5250000000000004</v>
      </c>
      <c r="E101">
        <v>4.4326999999999996</v>
      </c>
      <c r="F101">
        <v>4.5167999999999999</v>
      </c>
      <c r="G101">
        <v>1.607</v>
      </c>
      <c r="H101">
        <v>0.81</v>
      </c>
      <c r="I101">
        <v>3.25</v>
      </c>
      <c r="J101">
        <v>1.625</v>
      </c>
      <c r="K101">
        <v>0.25</v>
      </c>
      <c r="L101">
        <v>2.75</v>
      </c>
      <c r="M101">
        <v>96.458500000000001</v>
      </c>
      <c r="N101">
        <v>64.62</v>
      </c>
      <c r="O101">
        <v>63.43</v>
      </c>
      <c r="P101">
        <v>5.0171999999999999</v>
      </c>
      <c r="Q101">
        <v>11.66</v>
      </c>
      <c r="R101">
        <v>-1.55</v>
      </c>
    </row>
    <row r="102" spans="1:18" x14ac:dyDescent="0.2">
      <c r="A102" s="1">
        <v>39059</v>
      </c>
      <c r="B102" s="2">
        <v>-0.25</v>
      </c>
      <c r="C102" s="3">
        <v>12.07</v>
      </c>
      <c r="D102">
        <v>7.5750000000000002</v>
      </c>
      <c r="E102">
        <v>4.5437000000000003</v>
      </c>
      <c r="F102">
        <v>4.6661999999999999</v>
      </c>
      <c r="G102">
        <v>1.7</v>
      </c>
      <c r="H102">
        <v>0.85499999999999998</v>
      </c>
      <c r="I102">
        <v>3.6</v>
      </c>
      <c r="J102">
        <v>2.2000000000000002</v>
      </c>
      <c r="K102">
        <v>1.4</v>
      </c>
      <c r="L102">
        <v>3.5</v>
      </c>
      <c r="M102">
        <v>96.612300000000005</v>
      </c>
      <c r="N102">
        <v>62.2</v>
      </c>
      <c r="O102">
        <v>62.03</v>
      </c>
      <c r="P102">
        <v>4.9444999999999997</v>
      </c>
      <c r="Q102">
        <v>12.07</v>
      </c>
      <c r="R102">
        <v>-0.4</v>
      </c>
    </row>
    <row r="103" spans="1:18" x14ac:dyDescent="0.2">
      <c r="A103" s="1">
        <v>39066</v>
      </c>
      <c r="B103" s="2">
        <v>-0.25</v>
      </c>
      <c r="C103" s="3">
        <v>10.050000000000001</v>
      </c>
      <c r="D103">
        <v>6.7750000000000004</v>
      </c>
      <c r="E103">
        <v>4.5928000000000004</v>
      </c>
      <c r="F103">
        <v>4.7169999999999996</v>
      </c>
      <c r="G103">
        <v>1.67</v>
      </c>
      <c r="H103">
        <v>0.81699999999999995</v>
      </c>
      <c r="I103">
        <v>4</v>
      </c>
      <c r="J103">
        <v>2.1</v>
      </c>
      <c r="K103">
        <v>1.1000000000000001</v>
      </c>
      <c r="L103">
        <v>3.7</v>
      </c>
      <c r="M103">
        <v>96.985699999999994</v>
      </c>
      <c r="N103">
        <v>63.49</v>
      </c>
      <c r="O103">
        <v>63.43</v>
      </c>
      <c r="P103">
        <v>4.9029999999999996</v>
      </c>
      <c r="Q103">
        <v>10.050000000000001</v>
      </c>
      <c r="R103">
        <v>-0.6</v>
      </c>
    </row>
    <row r="104" spans="1:18" x14ac:dyDescent="0.2">
      <c r="A104" s="1">
        <v>39073</v>
      </c>
      <c r="B104" s="2">
        <v>-0.3</v>
      </c>
      <c r="C104" s="3">
        <v>11.36</v>
      </c>
      <c r="D104">
        <v>6.4749999999999996</v>
      </c>
      <c r="E104">
        <v>4.6185</v>
      </c>
      <c r="F104">
        <v>4.7175000000000002</v>
      </c>
      <c r="G104">
        <v>1.599</v>
      </c>
      <c r="H104">
        <v>0.78</v>
      </c>
      <c r="I104">
        <v>3.3</v>
      </c>
      <c r="J104">
        <v>1.5</v>
      </c>
      <c r="K104">
        <v>0.5</v>
      </c>
      <c r="L104">
        <v>3</v>
      </c>
      <c r="M104">
        <v>97.1113</v>
      </c>
      <c r="N104">
        <v>62.42</v>
      </c>
      <c r="O104">
        <v>62.41</v>
      </c>
      <c r="P104">
        <v>4.9749999999999996</v>
      </c>
      <c r="Q104">
        <v>11.36</v>
      </c>
      <c r="R104">
        <v>-0.8</v>
      </c>
    </row>
    <row r="105" spans="1:18" x14ac:dyDescent="0.2">
      <c r="A105" s="1">
        <v>39080</v>
      </c>
      <c r="B105" s="2">
        <v>-0.3</v>
      </c>
      <c r="C105" s="3">
        <v>11.56</v>
      </c>
      <c r="D105">
        <v>6.5</v>
      </c>
      <c r="E105">
        <v>4.7022000000000004</v>
      </c>
      <c r="F105">
        <v>4.8079999999999998</v>
      </c>
      <c r="G105">
        <v>1.6850000000000001</v>
      </c>
      <c r="H105">
        <v>0.80500000000000005</v>
      </c>
      <c r="I105">
        <v>3.5</v>
      </c>
      <c r="J105">
        <v>1.5</v>
      </c>
      <c r="K105">
        <v>0.5</v>
      </c>
      <c r="L105">
        <v>3.25</v>
      </c>
      <c r="M105">
        <v>97.031199999999998</v>
      </c>
      <c r="N105">
        <v>60.86</v>
      </c>
      <c r="O105">
        <v>61.05</v>
      </c>
      <c r="P105">
        <v>5.0061</v>
      </c>
      <c r="Q105">
        <v>11.56</v>
      </c>
      <c r="R105">
        <v>-0.75</v>
      </c>
    </row>
    <row r="106" spans="1:18" x14ac:dyDescent="0.2">
      <c r="A106" s="1">
        <v>39087</v>
      </c>
      <c r="B106" s="2">
        <v>-0.3</v>
      </c>
      <c r="C106" s="3">
        <v>12.14</v>
      </c>
      <c r="D106">
        <v>6.875</v>
      </c>
      <c r="E106">
        <v>4.6441999999999997</v>
      </c>
      <c r="F106">
        <v>4.7493999999999996</v>
      </c>
      <c r="G106">
        <v>1.7190000000000001</v>
      </c>
      <c r="H106">
        <v>0.83499999999999996</v>
      </c>
      <c r="I106">
        <v>3.5</v>
      </c>
      <c r="J106">
        <v>1.5</v>
      </c>
      <c r="K106">
        <v>0.7</v>
      </c>
      <c r="L106">
        <v>3.1</v>
      </c>
      <c r="M106">
        <v>97.780100000000004</v>
      </c>
      <c r="N106">
        <v>55.64</v>
      </c>
      <c r="O106">
        <v>56.31</v>
      </c>
      <c r="P106">
        <v>5.0380000000000003</v>
      </c>
      <c r="Q106">
        <v>12.14</v>
      </c>
      <c r="R106">
        <v>-0.8</v>
      </c>
    </row>
    <row r="107" spans="1:18" x14ac:dyDescent="0.2">
      <c r="A107" s="1">
        <v>39094</v>
      </c>
      <c r="B107" s="2">
        <v>-0.38750000000000001</v>
      </c>
      <c r="C107" s="3">
        <v>10.15</v>
      </c>
      <c r="D107">
        <v>6.6</v>
      </c>
      <c r="E107">
        <v>4.7750000000000004</v>
      </c>
      <c r="F107">
        <v>4.8757999999999999</v>
      </c>
      <c r="G107">
        <v>1.744</v>
      </c>
      <c r="H107">
        <v>0.82499999999999996</v>
      </c>
      <c r="I107">
        <v>2.6150000000000002</v>
      </c>
      <c r="J107">
        <v>0.96499999999999997</v>
      </c>
      <c r="K107">
        <v>-0.05</v>
      </c>
      <c r="L107">
        <v>2.3250000000000002</v>
      </c>
      <c r="M107">
        <v>97.921000000000006</v>
      </c>
      <c r="N107">
        <v>52.95</v>
      </c>
      <c r="O107">
        <v>52.99</v>
      </c>
      <c r="P107">
        <v>5.0788000000000002</v>
      </c>
      <c r="Q107">
        <v>10.15</v>
      </c>
      <c r="R107">
        <v>-1.4</v>
      </c>
    </row>
    <row r="108" spans="1:18" x14ac:dyDescent="0.2">
      <c r="A108" s="1">
        <v>39101</v>
      </c>
      <c r="B108" s="2">
        <v>-0.38750000000000001</v>
      </c>
      <c r="C108" s="3">
        <v>10.4</v>
      </c>
      <c r="D108">
        <v>6.55</v>
      </c>
      <c r="E108">
        <v>4.7751999999999999</v>
      </c>
      <c r="F108">
        <v>4.9107000000000003</v>
      </c>
      <c r="G108">
        <v>1.665</v>
      </c>
      <c r="H108">
        <v>0.76200000000000001</v>
      </c>
      <c r="I108">
        <v>2.5249999999999999</v>
      </c>
      <c r="J108">
        <v>0.4</v>
      </c>
      <c r="K108">
        <v>-0.9</v>
      </c>
      <c r="L108">
        <v>0.96499999999999997</v>
      </c>
      <c r="M108">
        <v>97.686800000000005</v>
      </c>
      <c r="N108">
        <v>53.44</v>
      </c>
      <c r="O108">
        <v>51.99</v>
      </c>
      <c r="P108">
        <v>5.1314000000000002</v>
      </c>
      <c r="Q108">
        <v>10.4</v>
      </c>
      <c r="R108">
        <v>-2.4</v>
      </c>
    </row>
    <row r="109" spans="1:18" x14ac:dyDescent="0.2">
      <c r="A109" s="1">
        <v>39108</v>
      </c>
      <c r="B109" s="2">
        <v>-0.47499999999999998</v>
      </c>
      <c r="C109" s="3">
        <v>11.13</v>
      </c>
      <c r="D109">
        <v>7.05</v>
      </c>
      <c r="E109">
        <v>4.8733000000000004</v>
      </c>
      <c r="F109">
        <v>4.9663000000000004</v>
      </c>
      <c r="G109">
        <v>1.6910000000000001</v>
      </c>
      <c r="H109">
        <v>0.72599999999999998</v>
      </c>
      <c r="I109">
        <v>2.625</v>
      </c>
      <c r="J109">
        <v>0.625</v>
      </c>
      <c r="K109">
        <v>-1.3</v>
      </c>
      <c r="L109">
        <v>1.8149999999999999</v>
      </c>
      <c r="M109">
        <v>98.149100000000004</v>
      </c>
      <c r="N109">
        <v>55.29</v>
      </c>
      <c r="O109">
        <v>55.42</v>
      </c>
      <c r="P109">
        <v>5.1211000000000002</v>
      </c>
      <c r="Q109">
        <v>11.13</v>
      </c>
      <c r="R109">
        <v>-1.625</v>
      </c>
    </row>
    <row r="110" spans="1:18" x14ac:dyDescent="0.2">
      <c r="A110" s="1">
        <v>39115</v>
      </c>
      <c r="B110" s="2">
        <v>-0.4</v>
      </c>
      <c r="C110" s="3">
        <v>10.08</v>
      </c>
      <c r="D110">
        <v>7.2750000000000004</v>
      </c>
      <c r="E110">
        <v>4.8204000000000002</v>
      </c>
      <c r="F110">
        <v>4.9330999999999996</v>
      </c>
      <c r="G110">
        <v>1.73</v>
      </c>
      <c r="H110">
        <v>0.76</v>
      </c>
      <c r="I110">
        <v>2</v>
      </c>
      <c r="J110">
        <v>0.2</v>
      </c>
      <c r="K110">
        <v>-0.8</v>
      </c>
      <c r="L110">
        <v>1.3</v>
      </c>
      <c r="M110">
        <v>97.974299999999999</v>
      </c>
      <c r="N110">
        <v>58.41</v>
      </c>
      <c r="O110">
        <v>59.02</v>
      </c>
      <c r="P110">
        <v>5.1314000000000002</v>
      </c>
      <c r="Q110">
        <v>10.08</v>
      </c>
      <c r="R110">
        <v>-2.0499999999999998</v>
      </c>
    </row>
    <row r="111" spans="1:18" x14ac:dyDescent="0.2">
      <c r="A111" s="1">
        <v>39122</v>
      </c>
      <c r="B111" s="2">
        <v>-0.4</v>
      </c>
      <c r="C111" s="3">
        <v>11.1</v>
      </c>
      <c r="D111">
        <v>7.05</v>
      </c>
      <c r="E111">
        <v>4.7797000000000001</v>
      </c>
      <c r="F111">
        <v>4.8993000000000002</v>
      </c>
      <c r="G111">
        <v>1.7</v>
      </c>
      <c r="H111">
        <v>0.746</v>
      </c>
      <c r="I111">
        <v>2.7</v>
      </c>
      <c r="J111">
        <v>0.5</v>
      </c>
      <c r="K111">
        <v>-0.1</v>
      </c>
      <c r="L111">
        <v>2.1</v>
      </c>
      <c r="M111">
        <v>97.707599999999999</v>
      </c>
      <c r="N111">
        <v>59.01</v>
      </c>
      <c r="O111">
        <v>59.89</v>
      </c>
      <c r="P111">
        <v>5.1417999999999999</v>
      </c>
      <c r="Q111">
        <v>11.1</v>
      </c>
      <c r="R111">
        <v>-1.2</v>
      </c>
    </row>
    <row r="112" spans="1:18" x14ac:dyDescent="0.2">
      <c r="A112" s="1">
        <v>39129</v>
      </c>
      <c r="B112" s="2">
        <v>-0.47499999999999998</v>
      </c>
      <c r="C112" s="3">
        <v>10.02</v>
      </c>
      <c r="D112">
        <v>7.3250000000000002</v>
      </c>
      <c r="E112">
        <v>4.6882000000000001</v>
      </c>
      <c r="F112">
        <v>4.8224</v>
      </c>
      <c r="G112">
        <v>1.71</v>
      </c>
      <c r="H112">
        <v>0.78200000000000003</v>
      </c>
      <c r="I112">
        <v>2.7</v>
      </c>
      <c r="J112">
        <v>1.25</v>
      </c>
      <c r="K112">
        <v>-0.05</v>
      </c>
      <c r="L112">
        <v>2</v>
      </c>
      <c r="M112">
        <v>97.164000000000001</v>
      </c>
      <c r="N112">
        <v>58.95</v>
      </c>
      <c r="O112">
        <v>59.39</v>
      </c>
      <c r="P112">
        <v>5.1619000000000002</v>
      </c>
      <c r="Q112">
        <v>10.02</v>
      </c>
      <c r="R112">
        <v>-1.63</v>
      </c>
    </row>
    <row r="113" spans="1:18" x14ac:dyDescent="0.2">
      <c r="A113" s="1">
        <v>39136</v>
      </c>
      <c r="B113" s="2">
        <v>-0.375</v>
      </c>
      <c r="C113" s="3">
        <v>10.58</v>
      </c>
      <c r="D113">
        <v>6.6749999999999998</v>
      </c>
      <c r="E113">
        <v>4.6703000000000001</v>
      </c>
      <c r="F113">
        <v>4.7996999999999996</v>
      </c>
      <c r="G113">
        <v>1.68</v>
      </c>
      <c r="H113">
        <v>0.84299999999999997</v>
      </c>
      <c r="I113">
        <v>2.8</v>
      </c>
      <c r="J113">
        <v>0.8</v>
      </c>
      <c r="K113">
        <v>-0.1</v>
      </c>
      <c r="L113">
        <v>1.9</v>
      </c>
      <c r="M113">
        <v>97.175600000000003</v>
      </c>
      <c r="N113">
        <v>60.88</v>
      </c>
      <c r="O113">
        <v>61.14</v>
      </c>
      <c r="P113">
        <v>5.173</v>
      </c>
      <c r="Q113">
        <v>10.58</v>
      </c>
      <c r="R113">
        <v>-1.2</v>
      </c>
    </row>
    <row r="114" spans="1:18" x14ac:dyDescent="0.2">
      <c r="A114" s="1">
        <v>39143</v>
      </c>
      <c r="B114" s="2">
        <v>-0.57499999999999996</v>
      </c>
      <c r="C114" s="3">
        <v>18.61</v>
      </c>
      <c r="D114">
        <v>7.75</v>
      </c>
      <c r="E114">
        <v>4.4969999999999999</v>
      </c>
      <c r="F114">
        <v>4.5251999999999999</v>
      </c>
      <c r="G114">
        <v>1.6739999999999999</v>
      </c>
      <c r="H114">
        <v>0.82899999999999996</v>
      </c>
      <c r="I114">
        <v>3.65</v>
      </c>
      <c r="J114">
        <v>1.5</v>
      </c>
      <c r="K114">
        <v>0.1</v>
      </c>
      <c r="L114">
        <v>2.5</v>
      </c>
      <c r="M114">
        <v>97.369100000000003</v>
      </c>
      <c r="N114">
        <v>62.08</v>
      </c>
      <c r="O114">
        <v>61.64</v>
      </c>
      <c r="P114">
        <v>5.0899000000000001</v>
      </c>
      <c r="Q114">
        <v>18.61</v>
      </c>
      <c r="R114">
        <v>-1.2</v>
      </c>
    </row>
    <row r="115" spans="1:18" x14ac:dyDescent="0.2">
      <c r="A115" s="1">
        <v>39150</v>
      </c>
      <c r="B115" s="2">
        <v>-0.75</v>
      </c>
      <c r="C115" s="3">
        <v>14.09</v>
      </c>
      <c r="D115">
        <v>7.625</v>
      </c>
      <c r="E115">
        <v>4.5871000000000004</v>
      </c>
      <c r="F115">
        <v>4.6650999999999998</v>
      </c>
      <c r="G115">
        <v>1.615</v>
      </c>
      <c r="H115">
        <v>0.79400000000000004</v>
      </c>
      <c r="I115">
        <v>4.125</v>
      </c>
      <c r="J115">
        <v>1.6</v>
      </c>
      <c r="K115">
        <v>1.25</v>
      </c>
      <c r="L115">
        <v>3.625</v>
      </c>
      <c r="M115">
        <v>97.4559</v>
      </c>
      <c r="N115">
        <v>61.13</v>
      </c>
      <c r="O115">
        <v>60.05</v>
      </c>
      <c r="P115">
        <v>5.0795000000000003</v>
      </c>
      <c r="Q115">
        <v>14.09</v>
      </c>
      <c r="R115">
        <v>0.125</v>
      </c>
    </row>
    <row r="116" spans="1:18" x14ac:dyDescent="0.2">
      <c r="A116" s="1">
        <v>39157</v>
      </c>
      <c r="B116" s="2">
        <v>-0.6</v>
      </c>
      <c r="C116" s="3">
        <v>16.79</v>
      </c>
      <c r="D116">
        <v>8.4</v>
      </c>
      <c r="E116">
        <v>4.5434999999999999</v>
      </c>
      <c r="F116">
        <v>4.5876000000000001</v>
      </c>
      <c r="G116">
        <v>1.585</v>
      </c>
      <c r="H116">
        <v>0.78</v>
      </c>
      <c r="I116">
        <v>4.0999999999999996</v>
      </c>
      <c r="J116">
        <v>2.7</v>
      </c>
      <c r="K116">
        <v>0.75</v>
      </c>
      <c r="L116">
        <v>3.6</v>
      </c>
      <c r="M116">
        <v>97.040700000000001</v>
      </c>
      <c r="N116">
        <v>60.3</v>
      </c>
      <c r="O116">
        <v>57.11</v>
      </c>
      <c r="P116">
        <v>5.0171999999999999</v>
      </c>
      <c r="Q116">
        <v>16.79</v>
      </c>
      <c r="R116">
        <v>-0.625</v>
      </c>
    </row>
    <row r="117" spans="1:18" x14ac:dyDescent="0.2">
      <c r="A117" s="1">
        <v>39164</v>
      </c>
      <c r="B117" s="2">
        <v>-0.15</v>
      </c>
      <c r="C117" s="3">
        <v>12.95</v>
      </c>
      <c r="D117">
        <v>7.75</v>
      </c>
      <c r="E117">
        <v>4.6105</v>
      </c>
      <c r="F117">
        <v>4.6028000000000002</v>
      </c>
      <c r="G117">
        <v>1.615</v>
      </c>
      <c r="H117">
        <v>0.80800000000000005</v>
      </c>
      <c r="I117">
        <v>3.875</v>
      </c>
      <c r="J117">
        <v>2</v>
      </c>
      <c r="K117">
        <v>0.5</v>
      </c>
      <c r="L117">
        <v>3.125</v>
      </c>
      <c r="M117">
        <v>96.566199999999995</v>
      </c>
      <c r="N117">
        <v>63.18</v>
      </c>
      <c r="O117">
        <v>62.28</v>
      </c>
      <c r="P117">
        <v>5.0587</v>
      </c>
      <c r="Q117">
        <v>12.95</v>
      </c>
      <c r="R117">
        <v>-0.625</v>
      </c>
    </row>
    <row r="118" spans="1:18" x14ac:dyDescent="0.2">
      <c r="A118" s="1">
        <v>39171</v>
      </c>
      <c r="B118" s="2">
        <v>-0.2</v>
      </c>
      <c r="C118" s="3">
        <v>14.64</v>
      </c>
      <c r="D118">
        <v>8.0250000000000004</v>
      </c>
      <c r="E118">
        <v>4.6443000000000003</v>
      </c>
      <c r="F118">
        <v>4.5743999999999998</v>
      </c>
      <c r="G118">
        <v>1.659</v>
      </c>
      <c r="H118">
        <v>0.82</v>
      </c>
      <c r="I118">
        <v>3.375</v>
      </c>
      <c r="J118">
        <v>1.2</v>
      </c>
      <c r="K118">
        <v>0.15</v>
      </c>
      <c r="L118">
        <v>3</v>
      </c>
      <c r="M118">
        <v>96.318299999999994</v>
      </c>
      <c r="N118">
        <v>68.099999999999994</v>
      </c>
      <c r="O118">
        <v>65.87</v>
      </c>
      <c r="P118">
        <v>5.0275999999999996</v>
      </c>
      <c r="Q118">
        <v>14.64</v>
      </c>
      <c r="R118">
        <v>-1.125</v>
      </c>
    </row>
    <row r="119" spans="1:18" x14ac:dyDescent="0.2">
      <c r="A119" s="1">
        <v>39178</v>
      </c>
      <c r="B119" s="2">
        <v>-0.22500000000000001</v>
      </c>
      <c r="C119" s="3">
        <v>13.23</v>
      </c>
      <c r="D119">
        <v>7.7</v>
      </c>
      <c r="E119">
        <v>4.7484999999999999</v>
      </c>
      <c r="F119">
        <v>4.7342000000000004</v>
      </c>
      <c r="G119">
        <v>1.675</v>
      </c>
      <c r="H119">
        <v>0.81</v>
      </c>
      <c r="I119">
        <v>3.4</v>
      </c>
      <c r="J119">
        <v>1.7</v>
      </c>
      <c r="K119">
        <v>0.05</v>
      </c>
      <c r="L119">
        <v>2.8</v>
      </c>
      <c r="M119">
        <v>96.252600000000001</v>
      </c>
      <c r="N119">
        <v>68.239999999999995</v>
      </c>
      <c r="O119">
        <v>64.28</v>
      </c>
      <c r="P119">
        <v>5.0269000000000004</v>
      </c>
      <c r="Q119">
        <v>13.23</v>
      </c>
      <c r="R119">
        <v>-1.375</v>
      </c>
    </row>
    <row r="120" spans="1:18" x14ac:dyDescent="0.2">
      <c r="A120" s="1">
        <v>39185</v>
      </c>
      <c r="B120" s="2">
        <v>-0.2</v>
      </c>
      <c r="C120" s="3">
        <v>12.2</v>
      </c>
      <c r="D120">
        <v>7.3</v>
      </c>
      <c r="E120">
        <v>4.7607999999999997</v>
      </c>
      <c r="F120">
        <v>4.7610999999999999</v>
      </c>
      <c r="G120">
        <v>1.67</v>
      </c>
      <c r="H120">
        <v>0.81499999999999995</v>
      </c>
      <c r="I120">
        <v>3.5</v>
      </c>
      <c r="J120">
        <v>1.7250000000000001</v>
      </c>
      <c r="K120">
        <v>0.97499999999999998</v>
      </c>
      <c r="L120">
        <v>3.2</v>
      </c>
      <c r="M120">
        <v>95.710999999999999</v>
      </c>
      <c r="N120">
        <v>68.97</v>
      </c>
      <c r="O120">
        <v>63.63</v>
      </c>
      <c r="P120">
        <v>4.9964000000000004</v>
      </c>
      <c r="Q120">
        <v>12.2</v>
      </c>
      <c r="R120">
        <v>-0.13500000000000001</v>
      </c>
    </row>
    <row r="121" spans="1:18" x14ac:dyDescent="0.2">
      <c r="A121" s="1">
        <v>39192</v>
      </c>
      <c r="B121" s="2">
        <v>-0.35</v>
      </c>
      <c r="C121" s="3">
        <v>12.07</v>
      </c>
      <c r="D121">
        <v>7.4</v>
      </c>
      <c r="E121">
        <v>4.6703000000000001</v>
      </c>
      <c r="F121">
        <v>4.6433999999999997</v>
      </c>
      <c r="G121">
        <v>1.694</v>
      </c>
      <c r="H121">
        <v>0.85899999999999999</v>
      </c>
      <c r="I121">
        <v>3.75</v>
      </c>
      <c r="J121">
        <v>2</v>
      </c>
      <c r="K121">
        <v>0.9</v>
      </c>
      <c r="L121">
        <v>3.375</v>
      </c>
      <c r="M121">
        <v>95.169200000000004</v>
      </c>
      <c r="N121">
        <v>66.489999999999995</v>
      </c>
      <c r="O121">
        <v>63.38</v>
      </c>
      <c r="P121">
        <v>4.9653</v>
      </c>
      <c r="Q121">
        <v>12.07</v>
      </c>
      <c r="R121">
        <v>-0.1</v>
      </c>
    </row>
    <row r="122" spans="1:18" x14ac:dyDescent="0.2">
      <c r="A122" s="1">
        <v>39199</v>
      </c>
      <c r="B122" s="2">
        <v>-0.42499999999999999</v>
      </c>
      <c r="C122" s="3">
        <v>12.45</v>
      </c>
      <c r="D122">
        <v>7.05</v>
      </c>
      <c r="E122">
        <v>4.6924000000000001</v>
      </c>
      <c r="F122">
        <v>4.6489000000000003</v>
      </c>
      <c r="G122">
        <v>1.629</v>
      </c>
      <c r="H122">
        <v>0.86499999999999999</v>
      </c>
      <c r="I122">
        <v>3.55</v>
      </c>
      <c r="J122">
        <v>2</v>
      </c>
      <c r="K122">
        <v>0.5</v>
      </c>
      <c r="L122">
        <v>3.1</v>
      </c>
      <c r="M122">
        <v>95.010300000000001</v>
      </c>
      <c r="N122">
        <v>68.41</v>
      </c>
      <c r="O122">
        <v>66.459999999999994</v>
      </c>
      <c r="P122">
        <v>4.9134000000000002</v>
      </c>
      <c r="Q122">
        <v>12.45</v>
      </c>
      <c r="R122">
        <v>-0.5</v>
      </c>
    </row>
    <row r="123" spans="1:18" x14ac:dyDescent="0.2">
      <c r="A123" s="1">
        <v>39206</v>
      </c>
      <c r="B123" s="2">
        <v>-0.42499999999999999</v>
      </c>
      <c r="C123" s="3">
        <v>12.91</v>
      </c>
      <c r="D123">
        <v>7</v>
      </c>
      <c r="E123">
        <v>4.6382000000000003</v>
      </c>
      <c r="F123">
        <v>4.6665000000000001</v>
      </c>
      <c r="G123">
        <v>1.635</v>
      </c>
      <c r="H123">
        <v>0.85599999999999998</v>
      </c>
      <c r="I123">
        <v>3.65</v>
      </c>
      <c r="J123">
        <v>1.75</v>
      </c>
      <c r="K123">
        <v>0.5</v>
      </c>
      <c r="L123">
        <v>3.25</v>
      </c>
      <c r="M123">
        <v>94.911799999999999</v>
      </c>
      <c r="N123">
        <v>65.31</v>
      </c>
      <c r="O123">
        <v>61.93</v>
      </c>
      <c r="P123">
        <v>4.8719000000000001</v>
      </c>
      <c r="Q123">
        <v>12.91</v>
      </c>
      <c r="R123">
        <v>-0.5</v>
      </c>
    </row>
    <row r="124" spans="1:18" x14ac:dyDescent="0.2">
      <c r="A124" s="1">
        <v>39213</v>
      </c>
      <c r="B124" s="2">
        <v>-0.32500000000000001</v>
      </c>
      <c r="C124" s="3">
        <v>12.95</v>
      </c>
      <c r="D124">
        <v>6.875</v>
      </c>
      <c r="E124">
        <v>4.6717000000000004</v>
      </c>
      <c r="F124">
        <v>4.7012999999999998</v>
      </c>
      <c r="G124">
        <v>1.653</v>
      </c>
      <c r="H124">
        <v>0.875</v>
      </c>
      <c r="I124">
        <v>3.75</v>
      </c>
      <c r="J124">
        <v>2</v>
      </c>
      <c r="K124">
        <v>1</v>
      </c>
      <c r="L124">
        <v>3.5</v>
      </c>
      <c r="M124">
        <v>95.003500000000003</v>
      </c>
      <c r="N124">
        <v>66.83</v>
      </c>
      <c r="O124">
        <v>62.37</v>
      </c>
      <c r="P124">
        <v>4.8304</v>
      </c>
      <c r="Q124">
        <v>12.95</v>
      </c>
      <c r="R124">
        <v>-0.25</v>
      </c>
    </row>
    <row r="125" spans="1:18" x14ac:dyDescent="0.2">
      <c r="A125" s="1">
        <v>39220</v>
      </c>
      <c r="B125" s="2">
        <v>-0.375</v>
      </c>
      <c r="C125" s="3">
        <v>12.76</v>
      </c>
      <c r="D125">
        <v>6.5250000000000004</v>
      </c>
      <c r="E125">
        <v>4.8000999999999996</v>
      </c>
      <c r="F125">
        <v>4.8137999999999996</v>
      </c>
      <c r="G125">
        <v>1.645</v>
      </c>
      <c r="H125">
        <v>0.879</v>
      </c>
      <c r="I125">
        <v>3.65</v>
      </c>
      <c r="J125">
        <v>2.15</v>
      </c>
      <c r="K125">
        <v>0.85</v>
      </c>
      <c r="L125">
        <v>3.25</v>
      </c>
      <c r="M125">
        <v>94.657300000000006</v>
      </c>
      <c r="N125">
        <v>69.42</v>
      </c>
      <c r="O125">
        <v>64.94</v>
      </c>
      <c r="P125">
        <v>4.7992999999999997</v>
      </c>
      <c r="Q125">
        <v>12.76</v>
      </c>
      <c r="R125">
        <v>-0.25</v>
      </c>
    </row>
    <row r="126" spans="1:18" x14ac:dyDescent="0.2">
      <c r="A126" s="1">
        <v>39227</v>
      </c>
      <c r="B126" s="2">
        <v>-0.4</v>
      </c>
      <c r="C126" s="3">
        <v>13.34</v>
      </c>
      <c r="D126">
        <v>6.65</v>
      </c>
      <c r="E126">
        <v>4.8571999999999997</v>
      </c>
      <c r="F126">
        <v>4.8513000000000002</v>
      </c>
      <c r="G126">
        <v>1.728</v>
      </c>
      <c r="H126">
        <v>0.92300000000000004</v>
      </c>
      <c r="I126">
        <v>3.4</v>
      </c>
      <c r="J126">
        <v>2</v>
      </c>
      <c r="K126">
        <v>0.7</v>
      </c>
      <c r="L126">
        <v>3</v>
      </c>
      <c r="M126">
        <v>94.502200000000002</v>
      </c>
      <c r="N126">
        <v>70.69</v>
      </c>
      <c r="O126">
        <v>65.2</v>
      </c>
      <c r="P126">
        <v>4.8609</v>
      </c>
      <c r="Q126">
        <v>13.34</v>
      </c>
      <c r="R126">
        <v>-0.25</v>
      </c>
    </row>
    <row r="127" spans="1:18" x14ac:dyDescent="0.2">
      <c r="A127" s="1">
        <v>39234</v>
      </c>
      <c r="B127" s="2">
        <v>-0.375</v>
      </c>
      <c r="C127" s="3">
        <v>12.78</v>
      </c>
      <c r="D127">
        <v>6.4249999999999998</v>
      </c>
      <c r="E127">
        <v>4.9516</v>
      </c>
      <c r="F127">
        <v>4.9664999999999999</v>
      </c>
      <c r="G127">
        <v>1.782</v>
      </c>
      <c r="H127">
        <v>0.99</v>
      </c>
      <c r="I127">
        <v>3.25</v>
      </c>
      <c r="J127">
        <v>2.25</v>
      </c>
      <c r="K127">
        <v>0.45</v>
      </c>
      <c r="L127">
        <v>2.95</v>
      </c>
      <c r="M127">
        <v>94.132000000000005</v>
      </c>
      <c r="N127">
        <v>69.069999999999993</v>
      </c>
      <c r="O127">
        <v>65.08</v>
      </c>
      <c r="P127">
        <v>4.7812000000000001</v>
      </c>
      <c r="Q127">
        <v>12.78</v>
      </c>
      <c r="R127">
        <v>-0.5</v>
      </c>
    </row>
    <row r="128" spans="1:18" x14ac:dyDescent="0.2">
      <c r="A128" s="1">
        <v>39241</v>
      </c>
      <c r="B128" s="2">
        <v>-0.32500000000000001</v>
      </c>
      <c r="C128" s="3">
        <v>14.84</v>
      </c>
      <c r="D128">
        <v>6.85</v>
      </c>
      <c r="E128">
        <v>5.0991</v>
      </c>
      <c r="F128">
        <v>4.9836</v>
      </c>
      <c r="G128">
        <v>1.8979999999999999</v>
      </c>
      <c r="H128">
        <v>1.0469999999999999</v>
      </c>
      <c r="I128">
        <v>3</v>
      </c>
      <c r="J128">
        <v>1.875</v>
      </c>
      <c r="K128">
        <v>0.35</v>
      </c>
      <c r="L128">
        <v>2.5</v>
      </c>
      <c r="M128">
        <v>94.759900000000002</v>
      </c>
      <c r="N128">
        <v>68.599999999999994</v>
      </c>
      <c r="O128">
        <v>64.760000000000005</v>
      </c>
      <c r="P128">
        <v>4.7603999999999997</v>
      </c>
      <c r="Q128">
        <v>14.84</v>
      </c>
      <c r="R128">
        <v>-1.125</v>
      </c>
    </row>
    <row r="129" spans="1:18" x14ac:dyDescent="0.2">
      <c r="A129" s="1">
        <v>39248</v>
      </c>
      <c r="B129" s="2">
        <v>-0.42499999999999999</v>
      </c>
      <c r="C129" s="3">
        <v>13.94</v>
      </c>
      <c r="D129">
        <v>6.55</v>
      </c>
      <c r="E129">
        <v>5.1627000000000001</v>
      </c>
      <c r="F129">
        <v>5.0182000000000002</v>
      </c>
      <c r="G129">
        <v>1.9430000000000001</v>
      </c>
      <c r="H129">
        <v>1.042</v>
      </c>
      <c r="I129">
        <v>2.5</v>
      </c>
      <c r="J129">
        <v>1.7</v>
      </c>
      <c r="K129">
        <v>-0.25</v>
      </c>
      <c r="L129">
        <v>2.25</v>
      </c>
      <c r="M129">
        <v>94.622799999999998</v>
      </c>
      <c r="N129">
        <v>71.47</v>
      </c>
      <c r="O129">
        <v>68</v>
      </c>
      <c r="P129">
        <v>4.5422000000000002</v>
      </c>
      <c r="Q129">
        <v>13.94</v>
      </c>
      <c r="R129">
        <v>-1.35</v>
      </c>
    </row>
    <row r="130" spans="1:18" x14ac:dyDescent="0.2">
      <c r="A130" s="1">
        <v>39255</v>
      </c>
      <c r="B130" s="2">
        <v>-0.35</v>
      </c>
      <c r="C130" s="3">
        <v>15.75</v>
      </c>
      <c r="D130">
        <v>6.4749999999999996</v>
      </c>
      <c r="E130">
        <v>5.13</v>
      </c>
      <c r="F130">
        <v>4.9074</v>
      </c>
      <c r="G130">
        <v>1.905</v>
      </c>
      <c r="H130">
        <v>1.02</v>
      </c>
      <c r="I130">
        <v>1.4</v>
      </c>
      <c r="J130">
        <v>0.6</v>
      </c>
      <c r="K130">
        <v>-2</v>
      </c>
      <c r="L130">
        <v>0.65</v>
      </c>
      <c r="M130">
        <v>94.437100000000001</v>
      </c>
      <c r="N130">
        <v>71.180000000000007</v>
      </c>
      <c r="O130">
        <v>69.14</v>
      </c>
      <c r="P130">
        <v>4.7084000000000001</v>
      </c>
      <c r="Q130">
        <v>15.75</v>
      </c>
      <c r="R130">
        <v>-3.25</v>
      </c>
    </row>
    <row r="131" spans="1:18" x14ac:dyDescent="0.2">
      <c r="A131" s="1">
        <v>39262</v>
      </c>
      <c r="B131" s="2">
        <v>-0.4</v>
      </c>
      <c r="C131" s="3">
        <v>16.23</v>
      </c>
      <c r="D131">
        <v>6.7750000000000004</v>
      </c>
      <c r="E131">
        <v>5.0244</v>
      </c>
      <c r="F131">
        <v>4.8582000000000001</v>
      </c>
      <c r="G131">
        <v>1.879</v>
      </c>
      <c r="H131">
        <v>1.0249999999999999</v>
      </c>
      <c r="I131">
        <v>0.45</v>
      </c>
      <c r="J131">
        <v>-0.375</v>
      </c>
      <c r="K131">
        <v>-4.625</v>
      </c>
      <c r="L131">
        <v>-1.875</v>
      </c>
      <c r="M131">
        <v>94.139300000000006</v>
      </c>
      <c r="N131">
        <v>71.41</v>
      </c>
      <c r="O131">
        <v>70.680000000000007</v>
      </c>
      <c r="P131">
        <v>4.8019999999999996</v>
      </c>
      <c r="Q131">
        <v>16.23</v>
      </c>
      <c r="R131">
        <v>-6.5750000000000002</v>
      </c>
    </row>
    <row r="132" spans="1:18" x14ac:dyDescent="0.2">
      <c r="A132" s="1">
        <v>39269</v>
      </c>
      <c r="B132" s="2">
        <v>-0.35</v>
      </c>
      <c r="C132" s="3">
        <v>14.72</v>
      </c>
      <c r="D132">
        <v>6.6</v>
      </c>
      <c r="E132">
        <v>5.1824000000000003</v>
      </c>
      <c r="F132">
        <v>4.9835000000000003</v>
      </c>
      <c r="G132">
        <v>1.94</v>
      </c>
      <c r="H132">
        <v>1.0740000000000001</v>
      </c>
      <c r="I132">
        <v>1.25</v>
      </c>
      <c r="J132">
        <v>0.5</v>
      </c>
      <c r="K132">
        <v>-3.5625</v>
      </c>
      <c r="L132">
        <v>-0.05</v>
      </c>
      <c r="M132">
        <v>93.575900000000004</v>
      </c>
      <c r="N132">
        <v>75.62</v>
      </c>
      <c r="O132">
        <v>72.81</v>
      </c>
      <c r="P132">
        <v>4.9372999999999996</v>
      </c>
      <c r="Q132">
        <v>14.72</v>
      </c>
      <c r="R132">
        <v>-4.75</v>
      </c>
    </row>
    <row r="133" spans="1:18" x14ac:dyDescent="0.2">
      <c r="A133" s="1">
        <v>39276</v>
      </c>
      <c r="B133" s="2">
        <v>-0.4</v>
      </c>
      <c r="C133" s="3">
        <v>15.15</v>
      </c>
      <c r="D133">
        <v>7.05</v>
      </c>
      <c r="E133">
        <v>5.0928000000000004</v>
      </c>
      <c r="F133">
        <v>4.9161000000000001</v>
      </c>
      <c r="G133">
        <v>1.94</v>
      </c>
      <c r="H133">
        <v>1.0589999999999999</v>
      </c>
      <c r="I133">
        <v>1.4</v>
      </c>
      <c r="J133">
        <v>0.5</v>
      </c>
      <c r="K133">
        <v>-3.5</v>
      </c>
      <c r="L133">
        <v>0.2</v>
      </c>
      <c r="M133">
        <v>93.013300000000001</v>
      </c>
      <c r="N133">
        <v>77.569999999999993</v>
      </c>
      <c r="O133">
        <v>73.930000000000007</v>
      </c>
      <c r="P133">
        <v>4.9581</v>
      </c>
      <c r="Q133">
        <v>15.15</v>
      </c>
      <c r="R133">
        <v>-4.75</v>
      </c>
    </row>
    <row r="134" spans="1:18" x14ac:dyDescent="0.2">
      <c r="A134" s="1">
        <v>39283</v>
      </c>
      <c r="B134" s="2">
        <v>-0.22500000000000001</v>
      </c>
      <c r="C134" s="3">
        <v>16.95</v>
      </c>
      <c r="D134">
        <v>6.75</v>
      </c>
      <c r="E134">
        <v>4.9497</v>
      </c>
      <c r="F134">
        <v>4.7622999999999998</v>
      </c>
      <c r="G134">
        <v>1.891</v>
      </c>
      <c r="H134">
        <v>1.0409999999999999</v>
      </c>
      <c r="I134">
        <v>1</v>
      </c>
      <c r="J134">
        <v>0.5</v>
      </c>
      <c r="K134">
        <v>-3.8</v>
      </c>
      <c r="L134">
        <v>-0.2</v>
      </c>
      <c r="M134">
        <v>92.7179</v>
      </c>
      <c r="N134">
        <v>77.64</v>
      </c>
      <c r="O134">
        <v>75.569999999999993</v>
      </c>
      <c r="P134">
        <v>4.9684999999999997</v>
      </c>
      <c r="Q134">
        <v>16.95</v>
      </c>
      <c r="R134">
        <v>-5.15</v>
      </c>
    </row>
    <row r="135" spans="1:18" x14ac:dyDescent="0.2">
      <c r="A135" s="1">
        <v>39290</v>
      </c>
      <c r="B135" s="2">
        <v>-0.57499999999999996</v>
      </c>
      <c r="C135" s="3">
        <v>24.17</v>
      </c>
      <c r="D135">
        <v>8.375</v>
      </c>
      <c r="E135">
        <v>4.7569999999999997</v>
      </c>
      <c r="F135">
        <v>4.4928999999999997</v>
      </c>
      <c r="G135">
        <v>1.79</v>
      </c>
      <c r="H135">
        <v>0.98399999999999999</v>
      </c>
      <c r="I135">
        <v>3</v>
      </c>
      <c r="J135">
        <v>1.2</v>
      </c>
      <c r="K135">
        <v>-2.2000000000000002</v>
      </c>
      <c r="L135">
        <v>1.64</v>
      </c>
      <c r="M135">
        <v>93.548500000000004</v>
      </c>
      <c r="N135">
        <v>76.260000000000005</v>
      </c>
      <c r="O135">
        <v>77.02</v>
      </c>
      <c r="P135">
        <v>4.8436000000000003</v>
      </c>
      <c r="Q135">
        <v>24.17</v>
      </c>
      <c r="R135">
        <v>-3.68</v>
      </c>
    </row>
    <row r="136" spans="1:18" x14ac:dyDescent="0.2">
      <c r="A136" s="1">
        <v>39297</v>
      </c>
      <c r="B136" s="2">
        <v>-0.1</v>
      </c>
      <c r="C136" s="3">
        <v>25.16</v>
      </c>
      <c r="D136">
        <v>8.7262000000000004</v>
      </c>
      <c r="E136">
        <v>4.6841999999999997</v>
      </c>
      <c r="F136">
        <v>4.4166999999999996</v>
      </c>
      <c r="G136">
        <v>1.7789999999999999</v>
      </c>
      <c r="H136">
        <v>0.99</v>
      </c>
      <c r="I136">
        <v>3.8</v>
      </c>
      <c r="J136">
        <v>1.6</v>
      </c>
      <c r="K136">
        <v>-0.75</v>
      </c>
      <c r="L136">
        <v>3</v>
      </c>
      <c r="M136">
        <v>93.103899999999996</v>
      </c>
      <c r="N136">
        <v>74.75</v>
      </c>
      <c r="O136">
        <v>75.48</v>
      </c>
      <c r="P136">
        <v>4.8228</v>
      </c>
      <c r="Q136">
        <v>25.16</v>
      </c>
      <c r="R136">
        <v>-2.25</v>
      </c>
    </row>
    <row r="137" spans="1:18" x14ac:dyDescent="0.2">
      <c r="A137" s="1">
        <v>39304</v>
      </c>
      <c r="B137" s="2">
        <v>-1.325</v>
      </c>
      <c r="C137" s="3">
        <v>28.3</v>
      </c>
      <c r="D137">
        <v>9.5</v>
      </c>
      <c r="E137">
        <v>4.8075999999999999</v>
      </c>
      <c r="F137">
        <v>4.4561999999999999</v>
      </c>
      <c r="G137">
        <v>1.7150000000000001</v>
      </c>
      <c r="H137">
        <v>0.95</v>
      </c>
      <c r="I137">
        <v>2.125</v>
      </c>
      <c r="J137">
        <v>-0.25</v>
      </c>
      <c r="K137">
        <v>-1.375</v>
      </c>
      <c r="L137">
        <v>1.79</v>
      </c>
      <c r="M137">
        <v>93.5214</v>
      </c>
      <c r="N137">
        <v>70.39</v>
      </c>
      <c r="O137">
        <v>71.47</v>
      </c>
      <c r="P137">
        <v>4.5422000000000002</v>
      </c>
      <c r="Q137">
        <v>28.3</v>
      </c>
      <c r="R137">
        <v>-2.625</v>
      </c>
    </row>
    <row r="138" spans="1:18" x14ac:dyDescent="0.2">
      <c r="A138" s="1">
        <v>39311</v>
      </c>
      <c r="B138" s="2">
        <v>-3.5</v>
      </c>
      <c r="C138" s="3">
        <v>29.99</v>
      </c>
      <c r="D138">
        <v>12.75</v>
      </c>
      <c r="E138">
        <v>4.6847000000000003</v>
      </c>
      <c r="F138">
        <v>4.1845999999999997</v>
      </c>
      <c r="G138">
        <v>1.585</v>
      </c>
      <c r="H138">
        <v>0.82899999999999996</v>
      </c>
      <c r="I138">
        <v>4.8499999999999996</v>
      </c>
      <c r="J138">
        <v>1.5</v>
      </c>
      <c r="K138">
        <v>1.05</v>
      </c>
      <c r="L138">
        <v>4.25</v>
      </c>
      <c r="M138">
        <v>94.319000000000003</v>
      </c>
      <c r="N138">
        <v>70.44</v>
      </c>
      <c r="O138">
        <v>71.98</v>
      </c>
      <c r="P138">
        <v>3.7542</v>
      </c>
      <c r="Q138">
        <v>29.99</v>
      </c>
      <c r="R138">
        <v>-0.1</v>
      </c>
    </row>
    <row r="139" spans="1:18" x14ac:dyDescent="0.2">
      <c r="A139" s="1">
        <v>39318</v>
      </c>
      <c r="B139" s="2">
        <v>-1.85</v>
      </c>
      <c r="C139" s="3">
        <v>20.72</v>
      </c>
      <c r="D139">
        <v>10.3</v>
      </c>
      <c r="E139">
        <v>4.6155999999999997</v>
      </c>
      <c r="F139">
        <v>4.2904</v>
      </c>
      <c r="G139">
        <v>1.5980000000000001</v>
      </c>
      <c r="H139">
        <v>0.89100000000000001</v>
      </c>
      <c r="I139">
        <v>6.2</v>
      </c>
      <c r="J139">
        <v>2.5</v>
      </c>
      <c r="K139">
        <v>2.5</v>
      </c>
      <c r="L139">
        <v>4.95</v>
      </c>
      <c r="M139">
        <v>93.686300000000003</v>
      </c>
      <c r="N139">
        <v>70.62</v>
      </c>
      <c r="O139">
        <v>71.09</v>
      </c>
      <c r="P139">
        <v>4.2209000000000003</v>
      </c>
      <c r="Q139">
        <v>20.72</v>
      </c>
      <c r="R139">
        <v>0.75</v>
      </c>
    </row>
    <row r="140" spans="1:18" x14ac:dyDescent="0.2">
      <c r="A140" s="1">
        <v>39325</v>
      </c>
      <c r="B140" s="2">
        <v>-2.4500000000000002</v>
      </c>
      <c r="C140" s="3">
        <v>23.38</v>
      </c>
      <c r="D140">
        <v>11.15</v>
      </c>
      <c r="E140">
        <v>4.5292000000000003</v>
      </c>
      <c r="F140">
        <v>4.1319999999999997</v>
      </c>
      <c r="G140">
        <v>1.613</v>
      </c>
      <c r="H140">
        <v>0.88</v>
      </c>
      <c r="I140">
        <v>3.65</v>
      </c>
      <c r="J140">
        <v>-6</v>
      </c>
      <c r="K140">
        <v>-0.13</v>
      </c>
      <c r="L140">
        <v>2.89</v>
      </c>
      <c r="M140">
        <v>93.667400000000001</v>
      </c>
      <c r="N140">
        <v>72.69</v>
      </c>
      <c r="O140">
        <v>74.040000000000006</v>
      </c>
      <c r="P140">
        <v>4.1059000000000001</v>
      </c>
      <c r="Q140">
        <v>23.38</v>
      </c>
      <c r="R140">
        <v>-1.38</v>
      </c>
    </row>
    <row r="141" spans="1:18" x14ac:dyDescent="0.2">
      <c r="A141" s="1">
        <v>39332</v>
      </c>
      <c r="B141" s="2">
        <v>-2.5</v>
      </c>
      <c r="C141" s="3">
        <v>26.23</v>
      </c>
      <c r="D141">
        <v>11.225</v>
      </c>
      <c r="E141">
        <v>4.3815999999999997</v>
      </c>
      <c r="F141">
        <v>3.8997999999999999</v>
      </c>
      <c r="G141">
        <v>1.595</v>
      </c>
      <c r="H141">
        <v>0.82499999999999996</v>
      </c>
      <c r="I141">
        <v>2.6</v>
      </c>
      <c r="J141">
        <v>-5.55</v>
      </c>
      <c r="K141">
        <v>0.25</v>
      </c>
      <c r="L141">
        <v>2.4</v>
      </c>
      <c r="M141">
        <v>93.293899999999994</v>
      </c>
      <c r="N141">
        <v>75.069999999999993</v>
      </c>
      <c r="O141">
        <v>76.7</v>
      </c>
      <c r="P141">
        <v>4.0545</v>
      </c>
      <c r="Q141">
        <v>26.23</v>
      </c>
      <c r="R141">
        <v>-0.75</v>
      </c>
    </row>
    <row r="142" spans="1:18" x14ac:dyDescent="0.2">
      <c r="A142" s="1">
        <v>39339</v>
      </c>
      <c r="B142" s="2">
        <v>-1.5</v>
      </c>
      <c r="C142" s="3">
        <v>24.92</v>
      </c>
      <c r="D142">
        <v>10.1</v>
      </c>
      <c r="E142">
        <v>4.4543999999999997</v>
      </c>
      <c r="F142">
        <v>4.0327000000000002</v>
      </c>
      <c r="G142">
        <v>1.5509999999999999</v>
      </c>
      <c r="H142">
        <v>0.79900000000000004</v>
      </c>
      <c r="I142">
        <v>4</v>
      </c>
      <c r="J142">
        <v>2</v>
      </c>
      <c r="K142">
        <v>-0.1</v>
      </c>
      <c r="L142">
        <v>3.5</v>
      </c>
      <c r="M142">
        <v>92.708299999999994</v>
      </c>
      <c r="N142">
        <v>76.22</v>
      </c>
      <c r="O142">
        <v>79.099999999999994</v>
      </c>
      <c r="P142">
        <v>3.9820000000000002</v>
      </c>
      <c r="Q142">
        <v>24.92</v>
      </c>
      <c r="R142">
        <v>0.5</v>
      </c>
    </row>
    <row r="143" spans="1:18" x14ac:dyDescent="0.2">
      <c r="A143" s="1">
        <v>39346</v>
      </c>
      <c r="B143" s="2">
        <v>-1.5</v>
      </c>
      <c r="C143" s="3">
        <v>19</v>
      </c>
      <c r="D143">
        <v>9.3000000000000007</v>
      </c>
      <c r="E143">
        <v>4.6203000000000003</v>
      </c>
      <c r="F143">
        <v>4.0327000000000002</v>
      </c>
      <c r="G143">
        <v>1.6850000000000001</v>
      </c>
      <c r="H143">
        <v>0.84399999999999997</v>
      </c>
      <c r="I143">
        <v>1.5</v>
      </c>
      <c r="J143">
        <v>0.7</v>
      </c>
      <c r="K143">
        <v>0.7</v>
      </c>
      <c r="L143">
        <v>3.29</v>
      </c>
      <c r="M143">
        <v>91.485399999999998</v>
      </c>
      <c r="N143">
        <v>79.3</v>
      </c>
      <c r="O143">
        <v>81.62</v>
      </c>
      <c r="P143">
        <v>3.7542</v>
      </c>
      <c r="Q143">
        <v>19</v>
      </c>
      <c r="R143">
        <v>-0.35</v>
      </c>
    </row>
    <row r="144" spans="1:18" x14ac:dyDescent="0.2">
      <c r="A144" s="1">
        <v>39353</v>
      </c>
      <c r="B144" s="2">
        <v>-0.9</v>
      </c>
      <c r="C144" s="3">
        <v>18</v>
      </c>
      <c r="D144">
        <v>8.7249999999999996</v>
      </c>
      <c r="E144">
        <v>4.5865</v>
      </c>
      <c r="F144">
        <v>3.9834999999999998</v>
      </c>
      <c r="G144">
        <v>1.6850000000000001</v>
      </c>
      <c r="H144">
        <v>0.87</v>
      </c>
      <c r="I144">
        <v>3.75</v>
      </c>
      <c r="J144">
        <v>-2.5000000000000001E-2</v>
      </c>
      <c r="K144">
        <v>0.4</v>
      </c>
      <c r="L144">
        <v>3.25</v>
      </c>
      <c r="M144">
        <v>90.944599999999994</v>
      </c>
      <c r="N144">
        <v>79.17</v>
      </c>
      <c r="O144">
        <v>81.66</v>
      </c>
      <c r="P144">
        <v>3.7955999999999999</v>
      </c>
      <c r="Q144">
        <v>18</v>
      </c>
      <c r="R144">
        <v>-0.5</v>
      </c>
    </row>
    <row r="145" spans="1:18" x14ac:dyDescent="0.2">
      <c r="A145" s="1">
        <v>39360</v>
      </c>
      <c r="B145" s="2">
        <v>-1.0249999999999999</v>
      </c>
      <c r="C145" s="3">
        <v>16.91</v>
      </c>
      <c r="D145">
        <v>8.25</v>
      </c>
      <c r="E145">
        <v>4.6356000000000002</v>
      </c>
      <c r="F145">
        <v>4.0743</v>
      </c>
      <c r="G145">
        <v>1.704</v>
      </c>
      <c r="H145">
        <v>0.87</v>
      </c>
      <c r="I145">
        <v>2.75</v>
      </c>
      <c r="J145">
        <v>-1.75</v>
      </c>
      <c r="K145">
        <v>-0.25</v>
      </c>
      <c r="L145">
        <v>2.75</v>
      </c>
      <c r="M145">
        <v>90.7393</v>
      </c>
      <c r="N145">
        <v>78.900000000000006</v>
      </c>
      <c r="O145">
        <v>81.22</v>
      </c>
      <c r="P145">
        <v>3.9712000000000001</v>
      </c>
      <c r="Q145">
        <v>16.91</v>
      </c>
      <c r="R145">
        <v>-1.25</v>
      </c>
    </row>
    <row r="146" spans="1:18" x14ac:dyDescent="0.2">
      <c r="A146" s="1">
        <v>39367</v>
      </c>
      <c r="B146" s="2">
        <v>-0.875</v>
      </c>
      <c r="C146" s="3">
        <v>17.73</v>
      </c>
      <c r="D146">
        <v>7.2</v>
      </c>
      <c r="E146">
        <v>4.6811999999999996</v>
      </c>
      <c r="F146">
        <v>4.2257999999999996</v>
      </c>
      <c r="G146">
        <v>1.71</v>
      </c>
      <c r="H146">
        <v>0.88</v>
      </c>
      <c r="I146">
        <v>2.8</v>
      </c>
      <c r="J146">
        <v>0.1</v>
      </c>
      <c r="K146">
        <v>-0.875</v>
      </c>
      <c r="L146">
        <v>2.5</v>
      </c>
      <c r="M146">
        <v>90.594499999999996</v>
      </c>
      <c r="N146">
        <v>80.55</v>
      </c>
      <c r="O146">
        <v>83.69</v>
      </c>
      <c r="P146">
        <v>4.1893000000000002</v>
      </c>
      <c r="Q146">
        <v>17.73</v>
      </c>
      <c r="R146">
        <v>-1.625</v>
      </c>
    </row>
    <row r="147" spans="1:18" x14ac:dyDescent="0.2">
      <c r="A147" s="1">
        <v>39374</v>
      </c>
      <c r="B147" s="2">
        <v>-1.65</v>
      </c>
      <c r="C147" s="3">
        <v>22.96</v>
      </c>
      <c r="D147">
        <v>8.85</v>
      </c>
      <c r="E147">
        <v>4.3914999999999997</v>
      </c>
      <c r="F147">
        <v>3.7797999999999998</v>
      </c>
      <c r="G147">
        <v>1.61</v>
      </c>
      <c r="H147">
        <v>0.80800000000000005</v>
      </c>
      <c r="I147">
        <v>3.25</v>
      </c>
      <c r="J147">
        <v>0.25</v>
      </c>
      <c r="K147">
        <v>-0.25</v>
      </c>
      <c r="L147">
        <v>3</v>
      </c>
      <c r="M147">
        <v>90.101399999999998</v>
      </c>
      <c r="N147">
        <v>83.79</v>
      </c>
      <c r="O147">
        <v>88.6</v>
      </c>
      <c r="P147">
        <v>3.8163</v>
      </c>
      <c r="Q147">
        <v>22.96</v>
      </c>
      <c r="R147">
        <v>-1.25</v>
      </c>
    </row>
    <row r="148" spans="1:18" x14ac:dyDescent="0.2">
      <c r="A148" s="1">
        <v>39381</v>
      </c>
      <c r="B148" s="2">
        <v>-1.55</v>
      </c>
      <c r="C148" s="3">
        <v>19.559999999999999</v>
      </c>
      <c r="D148">
        <v>8.8249999999999993</v>
      </c>
      <c r="E148">
        <v>4.4005999999999998</v>
      </c>
      <c r="F148">
        <v>3.7723</v>
      </c>
      <c r="G148">
        <v>1.625</v>
      </c>
      <c r="H148">
        <v>0.78700000000000003</v>
      </c>
      <c r="I148">
        <v>3.6</v>
      </c>
      <c r="J148">
        <v>1.5</v>
      </c>
      <c r="K148">
        <v>-0.45</v>
      </c>
      <c r="L148">
        <v>3.25</v>
      </c>
      <c r="M148">
        <v>89.650800000000004</v>
      </c>
      <c r="N148">
        <v>88.69</v>
      </c>
      <c r="O148">
        <v>91.86</v>
      </c>
      <c r="P148">
        <v>3.9405999999999999</v>
      </c>
      <c r="Q148">
        <v>19.559999999999999</v>
      </c>
      <c r="R148">
        <v>-1.6</v>
      </c>
    </row>
    <row r="149" spans="1:18" x14ac:dyDescent="0.2">
      <c r="A149" s="1">
        <v>39388</v>
      </c>
      <c r="B149" s="2">
        <v>-1.4</v>
      </c>
      <c r="C149" s="3">
        <v>23.01</v>
      </c>
      <c r="D149">
        <v>8.5</v>
      </c>
      <c r="E149">
        <v>4.3164999999999996</v>
      </c>
      <c r="F149">
        <v>3.6741000000000001</v>
      </c>
      <c r="G149">
        <v>1.591</v>
      </c>
      <c r="H149">
        <v>0.78500000000000003</v>
      </c>
      <c r="I149">
        <v>3.25</v>
      </c>
      <c r="J149">
        <v>-1.4</v>
      </c>
      <c r="K149">
        <v>-0.75</v>
      </c>
      <c r="L149">
        <v>3</v>
      </c>
      <c r="M149">
        <v>88.892399999999995</v>
      </c>
      <c r="N149">
        <v>92.08</v>
      </c>
      <c r="O149">
        <v>95.93</v>
      </c>
      <c r="P149">
        <v>3.5990000000000002</v>
      </c>
      <c r="Q149">
        <v>23.01</v>
      </c>
      <c r="R149">
        <v>-1.85</v>
      </c>
    </row>
    <row r="150" spans="1:18" x14ac:dyDescent="0.2">
      <c r="A150" s="1">
        <v>39395</v>
      </c>
      <c r="B150" s="2">
        <v>-1.1499999999999999</v>
      </c>
      <c r="C150" s="3">
        <v>28.5</v>
      </c>
      <c r="D150">
        <v>10.7</v>
      </c>
      <c r="E150">
        <v>4.2133000000000003</v>
      </c>
      <c r="F150">
        <v>3.4253999999999998</v>
      </c>
      <c r="G150">
        <v>1.5349999999999999</v>
      </c>
      <c r="H150">
        <v>0.77500000000000002</v>
      </c>
      <c r="I150">
        <v>3.875</v>
      </c>
      <c r="J150">
        <v>-0.5</v>
      </c>
      <c r="K150">
        <v>0.3</v>
      </c>
      <c r="L150">
        <v>3.4</v>
      </c>
      <c r="M150">
        <v>88.461500000000001</v>
      </c>
      <c r="N150">
        <v>93.18</v>
      </c>
      <c r="O150">
        <v>96.32</v>
      </c>
      <c r="P150">
        <v>3.2473999999999998</v>
      </c>
      <c r="Q150">
        <v>28.5</v>
      </c>
      <c r="R150">
        <v>-0.75</v>
      </c>
    </row>
    <row r="151" spans="1:18" x14ac:dyDescent="0.2">
      <c r="A151" s="1">
        <v>39402</v>
      </c>
      <c r="B151" s="2">
        <v>-1.75</v>
      </c>
      <c r="C151" s="3">
        <v>25.49</v>
      </c>
      <c r="D151">
        <v>11.478899999999999</v>
      </c>
      <c r="E151">
        <v>4.1669999999999998</v>
      </c>
      <c r="F151">
        <v>3.3403</v>
      </c>
      <c r="G151">
        <v>1.4750000000000001</v>
      </c>
      <c r="H151">
        <v>0.746</v>
      </c>
      <c r="I151">
        <v>3.4</v>
      </c>
      <c r="J151">
        <v>-3.4</v>
      </c>
      <c r="K151">
        <v>0.6</v>
      </c>
      <c r="L151">
        <v>3.6</v>
      </c>
      <c r="M151">
        <v>89.318200000000004</v>
      </c>
      <c r="N151">
        <v>91.62</v>
      </c>
      <c r="O151">
        <v>95.1</v>
      </c>
      <c r="P151">
        <v>3.4129999999999998</v>
      </c>
      <c r="Q151">
        <v>25.49</v>
      </c>
      <c r="R151">
        <v>-0.5</v>
      </c>
    </row>
    <row r="152" spans="1:18" x14ac:dyDescent="0.2">
      <c r="A152" s="1">
        <v>39409</v>
      </c>
      <c r="B152" s="2">
        <v>-2.0790000000000002</v>
      </c>
      <c r="C152" s="3">
        <v>25.61</v>
      </c>
      <c r="D152">
        <v>12.5</v>
      </c>
      <c r="E152">
        <v>3.9988999999999999</v>
      </c>
      <c r="F152">
        <v>3.0775999999999999</v>
      </c>
      <c r="G152">
        <v>1.425</v>
      </c>
      <c r="H152">
        <v>0.73499999999999999</v>
      </c>
      <c r="I152">
        <v>3.5</v>
      </c>
      <c r="J152">
        <v>-1.5</v>
      </c>
      <c r="K152">
        <v>0.2</v>
      </c>
      <c r="L152">
        <v>3.875</v>
      </c>
      <c r="M152">
        <v>89.238399999999999</v>
      </c>
      <c r="N152">
        <v>95.76</v>
      </c>
      <c r="O152">
        <v>98.18</v>
      </c>
      <c r="P152">
        <v>3.2166999999999999</v>
      </c>
      <c r="Q152">
        <v>25.61</v>
      </c>
      <c r="R152">
        <v>-1.2</v>
      </c>
    </row>
    <row r="153" spans="1:18" x14ac:dyDescent="0.2">
      <c r="A153" s="1">
        <v>39416</v>
      </c>
      <c r="B153" s="2">
        <v>-1.65</v>
      </c>
      <c r="C153" s="3">
        <v>22.87</v>
      </c>
      <c r="D153">
        <v>10.525</v>
      </c>
      <c r="E153">
        <v>3.9379</v>
      </c>
      <c r="F153">
        <v>2.9946999999999999</v>
      </c>
      <c r="G153">
        <v>1.478</v>
      </c>
      <c r="H153">
        <v>0.77</v>
      </c>
      <c r="I153">
        <v>2.75</v>
      </c>
      <c r="J153">
        <v>-3.63</v>
      </c>
      <c r="K153">
        <v>0.5</v>
      </c>
      <c r="L153">
        <v>3.5</v>
      </c>
      <c r="M153">
        <v>89.621200000000002</v>
      </c>
      <c r="N153">
        <v>88.26</v>
      </c>
      <c r="O153">
        <v>88.71</v>
      </c>
      <c r="P153">
        <v>3.1444999999999999</v>
      </c>
      <c r="Q153">
        <v>22.87</v>
      </c>
      <c r="R153">
        <v>-1</v>
      </c>
    </row>
    <row r="154" spans="1:18" x14ac:dyDescent="0.2">
      <c r="A154" s="1">
        <v>39423</v>
      </c>
      <c r="B154" s="2">
        <v>-1.55</v>
      </c>
      <c r="C154" s="3">
        <v>20.85</v>
      </c>
      <c r="D154">
        <v>9.75</v>
      </c>
      <c r="E154">
        <v>4.1048</v>
      </c>
      <c r="F154">
        <v>3.1</v>
      </c>
      <c r="G154">
        <v>1.575</v>
      </c>
      <c r="H154">
        <v>0.749</v>
      </c>
      <c r="I154">
        <v>3.25</v>
      </c>
      <c r="J154">
        <v>0.875</v>
      </c>
      <c r="K154">
        <v>0.45</v>
      </c>
      <c r="L154">
        <v>3.45</v>
      </c>
      <c r="M154">
        <v>89.74</v>
      </c>
      <c r="N154">
        <v>88.64</v>
      </c>
      <c r="O154">
        <v>88.28</v>
      </c>
      <c r="P154">
        <v>3.0619999999999998</v>
      </c>
      <c r="Q154">
        <v>20.85</v>
      </c>
      <c r="R154">
        <v>-0.5</v>
      </c>
    </row>
    <row r="155" spans="1:18" x14ac:dyDescent="0.2">
      <c r="A155" s="1">
        <v>39430</v>
      </c>
      <c r="B155" s="2">
        <v>-1.2</v>
      </c>
      <c r="C155" s="3">
        <v>23.27</v>
      </c>
      <c r="D155">
        <v>10.1</v>
      </c>
      <c r="E155">
        <v>4.234</v>
      </c>
      <c r="F155">
        <v>3.3075999999999999</v>
      </c>
      <c r="G155">
        <v>1.5549999999999999</v>
      </c>
      <c r="H155">
        <v>0.74</v>
      </c>
      <c r="I155">
        <v>2.25</v>
      </c>
      <c r="J155">
        <v>-2.75</v>
      </c>
      <c r="K155">
        <v>-0.25</v>
      </c>
      <c r="L155">
        <v>2.75</v>
      </c>
      <c r="M155">
        <v>90.4345</v>
      </c>
      <c r="N155">
        <v>92.67</v>
      </c>
      <c r="O155">
        <v>91.27</v>
      </c>
      <c r="P155">
        <v>2.8660999999999999</v>
      </c>
      <c r="Q155">
        <v>23.27</v>
      </c>
      <c r="R155">
        <v>-1</v>
      </c>
    </row>
    <row r="156" spans="1:18" x14ac:dyDescent="0.2">
      <c r="A156" s="1">
        <v>39437</v>
      </c>
      <c r="B156" s="2">
        <v>-1.375</v>
      </c>
      <c r="C156" s="3">
        <v>18.47</v>
      </c>
      <c r="D156">
        <v>9.5250000000000004</v>
      </c>
      <c r="E156">
        <v>4.1679000000000004</v>
      </c>
      <c r="F156">
        <v>3.1913999999999998</v>
      </c>
      <c r="G156">
        <v>1.56</v>
      </c>
      <c r="H156">
        <v>0.72499999999999998</v>
      </c>
      <c r="I156">
        <v>1.75</v>
      </c>
      <c r="J156">
        <v>-0.25</v>
      </c>
      <c r="K156">
        <v>0.05</v>
      </c>
      <c r="L156">
        <v>3</v>
      </c>
      <c r="M156">
        <v>90.367199999999997</v>
      </c>
      <c r="N156">
        <v>92.46</v>
      </c>
      <c r="O156">
        <v>93.31</v>
      </c>
      <c r="P156">
        <v>2.9691000000000001</v>
      </c>
      <c r="Q156">
        <v>18.47</v>
      </c>
      <c r="R156">
        <v>-0.75</v>
      </c>
    </row>
    <row r="157" spans="1:18" x14ac:dyDescent="0.2">
      <c r="A157" s="1">
        <v>39444</v>
      </c>
      <c r="B157" s="2">
        <v>-1.375</v>
      </c>
      <c r="C157" s="3">
        <v>20.74</v>
      </c>
      <c r="D157">
        <v>9.625</v>
      </c>
      <c r="E157">
        <v>4.0731999999999999</v>
      </c>
      <c r="F157">
        <v>3.1038999999999999</v>
      </c>
      <c r="G157">
        <v>1.51</v>
      </c>
      <c r="H157">
        <v>0.71499999999999997</v>
      </c>
      <c r="I157">
        <v>2.2000000000000002</v>
      </c>
      <c r="J157">
        <v>-1.3</v>
      </c>
      <c r="K157">
        <v>0.05</v>
      </c>
      <c r="L157">
        <v>2.625</v>
      </c>
      <c r="M157">
        <v>89.406899999999993</v>
      </c>
      <c r="N157">
        <v>93.88</v>
      </c>
      <c r="O157">
        <v>96</v>
      </c>
      <c r="P157">
        <v>3.1444999999999999</v>
      </c>
      <c r="Q157">
        <v>20.74</v>
      </c>
      <c r="R157">
        <v>-0.75</v>
      </c>
    </row>
    <row r="158" spans="1:18" x14ac:dyDescent="0.2">
      <c r="A158" s="1">
        <v>39451</v>
      </c>
      <c r="B158" s="2">
        <v>-1.1499999999999999</v>
      </c>
      <c r="C158" s="3">
        <v>23.94</v>
      </c>
      <c r="D158">
        <v>11.725</v>
      </c>
      <c r="E158">
        <v>3.8651</v>
      </c>
      <c r="F158">
        <v>2.7440000000000002</v>
      </c>
      <c r="G158">
        <v>1.4750000000000001</v>
      </c>
      <c r="H158">
        <v>0.69499999999999995</v>
      </c>
      <c r="I158">
        <v>2.2000000000000002</v>
      </c>
      <c r="J158">
        <v>-0.75</v>
      </c>
      <c r="K158">
        <v>0.05</v>
      </c>
      <c r="L158">
        <v>2.6</v>
      </c>
      <c r="M158">
        <v>89.246700000000004</v>
      </c>
      <c r="N158">
        <v>96.79</v>
      </c>
      <c r="O158">
        <v>97.91</v>
      </c>
      <c r="P158">
        <v>3.1858</v>
      </c>
      <c r="Q158">
        <v>23.94</v>
      </c>
      <c r="R158">
        <v>-0.75</v>
      </c>
    </row>
    <row r="159" spans="1:18" x14ac:dyDescent="0.2">
      <c r="A159" s="1">
        <v>39458</v>
      </c>
      <c r="B159" s="2">
        <v>-0.95</v>
      </c>
      <c r="C159" s="3">
        <v>23.68</v>
      </c>
      <c r="D159">
        <v>11.2</v>
      </c>
      <c r="E159">
        <v>3.7835000000000001</v>
      </c>
      <c r="F159">
        <v>2.5510999999999999</v>
      </c>
      <c r="G159">
        <v>1.43</v>
      </c>
      <c r="H159">
        <v>0.61499999999999999</v>
      </c>
      <c r="I159">
        <v>3.25</v>
      </c>
      <c r="J159">
        <v>1.3149999999999999</v>
      </c>
      <c r="K159">
        <v>0.75</v>
      </c>
      <c r="L159">
        <v>3.5</v>
      </c>
      <c r="M159">
        <v>89.521500000000003</v>
      </c>
      <c r="N159">
        <v>91.07</v>
      </c>
      <c r="O159">
        <v>92.69</v>
      </c>
      <c r="P159">
        <v>3.0929000000000002</v>
      </c>
      <c r="Q159">
        <v>23.68</v>
      </c>
      <c r="R159">
        <v>0.05</v>
      </c>
    </row>
    <row r="160" spans="1:18" x14ac:dyDescent="0.2">
      <c r="A160" s="1">
        <v>39465</v>
      </c>
      <c r="B160" s="2">
        <v>-1.2</v>
      </c>
      <c r="C160" s="3">
        <v>27.18</v>
      </c>
      <c r="D160">
        <v>12.574999999999999</v>
      </c>
      <c r="E160">
        <v>3.6297000000000001</v>
      </c>
      <c r="F160">
        <v>2.3460999999999999</v>
      </c>
      <c r="G160">
        <v>1.399</v>
      </c>
      <c r="H160">
        <v>0.58499999999999996</v>
      </c>
      <c r="I160">
        <v>3.35</v>
      </c>
      <c r="J160">
        <v>-0.25</v>
      </c>
      <c r="K160">
        <v>1.625</v>
      </c>
      <c r="L160">
        <v>3.75</v>
      </c>
      <c r="M160">
        <v>89.899299999999997</v>
      </c>
      <c r="N160">
        <v>89.23</v>
      </c>
      <c r="O160">
        <v>90.57</v>
      </c>
      <c r="P160">
        <v>2.8452000000000002</v>
      </c>
      <c r="Q160">
        <v>27.18</v>
      </c>
      <c r="R160">
        <v>0.6</v>
      </c>
    </row>
    <row r="161" spans="1:18" x14ac:dyDescent="0.2">
      <c r="A161" s="1">
        <v>39472</v>
      </c>
      <c r="B161" s="2">
        <v>-1.625</v>
      </c>
      <c r="C161" s="3">
        <v>29.08</v>
      </c>
      <c r="D161">
        <v>11.6</v>
      </c>
      <c r="E161">
        <v>3.5493999999999999</v>
      </c>
      <c r="F161">
        <v>2.1818</v>
      </c>
      <c r="G161">
        <v>1.4850000000000001</v>
      </c>
      <c r="H161">
        <v>0.56499999999999995</v>
      </c>
      <c r="I161">
        <v>3.625</v>
      </c>
      <c r="J161">
        <v>-1.75</v>
      </c>
      <c r="K161">
        <v>3.3</v>
      </c>
      <c r="L161">
        <v>4.75</v>
      </c>
      <c r="M161">
        <v>89.218400000000003</v>
      </c>
      <c r="N161">
        <v>90.9</v>
      </c>
      <c r="O161">
        <v>90.71</v>
      </c>
      <c r="P161">
        <v>2.2486000000000002</v>
      </c>
      <c r="Q161">
        <v>29.08</v>
      </c>
      <c r="R161">
        <v>2.15</v>
      </c>
    </row>
    <row r="162" spans="1:18" x14ac:dyDescent="0.2">
      <c r="A162" s="1">
        <v>39479</v>
      </c>
      <c r="B162" s="2">
        <v>-1.3</v>
      </c>
      <c r="C162" s="3">
        <v>24.02</v>
      </c>
      <c r="D162">
        <v>11.5</v>
      </c>
      <c r="E162">
        <v>3.5926</v>
      </c>
      <c r="F162">
        <v>2.0684999999999998</v>
      </c>
      <c r="G162">
        <v>1.4339999999999999</v>
      </c>
      <c r="H162">
        <v>0.56000000000000005</v>
      </c>
      <c r="I162">
        <v>3.75</v>
      </c>
      <c r="J162">
        <v>-0.5</v>
      </c>
      <c r="K162">
        <v>4.5999999999999996</v>
      </c>
      <c r="L162">
        <v>5.25</v>
      </c>
      <c r="M162">
        <v>88.482399999999998</v>
      </c>
      <c r="N162">
        <v>89.44</v>
      </c>
      <c r="O162">
        <v>88.96</v>
      </c>
      <c r="P162">
        <v>2.0842999999999998</v>
      </c>
      <c r="Q162">
        <v>24.02</v>
      </c>
      <c r="R162">
        <v>3.85</v>
      </c>
    </row>
    <row r="163" spans="1:18" x14ac:dyDescent="0.2">
      <c r="A163" s="1">
        <v>39486</v>
      </c>
      <c r="B163" s="2">
        <v>-1.2</v>
      </c>
      <c r="C163" s="3">
        <v>28.01</v>
      </c>
      <c r="D163">
        <v>10.775</v>
      </c>
      <c r="E163">
        <v>3.6427999999999998</v>
      </c>
      <c r="F163">
        <v>1.9218</v>
      </c>
      <c r="G163">
        <v>1.425</v>
      </c>
      <c r="H163">
        <v>0.56000000000000005</v>
      </c>
      <c r="I163">
        <v>4.9000000000000004</v>
      </c>
      <c r="J163">
        <v>-0.1</v>
      </c>
      <c r="K163">
        <v>5.85</v>
      </c>
      <c r="L163">
        <v>6.35</v>
      </c>
      <c r="M163">
        <v>89.2226</v>
      </c>
      <c r="N163">
        <v>91.94</v>
      </c>
      <c r="O163">
        <v>91.77</v>
      </c>
      <c r="P163">
        <v>2.2178</v>
      </c>
      <c r="Q163">
        <v>28.01</v>
      </c>
      <c r="R163">
        <v>5.45</v>
      </c>
    </row>
    <row r="164" spans="1:18" x14ac:dyDescent="0.2">
      <c r="A164" s="1">
        <v>39493</v>
      </c>
      <c r="B164" s="2">
        <v>-1.1000000000000001</v>
      </c>
      <c r="C164" s="3">
        <v>25.02</v>
      </c>
      <c r="D164">
        <v>10.475</v>
      </c>
      <c r="E164">
        <v>3.7686000000000002</v>
      </c>
      <c r="F164">
        <v>1.9113</v>
      </c>
      <c r="G164">
        <v>1.4610000000000001</v>
      </c>
      <c r="H164">
        <v>0.59099999999999997</v>
      </c>
      <c r="I164">
        <v>4.5</v>
      </c>
      <c r="J164">
        <v>0.25</v>
      </c>
      <c r="K164">
        <v>6.35</v>
      </c>
      <c r="L164">
        <v>6.35</v>
      </c>
      <c r="M164">
        <v>88.900599999999997</v>
      </c>
      <c r="N164">
        <v>94.63</v>
      </c>
      <c r="O164">
        <v>95.5</v>
      </c>
      <c r="P164">
        <v>2.1867999999999999</v>
      </c>
      <c r="Q164">
        <v>25.02</v>
      </c>
      <c r="R164">
        <v>6.35</v>
      </c>
    </row>
    <row r="165" spans="1:18" x14ac:dyDescent="0.2">
      <c r="A165" s="1">
        <v>39500</v>
      </c>
      <c r="B165" s="2">
        <v>-1</v>
      </c>
      <c r="C165" s="3">
        <v>24.06</v>
      </c>
      <c r="D165">
        <v>10.675000000000001</v>
      </c>
      <c r="E165">
        <v>3.8016000000000001</v>
      </c>
      <c r="F165">
        <v>2.0169000000000001</v>
      </c>
      <c r="G165">
        <v>1.46</v>
      </c>
      <c r="H165">
        <v>0.59199999999999997</v>
      </c>
      <c r="I165">
        <v>3.5</v>
      </c>
      <c r="J165">
        <v>-2.625</v>
      </c>
      <c r="K165">
        <v>6.85</v>
      </c>
      <c r="L165">
        <v>6.1</v>
      </c>
      <c r="M165">
        <v>88.708200000000005</v>
      </c>
      <c r="N165">
        <v>97.01</v>
      </c>
      <c r="O165">
        <v>98.81</v>
      </c>
      <c r="P165">
        <v>2.1869999999999998</v>
      </c>
      <c r="Q165">
        <v>24.06</v>
      </c>
      <c r="R165">
        <v>6.85</v>
      </c>
    </row>
    <row r="166" spans="1:18" x14ac:dyDescent="0.2">
      <c r="A166" s="1">
        <v>39507</v>
      </c>
      <c r="B166" s="2">
        <v>-0.84150000000000003</v>
      </c>
      <c r="C166" s="3">
        <v>26.54</v>
      </c>
      <c r="D166">
        <v>12.25</v>
      </c>
      <c r="E166">
        <v>3.5091999999999999</v>
      </c>
      <c r="F166">
        <v>1.6157999999999999</v>
      </c>
      <c r="G166">
        <v>1.365</v>
      </c>
      <c r="H166">
        <v>0.56499999999999995</v>
      </c>
      <c r="I166">
        <v>5</v>
      </c>
      <c r="J166">
        <v>1.75</v>
      </c>
      <c r="K166">
        <v>7.25</v>
      </c>
      <c r="L166">
        <v>7</v>
      </c>
      <c r="M166">
        <v>87.165400000000005</v>
      </c>
      <c r="N166">
        <v>100.1</v>
      </c>
      <c r="O166">
        <v>101.84</v>
      </c>
      <c r="P166">
        <v>1.8380000000000001</v>
      </c>
      <c r="Q166">
        <v>26.54</v>
      </c>
      <c r="R166">
        <v>7.25</v>
      </c>
    </row>
    <row r="167" spans="1:18" x14ac:dyDescent="0.2">
      <c r="A167" s="1">
        <v>39514</v>
      </c>
      <c r="B167" s="2">
        <v>-1.35</v>
      </c>
      <c r="C167" s="3">
        <v>27.49</v>
      </c>
      <c r="D167">
        <v>13.525</v>
      </c>
      <c r="E167">
        <v>3.5316999999999998</v>
      </c>
      <c r="F167">
        <v>1.5158</v>
      </c>
      <c r="G167">
        <v>1.359</v>
      </c>
      <c r="H167">
        <v>0.51900000000000002</v>
      </c>
      <c r="I167">
        <v>8.5</v>
      </c>
      <c r="J167">
        <v>5</v>
      </c>
      <c r="K167">
        <v>11.5</v>
      </c>
      <c r="L167">
        <v>11.25</v>
      </c>
      <c r="M167">
        <v>87.125799999999998</v>
      </c>
      <c r="N167">
        <v>102.38</v>
      </c>
      <c r="O167">
        <v>105.15</v>
      </c>
      <c r="P167">
        <v>1.4383999999999999</v>
      </c>
      <c r="Q167">
        <v>27.49</v>
      </c>
      <c r="R167">
        <v>11.5</v>
      </c>
    </row>
    <row r="168" spans="1:18" x14ac:dyDescent="0.2">
      <c r="A168" s="1">
        <v>39521</v>
      </c>
      <c r="B168" s="2">
        <v>-1.45</v>
      </c>
      <c r="C168" s="3">
        <v>31.16</v>
      </c>
      <c r="D168">
        <v>14.55</v>
      </c>
      <c r="E168">
        <v>3.4679000000000002</v>
      </c>
      <c r="F168">
        <v>1.4786999999999999</v>
      </c>
      <c r="G168">
        <v>1.274</v>
      </c>
      <c r="H168">
        <v>0.56999999999999995</v>
      </c>
      <c r="I168">
        <v>12.25</v>
      </c>
      <c r="J168">
        <v>3.5</v>
      </c>
      <c r="K168">
        <v>21</v>
      </c>
      <c r="L168">
        <v>17</v>
      </c>
      <c r="M168">
        <v>86.430099999999996</v>
      </c>
      <c r="N168">
        <v>107.55</v>
      </c>
      <c r="O168">
        <v>110.21</v>
      </c>
      <c r="P168">
        <v>1.1621999999999999</v>
      </c>
      <c r="Q168">
        <v>31.16</v>
      </c>
      <c r="R168">
        <v>22</v>
      </c>
    </row>
    <row r="169" spans="1:18" x14ac:dyDescent="0.2">
      <c r="A169" s="1">
        <v>39528</v>
      </c>
      <c r="B169" s="2">
        <v>-1.5268999999999999</v>
      </c>
      <c r="C169" s="3">
        <v>26.62</v>
      </c>
      <c r="D169">
        <v>14.4382</v>
      </c>
      <c r="E169">
        <v>3.3334999999999999</v>
      </c>
      <c r="F169">
        <v>1.5958000000000001</v>
      </c>
      <c r="G169">
        <v>1.28</v>
      </c>
      <c r="H169">
        <v>0.57499999999999996</v>
      </c>
      <c r="I169">
        <v>19</v>
      </c>
      <c r="J169">
        <v>6</v>
      </c>
      <c r="K169">
        <v>26</v>
      </c>
      <c r="L169">
        <v>25</v>
      </c>
      <c r="M169">
        <v>87.211100000000002</v>
      </c>
      <c r="N169">
        <v>100.38</v>
      </c>
      <c r="O169">
        <v>101.84</v>
      </c>
      <c r="P169">
        <v>0.57010000000000005</v>
      </c>
      <c r="Q169">
        <v>26.62</v>
      </c>
      <c r="R169">
        <v>28</v>
      </c>
    </row>
    <row r="170" spans="1:18" x14ac:dyDescent="0.2">
      <c r="A170" s="1">
        <v>39535</v>
      </c>
      <c r="B170" s="2">
        <v>-1.1575</v>
      </c>
      <c r="C170" s="3">
        <v>25.71</v>
      </c>
      <c r="D170">
        <v>14.53</v>
      </c>
      <c r="E170">
        <v>3.4413999999999998</v>
      </c>
      <c r="F170">
        <v>1.6463000000000001</v>
      </c>
      <c r="G170">
        <v>1.2789999999999999</v>
      </c>
      <c r="H170">
        <v>0.57999999999999996</v>
      </c>
      <c r="I170">
        <v>19</v>
      </c>
      <c r="J170">
        <v>0.5</v>
      </c>
      <c r="K170">
        <v>33</v>
      </c>
      <c r="L170">
        <v>31</v>
      </c>
      <c r="M170">
        <v>86.636899999999997</v>
      </c>
      <c r="N170">
        <v>103.77</v>
      </c>
      <c r="O170">
        <v>105.62</v>
      </c>
      <c r="P170">
        <v>1.3668</v>
      </c>
      <c r="Q170">
        <v>25.71</v>
      </c>
      <c r="R170">
        <v>28</v>
      </c>
    </row>
    <row r="171" spans="1:18" x14ac:dyDescent="0.2">
      <c r="A171" s="1">
        <v>39542</v>
      </c>
      <c r="B171" s="2">
        <v>-1.2075</v>
      </c>
      <c r="C171" s="3">
        <v>22.45</v>
      </c>
      <c r="D171">
        <v>13.4</v>
      </c>
      <c r="E171">
        <v>3.4657</v>
      </c>
      <c r="F171">
        <v>1.8145</v>
      </c>
      <c r="G171">
        <v>1.34</v>
      </c>
      <c r="H171">
        <v>0.56999999999999995</v>
      </c>
      <c r="I171">
        <v>11</v>
      </c>
      <c r="J171">
        <v>-0.5</v>
      </c>
      <c r="K171">
        <v>19</v>
      </c>
      <c r="L171">
        <v>19</v>
      </c>
      <c r="M171">
        <v>86.510800000000003</v>
      </c>
      <c r="N171">
        <v>104.9</v>
      </c>
      <c r="O171">
        <v>106.23</v>
      </c>
      <c r="P171">
        <v>1.3668</v>
      </c>
      <c r="Q171">
        <v>22.45</v>
      </c>
      <c r="R171">
        <v>19</v>
      </c>
    </row>
    <row r="172" spans="1:18" x14ac:dyDescent="0.2">
      <c r="A172" s="1">
        <v>39549</v>
      </c>
      <c r="B172" s="2">
        <v>-1.0549999999999999</v>
      </c>
      <c r="C172" s="3">
        <v>23.46</v>
      </c>
      <c r="D172">
        <v>13.8575</v>
      </c>
      <c r="E172">
        <v>3.4693999999999998</v>
      </c>
      <c r="F172">
        <v>1.7417</v>
      </c>
      <c r="G172">
        <v>1.3839999999999999</v>
      </c>
      <c r="H172">
        <v>0.61499999999999999</v>
      </c>
      <c r="I172">
        <v>7.5</v>
      </c>
      <c r="J172">
        <v>-3.75</v>
      </c>
      <c r="K172">
        <v>12.75</v>
      </c>
      <c r="L172">
        <v>13.5</v>
      </c>
      <c r="M172">
        <v>86.502899999999997</v>
      </c>
      <c r="N172">
        <v>108.75</v>
      </c>
      <c r="O172">
        <v>110.14</v>
      </c>
      <c r="P172">
        <v>1.1826000000000001</v>
      </c>
      <c r="Q172">
        <v>23.46</v>
      </c>
      <c r="R172">
        <v>12</v>
      </c>
    </row>
    <row r="173" spans="1:18" x14ac:dyDescent="0.2">
      <c r="A173" s="1">
        <v>39556</v>
      </c>
      <c r="B173" s="2">
        <v>-0.92500000000000004</v>
      </c>
      <c r="C173" s="3">
        <v>20.13</v>
      </c>
      <c r="D173">
        <v>12.47</v>
      </c>
      <c r="E173">
        <v>3.7061000000000002</v>
      </c>
      <c r="F173">
        <v>2.1294</v>
      </c>
      <c r="G173">
        <v>1.405</v>
      </c>
      <c r="H173">
        <v>0.65500000000000003</v>
      </c>
      <c r="I173">
        <v>1.425</v>
      </c>
      <c r="J173">
        <v>-8.5</v>
      </c>
      <c r="K173">
        <v>8.25</v>
      </c>
      <c r="L173">
        <v>7.5</v>
      </c>
      <c r="M173">
        <v>86.527699999999996</v>
      </c>
      <c r="N173">
        <v>113.92</v>
      </c>
      <c r="O173">
        <v>116.69</v>
      </c>
      <c r="P173">
        <v>1.3463000000000001</v>
      </c>
      <c r="Q173">
        <v>20.13</v>
      </c>
      <c r="R173">
        <v>8.25</v>
      </c>
    </row>
    <row r="174" spans="1:18" x14ac:dyDescent="0.2">
      <c r="A174" s="1">
        <v>39563</v>
      </c>
      <c r="B174" s="2">
        <v>-0.99250000000000005</v>
      </c>
      <c r="C174" s="3">
        <v>19.59</v>
      </c>
      <c r="D174">
        <v>11.875</v>
      </c>
      <c r="E174">
        <v>3.8702999999999999</v>
      </c>
      <c r="F174">
        <v>2.4148000000000001</v>
      </c>
      <c r="G174">
        <v>1.61</v>
      </c>
      <c r="H174">
        <v>0.83</v>
      </c>
      <c r="I174">
        <v>1.3149999999999999</v>
      </c>
      <c r="J174">
        <v>-5.5</v>
      </c>
      <c r="K174">
        <v>8.5</v>
      </c>
      <c r="L174">
        <v>8.25</v>
      </c>
      <c r="M174">
        <v>86.833699999999993</v>
      </c>
      <c r="N174">
        <v>116.34</v>
      </c>
      <c r="O174">
        <v>118.52</v>
      </c>
      <c r="P174">
        <v>1.3565</v>
      </c>
      <c r="Q174">
        <v>19.59</v>
      </c>
      <c r="R174">
        <v>8.5</v>
      </c>
    </row>
    <row r="175" spans="1:18" x14ac:dyDescent="0.2">
      <c r="A175" s="1">
        <v>39570</v>
      </c>
      <c r="B175" s="2">
        <v>-0.96250000000000002</v>
      </c>
      <c r="C175" s="3">
        <v>18.18</v>
      </c>
      <c r="D175">
        <v>10.76</v>
      </c>
      <c r="E175">
        <v>3.8551000000000002</v>
      </c>
      <c r="F175">
        <v>2.4491999999999998</v>
      </c>
      <c r="G175">
        <v>1.649</v>
      </c>
      <c r="H175">
        <v>0.76500000000000001</v>
      </c>
      <c r="I175">
        <v>2.35</v>
      </c>
      <c r="J175">
        <v>-6.75</v>
      </c>
      <c r="K175">
        <v>8.75</v>
      </c>
      <c r="L175">
        <v>8.5</v>
      </c>
      <c r="M175">
        <v>87.231099999999998</v>
      </c>
      <c r="N175">
        <v>114.56</v>
      </c>
      <c r="O175">
        <v>116.32</v>
      </c>
      <c r="P175">
        <v>1.4998</v>
      </c>
      <c r="Q175">
        <v>18.18</v>
      </c>
      <c r="R175">
        <v>8.75</v>
      </c>
    </row>
    <row r="176" spans="1:18" x14ac:dyDescent="0.2">
      <c r="A176" s="1">
        <v>39577</v>
      </c>
      <c r="B176" s="2">
        <v>-0.97</v>
      </c>
      <c r="C176" s="3">
        <v>19.41</v>
      </c>
      <c r="D176">
        <v>12.145</v>
      </c>
      <c r="E176">
        <v>3.7692000000000001</v>
      </c>
      <c r="F176">
        <v>2.2391000000000001</v>
      </c>
      <c r="G176">
        <v>1.5640000000000001</v>
      </c>
      <c r="H176">
        <v>0.73499999999999999</v>
      </c>
      <c r="I176">
        <v>1.5</v>
      </c>
      <c r="J176">
        <v>-5.25</v>
      </c>
      <c r="K176">
        <v>8</v>
      </c>
      <c r="L176">
        <v>7.75</v>
      </c>
      <c r="M176">
        <v>87.252799999999993</v>
      </c>
      <c r="N176">
        <v>125.4</v>
      </c>
      <c r="O176">
        <v>125.96</v>
      </c>
      <c r="P176">
        <v>1.6841999999999999</v>
      </c>
      <c r="Q176">
        <v>19.41</v>
      </c>
      <c r="R176">
        <v>8</v>
      </c>
    </row>
    <row r="177" spans="1:18" x14ac:dyDescent="0.2">
      <c r="A177" s="1">
        <v>39584</v>
      </c>
      <c r="B177" s="2">
        <v>-0.97499999999999998</v>
      </c>
      <c r="C177" s="3">
        <v>16.47</v>
      </c>
      <c r="D177">
        <v>10.91</v>
      </c>
      <c r="E177">
        <v>3.8445999999999998</v>
      </c>
      <c r="F177">
        <v>2.4386000000000001</v>
      </c>
      <c r="G177">
        <v>1.704</v>
      </c>
      <c r="H177">
        <v>0.84599999999999997</v>
      </c>
      <c r="I177">
        <v>0.85</v>
      </c>
      <c r="J177">
        <v>-7.15</v>
      </c>
      <c r="K177">
        <v>7.125</v>
      </c>
      <c r="L177">
        <v>6.5</v>
      </c>
      <c r="M177">
        <v>86.785499999999999</v>
      </c>
      <c r="N177">
        <v>124.99</v>
      </c>
      <c r="O177">
        <v>126.29</v>
      </c>
      <c r="P177">
        <v>1.8380000000000001</v>
      </c>
      <c r="Q177">
        <v>16.47</v>
      </c>
      <c r="R177">
        <v>6.875</v>
      </c>
    </row>
    <row r="178" spans="1:18" x14ac:dyDescent="0.2">
      <c r="A178" s="1">
        <v>39591</v>
      </c>
      <c r="B178" s="2">
        <v>-0.92749999999999999</v>
      </c>
      <c r="C178" s="3">
        <v>19.55</v>
      </c>
      <c r="D178">
        <v>11.637499999999999</v>
      </c>
      <c r="E178">
        <v>3.8424999999999998</v>
      </c>
      <c r="F178">
        <v>2.4251999999999998</v>
      </c>
      <c r="G178">
        <v>1.744</v>
      </c>
      <c r="H178">
        <v>0.83699999999999997</v>
      </c>
      <c r="I178">
        <v>0.46500000000000002</v>
      </c>
      <c r="J178">
        <v>-7</v>
      </c>
      <c r="K178">
        <v>6.75</v>
      </c>
      <c r="L178">
        <v>6.25</v>
      </c>
      <c r="M178">
        <v>86.1922</v>
      </c>
      <c r="N178">
        <v>131.57</v>
      </c>
      <c r="O178">
        <v>132.19</v>
      </c>
      <c r="P178">
        <v>1.8482000000000001</v>
      </c>
      <c r="Q178">
        <v>19.55</v>
      </c>
      <c r="R178">
        <v>6.5</v>
      </c>
    </row>
    <row r="179" spans="1:18" x14ac:dyDescent="0.2">
      <c r="A179" s="1">
        <v>39598</v>
      </c>
      <c r="B179" s="2">
        <v>-0.9325</v>
      </c>
      <c r="C179" s="3">
        <v>17.829999999999998</v>
      </c>
      <c r="D179">
        <v>10.7075</v>
      </c>
      <c r="E179">
        <v>4.0594999999999999</v>
      </c>
      <c r="F179">
        <v>2.6410999999999998</v>
      </c>
      <c r="G179">
        <v>1.7589999999999999</v>
      </c>
      <c r="H179">
        <v>0.91500000000000004</v>
      </c>
      <c r="I179">
        <v>-2.375</v>
      </c>
      <c r="J179">
        <v>-10</v>
      </c>
      <c r="K179">
        <v>5.625</v>
      </c>
      <c r="L179">
        <v>4.125</v>
      </c>
      <c r="M179">
        <v>86.550399999999996</v>
      </c>
      <c r="N179">
        <v>127.78</v>
      </c>
      <c r="O179">
        <v>127.35</v>
      </c>
      <c r="P179">
        <v>1.879</v>
      </c>
      <c r="Q179">
        <v>17.829999999999998</v>
      </c>
      <c r="R179">
        <v>5.625</v>
      </c>
    </row>
    <row r="180" spans="1:18" x14ac:dyDescent="0.2">
      <c r="A180" s="1">
        <v>39605</v>
      </c>
      <c r="B180" s="2">
        <v>-0.95499999999999996</v>
      </c>
      <c r="C180" s="3">
        <v>23.56</v>
      </c>
      <c r="D180">
        <v>11.07</v>
      </c>
      <c r="E180">
        <v>3.9091999999999998</v>
      </c>
      <c r="F180">
        <v>2.3723999999999998</v>
      </c>
      <c r="G180">
        <v>1.796</v>
      </c>
      <c r="H180">
        <v>0.88500000000000001</v>
      </c>
      <c r="I180">
        <v>-6.65</v>
      </c>
      <c r="J180">
        <v>-14.5</v>
      </c>
      <c r="K180">
        <v>0.375</v>
      </c>
      <c r="L180">
        <v>-1.25</v>
      </c>
      <c r="M180">
        <v>86.802800000000005</v>
      </c>
      <c r="N180">
        <v>137.69</v>
      </c>
      <c r="O180">
        <v>138.54</v>
      </c>
      <c r="P180">
        <v>1.833</v>
      </c>
      <c r="Q180">
        <v>23.56</v>
      </c>
      <c r="R180">
        <v>0.25</v>
      </c>
    </row>
    <row r="181" spans="1:18" x14ac:dyDescent="0.2">
      <c r="A181" s="1">
        <v>39612</v>
      </c>
      <c r="B181" s="2">
        <v>-1.155</v>
      </c>
      <c r="C181" s="3">
        <v>21.22</v>
      </c>
      <c r="D181">
        <v>11.0625</v>
      </c>
      <c r="E181">
        <v>4.2565</v>
      </c>
      <c r="F181">
        <v>3.0306000000000002</v>
      </c>
      <c r="G181">
        <v>1.871</v>
      </c>
      <c r="H181">
        <v>1.0209999999999999</v>
      </c>
      <c r="I181">
        <v>-9.75</v>
      </c>
      <c r="J181">
        <v>-17.350000000000001</v>
      </c>
      <c r="K181">
        <v>-6.25E-2</v>
      </c>
      <c r="L181">
        <v>-2.875</v>
      </c>
      <c r="M181">
        <v>87.762200000000007</v>
      </c>
      <c r="N181">
        <v>134.25</v>
      </c>
      <c r="O181">
        <v>134.86000000000001</v>
      </c>
      <c r="P181">
        <v>1.966</v>
      </c>
      <c r="Q181">
        <v>21.22</v>
      </c>
      <c r="R181">
        <v>-0.375</v>
      </c>
    </row>
    <row r="182" spans="1:18" x14ac:dyDescent="0.2">
      <c r="A182" s="1">
        <v>39619</v>
      </c>
      <c r="B182" s="2">
        <v>-0.99250000000000005</v>
      </c>
      <c r="C182" s="3">
        <v>22.87</v>
      </c>
      <c r="D182">
        <v>10.664999999999999</v>
      </c>
      <c r="E182">
        <v>4.1641000000000004</v>
      </c>
      <c r="F182">
        <v>2.8917000000000002</v>
      </c>
      <c r="G182">
        <v>1.7649999999999999</v>
      </c>
      <c r="H182">
        <v>0.88700000000000001</v>
      </c>
      <c r="I182">
        <v>-4.75</v>
      </c>
      <c r="J182">
        <v>-10</v>
      </c>
      <c r="K182">
        <v>0.75</v>
      </c>
      <c r="L182">
        <v>-0.35</v>
      </c>
      <c r="M182">
        <v>86.903599999999997</v>
      </c>
      <c r="N182">
        <v>134.86000000000001</v>
      </c>
      <c r="O182">
        <v>134.62</v>
      </c>
      <c r="P182">
        <v>1.8533999999999999</v>
      </c>
      <c r="Q182">
        <v>22.87</v>
      </c>
      <c r="R182">
        <v>1.75</v>
      </c>
    </row>
    <row r="183" spans="1:18" x14ac:dyDescent="0.2">
      <c r="A183" s="1">
        <v>39626</v>
      </c>
      <c r="B183" s="2">
        <v>-0.92749999999999999</v>
      </c>
      <c r="C183" s="3">
        <v>23.44</v>
      </c>
      <c r="D183">
        <v>11.2075</v>
      </c>
      <c r="E183">
        <v>3.9651999999999998</v>
      </c>
      <c r="F183">
        <v>2.6248</v>
      </c>
      <c r="G183">
        <v>1.62</v>
      </c>
      <c r="H183">
        <v>0.80900000000000005</v>
      </c>
      <c r="I183">
        <v>-0.75</v>
      </c>
      <c r="J183">
        <v>-7.75</v>
      </c>
      <c r="K183">
        <v>5.6520000000000001</v>
      </c>
      <c r="L183">
        <v>4.125</v>
      </c>
      <c r="M183">
        <v>86.643000000000001</v>
      </c>
      <c r="N183">
        <v>140.31</v>
      </c>
      <c r="O183">
        <v>140.21</v>
      </c>
      <c r="P183">
        <v>1.6592</v>
      </c>
      <c r="Q183">
        <v>23.44</v>
      </c>
      <c r="R183">
        <v>5.6875</v>
      </c>
    </row>
    <row r="184" spans="1:18" x14ac:dyDescent="0.2">
      <c r="A184" s="1">
        <v>39633</v>
      </c>
      <c r="B184" s="2">
        <v>-0.88749999999999996</v>
      </c>
      <c r="C184" s="3">
        <v>24.78</v>
      </c>
      <c r="D184">
        <v>10.5025</v>
      </c>
      <c r="E184">
        <v>3.9750000000000001</v>
      </c>
      <c r="F184">
        <v>2.5326</v>
      </c>
      <c r="G184">
        <v>1.65</v>
      </c>
      <c r="H184">
        <v>0.84</v>
      </c>
      <c r="I184">
        <v>-1.75</v>
      </c>
      <c r="J184">
        <v>-13</v>
      </c>
      <c r="K184">
        <v>5.625</v>
      </c>
      <c r="L184">
        <v>3.75</v>
      </c>
      <c r="M184">
        <v>86.878100000000003</v>
      </c>
      <c r="N184">
        <v>144.41999999999999</v>
      </c>
      <c r="O184">
        <v>145.29</v>
      </c>
      <c r="P184">
        <v>1.8329</v>
      </c>
      <c r="Q184">
        <v>24.78</v>
      </c>
      <c r="R184">
        <v>6.125</v>
      </c>
    </row>
    <row r="185" spans="1:18" x14ac:dyDescent="0.2">
      <c r="A185" s="1">
        <v>39640</v>
      </c>
      <c r="B185" s="2">
        <v>-0.92</v>
      </c>
      <c r="C185" s="3">
        <v>27.49</v>
      </c>
      <c r="D185">
        <v>10.657500000000001</v>
      </c>
      <c r="E185">
        <v>3.9575999999999998</v>
      </c>
      <c r="F185">
        <v>2.5952000000000002</v>
      </c>
      <c r="G185">
        <v>1.6040000000000001</v>
      </c>
      <c r="H185">
        <v>0.78</v>
      </c>
      <c r="I185">
        <v>-4.7</v>
      </c>
      <c r="J185">
        <v>-17.5</v>
      </c>
      <c r="K185">
        <v>5.33</v>
      </c>
      <c r="L185">
        <v>3.4375</v>
      </c>
      <c r="M185">
        <v>86.221000000000004</v>
      </c>
      <c r="N185">
        <v>144.49</v>
      </c>
      <c r="O185">
        <v>145.08000000000001</v>
      </c>
      <c r="P185">
        <v>1.5773999999999999</v>
      </c>
      <c r="Q185">
        <v>27.49</v>
      </c>
      <c r="R185">
        <v>6.165</v>
      </c>
    </row>
    <row r="186" spans="1:18" x14ac:dyDescent="0.2">
      <c r="A186" s="1">
        <v>39647</v>
      </c>
      <c r="B186" s="2">
        <v>-0.72499999999999998</v>
      </c>
      <c r="C186" s="3">
        <v>24.05</v>
      </c>
      <c r="D186">
        <v>11.2525</v>
      </c>
      <c r="E186">
        <v>4.0827999999999998</v>
      </c>
      <c r="F186">
        <v>2.6337000000000002</v>
      </c>
      <c r="G186">
        <v>1.575</v>
      </c>
      <c r="H186">
        <v>0.76500000000000001</v>
      </c>
      <c r="I186">
        <v>-6.25</v>
      </c>
      <c r="J186">
        <v>-20</v>
      </c>
      <c r="K186">
        <v>6.5</v>
      </c>
      <c r="L186">
        <v>4.5</v>
      </c>
      <c r="M186">
        <v>86.073499999999996</v>
      </c>
      <c r="N186">
        <v>130.19</v>
      </c>
      <c r="O186">
        <v>128.88</v>
      </c>
      <c r="P186">
        <v>1.4549000000000001</v>
      </c>
      <c r="Q186">
        <v>24.05</v>
      </c>
      <c r="R186">
        <v>7</v>
      </c>
    </row>
    <row r="187" spans="1:18" x14ac:dyDescent="0.2">
      <c r="A187" s="1">
        <v>39654</v>
      </c>
      <c r="B187" s="2">
        <v>-1.0225</v>
      </c>
      <c r="C187" s="3">
        <v>22.91</v>
      </c>
      <c r="D187">
        <v>10.797499999999999</v>
      </c>
      <c r="E187">
        <v>4.0968999999999998</v>
      </c>
      <c r="F187">
        <v>2.7096</v>
      </c>
      <c r="G187">
        <v>1.5840000000000001</v>
      </c>
      <c r="H187">
        <v>0.78600000000000003</v>
      </c>
      <c r="I187">
        <v>-8.25</v>
      </c>
      <c r="J187">
        <v>-19.75</v>
      </c>
      <c r="K187">
        <v>5.125</v>
      </c>
      <c r="L187">
        <v>1.875</v>
      </c>
      <c r="M187">
        <v>86.391599999999997</v>
      </c>
      <c r="N187">
        <v>124.52</v>
      </c>
      <c r="O187">
        <v>123.26</v>
      </c>
      <c r="P187">
        <v>1.7204999999999999</v>
      </c>
      <c r="Q187">
        <v>22.91</v>
      </c>
      <c r="R187">
        <v>6.125</v>
      </c>
    </row>
    <row r="188" spans="1:18" x14ac:dyDescent="0.2">
      <c r="A188" s="1">
        <v>39661</v>
      </c>
      <c r="B188" s="2">
        <v>-1.2975000000000001</v>
      </c>
      <c r="C188" s="3">
        <v>22.57</v>
      </c>
      <c r="D188">
        <v>10.2225</v>
      </c>
      <c r="E188">
        <v>3.9306999999999999</v>
      </c>
      <c r="F188">
        <v>2.4906999999999999</v>
      </c>
      <c r="G188">
        <v>1.52</v>
      </c>
      <c r="H188">
        <v>0.77100000000000002</v>
      </c>
      <c r="I188">
        <v>-9.9049999999999994</v>
      </c>
      <c r="J188">
        <v>-20</v>
      </c>
      <c r="K188">
        <v>3</v>
      </c>
      <c r="L188">
        <v>0.5</v>
      </c>
      <c r="M188">
        <v>86.825699999999998</v>
      </c>
      <c r="N188">
        <v>124.18</v>
      </c>
      <c r="O188">
        <v>125.1</v>
      </c>
      <c r="P188">
        <v>1.6592</v>
      </c>
      <c r="Q188">
        <v>22.57</v>
      </c>
      <c r="R188">
        <v>3.8149999999999999</v>
      </c>
    </row>
    <row r="189" spans="1:18" x14ac:dyDescent="0.2">
      <c r="A189" s="1">
        <v>39668</v>
      </c>
      <c r="B189" s="2">
        <v>-2.1324999999999998</v>
      </c>
      <c r="C189" s="3">
        <v>20.66</v>
      </c>
      <c r="D189">
        <v>9.8224999999999998</v>
      </c>
      <c r="E189">
        <v>3.9276</v>
      </c>
      <c r="F189">
        <v>2.4963000000000002</v>
      </c>
      <c r="G189">
        <v>1.4790000000000001</v>
      </c>
      <c r="H189">
        <v>0.70499999999999996</v>
      </c>
      <c r="I189">
        <v>-9</v>
      </c>
      <c r="J189">
        <v>-21.5</v>
      </c>
      <c r="K189">
        <v>3.375</v>
      </c>
      <c r="L189">
        <v>1.75</v>
      </c>
      <c r="M189">
        <v>88.893900000000002</v>
      </c>
      <c r="N189">
        <v>113.33</v>
      </c>
      <c r="O189">
        <v>115.2</v>
      </c>
      <c r="P189">
        <v>1.6898</v>
      </c>
      <c r="Q189">
        <v>20.66</v>
      </c>
      <c r="R189">
        <v>4</v>
      </c>
    </row>
    <row r="190" spans="1:18" x14ac:dyDescent="0.2">
      <c r="A190" s="1">
        <v>39675</v>
      </c>
      <c r="B190" s="2">
        <v>-2.0274999999999999</v>
      </c>
      <c r="C190" s="3">
        <v>19.579999999999998</v>
      </c>
      <c r="D190">
        <v>10.047499999999999</v>
      </c>
      <c r="E190">
        <v>3.8349000000000002</v>
      </c>
      <c r="F190">
        <v>2.3786999999999998</v>
      </c>
      <c r="G190">
        <v>1.4650000000000001</v>
      </c>
      <c r="H190">
        <v>0.69599999999999995</v>
      </c>
      <c r="I190">
        <v>-10.75</v>
      </c>
      <c r="J190">
        <v>-22.75</v>
      </c>
      <c r="K190">
        <v>3.375</v>
      </c>
      <c r="L190">
        <v>0.315</v>
      </c>
      <c r="M190">
        <v>89.724400000000003</v>
      </c>
      <c r="N190">
        <v>112.55</v>
      </c>
      <c r="O190">
        <v>113.77</v>
      </c>
      <c r="P190">
        <v>1.833</v>
      </c>
      <c r="Q190">
        <v>19.579999999999998</v>
      </c>
      <c r="R190">
        <v>3.8125</v>
      </c>
    </row>
    <row r="191" spans="1:18" x14ac:dyDescent="0.2">
      <c r="A191" s="1">
        <v>39682</v>
      </c>
      <c r="B191" s="2">
        <v>-1.42</v>
      </c>
      <c r="C191" s="3">
        <v>18.809999999999999</v>
      </c>
      <c r="D191">
        <v>9.9975000000000005</v>
      </c>
      <c r="E191">
        <v>3.8704000000000001</v>
      </c>
      <c r="F191">
        <v>2.3999000000000001</v>
      </c>
      <c r="G191">
        <v>1.45</v>
      </c>
      <c r="H191">
        <v>0.69399999999999995</v>
      </c>
      <c r="I191">
        <v>-10.25</v>
      </c>
      <c r="J191">
        <v>-20.25</v>
      </c>
      <c r="K191">
        <v>3.5</v>
      </c>
      <c r="L191">
        <v>0.75</v>
      </c>
      <c r="M191">
        <v>89.238100000000003</v>
      </c>
      <c r="N191">
        <v>113.92</v>
      </c>
      <c r="O191">
        <v>114.59</v>
      </c>
      <c r="P191">
        <v>1.6898</v>
      </c>
      <c r="Q191">
        <v>18.809999999999999</v>
      </c>
      <c r="R191">
        <v>3.875</v>
      </c>
    </row>
    <row r="192" spans="1:18" x14ac:dyDescent="0.2">
      <c r="A192" s="1">
        <v>39689</v>
      </c>
      <c r="B192" s="2">
        <v>-1.4650000000000001</v>
      </c>
      <c r="C192" s="3">
        <v>20.65</v>
      </c>
      <c r="D192">
        <v>10.4025</v>
      </c>
      <c r="E192">
        <v>3.8115999999999999</v>
      </c>
      <c r="F192">
        <v>2.3668999999999998</v>
      </c>
      <c r="G192">
        <v>1.415</v>
      </c>
      <c r="H192">
        <v>0.72599999999999998</v>
      </c>
      <c r="I192">
        <v>-7.25</v>
      </c>
      <c r="J192">
        <v>-15.88</v>
      </c>
      <c r="K192">
        <v>4.63</v>
      </c>
      <c r="L192">
        <v>2.13</v>
      </c>
      <c r="M192">
        <v>90.056700000000006</v>
      </c>
      <c r="N192">
        <v>114.05</v>
      </c>
      <c r="O192">
        <v>115.46</v>
      </c>
      <c r="P192">
        <v>1.7102999999999999</v>
      </c>
      <c r="Q192">
        <v>20.65</v>
      </c>
      <c r="R192">
        <v>5.08</v>
      </c>
    </row>
    <row r="193" spans="1:18" x14ac:dyDescent="0.2">
      <c r="A193" s="1">
        <v>39696</v>
      </c>
      <c r="B193" s="2">
        <v>-2.0350000000000001</v>
      </c>
      <c r="C193" s="3">
        <v>23.06</v>
      </c>
      <c r="D193">
        <v>11.9175</v>
      </c>
      <c r="E193">
        <v>3.6985999999999999</v>
      </c>
      <c r="F193">
        <v>2.3016999999999999</v>
      </c>
      <c r="G193">
        <v>1.4670000000000001</v>
      </c>
      <c r="H193">
        <v>0.73399999999999999</v>
      </c>
      <c r="I193">
        <v>-5.25</v>
      </c>
      <c r="J193">
        <v>-11.75</v>
      </c>
      <c r="K193">
        <v>6.75</v>
      </c>
      <c r="L193">
        <v>4.5</v>
      </c>
      <c r="M193">
        <v>91.340999999999994</v>
      </c>
      <c r="N193">
        <v>104.09</v>
      </c>
      <c r="O193">
        <v>106.23</v>
      </c>
      <c r="P193">
        <v>1.7716000000000001</v>
      </c>
      <c r="Q193">
        <v>23.06</v>
      </c>
      <c r="R193">
        <v>7.375</v>
      </c>
    </row>
    <row r="194" spans="1:18" x14ac:dyDescent="0.2">
      <c r="A194" s="1">
        <v>39703</v>
      </c>
      <c r="B194" s="2">
        <v>-2.3275000000000001</v>
      </c>
      <c r="C194" s="3">
        <v>25.66</v>
      </c>
      <c r="D194">
        <v>11.435</v>
      </c>
      <c r="E194">
        <v>3.7187000000000001</v>
      </c>
      <c r="F194">
        <v>2.2025999999999999</v>
      </c>
      <c r="G194">
        <v>1.5349999999999999</v>
      </c>
      <c r="H194">
        <v>0.75</v>
      </c>
      <c r="I194">
        <v>-6.0049999999999999</v>
      </c>
      <c r="J194">
        <v>-12.275</v>
      </c>
      <c r="K194">
        <v>6.88</v>
      </c>
      <c r="L194">
        <v>4.625</v>
      </c>
      <c r="M194">
        <v>91.470600000000005</v>
      </c>
      <c r="N194">
        <v>97.58</v>
      </c>
      <c r="O194">
        <v>101.18</v>
      </c>
      <c r="P194">
        <v>1.4651000000000001</v>
      </c>
      <c r="Q194">
        <v>25.66</v>
      </c>
      <c r="R194">
        <v>7.34</v>
      </c>
    </row>
    <row r="195" spans="1:18" x14ac:dyDescent="0.2">
      <c r="A195" s="1">
        <v>39710</v>
      </c>
      <c r="B195" s="2">
        <v>-2.2949999999999999</v>
      </c>
      <c r="C195" s="3">
        <v>32.07</v>
      </c>
      <c r="D195">
        <v>13.535</v>
      </c>
      <c r="E195">
        <v>3.8105000000000002</v>
      </c>
      <c r="F195">
        <v>2.1678999999999999</v>
      </c>
      <c r="G195">
        <v>1.488</v>
      </c>
      <c r="H195">
        <v>0.79800000000000004</v>
      </c>
      <c r="I195">
        <v>-15</v>
      </c>
      <c r="J195">
        <v>-37.5</v>
      </c>
      <c r="K195">
        <v>7</v>
      </c>
      <c r="L195">
        <v>-1</v>
      </c>
      <c r="M195">
        <v>91.001400000000004</v>
      </c>
      <c r="N195">
        <v>99.61</v>
      </c>
      <c r="O195">
        <v>104.55</v>
      </c>
      <c r="P195">
        <v>0.88390000000000002</v>
      </c>
      <c r="Q195">
        <v>32.07</v>
      </c>
      <c r="R195">
        <v>9.375</v>
      </c>
    </row>
    <row r="196" spans="1:18" x14ac:dyDescent="0.2">
      <c r="A196" s="1">
        <v>39717</v>
      </c>
      <c r="B196" s="2">
        <v>-1.8774999999999999</v>
      </c>
      <c r="C196" s="3">
        <v>34.74</v>
      </c>
      <c r="D196">
        <v>14.505000000000001</v>
      </c>
      <c r="E196">
        <v>3.8519999999999999</v>
      </c>
      <c r="F196">
        <v>2.0962000000000001</v>
      </c>
      <c r="G196">
        <v>1.47</v>
      </c>
      <c r="H196">
        <v>0.82499999999999996</v>
      </c>
      <c r="I196">
        <v>-15</v>
      </c>
      <c r="J196">
        <v>-46</v>
      </c>
      <c r="K196">
        <v>5.375</v>
      </c>
      <c r="L196">
        <v>0.75</v>
      </c>
      <c r="M196">
        <v>90.687200000000004</v>
      </c>
      <c r="N196">
        <v>103.54</v>
      </c>
      <c r="O196">
        <v>106.89</v>
      </c>
      <c r="P196">
        <v>0.84319999999999995</v>
      </c>
      <c r="Q196">
        <v>34.74</v>
      </c>
      <c r="R196">
        <v>7</v>
      </c>
    </row>
    <row r="197" spans="1:18" x14ac:dyDescent="0.2">
      <c r="A197" s="1">
        <v>39724</v>
      </c>
      <c r="B197" s="2">
        <v>-2.4474999999999998</v>
      </c>
      <c r="C197" s="3">
        <v>45.14</v>
      </c>
      <c r="D197">
        <v>13.975</v>
      </c>
      <c r="E197">
        <v>3.6031</v>
      </c>
      <c r="F197">
        <v>1.5822000000000001</v>
      </c>
      <c r="G197">
        <v>1.4550000000000001</v>
      </c>
      <c r="H197">
        <v>0.74</v>
      </c>
      <c r="I197">
        <v>-13.625</v>
      </c>
      <c r="J197">
        <v>-48</v>
      </c>
      <c r="K197">
        <v>1</v>
      </c>
      <c r="L197">
        <v>-2.5</v>
      </c>
      <c r="M197">
        <v>93.541399999999996</v>
      </c>
      <c r="N197">
        <v>90.25</v>
      </c>
      <c r="O197">
        <v>93.88</v>
      </c>
      <c r="P197">
        <v>0.46689999999999998</v>
      </c>
      <c r="Q197">
        <v>45.14</v>
      </c>
      <c r="R197">
        <v>3.875</v>
      </c>
    </row>
    <row r="198" spans="1:18" x14ac:dyDescent="0.2">
      <c r="A198" s="1">
        <v>39731</v>
      </c>
      <c r="B198" s="2">
        <v>-4.6224999999999996</v>
      </c>
      <c r="C198" s="3">
        <v>69.95</v>
      </c>
      <c r="D198">
        <v>21.077500000000001</v>
      </c>
      <c r="E198">
        <v>3.8704999999999998</v>
      </c>
      <c r="F198">
        <v>1.6342000000000001</v>
      </c>
      <c r="G198">
        <v>1.5289999999999999</v>
      </c>
      <c r="H198">
        <v>0.85199999999999998</v>
      </c>
      <c r="I198">
        <v>-18</v>
      </c>
      <c r="J198">
        <v>-65</v>
      </c>
      <c r="K198">
        <v>6.625</v>
      </c>
      <c r="L198">
        <v>-1.5</v>
      </c>
      <c r="M198">
        <v>97.998999999999995</v>
      </c>
      <c r="N198">
        <v>74.09</v>
      </c>
      <c r="O198">
        <v>77.7</v>
      </c>
      <c r="P198">
        <v>0.18260000000000001</v>
      </c>
      <c r="Q198">
        <v>69.95</v>
      </c>
      <c r="R198">
        <v>5.8</v>
      </c>
    </row>
    <row r="199" spans="1:18" x14ac:dyDescent="0.2">
      <c r="A199" s="1">
        <v>39738</v>
      </c>
      <c r="B199" s="2">
        <v>-5.1725000000000003</v>
      </c>
      <c r="C199" s="3">
        <v>70.33</v>
      </c>
      <c r="D199">
        <v>16.9025</v>
      </c>
      <c r="E199">
        <v>3.9298999999999999</v>
      </c>
      <c r="F199">
        <v>1.6148</v>
      </c>
      <c r="G199">
        <v>1.589</v>
      </c>
      <c r="H199">
        <v>0.79100000000000004</v>
      </c>
      <c r="I199">
        <v>-14.25</v>
      </c>
      <c r="J199">
        <v>-36.75</v>
      </c>
      <c r="K199">
        <v>5.375</v>
      </c>
      <c r="L199">
        <v>-0.625</v>
      </c>
      <c r="M199">
        <v>97.725499999999997</v>
      </c>
      <c r="N199">
        <v>69.599999999999994</v>
      </c>
      <c r="O199">
        <v>71.849999999999994</v>
      </c>
      <c r="P199">
        <v>0.7923</v>
      </c>
      <c r="Q199">
        <v>70.33</v>
      </c>
      <c r="R199">
        <v>10.25</v>
      </c>
    </row>
    <row r="200" spans="1:18" x14ac:dyDescent="0.2">
      <c r="A200" s="1">
        <v>39745</v>
      </c>
      <c r="B200" s="2">
        <v>-6.7474999999999996</v>
      </c>
      <c r="C200" s="3">
        <v>79.13</v>
      </c>
      <c r="D200">
        <v>24.822500000000002</v>
      </c>
      <c r="E200">
        <v>3.6856</v>
      </c>
      <c r="F200">
        <v>1.5122</v>
      </c>
      <c r="G200">
        <v>1.4970000000000001</v>
      </c>
      <c r="H200">
        <v>0.71699999999999997</v>
      </c>
      <c r="I200">
        <v>-12.75</v>
      </c>
      <c r="J200">
        <v>-44</v>
      </c>
      <c r="K200">
        <v>2.25</v>
      </c>
      <c r="L200">
        <v>-2.25</v>
      </c>
      <c r="M200">
        <v>101.8442</v>
      </c>
      <c r="N200">
        <v>62.05</v>
      </c>
      <c r="O200">
        <v>64.150000000000006</v>
      </c>
      <c r="P200">
        <v>0.84319999999999995</v>
      </c>
      <c r="Q200">
        <v>79.13</v>
      </c>
      <c r="R200">
        <v>5.25</v>
      </c>
    </row>
    <row r="201" spans="1:18" x14ac:dyDescent="0.2">
      <c r="A201" s="1">
        <v>39752</v>
      </c>
      <c r="B201" s="2">
        <v>-6.8925000000000001</v>
      </c>
      <c r="C201" s="3">
        <v>59.89</v>
      </c>
      <c r="D201">
        <v>23.305</v>
      </c>
      <c r="E201">
        <v>3.9529999999999998</v>
      </c>
      <c r="F201">
        <v>1.548</v>
      </c>
      <c r="G201">
        <v>1.476</v>
      </c>
      <c r="H201">
        <v>0.55300000000000005</v>
      </c>
      <c r="I201">
        <v>-10.5</v>
      </c>
      <c r="J201">
        <v>-10.375</v>
      </c>
      <c r="K201">
        <v>1.625</v>
      </c>
      <c r="L201">
        <v>-3.5</v>
      </c>
      <c r="M201">
        <v>99.766199999999998</v>
      </c>
      <c r="N201">
        <v>65.319999999999993</v>
      </c>
      <c r="O201">
        <v>67.81</v>
      </c>
      <c r="P201">
        <v>0.436</v>
      </c>
      <c r="Q201">
        <v>59.89</v>
      </c>
      <c r="R201">
        <v>2.75</v>
      </c>
    </row>
    <row r="202" spans="1:18" x14ac:dyDescent="0.2">
      <c r="A202" s="1">
        <v>39759</v>
      </c>
      <c r="B202" s="2">
        <v>-6.75</v>
      </c>
      <c r="C202" s="3">
        <v>56.1</v>
      </c>
      <c r="D202">
        <v>20.237500000000001</v>
      </c>
      <c r="E202">
        <v>3.7928999999999999</v>
      </c>
      <c r="F202">
        <v>1.3228</v>
      </c>
      <c r="G202">
        <v>1.52</v>
      </c>
      <c r="H202">
        <v>0.57799999999999996</v>
      </c>
      <c r="I202">
        <v>-9.75</v>
      </c>
      <c r="J202">
        <v>-15.875</v>
      </c>
      <c r="K202">
        <v>-1.125</v>
      </c>
      <c r="L202">
        <v>-4.5</v>
      </c>
      <c r="M202">
        <v>99.394400000000005</v>
      </c>
      <c r="N202">
        <v>57.35</v>
      </c>
      <c r="O202">
        <v>61.04</v>
      </c>
      <c r="P202">
        <v>0.28410000000000002</v>
      </c>
      <c r="Q202">
        <v>56.1</v>
      </c>
      <c r="R202">
        <v>-0.625</v>
      </c>
    </row>
    <row r="203" spans="1:18" x14ac:dyDescent="0.2">
      <c r="A203" s="1">
        <v>39766</v>
      </c>
      <c r="B203" s="2">
        <v>-7.41</v>
      </c>
      <c r="C203" s="3">
        <v>66.31</v>
      </c>
      <c r="D203">
        <v>21.61</v>
      </c>
      <c r="E203">
        <v>3.7349000000000001</v>
      </c>
      <c r="F203">
        <v>1.2076</v>
      </c>
      <c r="G203">
        <v>1.4970000000000001</v>
      </c>
      <c r="H203">
        <v>0.55500000000000005</v>
      </c>
      <c r="I203">
        <v>-12.25</v>
      </c>
      <c r="J203">
        <v>-34.5</v>
      </c>
      <c r="K203">
        <v>-2.125</v>
      </c>
      <c r="L203">
        <v>-3.0625</v>
      </c>
      <c r="M203">
        <v>100.9705</v>
      </c>
      <c r="N203">
        <v>54.24</v>
      </c>
      <c r="O203">
        <v>57.04</v>
      </c>
      <c r="P203">
        <v>0.1318</v>
      </c>
      <c r="Q203">
        <v>66.31</v>
      </c>
      <c r="R203">
        <v>-1.125</v>
      </c>
    </row>
    <row r="204" spans="1:18" x14ac:dyDescent="0.2">
      <c r="A204" s="1">
        <v>39773</v>
      </c>
      <c r="B204" s="2">
        <v>-7.4924999999999997</v>
      </c>
      <c r="C204" s="3">
        <v>72.67</v>
      </c>
      <c r="D204">
        <v>20.22</v>
      </c>
      <c r="E204">
        <v>3.1974</v>
      </c>
      <c r="F204">
        <v>1.0986</v>
      </c>
      <c r="G204">
        <v>1.401</v>
      </c>
      <c r="H204">
        <v>0.56200000000000006</v>
      </c>
      <c r="I204">
        <v>-20</v>
      </c>
      <c r="J204">
        <v>-48</v>
      </c>
      <c r="K204">
        <v>-1.375</v>
      </c>
      <c r="L204">
        <v>-8.5</v>
      </c>
      <c r="M204">
        <v>103.6289</v>
      </c>
      <c r="N204">
        <v>49.19</v>
      </c>
      <c r="O204">
        <v>49.93</v>
      </c>
      <c r="P204">
        <v>1.01E-2</v>
      </c>
      <c r="Q204">
        <v>72.67</v>
      </c>
      <c r="R204">
        <v>-0.75</v>
      </c>
    </row>
    <row r="205" spans="1:18" x14ac:dyDescent="0.2">
      <c r="A205" s="1">
        <v>39780</v>
      </c>
      <c r="B205" s="2">
        <v>-6.9275000000000002</v>
      </c>
      <c r="C205" s="3">
        <v>55.84</v>
      </c>
      <c r="D205">
        <v>18.067499999999999</v>
      </c>
      <c r="E205">
        <v>2.92</v>
      </c>
      <c r="F205">
        <v>0.98070000000000002</v>
      </c>
      <c r="G205">
        <v>1.399</v>
      </c>
      <c r="H205">
        <v>0.60099999999999998</v>
      </c>
      <c r="I205">
        <v>-22.5</v>
      </c>
      <c r="J205">
        <v>-48</v>
      </c>
      <c r="K205">
        <v>-11.625</v>
      </c>
      <c r="L205">
        <v>-14.75</v>
      </c>
      <c r="M205">
        <v>101.6468</v>
      </c>
      <c r="N205">
        <v>53.49</v>
      </c>
      <c r="O205">
        <v>54.43</v>
      </c>
      <c r="P205">
        <v>4.0599999999999997E-2</v>
      </c>
      <c r="Q205">
        <v>55.84</v>
      </c>
      <c r="R205">
        <v>-10.5</v>
      </c>
    </row>
    <row r="206" spans="1:18" x14ac:dyDescent="0.2">
      <c r="A206" s="1">
        <v>39787</v>
      </c>
      <c r="B206" s="2">
        <v>-6.6475</v>
      </c>
      <c r="C206" s="3">
        <v>59.93</v>
      </c>
      <c r="D206">
        <v>20.545000000000002</v>
      </c>
      <c r="E206">
        <v>2.7037</v>
      </c>
      <c r="F206">
        <v>0.9224</v>
      </c>
      <c r="G206">
        <v>1.375</v>
      </c>
      <c r="H206">
        <v>0.57299999999999995</v>
      </c>
      <c r="I206">
        <v>-22.5</v>
      </c>
      <c r="J206">
        <v>-29</v>
      </c>
      <c r="K206">
        <v>-9.75</v>
      </c>
      <c r="L206">
        <v>-13.25</v>
      </c>
      <c r="M206">
        <v>103.4902</v>
      </c>
      <c r="N206">
        <v>39.74</v>
      </c>
      <c r="O206">
        <v>40.81</v>
      </c>
      <c r="P206">
        <v>1.4999999999999999E-2</v>
      </c>
      <c r="Q206">
        <v>59.93</v>
      </c>
      <c r="R206">
        <v>-9.25</v>
      </c>
    </row>
    <row r="207" spans="1:18" x14ac:dyDescent="0.2">
      <c r="A207" s="1">
        <v>39794</v>
      </c>
      <c r="B207" s="2">
        <v>-6.5350000000000001</v>
      </c>
      <c r="C207" s="3">
        <v>54.28</v>
      </c>
      <c r="D207">
        <v>20.017499999999998</v>
      </c>
      <c r="E207">
        <v>2.5705</v>
      </c>
      <c r="F207">
        <v>0.75880000000000003</v>
      </c>
      <c r="G207">
        <v>1.395</v>
      </c>
      <c r="H207">
        <v>0.54100000000000004</v>
      </c>
      <c r="I207">
        <v>-23.75</v>
      </c>
      <c r="J207">
        <v>-35</v>
      </c>
      <c r="K207">
        <v>-11.75</v>
      </c>
      <c r="L207">
        <v>-15.75</v>
      </c>
      <c r="M207">
        <v>100.319</v>
      </c>
      <c r="N207">
        <v>46.41</v>
      </c>
      <c r="O207">
        <v>46.28</v>
      </c>
      <c r="P207">
        <v>5.0000000000000001E-3</v>
      </c>
      <c r="Q207">
        <v>54.28</v>
      </c>
      <c r="R207">
        <v>-10.5</v>
      </c>
    </row>
    <row r="208" spans="1:18" x14ac:dyDescent="0.2">
      <c r="A208" s="1">
        <v>39801</v>
      </c>
      <c r="B208" s="2">
        <v>-3.9</v>
      </c>
      <c r="C208" s="3">
        <v>44.93</v>
      </c>
      <c r="D208">
        <v>19.072500000000002</v>
      </c>
      <c r="E208">
        <v>2.1231</v>
      </c>
      <c r="F208">
        <v>0.73780000000000001</v>
      </c>
      <c r="G208">
        <v>1.236</v>
      </c>
      <c r="H208">
        <v>0.434</v>
      </c>
      <c r="I208">
        <v>-22.5</v>
      </c>
      <c r="J208">
        <v>-28</v>
      </c>
      <c r="K208">
        <v>-6.625</v>
      </c>
      <c r="L208">
        <v>-12.5</v>
      </c>
      <c r="M208">
        <v>98.127799999999993</v>
      </c>
      <c r="N208">
        <v>44</v>
      </c>
      <c r="O208">
        <v>33.869999999999997</v>
      </c>
      <c r="P208">
        <v>1.4999999999999999E-2</v>
      </c>
      <c r="Q208">
        <v>44.93</v>
      </c>
      <c r="R208">
        <v>-1.125</v>
      </c>
    </row>
    <row r="209" spans="1:18" x14ac:dyDescent="0.2">
      <c r="A209" s="1">
        <v>39808</v>
      </c>
      <c r="B209" s="2">
        <v>-3.7025000000000001</v>
      </c>
      <c r="C209" s="3">
        <v>43.38</v>
      </c>
      <c r="D209">
        <v>17.594999999999999</v>
      </c>
      <c r="E209">
        <v>2.1318000000000001</v>
      </c>
      <c r="F209">
        <v>0.88290000000000002</v>
      </c>
      <c r="G209">
        <v>1.21</v>
      </c>
      <c r="H209">
        <v>0.41499999999999998</v>
      </c>
      <c r="I209">
        <v>-20.5</v>
      </c>
      <c r="J209">
        <v>-31</v>
      </c>
      <c r="K209">
        <v>-3</v>
      </c>
      <c r="L209">
        <v>-13.625</v>
      </c>
      <c r="M209">
        <v>98.259399999999999</v>
      </c>
      <c r="N209">
        <v>38.369999999999997</v>
      </c>
      <c r="O209">
        <v>37.71</v>
      </c>
      <c r="P209">
        <v>-1.01E-2</v>
      </c>
      <c r="Q209">
        <v>43.38</v>
      </c>
      <c r="R209">
        <v>-2.5</v>
      </c>
    </row>
    <row r="210" spans="1:18" x14ac:dyDescent="0.2">
      <c r="A210" s="1">
        <v>39815</v>
      </c>
      <c r="B210" s="2">
        <v>-3.75</v>
      </c>
      <c r="C210" s="3">
        <v>39.19</v>
      </c>
      <c r="D210">
        <v>17.852499999999999</v>
      </c>
      <c r="E210">
        <v>2.3687999999999998</v>
      </c>
      <c r="F210">
        <v>0.81940000000000002</v>
      </c>
      <c r="G210">
        <v>1.1739999999999999</v>
      </c>
      <c r="H210">
        <v>0.38500000000000001</v>
      </c>
      <c r="I210">
        <v>-20.5</v>
      </c>
      <c r="J210">
        <v>-31.5</v>
      </c>
      <c r="K210">
        <v>-2.5</v>
      </c>
      <c r="L210">
        <v>-11.5</v>
      </c>
      <c r="M210">
        <v>98.600800000000007</v>
      </c>
      <c r="N210">
        <v>46.91</v>
      </c>
      <c r="O210">
        <v>46.34</v>
      </c>
      <c r="P210">
        <v>7.9100000000000004E-2</v>
      </c>
      <c r="Q210">
        <v>39.19</v>
      </c>
      <c r="R210">
        <v>-1</v>
      </c>
    </row>
    <row r="211" spans="1:18" x14ac:dyDescent="0.2">
      <c r="A211" s="1">
        <v>39822</v>
      </c>
      <c r="B211" s="2">
        <v>-3.6</v>
      </c>
      <c r="C211" s="3">
        <v>42.82</v>
      </c>
      <c r="D211">
        <v>18.067499999999999</v>
      </c>
      <c r="E211">
        <v>2.39</v>
      </c>
      <c r="F211">
        <v>0.74670000000000003</v>
      </c>
      <c r="G211">
        <v>1.296</v>
      </c>
      <c r="H211">
        <v>0.379</v>
      </c>
      <c r="I211">
        <v>-9.875</v>
      </c>
      <c r="J211">
        <v>-11.625</v>
      </c>
      <c r="K211">
        <v>8.75</v>
      </c>
      <c r="L211">
        <v>1.625</v>
      </c>
      <c r="M211">
        <v>98.875200000000007</v>
      </c>
      <c r="N211">
        <v>44.42</v>
      </c>
      <c r="O211">
        <v>40.83</v>
      </c>
      <c r="P211">
        <v>5.5800000000000002E-2</v>
      </c>
      <c r="Q211">
        <v>42.82</v>
      </c>
      <c r="R211">
        <v>11.5</v>
      </c>
    </row>
    <row r="212" spans="1:18" x14ac:dyDescent="0.2">
      <c r="A212" s="1">
        <v>39829</v>
      </c>
      <c r="B212" s="2">
        <v>-4.2300000000000004</v>
      </c>
      <c r="C212" s="3">
        <v>46.11</v>
      </c>
      <c r="D212">
        <v>18.487500000000001</v>
      </c>
      <c r="E212">
        <v>2.3188</v>
      </c>
      <c r="F212">
        <v>0.72099999999999997</v>
      </c>
      <c r="G212">
        <v>1.226</v>
      </c>
      <c r="H212">
        <v>0.372</v>
      </c>
      <c r="I212">
        <v>-20.5</v>
      </c>
      <c r="J212">
        <v>-31</v>
      </c>
      <c r="K212">
        <v>3.625</v>
      </c>
      <c r="L212">
        <v>-1.75</v>
      </c>
      <c r="M212">
        <v>100.711</v>
      </c>
      <c r="N212">
        <v>46.57</v>
      </c>
      <c r="O212">
        <v>36.51</v>
      </c>
      <c r="P212">
        <v>0.1116</v>
      </c>
      <c r="Q212">
        <v>46.11</v>
      </c>
      <c r="R212">
        <v>8.5</v>
      </c>
    </row>
    <row r="213" spans="1:18" x14ac:dyDescent="0.2">
      <c r="A213" s="1">
        <v>39836</v>
      </c>
      <c r="B213" s="2">
        <v>-4.1675000000000004</v>
      </c>
      <c r="C213" s="3">
        <v>47.27</v>
      </c>
      <c r="D213">
        <v>21.1</v>
      </c>
      <c r="E213">
        <v>2.6172</v>
      </c>
      <c r="F213">
        <v>0.8095</v>
      </c>
      <c r="G213">
        <v>1.24</v>
      </c>
      <c r="H213">
        <v>0.36799999999999999</v>
      </c>
      <c r="I213">
        <v>-24.69</v>
      </c>
      <c r="J213">
        <v>-31.625</v>
      </c>
      <c r="K213">
        <v>4</v>
      </c>
      <c r="L213">
        <v>-5.44</v>
      </c>
      <c r="M213">
        <v>102.1096</v>
      </c>
      <c r="N213">
        <v>48.37</v>
      </c>
      <c r="O213">
        <v>46.47</v>
      </c>
      <c r="P213">
        <v>9.6299999999999997E-2</v>
      </c>
      <c r="Q213">
        <v>47.27</v>
      </c>
      <c r="R213">
        <v>7.44</v>
      </c>
    </row>
    <row r="214" spans="1:18" x14ac:dyDescent="0.2">
      <c r="A214" s="1">
        <v>39843</v>
      </c>
      <c r="B214" s="2">
        <v>-3.9275000000000002</v>
      </c>
      <c r="C214" s="3">
        <v>44.84</v>
      </c>
      <c r="D214">
        <v>20.46</v>
      </c>
      <c r="E214">
        <v>2.8403</v>
      </c>
      <c r="F214">
        <v>0.94630000000000003</v>
      </c>
      <c r="G214">
        <v>1.2969999999999999</v>
      </c>
      <c r="H214">
        <v>0.40600000000000003</v>
      </c>
      <c r="I214">
        <v>-31.25</v>
      </c>
      <c r="J214">
        <v>-33.44</v>
      </c>
      <c r="K214">
        <v>-5.8150000000000004</v>
      </c>
      <c r="L214">
        <v>-15.625</v>
      </c>
      <c r="M214">
        <v>102.1169</v>
      </c>
      <c r="N214">
        <v>45.88</v>
      </c>
      <c r="O214">
        <v>41.68</v>
      </c>
      <c r="P214">
        <v>0.22620000000000001</v>
      </c>
      <c r="Q214">
        <v>44.84</v>
      </c>
      <c r="R214">
        <v>-2.375</v>
      </c>
    </row>
    <row r="215" spans="1:18" x14ac:dyDescent="0.2">
      <c r="A215" s="1">
        <v>39850</v>
      </c>
      <c r="B215" s="2">
        <v>-3.54</v>
      </c>
      <c r="C215" s="3">
        <v>43.37</v>
      </c>
      <c r="D215">
        <v>17.4725</v>
      </c>
      <c r="E215">
        <v>2.9916999999999998</v>
      </c>
      <c r="F215">
        <v>0.99509999999999998</v>
      </c>
      <c r="G215">
        <v>1.341</v>
      </c>
      <c r="H215">
        <v>0.42099999999999999</v>
      </c>
      <c r="I215">
        <v>-46</v>
      </c>
      <c r="J215">
        <v>-41</v>
      </c>
      <c r="K215">
        <v>-18</v>
      </c>
      <c r="L215">
        <v>-28</v>
      </c>
      <c r="M215">
        <v>101.74550000000001</v>
      </c>
      <c r="N215">
        <v>46.21</v>
      </c>
      <c r="O215">
        <v>40.17</v>
      </c>
      <c r="P215">
        <v>0.27389999999999998</v>
      </c>
      <c r="Q215">
        <v>43.37</v>
      </c>
      <c r="R215">
        <v>-14.5</v>
      </c>
    </row>
    <row r="216" spans="1:18" x14ac:dyDescent="0.2">
      <c r="A216" s="1">
        <v>39857</v>
      </c>
      <c r="B216" s="2">
        <v>-3.45</v>
      </c>
      <c r="C216" s="3">
        <v>42.93</v>
      </c>
      <c r="D216">
        <v>17.4375</v>
      </c>
      <c r="E216">
        <v>2.8894000000000002</v>
      </c>
      <c r="F216">
        <v>0.96399999999999997</v>
      </c>
      <c r="G216">
        <v>1.2649999999999999</v>
      </c>
      <c r="H216">
        <v>0.39500000000000002</v>
      </c>
      <c r="I216">
        <v>-46.625</v>
      </c>
      <c r="J216">
        <v>-34.25</v>
      </c>
      <c r="K216">
        <v>-20.065000000000001</v>
      </c>
      <c r="L216">
        <v>-34.125</v>
      </c>
      <c r="M216">
        <v>102.2958</v>
      </c>
      <c r="N216">
        <v>44.81</v>
      </c>
      <c r="O216">
        <v>37.51</v>
      </c>
      <c r="P216">
        <v>0.28920000000000001</v>
      </c>
      <c r="Q216">
        <v>42.93</v>
      </c>
      <c r="R216">
        <v>-13.625</v>
      </c>
    </row>
    <row r="217" spans="1:18" x14ac:dyDescent="0.2">
      <c r="A217" s="1">
        <v>39864</v>
      </c>
      <c r="B217" s="2">
        <v>-2.8875000000000002</v>
      </c>
      <c r="C217" s="3">
        <v>49.3</v>
      </c>
      <c r="D217">
        <v>16.555</v>
      </c>
      <c r="E217">
        <v>2.7879</v>
      </c>
      <c r="F217">
        <v>0.94020000000000004</v>
      </c>
      <c r="G217">
        <v>1.284</v>
      </c>
      <c r="H217">
        <v>0.38600000000000001</v>
      </c>
      <c r="I217">
        <v>-49</v>
      </c>
      <c r="J217">
        <v>-37</v>
      </c>
      <c r="K217">
        <v>-16.5</v>
      </c>
      <c r="L217">
        <v>-33</v>
      </c>
      <c r="M217">
        <v>104.0244</v>
      </c>
      <c r="N217">
        <v>41.89</v>
      </c>
      <c r="O217">
        <v>38.94</v>
      </c>
      <c r="P217">
        <v>0.26889999999999997</v>
      </c>
      <c r="Q217">
        <v>49.3</v>
      </c>
      <c r="R217">
        <v>-8.75</v>
      </c>
    </row>
    <row r="218" spans="1:18" x14ac:dyDescent="0.2">
      <c r="A218" s="1">
        <v>39871</v>
      </c>
      <c r="B218" s="2">
        <v>-2.61</v>
      </c>
      <c r="C218" s="3">
        <v>46.35</v>
      </c>
      <c r="D218">
        <v>17.344999999999999</v>
      </c>
      <c r="E218">
        <v>3.0131000000000001</v>
      </c>
      <c r="F218">
        <v>0.97009999999999996</v>
      </c>
      <c r="G218">
        <v>1.28</v>
      </c>
      <c r="H218">
        <v>0.40500000000000003</v>
      </c>
      <c r="I218">
        <v>-66.22</v>
      </c>
      <c r="J218">
        <v>-41</v>
      </c>
      <c r="K218">
        <v>-20.75</v>
      </c>
      <c r="L218">
        <v>-53.75</v>
      </c>
      <c r="M218">
        <v>104.9284</v>
      </c>
      <c r="N218">
        <v>46.35</v>
      </c>
      <c r="O218">
        <v>44.76</v>
      </c>
      <c r="P218">
        <v>0.2465</v>
      </c>
      <c r="Q218">
        <v>46.35</v>
      </c>
      <c r="R218">
        <v>-9.0649999999999995</v>
      </c>
    </row>
    <row r="219" spans="1:18" x14ac:dyDescent="0.2">
      <c r="A219" s="1">
        <v>39878</v>
      </c>
      <c r="B219" s="2">
        <v>-2.3875000000000002</v>
      </c>
      <c r="C219" s="3">
        <v>49.33</v>
      </c>
      <c r="D219">
        <v>17.197500000000002</v>
      </c>
      <c r="E219">
        <v>2.8717000000000001</v>
      </c>
      <c r="F219">
        <v>0.94699999999999995</v>
      </c>
      <c r="G219">
        <v>1.3</v>
      </c>
      <c r="H219">
        <v>0.40600000000000003</v>
      </c>
      <c r="I219">
        <v>-65.63</v>
      </c>
      <c r="J219">
        <v>-37</v>
      </c>
      <c r="K219">
        <v>-27.75</v>
      </c>
      <c r="L219">
        <v>-55.75</v>
      </c>
      <c r="M219">
        <v>105.3937</v>
      </c>
      <c r="N219">
        <v>44.85</v>
      </c>
      <c r="O219">
        <v>45.52</v>
      </c>
      <c r="P219">
        <v>0.1958</v>
      </c>
      <c r="Q219">
        <v>49.33</v>
      </c>
      <c r="R219">
        <v>-13.815</v>
      </c>
    </row>
    <row r="220" spans="1:18" x14ac:dyDescent="0.2">
      <c r="A220" s="1">
        <v>39885</v>
      </c>
      <c r="B220" s="2">
        <v>-1.8425</v>
      </c>
      <c r="C220" s="3">
        <v>42.36</v>
      </c>
      <c r="D220">
        <v>17.36</v>
      </c>
      <c r="E220">
        <v>2.8902000000000001</v>
      </c>
      <c r="F220">
        <v>0.95579999999999998</v>
      </c>
      <c r="G220">
        <v>1.3240000000000001</v>
      </c>
      <c r="H220">
        <v>0.42</v>
      </c>
      <c r="I220">
        <v>-60</v>
      </c>
      <c r="J220">
        <v>-31</v>
      </c>
      <c r="K220">
        <v>-24</v>
      </c>
      <c r="L220">
        <v>-51.5</v>
      </c>
      <c r="M220">
        <v>104.11060000000001</v>
      </c>
      <c r="N220">
        <v>44.93</v>
      </c>
      <c r="O220">
        <v>46.25</v>
      </c>
      <c r="P220">
        <v>0.18770000000000001</v>
      </c>
      <c r="Q220">
        <v>42.36</v>
      </c>
      <c r="R220">
        <v>-10.5</v>
      </c>
    </row>
    <row r="221" spans="1:18" x14ac:dyDescent="0.2">
      <c r="A221" s="1">
        <v>39892</v>
      </c>
      <c r="B221" s="2">
        <v>-0.91</v>
      </c>
      <c r="C221" s="3">
        <v>45.89</v>
      </c>
      <c r="D221">
        <v>17.715</v>
      </c>
      <c r="E221">
        <v>2.6343999999999999</v>
      </c>
      <c r="F221">
        <v>0.86680000000000001</v>
      </c>
      <c r="G221">
        <v>1.27</v>
      </c>
      <c r="H221">
        <v>0.40200000000000002</v>
      </c>
      <c r="I221">
        <v>-48</v>
      </c>
      <c r="J221">
        <v>-19.5</v>
      </c>
      <c r="K221">
        <v>-15</v>
      </c>
      <c r="L221">
        <v>-41</v>
      </c>
      <c r="M221">
        <v>101.0581</v>
      </c>
      <c r="N221">
        <v>51.22</v>
      </c>
      <c r="O221">
        <v>51.06</v>
      </c>
      <c r="P221">
        <v>0.20080000000000001</v>
      </c>
      <c r="Q221">
        <v>45.89</v>
      </c>
      <c r="R221">
        <v>-1.5</v>
      </c>
    </row>
    <row r="222" spans="1:18" x14ac:dyDescent="0.2">
      <c r="A222" s="1">
        <v>39899</v>
      </c>
      <c r="B222" s="2">
        <v>-0.9</v>
      </c>
      <c r="C222" s="3">
        <v>41.04</v>
      </c>
      <c r="D222">
        <v>16.622499999999999</v>
      </c>
      <c r="E222">
        <v>2.7570999999999999</v>
      </c>
      <c r="F222">
        <v>0.90659999999999996</v>
      </c>
      <c r="G222">
        <v>1.3340000000000001</v>
      </c>
      <c r="H222">
        <v>0.42399999999999999</v>
      </c>
      <c r="I222">
        <v>-52.064999999999998</v>
      </c>
      <c r="J222">
        <v>-22</v>
      </c>
      <c r="K222">
        <v>-21.625</v>
      </c>
      <c r="L222">
        <v>-46.064999999999998</v>
      </c>
      <c r="M222">
        <v>101.83880000000001</v>
      </c>
      <c r="N222">
        <v>51.98</v>
      </c>
      <c r="O222">
        <v>52.38</v>
      </c>
      <c r="P222">
        <v>0.1268</v>
      </c>
      <c r="Q222">
        <v>41.04</v>
      </c>
      <c r="R222">
        <v>-8.8149999999999995</v>
      </c>
    </row>
    <row r="223" spans="1:18" x14ac:dyDescent="0.2">
      <c r="A223" s="1">
        <v>39906</v>
      </c>
      <c r="B223" s="2">
        <v>-0.60250000000000004</v>
      </c>
      <c r="C223" s="3">
        <v>39.700000000000003</v>
      </c>
      <c r="D223">
        <v>16.13</v>
      </c>
      <c r="E223">
        <v>2.8853</v>
      </c>
      <c r="F223">
        <v>0.94669999999999999</v>
      </c>
      <c r="G223">
        <v>1.425</v>
      </c>
      <c r="H223">
        <v>0.40600000000000003</v>
      </c>
      <c r="I223">
        <v>-56</v>
      </c>
      <c r="J223">
        <v>-25.5</v>
      </c>
      <c r="K223">
        <v>-23.5</v>
      </c>
      <c r="L223">
        <v>-48.5</v>
      </c>
      <c r="M223">
        <v>100.6429</v>
      </c>
      <c r="N223">
        <v>53.47</v>
      </c>
      <c r="O223">
        <v>52.51</v>
      </c>
      <c r="P223">
        <v>0.20080000000000001</v>
      </c>
      <c r="Q223">
        <v>39.700000000000003</v>
      </c>
      <c r="R223">
        <v>-9.5</v>
      </c>
    </row>
    <row r="224" spans="1:18" x14ac:dyDescent="0.2">
      <c r="A224" s="1">
        <v>39913</v>
      </c>
      <c r="B224" s="2">
        <v>-0.73750000000000004</v>
      </c>
      <c r="C224" s="3">
        <v>36.53</v>
      </c>
      <c r="D224">
        <v>14.82</v>
      </c>
      <c r="E224">
        <v>2.9226000000000001</v>
      </c>
      <c r="F224">
        <v>0.94750000000000001</v>
      </c>
      <c r="G224">
        <v>1.46</v>
      </c>
      <c r="H224">
        <v>0.46500000000000002</v>
      </c>
      <c r="I224">
        <v>-47.5</v>
      </c>
      <c r="J224">
        <v>-23.75</v>
      </c>
      <c r="K224">
        <v>-23</v>
      </c>
      <c r="L224">
        <v>-42.75</v>
      </c>
      <c r="M224">
        <v>100.7597</v>
      </c>
      <c r="N224">
        <v>54.06</v>
      </c>
      <c r="O224">
        <v>52.24</v>
      </c>
      <c r="P224">
        <v>0.17549999999999999</v>
      </c>
      <c r="Q224">
        <v>36.53</v>
      </c>
      <c r="R224">
        <v>-9</v>
      </c>
    </row>
    <row r="225" spans="1:18" x14ac:dyDescent="0.2">
      <c r="A225" s="1">
        <v>39920</v>
      </c>
      <c r="B225" s="2">
        <v>-0.98750000000000004</v>
      </c>
      <c r="C225" s="3">
        <v>33.94</v>
      </c>
      <c r="D225">
        <v>14.41</v>
      </c>
      <c r="E225">
        <v>2.9451000000000001</v>
      </c>
      <c r="F225">
        <v>0.96430000000000005</v>
      </c>
      <c r="G225">
        <v>1.454</v>
      </c>
      <c r="H225">
        <v>0.40799999999999997</v>
      </c>
      <c r="I225">
        <v>-47</v>
      </c>
      <c r="J225">
        <v>-23.5</v>
      </c>
      <c r="K225">
        <v>-22.75</v>
      </c>
      <c r="L225">
        <v>-41.25</v>
      </c>
      <c r="M225">
        <v>100.5719</v>
      </c>
      <c r="N225">
        <v>53.35</v>
      </c>
      <c r="O225">
        <v>50.33</v>
      </c>
      <c r="P225">
        <v>0.1298</v>
      </c>
      <c r="Q225">
        <v>33.94</v>
      </c>
      <c r="R225">
        <v>-8.75</v>
      </c>
    </row>
    <row r="226" spans="1:18" x14ac:dyDescent="0.2">
      <c r="A226" s="1">
        <v>39927</v>
      </c>
      <c r="B226" s="2">
        <v>-1.0900000000000001</v>
      </c>
      <c r="C226" s="3">
        <v>36.82</v>
      </c>
      <c r="D226">
        <v>14.994999999999999</v>
      </c>
      <c r="E226">
        <v>2.9903</v>
      </c>
      <c r="F226">
        <v>0.95699999999999996</v>
      </c>
      <c r="G226">
        <v>1.4339999999999999</v>
      </c>
      <c r="H226">
        <v>0.42599999999999999</v>
      </c>
      <c r="I226">
        <v>-36.5</v>
      </c>
      <c r="J226">
        <v>-19</v>
      </c>
      <c r="K226">
        <v>-13.5</v>
      </c>
      <c r="L226">
        <v>-31</v>
      </c>
      <c r="M226">
        <v>100.0244</v>
      </c>
      <c r="N226">
        <v>51.67</v>
      </c>
      <c r="O226">
        <v>51.55</v>
      </c>
      <c r="P226">
        <v>9.6299999999999997E-2</v>
      </c>
      <c r="Q226">
        <v>36.82</v>
      </c>
      <c r="R226">
        <v>-5.38</v>
      </c>
    </row>
    <row r="227" spans="1:18" x14ac:dyDescent="0.2">
      <c r="A227" s="1">
        <v>39934</v>
      </c>
      <c r="B227" s="2">
        <v>-1.0049999999999999</v>
      </c>
      <c r="C227" s="3">
        <v>35.299999999999997</v>
      </c>
      <c r="D227">
        <v>13.535</v>
      </c>
      <c r="E227">
        <v>3.1533000000000002</v>
      </c>
      <c r="F227">
        <v>0.90680000000000005</v>
      </c>
      <c r="G227">
        <v>1.4059999999999999</v>
      </c>
      <c r="H227">
        <v>0.38500000000000001</v>
      </c>
      <c r="I227">
        <v>-43</v>
      </c>
      <c r="J227">
        <v>-22</v>
      </c>
      <c r="K227">
        <v>-19</v>
      </c>
      <c r="L227">
        <v>-37.5</v>
      </c>
      <c r="M227">
        <v>100.0057</v>
      </c>
      <c r="N227">
        <v>52.85</v>
      </c>
      <c r="O227">
        <v>53.2</v>
      </c>
      <c r="P227">
        <v>0.14299999999999999</v>
      </c>
      <c r="Q227">
        <v>35.299999999999997</v>
      </c>
      <c r="R227">
        <v>-6</v>
      </c>
    </row>
    <row r="228" spans="1:18" x14ac:dyDescent="0.2">
      <c r="A228" s="1">
        <v>39941</v>
      </c>
      <c r="B228" s="2">
        <v>-0.95499999999999996</v>
      </c>
      <c r="C228" s="3">
        <v>32.049999999999997</v>
      </c>
      <c r="D228">
        <v>12.365</v>
      </c>
      <c r="E228">
        <v>3.2856000000000001</v>
      </c>
      <c r="F228">
        <v>0.97929999999999995</v>
      </c>
      <c r="G228">
        <v>1.4550000000000001</v>
      </c>
      <c r="H228">
        <v>0.40699999999999997</v>
      </c>
      <c r="I228">
        <v>-40.5</v>
      </c>
      <c r="J228">
        <v>-21</v>
      </c>
      <c r="K228">
        <v>-18</v>
      </c>
      <c r="L228">
        <v>-35</v>
      </c>
      <c r="M228">
        <v>98.126900000000006</v>
      </c>
      <c r="N228">
        <v>58.14</v>
      </c>
      <c r="O228">
        <v>58.63</v>
      </c>
      <c r="P228">
        <v>0.1714</v>
      </c>
      <c r="Q228">
        <v>32.049999999999997</v>
      </c>
      <c r="R228">
        <v>-9.5</v>
      </c>
    </row>
    <row r="229" spans="1:18" x14ac:dyDescent="0.2">
      <c r="A229" s="1">
        <v>39948</v>
      </c>
      <c r="B229" s="2">
        <v>-1.4675</v>
      </c>
      <c r="C229" s="3">
        <v>33.119999999999997</v>
      </c>
      <c r="D229">
        <v>14.2675</v>
      </c>
      <c r="E229">
        <v>3.1341000000000001</v>
      </c>
      <c r="F229">
        <v>0.85070000000000001</v>
      </c>
      <c r="G229">
        <v>1.4319999999999999</v>
      </c>
      <c r="H229">
        <v>0.376</v>
      </c>
      <c r="I229">
        <v>-38</v>
      </c>
      <c r="J229">
        <v>-19.5</v>
      </c>
      <c r="K229">
        <v>-19.5</v>
      </c>
      <c r="L229">
        <v>-33</v>
      </c>
      <c r="M229">
        <v>98.106300000000005</v>
      </c>
      <c r="N229">
        <v>55.98</v>
      </c>
      <c r="O229">
        <v>56.34</v>
      </c>
      <c r="P229">
        <v>0.15620000000000001</v>
      </c>
      <c r="Q229">
        <v>33.119999999999997</v>
      </c>
      <c r="R229">
        <v>-7.5</v>
      </c>
    </row>
    <row r="230" spans="1:18" x14ac:dyDescent="0.2">
      <c r="A230" s="1">
        <v>39955</v>
      </c>
      <c r="B230" s="2">
        <v>-1.2725</v>
      </c>
      <c r="C230" s="3">
        <v>32.630000000000003</v>
      </c>
      <c r="D230">
        <v>15.1675</v>
      </c>
      <c r="E230">
        <v>3.4495</v>
      </c>
      <c r="F230">
        <v>0.8831</v>
      </c>
      <c r="G230">
        <v>1.4379999999999999</v>
      </c>
      <c r="H230">
        <v>0.35699999999999998</v>
      </c>
      <c r="I230">
        <v>-38.75</v>
      </c>
      <c r="J230">
        <v>-24.25</v>
      </c>
      <c r="K230">
        <v>-19.25</v>
      </c>
      <c r="L230">
        <v>-33.625</v>
      </c>
      <c r="M230">
        <v>95.878799999999998</v>
      </c>
      <c r="N230">
        <v>60.78</v>
      </c>
      <c r="O230">
        <v>61.67</v>
      </c>
      <c r="P230">
        <v>0.1734</v>
      </c>
      <c r="Q230">
        <v>32.630000000000003</v>
      </c>
      <c r="R230">
        <v>-7.38</v>
      </c>
    </row>
    <row r="231" spans="1:18" x14ac:dyDescent="0.2">
      <c r="A231" s="1">
        <v>39962</v>
      </c>
      <c r="B231" s="2">
        <v>-1.325</v>
      </c>
      <c r="C231" s="3">
        <v>28.92</v>
      </c>
      <c r="D231">
        <v>14.7075</v>
      </c>
      <c r="E231">
        <v>3.4594</v>
      </c>
      <c r="F231">
        <v>0.91459999999999997</v>
      </c>
      <c r="G231">
        <v>1.49</v>
      </c>
      <c r="H231">
        <v>0.35899999999999999</v>
      </c>
      <c r="I231">
        <v>-44.5</v>
      </c>
      <c r="J231">
        <v>-27</v>
      </c>
      <c r="K231">
        <v>-23</v>
      </c>
      <c r="L231">
        <v>-37.5</v>
      </c>
      <c r="M231">
        <v>95.268000000000001</v>
      </c>
      <c r="N231">
        <v>65.52</v>
      </c>
      <c r="O231">
        <v>66.31</v>
      </c>
      <c r="P231">
        <v>0.1298</v>
      </c>
      <c r="Q231">
        <v>28.92</v>
      </c>
      <c r="R231">
        <v>-10.5</v>
      </c>
    </row>
    <row r="232" spans="1:18" x14ac:dyDescent="0.2">
      <c r="A232" s="1">
        <v>39969</v>
      </c>
      <c r="B232" s="2">
        <v>-1.2725</v>
      </c>
      <c r="C232" s="3">
        <v>29.62</v>
      </c>
      <c r="D232">
        <v>14.5525</v>
      </c>
      <c r="E232">
        <v>3.8279000000000001</v>
      </c>
      <c r="F232">
        <v>1.2923</v>
      </c>
      <c r="G232">
        <v>1.5029999999999999</v>
      </c>
      <c r="H232">
        <v>0.35099999999999998</v>
      </c>
      <c r="I232">
        <v>-44.63</v>
      </c>
      <c r="J232">
        <v>-28.875</v>
      </c>
      <c r="K232">
        <v>-26.315000000000001</v>
      </c>
      <c r="L232">
        <v>-39.314999999999998</v>
      </c>
      <c r="M232">
        <v>96.041200000000003</v>
      </c>
      <c r="N232">
        <v>68.34</v>
      </c>
      <c r="O232">
        <v>68.44</v>
      </c>
      <c r="P232">
        <v>0.17749999999999999</v>
      </c>
      <c r="Q232">
        <v>29.62</v>
      </c>
      <c r="R232">
        <v>-14.69</v>
      </c>
    </row>
    <row r="233" spans="1:18" x14ac:dyDescent="0.2">
      <c r="A233" s="1">
        <v>39976</v>
      </c>
      <c r="B233" s="2">
        <v>-1.1475</v>
      </c>
      <c r="C233" s="3">
        <v>28.15</v>
      </c>
      <c r="D233">
        <v>14.33</v>
      </c>
      <c r="E233">
        <v>3.7915999999999999</v>
      </c>
      <c r="F233">
        <v>1.2638</v>
      </c>
      <c r="G233">
        <v>1.5209999999999999</v>
      </c>
      <c r="H233">
        <v>0.38100000000000001</v>
      </c>
      <c r="I233">
        <v>-43.5</v>
      </c>
      <c r="J233">
        <v>-27.25</v>
      </c>
      <c r="K233">
        <v>-28</v>
      </c>
      <c r="L233">
        <v>-38.5</v>
      </c>
      <c r="M233">
        <v>95.835999999999999</v>
      </c>
      <c r="N233">
        <v>70.92</v>
      </c>
      <c r="O233">
        <v>72.040000000000006</v>
      </c>
      <c r="P233">
        <v>0.1653</v>
      </c>
      <c r="Q233">
        <v>28.15</v>
      </c>
      <c r="R233">
        <v>-16</v>
      </c>
    </row>
    <row r="234" spans="1:18" x14ac:dyDescent="0.2">
      <c r="A234" s="1">
        <v>39983</v>
      </c>
      <c r="B234" s="2">
        <v>-1.37</v>
      </c>
      <c r="C234" s="3">
        <v>27.99</v>
      </c>
      <c r="D234">
        <v>14.612500000000001</v>
      </c>
      <c r="E234">
        <v>3.7808000000000002</v>
      </c>
      <c r="F234">
        <v>1.2018</v>
      </c>
      <c r="G234">
        <v>1.452</v>
      </c>
      <c r="H234">
        <v>0.36199999999999999</v>
      </c>
      <c r="I234">
        <v>-46</v>
      </c>
      <c r="J234">
        <v>-30.5</v>
      </c>
      <c r="K234">
        <v>-29.5</v>
      </c>
      <c r="L234">
        <v>-40</v>
      </c>
      <c r="M234">
        <v>96.032499999999999</v>
      </c>
      <c r="N234">
        <v>69.19</v>
      </c>
      <c r="O234">
        <v>69.55</v>
      </c>
      <c r="P234">
        <v>0.16839999999999999</v>
      </c>
      <c r="Q234">
        <v>27.99</v>
      </c>
      <c r="R234">
        <v>-18</v>
      </c>
    </row>
    <row r="235" spans="1:18" x14ac:dyDescent="0.2">
      <c r="A235" s="1">
        <v>39990</v>
      </c>
      <c r="B235" s="2">
        <v>-1.4975000000000001</v>
      </c>
      <c r="C235" s="3">
        <v>25.93</v>
      </c>
      <c r="D235">
        <v>14.64</v>
      </c>
      <c r="E235">
        <v>3.5363000000000002</v>
      </c>
      <c r="F235">
        <v>1.1092</v>
      </c>
      <c r="G235">
        <v>1.4039999999999999</v>
      </c>
      <c r="H235">
        <v>0.32</v>
      </c>
      <c r="I235">
        <v>-45.09</v>
      </c>
      <c r="J235">
        <v>-30.125</v>
      </c>
      <c r="K235">
        <v>-29.375</v>
      </c>
      <c r="L235">
        <v>-39.69</v>
      </c>
      <c r="M235">
        <v>96.1935</v>
      </c>
      <c r="N235">
        <v>68.92</v>
      </c>
      <c r="O235">
        <v>69.16</v>
      </c>
      <c r="P235">
        <v>0.1724</v>
      </c>
      <c r="Q235">
        <v>25.93</v>
      </c>
      <c r="R235">
        <v>-18.375</v>
      </c>
    </row>
    <row r="236" spans="1:18" x14ac:dyDescent="0.2">
      <c r="A236" s="1">
        <v>39997</v>
      </c>
      <c r="B236" s="2">
        <v>-1.5</v>
      </c>
      <c r="C236" s="3">
        <v>27.95</v>
      </c>
      <c r="D236">
        <v>13.2925</v>
      </c>
      <c r="E236">
        <v>3.4984999999999999</v>
      </c>
      <c r="F236">
        <v>0.98129999999999995</v>
      </c>
      <c r="G236">
        <v>1.33</v>
      </c>
      <c r="H236">
        <v>0.26500000000000001</v>
      </c>
      <c r="I236">
        <v>-38.880000000000003</v>
      </c>
      <c r="J236">
        <v>-28</v>
      </c>
      <c r="K236">
        <v>-22.875</v>
      </c>
      <c r="L236">
        <v>-33.5</v>
      </c>
      <c r="M236">
        <v>96.321600000000004</v>
      </c>
      <c r="N236">
        <v>65.61</v>
      </c>
      <c r="O236">
        <v>66.73</v>
      </c>
      <c r="P236">
        <v>0.1532</v>
      </c>
      <c r="Q236">
        <v>27.95</v>
      </c>
      <c r="R236">
        <v>-12.94</v>
      </c>
    </row>
    <row r="237" spans="1:18" x14ac:dyDescent="0.2">
      <c r="A237" s="1">
        <v>40004</v>
      </c>
      <c r="B237" s="2">
        <v>-2.0924999999999998</v>
      </c>
      <c r="C237" s="3">
        <v>29.02</v>
      </c>
      <c r="D237">
        <v>15.31</v>
      </c>
      <c r="E237">
        <v>3.3026</v>
      </c>
      <c r="F237">
        <v>0.89980000000000004</v>
      </c>
      <c r="G237">
        <v>1.3049999999999999</v>
      </c>
      <c r="H237">
        <v>0.248</v>
      </c>
      <c r="I237">
        <v>-38.375</v>
      </c>
      <c r="J237">
        <v>-30.375</v>
      </c>
      <c r="K237">
        <v>-18</v>
      </c>
      <c r="L237">
        <v>-31.75</v>
      </c>
      <c r="M237">
        <v>97.081900000000005</v>
      </c>
      <c r="N237">
        <v>60.52</v>
      </c>
      <c r="O237">
        <v>59.89</v>
      </c>
      <c r="P237">
        <v>0.16739999999999999</v>
      </c>
      <c r="Q237">
        <v>29.02</v>
      </c>
      <c r="R237">
        <v>-8</v>
      </c>
    </row>
    <row r="238" spans="1:18" x14ac:dyDescent="0.2">
      <c r="A238" s="1">
        <v>40011</v>
      </c>
      <c r="B238" s="2">
        <v>-2.2675000000000001</v>
      </c>
      <c r="C238" s="3">
        <v>24.34</v>
      </c>
      <c r="D238">
        <v>14.53</v>
      </c>
      <c r="E238">
        <v>3.6433</v>
      </c>
      <c r="F238">
        <v>0.98680000000000001</v>
      </c>
      <c r="G238">
        <v>1.325</v>
      </c>
      <c r="H238">
        <v>0.26900000000000002</v>
      </c>
      <c r="I238">
        <v>-41.5</v>
      </c>
      <c r="J238">
        <v>-32</v>
      </c>
      <c r="K238">
        <v>-19.25</v>
      </c>
      <c r="L238">
        <v>-34</v>
      </c>
      <c r="M238">
        <v>95.6036</v>
      </c>
      <c r="N238">
        <v>65.38</v>
      </c>
      <c r="O238">
        <v>63.56</v>
      </c>
      <c r="P238">
        <v>0.1623</v>
      </c>
      <c r="Q238">
        <v>24.34</v>
      </c>
      <c r="R238">
        <v>-9.25</v>
      </c>
    </row>
    <row r="239" spans="1:18" x14ac:dyDescent="0.2">
      <c r="A239" s="1">
        <v>40018</v>
      </c>
      <c r="B239" s="2">
        <v>-2.11</v>
      </c>
      <c r="C239" s="3">
        <v>23.09</v>
      </c>
      <c r="D239">
        <v>14.0025</v>
      </c>
      <c r="E239">
        <v>3.6577999999999999</v>
      </c>
      <c r="F239">
        <v>0.99360000000000004</v>
      </c>
      <c r="G239">
        <v>1.383</v>
      </c>
      <c r="H239">
        <v>0.27600000000000002</v>
      </c>
      <c r="I239">
        <v>-41.5</v>
      </c>
      <c r="J239">
        <v>-30.5</v>
      </c>
      <c r="K239">
        <v>-22.5</v>
      </c>
      <c r="L239">
        <v>-36</v>
      </c>
      <c r="M239">
        <v>94.704599999999999</v>
      </c>
      <c r="N239">
        <v>70.319999999999993</v>
      </c>
      <c r="O239">
        <v>68.05</v>
      </c>
      <c r="P239">
        <v>0.17749999999999999</v>
      </c>
      <c r="Q239">
        <v>23.09</v>
      </c>
      <c r="R239">
        <v>-13.5</v>
      </c>
    </row>
    <row r="240" spans="1:18" x14ac:dyDescent="0.2">
      <c r="A240" s="1">
        <v>40025</v>
      </c>
      <c r="B240" s="2">
        <v>-2.0775000000000001</v>
      </c>
      <c r="C240" s="3">
        <v>25.92</v>
      </c>
      <c r="D240">
        <v>13.9375</v>
      </c>
      <c r="E240">
        <v>3.4796</v>
      </c>
      <c r="F240">
        <v>1.1113</v>
      </c>
      <c r="G240">
        <v>1.419</v>
      </c>
      <c r="H240">
        <v>0.28499999999999998</v>
      </c>
      <c r="I240">
        <v>-39.375</v>
      </c>
      <c r="J240">
        <v>-28</v>
      </c>
      <c r="K240">
        <v>-24</v>
      </c>
      <c r="L240">
        <v>-36</v>
      </c>
      <c r="M240">
        <v>94.252600000000001</v>
      </c>
      <c r="N240">
        <v>71.7</v>
      </c>
      <c r="O240">
        <v>69.45</v>
      </c>
      <c r="P240">
        <v>0.17549999999999999</v>
      </c>
      <c r="Q240">
        <v>25.92</v>
      </c>
      <c r="R240">
        <v>-16.065000000000001</v>
      </c>
    </row>
    <row r="241" spans="1:18" x14ac:dyDescent="0.2">
      <c r="A241" s="1">
        <v>40032</v>
      </c>
      <c r="B241" s="2">
        <v>-1.9724999999999999</v>
      </c>
      <c r="C241" s="3">
        <v>24.76</v>
      </c>
      <c r="D241">
        <v>14.335000000000001</v>
      </c>
      <c r="E241">
        <v>3.8502000000000001</v>
      </c>
      <c r="F241">
        <v>1.2977000000000001</v>
      </c>
      <c r="G241">
        <v>1.44</v>
      </c>
      <c r="H241">
        <v>0.27300000000000002</v>
      </c>
      <c r="I241">
        <v>-37.5</v>
      </c>
      <c r="J241">
        <v>-27.5</v>
      </c>
      <c r="K241">
        <v>-24.75</v>
      </c>
      <c r="L241">
        <v>-35.25</v>
      </c>
      <c r="M241">
        <v>94.469200000000001</v>
      </c>
      <c r="N241">
        <v>73.59</v>
      </c>
      <c r="O241">
        <v>70.930000000000007</v>
      </c>
      <c r="P241">
        <v>0.1704</v>
      </c>
      <c r="Q241">
        <v>24.76</v>
      </c>
      <c r="R241">
        <v>-18.25</v>
      </c>
    </row>
    <row r="242" spans="1:18" x14ac:dyDescent="0.2">
      <c r="A242" s="1">
        <v>40039</v>
      </c>
      <c r="B242" s="2">
        <v>-2.4175</v>
      </c>
      <c r="C242" s="3">
        <v>24.27</v>
      </c>
      <c r="D242">
        <v>14.702500000000001</v>
      </c>
      <c r="E242">
        <v>3.5688</v>
      </c>
      <c r="F242">
        <v>1.0485</v>
      </c>
      <c r="G242">
        <v>1.385</v>
      </c>
      <c r="H242">
        <v>0.27</v>
      </c>
      <c r="I242">
        <v>-34.94</v>
      </c>
      <c r="J242">
        <v>-26.565000000000001</v>
      </c>
      <c r="K242">
        <v>-22.44</v>
      </c>
      <c r="L242">
        <v>-31.815000000000001</v>
      </c>
      <c r="M242">
        <v>94.474999999999994</v>
      </c>
      <c r="N242">
        <v>72.41</v>
      </c>
      <c r="O242">
        <v>67.510000000000005</v>
      </c>
      <c r="P242">
        <v>0.1663</v>
      </c>
      <c r="Q242">
        <v>24.27</v>
      </c>
      <c r="R242">
        <v>-16.065000000000001</v>
      </c>
    </row>
    <row r="243" spans="1:18" x14ac:dyDescent="0.2">
      <c r="A243" s="1">
        <v>40046</v>
      </c>
      <c r="B243" s="2">
        <v>-2.645</v>
      </c>
      <c r="C243" s="3">
        <v>25.01</v>
      </c>
      <c r="D243">
        <v>14.06</v>
      </c>
      <c r="E243">
        <v>3.5649000000000002</v>
      </c>
      <c r="F243">
        <v>1.0899000000000001</v>
      </c>
      <c r="G243">
        <v>1.3149999999999999</v>
      </c>
      <c r="H243">
        <v>0.251</v>
      </c>
      <c r="I243">
        <v>-32.625</v>
      </c>
      <c r="J243">
        <v>-23.25</v>
      </c>
      <c r="K243">
        <v>-19.25</v>
      </c>
      <c r="L243">
        <v>-29.875</v>
      </c>
      <c r="M243">
        <v>94.010300000000001</v>
      </c>
      <c r="N243">
        <v>74.19</v>
      </c>
      <c r="O243">
        <v>73.89</v>
      </c>
      <c r="P243">
        <v>0.15620000000000001</v>
      </c>
      <c r="Q243">
        <v>25.01</v>
      </c>
      <c r="R243">
        <v>-12.25</v>
      </c>
    </row>
    <row r="244" spans="1:18" x14ac:dyDescent="0.2">
      <c r="A244" s="1">
        <v>40053</v>
      </c>
      <c r="B244" s="2">
        <v>-2.4500000000000002</v>
      </c>
      <c r="C244" s="3">
        <v>24.76</v>
      </c>
      <c r="D244">
        <v>13.93</v>
      </c>
      <c r="E244">
        <v>3.4456000000000002</v>
      </c>
      <c r="F244">
        <v>1.0158</v>
      </c>
      <c r="G244">
        <v>1.3149999999999999</v>
      </c>
      <c r="H244">
        <v>0.254</v>
      </c>
      <c r="I244">
        <v>-34</v>
      </c>
      <c r="J244">
        <v>-23</v>
      </c>
      <c r="K244">
        <v>-25</v>
      </c>
      <c r="L244">
        <v>-33.5</v>
      </c>
      <c r="M244">
        <v>94.448899999999995</v>
      </c>
      <c r="N244">
        <v>72.790000000000006</v>
      </c>
      <c r="O244">
        <v>72.739999999999995</v>
      </c>
      <c r="P244">
        <v>0.13689999999999999</v>
      </c>
      <c r="Q244">
        <v>24.76</v>
      </c>
      <c r="R244">
        <v>-18.5</v>
      </c>
    </row>
    <row r="245" spans="1:18" x14ac:dyDescent="0.2">
      <c r="A245" s="1">
        <v>40060</v>
      </c>
      <c r="B245" s="2">
        <v>-2.4849999999999999</v>
      </c>
      <c r="C245" s="3">
        <v>25.26</v>
      </c>
      <c r="D245">
        <v>13.785</v>
      </c>
      <c r="E245">
        <v>3.4378000000000002</v>
      </c>
      <c r="F245">
        <v>0.92810000000000004</v>
      </c>
      <c r="G245">
        <v>1.331</v>
      </c>
      <c r="H245">
        <v>0.24399999999999999</v>
      </c>
      <c r="I245">
        <v>-36.375</v>
      </c>
      <c r="J245">
        <v>-28.75</v>
      </c>
      <c r="K245">
        <v>-24.625</v>
      </c>
      <c r="L245">
        <v>-34.25</v>
      </c>
      <c r="M245">
        <v>94.581100000000006</v>
      </c>
      <c r="N245">
        <v>66.819999999999993</v>
      </c>
      <c r="O245">
        <v>68.02</v>
      </c>
      <c r="P245">
        <v>0.1258</v>
      </c>
      <c r="Q245">
        <v>25.26</v>
      </c>
      <c r="R245">
        <v>-17.625</v>
      </c>
    </row>
    <row r="246" spans="1:18" x14ac:dyDescent="0.2">
      <c r="A246" s="1">
        <v>40067</v>
      </c>
      <c r="B246" s="2">
        <v>-2.31</v>
      </c>
      <c r="C246" s="3">
        <v>24.15</v>
      </c>
      <c r="D246">
        <v>14.31</v>
      </c>
      <c r="E246">
        <v>3.347</v>
      </c>
      <c r="F246">
        <v>0.90329999999999999</v>
      </c>
      <c r="G246">
        <v>1.31</v>
      </c>
      <c r="H246">
        <v>0.215</v>
      </c>
      <c r="I246">
        <v>-35.774999999999999</v>
      </c>
      <c r="J246">
        <v>-25.8</v>
      </c>
      <c r="K246">
        <v>-24.5</v>
      </c>
      <c r="L246">
        <v>-34.5</v>
      </c>
      <c r="M246">
        <v>93.322500000000005</v>
      </c>
      <c r="N246">
        <v>67.69</v>
      </c>
      <c r="O246">
        <v>69.290000000000006</v>
      </c>
      <c r="P246">
        <v>0.13489999999999999</v>
      </c>
      <c r="Q246">
        <v>24.15</v>
      </c>
      <c r="R246">
        <v>-17.5</v>
      </c>
    </row>
    <row r="247" spans="1:18" x14ac:dyDescent="0.2">
      <c r="A247" s="1">
        <v>40074</v>
      </c>
      <c r="B247" s="2">
        <v>-2.2250000000000001</v>
      </c>
      <c r="C247" s="3">
        <v>23.92</v>
      </c>
      <c r="D247">
        <v>13.98</v>
      </c>
      <c r="E247">
        <v>3.4632000000000001</v>
      </c>
      <c r="F247">
        <v>0.99180000000000001</v>
      </c>
      <c r="G247">
        <v>1.3480000000000001</v>
      </c>
      <c r="H247">
        <v>0.22900000000000001</v>
      </c>
      <c r="I247">
        <v>-35.75</v>
      </c>
      <c r="J247">
        <v>-27</v>
      </c>
      <c r="K247">
        <v>-25</v>
      </c>
      <c r="L247">
        <v>-35</v>
      </c>
      <c r="M247">
        <v>93.1233</v>
      </c>
      <c r="N247">
        <v>71.319999999999993</v>
      </c>
      <c r="O247">
        <v>72.040000000000006</v>
      </c>
      <c r="P247">
        <v>7.9100000000000004E-2</v>
      </c>
      <c r="Q247">
        <v>23.92</v>
      </c>
      <c r="R247">
        <v>-17.75</v>
      </c>
    </row>
    <row r="248" spans="1:18" x14ac:dyDescent="0.2">
      <c r="A248" s="1">
        <v>40081</v>
      </c>
      <c r="B248" s="2">
        <v>-2.125</v>
      </c>
      <c r="C248" s="3">
        <v>25.61</v>
      </c>
      <c r="D248">
        <v>13.925000000000001</v>
      </c>
      <c r="E248">
        <v>3.3184</v>
      </c>
      <c r="F248">
        <v>0.98419999999999996</v>
      </c>
      <c r="G248">
        <v>1.3180000000000001</v>
      </c>
      <c r="H248">
        <v>0.22</v>
      </c>
      <c r="I248">
        <v>-36</v>
      </c>
      <c r="J248">
        <v>-27.0625</v>
      </c>
      <c r="K248">
        <v>-25</v>
      </c>
      <c r="L248">
        <v>-35</v>
      </c>
      <c r="M248">
        <v>93.5535</v>
      </c>
      <c r="N248">
        <v>65.11</v>
      </c>
      <c r="O248">
        <v>66.02</v>
      </c>
      <c r="P248">
        <v>9.6299999999999997E-2</v>
      </c>
      <c r="Q248">
        <v>25.61</v>
      </c>
      <c r="R248">
        <v>-18</v>
      </c>
    </row>
    <row r="249" spans="1:18" x14ac:dyDescent="0.2">
      <c r="A249" s="1">
        <v>40088</v>
      </c>
      <c r="B249" s="2">
        <v>-2.1225000000000001</v>
      </c>
      <c r="C249" s="3">
        <v>28.68</v>
      </c>
      <c r="D249">
        <v>13.93</v>
      </c>
      <c r="E249">
        <v>3.2187999999999999</v>
      </c>
      <c r="F249">
        <v>0.86480000000000001</v>
      </c>
      <c r="G249">
        <v>1.26</v>
      </c>
      <c r="H249">
        <v>0.24</v>
      </c>
      <c r="I249">
        <v>-34.25</v>
      </c>
      <c r="J249">
        <v>-25.5</v>
      </c>
      <c r="K249">
        <v>-24.375</v>
      </c>
      <c r="L249">
        <v>-34</v>
      </c>
      <c r="M249">
        <v>93.675600000000003</v>
      </c>
      <c r="N249">
        <v>68.069999999999993</v>
      </c>
      <c r="O249">
        <v>69.95</v>
      </c>
      <c r="P249">
        <v>8.8200000000000001E-2</v>
      </c>
      <c r="Q249">
        <v>28.68</v>
      </c>
      <c r="R249">
        <v>-17.5</v>
      </c>
    </row>
    <row r="250" spans="1:18" x14ac:dyDescent="0.2">
      <c r="A250" s="1">
        <v>40095</v>
      </c>
      <c r="B250" s="2">
        <v>-1.7424999999999999</v>
      </c>
      <c r="C250" s="3">
        <v>23.12</v>
      </c>
      <c r="D250">
        <v>13.765000000000001</v>
      </c>
      <c r="E250">
        <v>3.3801999999999999</v>
      </c>
      <c r="F250">
        <v>0.9597</v>
      </c>
      <c r="G250">
        <v>1.29</v>
      </c>
      <c r="H250">
        <v>0.26</v>
      </c>
      <c r="I250">
        <v>-33.75</v>
      </c>
      <c r="J250">
        <v>-26.5</v>
      </c>
      <c r="K250">
        <v>-25.25</v>
      </c>
      <c r="L250">
        <v>-33.75</v>
      </c>
      <c r="M250">
        <v>92.298400000000001</v>
      </c>
      <c r="N250">
        <v>70</v>
      </c>
      <c r="O250">
        <v>71.77</v>
      </c>
      <c r="P250">
        <v>6.3899999999999998E-2</v>
      </c>
      <c r="Q250">
        <v>23.12</v>
      </c>
      <c r="R250">
        <v>-18.25</v>
      </c>
    </row>
    <row r="251" spans="1:18" x14ac:dyDescent="0.2">
      <c r="A251" s="1">
        <v>40102</v>
      </c>
      <c r="B251" s="2">
        <v>-1.1425000000000001</v>
      </c>
      <c r="C251" s="3">
        <v>21.43</v>
      </c>
      <c r="D251">
        <v>13.875</v>
      </c>
      <c r="E251">
        <v>3.4115000000000002</v>
      </c>
      <c r="F251">
        <v>0.95130000000000003</v>
      </c>
      <c r="G251">
        <v>1.335</v>
      </c>
      <c r="H251">
        <v>0.251</v>
      </c>
      <c r="I251">
        <v>-35</v>
      </c>
      <c r="J251">
        <v>-27.25</v>
      </c>
      <c r="K251">
        <v>-26.25</v>
      </c>
      <c r="L251">
        <v>-34.75</v>
      </c>
      <c r="M251">
        <v>91.6541</v>
      </c>
      <c r="N251">
        <v>76.989999999999995</v>
      </c>
      <c r="O251">
        <v>78.53</v>
      </c>
      <c r="P251">
        <v>5.6800000000000003E-2</v>
      </c>
      <c r="Q251">
        <v>21.43</v>
      </c>
      <c r="R251">
        <v>-19.5</v>
      </c>
    </row>
    <row r="252" spans="1:18" x14ac:dyDescent="0.2">
      <c r="A252" s="1">
        <v>40109</v>
      </c>
      <c r="B252" s="2">
        <v>-1.1775</v>
      </c>
      <c r="C252" s="3">
        <v>22.27</v>
      </c>
      <c r="D252">
        <v>13.365</v>
      </c>
      <c r="E252">
        <v>3.49</v>
      </c>
      <c r="F252">
        <v>0.99990000000000001</v>
      </c>
      <c r="G252">
        <v>1.369</v>
      </c>
      <c r="H252">
        <v>0.27800000000000002</v>
      </c>
      <c r="I252">
        <v>-32</v>
      </c>
      <c r="J252">
        <v>-24.625</v>
      </c>
      <c r="K252">
        <v>-26.3</v>
      </c>
      <c r="L252">
        <v>-32</v>
      </c>
      <c r="M252">
        <v>91.733099999999993</v>
      </c>
      <c r="N252">
        <v>78.92</v>
      </c>
      <c r="O252">
        <v>80.5</v>
      </c>
      <c r="P252">
        <v>5.0700000000000002E-2</v>
      </c>
      <c r="Q252">
        <v>22.27</v>
      </c>
      <c r="R252">
        <v>-20.3</v>
      </c>
    </row>
    <row r="253" spans="1:18" x14ac:dyDescent="0.2">
      <c r="A253" s="1">
        <v>40116</v>
      </c>
      <c r="B253" s="2">
        <v>-2.1974999999999998</v>
      </c>
      <c r="C253" s="3">
        <v>30.69</v>
      </c>
      <c r="D253">
        <v>13.7875</v>
      </c>
      <c r="E253">
        <v>3.3828</v>
      </c>
      <c r="F253">
        <v>0.8891</v>
      </c>
      <c r="G253">
        <v>1.415</v>
      </c>
      <c r="H253">
        <v>0.26400000000000001</v>
      </c>
      <c r="I253">
        <v>-32</v>
      </c>
      <c r="J253">
        <v>-26.5</v>
      </c>
      <c r="K253">
        <v>-29</v>
      </c>
      <c r="L253">
        <v>-32</v>
      </c>
      <c r="M253">
        <v>92.620699999999999</v>
      </c>
      <c r="N253">
        <v>75.2</v>
      </c>
      <c r="O253">
        <v>77</v>
      </c>
      <c r="P253">
        <v>4.4600000000000001E-2</v>
      </c>
      <c r="Q253">
        <v>30.69</v>
      </c>
      <c r="R253">
        <v>-24.774999999999999</v>
      </c>
    </row>
    <row r="254" spans="1:18" x14ac:dyDescent="0.2">
      <c r="A254" s="1">
        <v>40123</v>
      </c>
      <c r="B254" s="2">
        <v>-2.2549999999999999</v>
      </c>
      <c r="C254" s="3">
        <v>24.19</v>
      </c>
      <c r="D254">
        <v>13.52</v>
      </c>
      <c r="E254">
        <v>3.4971000000000001</v>
      </c>
      <c r="F254">
        <v>0.84009999999999996</v>
      </c>
      <c r="G254">
        <v>1.454</v>
      </c>
      <c r="H254">
        <v>0.27600000000000002</v>
      </c>
      <c r="I254">
        <v>-33</v>
      </c>
      <c r="J254">
        <v>-26.25</v>
      </c>
      <c r="K254">
        <v>-29</v>
      </c>
      <c r="L254">
        <v>-32</v>
      </c>
      <c r="M254">
        <v>92.384799999999998</v>
      </c>
      <c r="N254">
        <v>75.87</v>
      </c>
      <c r="O254">
        <v>77.430000000000007</v>
      </c>
      <c r="P254">
        <v>4.1599999999999998E-2</v>
      </c>
      <c r="Q254">
        <v>24.19</v>
      </c>
      <c r="R254">
        <v>-24.25</v>
      </c>
    </row>
    <row r="255" spans="1:18" x14ac:dyDescent="0.2">
      <c r="A255" s="1">
        <v>40130</v>
      </c>
      <c r="B255" s="2">
        <v>-2.0049999999999999</v>
      </c>
      <c r="C255" s="3">
        <v>23.36</v>
      </c>
      <c r="D255">
        <v>12.55</v>
      </c>
      <c r="E255">
        <v>3.4177</v>
      </c>
      <c r="F255">
        <v>0.80630000000000002</v>
      </c>
      <c r="G255">
        <v>1.345</v>
      </c>
      <c r="H255">
        <v>0.25700000000000001</v>
      </c>
      <c r="I255">
        <v>-31.5</v>
      </c>
      <c r="J255">
        <v>-26.5</v>
      </c>
      <c r="K255">
        <v>-24.5</v>
      </c>
      <c r="L255">
        <v>-30</v>
      </c>
      <c r="M255">
        <v>91.575400000000002</v>
      </c>
      <c r="N255">
        <v>75.55</v>
      </c>
      <c r="O255">
        <v>76.349999999999994</v>
      </c>
      <c r="P255">
        <v>5.1700000000000003E-2</v>
      </c>
      <c r="Q255">
        <v>23.36</v>
      </c>
      <c r="R255">
        <v>-20.25</v>
      </c>
    </row>
    <row r="256" spans="1:18" x14ac:dyDescent="0.2">
      <c r="A256" s="1">
        <v>40137</v>
      </c>
      <c r="B256" s="2">
        <v>-2.5825</v>
      </c>
      <c r="C256" s="3">
        <v>22.19</v>
      </c>
      <c r="D256">
        <v>12.324999999999999</v>
      </c>
      <c r="E256">
        <v>3.3656000000000001</v>
      </c>
      <c r="F256">
        <v>0.72319999999999995</v>
      </c>
      <c r="G256">
        <v>1.3129999999999999</v>
      </c>
      <c r="H256">
        <v>0.249</v>
      </c>
      <c r="I256">
        <v>-29.5</v>
      </c>
      <c r="J256">
        <v>-23.1</v>
      </c>
      <c r="K256">
        <v>-22.5</v>
      </c>
      <c r="L256">
        <v>-28.25</v>
      </c>
      <c r="M256">
        <v>91.990600000000001</v>
      </c>
      <c r="N256">
        <v>77.2</v>
      </c>
      <c r="O256">
        <v>76.72</v>
      </c>
      <c r="P256">
        <v>5.1000000000000004E-3</v>
      </c>
      <c r="Q256">
        <v>22.19</v>
      </c>
      <c r="R256">
        <v>-17.75</v>
      </c>
    </row>
    <row r="257" spans="1:18" x14ac:dyDescent="0.2">
      <c r="A257" s="1">
        <v>40144</v>
      </c>
      <c r="B257" s="2">
        <v>-3.3849999999999998</v>
      </c>
      <c r="C257" s="3">
        <v>24.85</v>
      </c>
      <c r="D257">
        <v>14.512499999999999</v>
      </c>
      <c r="E257">
        <v>3.2050999999999998</v>
      </c>
      <c r="F257">
        <v>0.67910000000000004</v>
      </c>
      <c r="G257">
        <v>1.256</v>
      </c>
      <c r="H257">
        <v>0.23499999999999999</v>
      </c>
      <c r="I257">
        <v>-30.5</v>
      </c>
      <c r="J257">
        <v>-23</v>
      </c>
      <c r="K257">
        <v>-24</v>
      </c>
      <c r="L257">
        <v>-29.5</v>
      </c>
      <c r="M257">
        <v>91.527199999999993</v>
      </c>
      <c r="N257">
        <v>77.180000000000007</v>
      </c>
      <c r="O257">
        <v>76.05</v>
      </c>
      <c r="P257">
        <v>1.52E-2</v>
      </c>
      <c r="Q257">
        <v>24.85</v>
      </c>
      <c r="R257">
        <v>-19.5</v>
      </c>
    </row>
    <row r="258" spans="1:18" x14ac:dyDescent="0.2">
      <c r="A258" s="1">
        <v>40151</v>
      </c>
      <c r="B258" s="2">
        <v>-2.67</v>
      </c>
      <c r="C258" s="3">
        <v>21.25</v>
      </c>
      <c r="D258">
        <v>13.515000000000001</v>
      </c>
      <c r="E258">
        <v>3.4722</v>
      </c>
      <c r="F258">
        <v>0.82969999999999999</v>
      </c>
      <c r="G258">
        <v>1.2949999999999999</v>
      </c>
      <c r="H258">
        <v>0.182</v>
      </c>
      <c r="I258">
        <v>-33.75</v>
      </c>
      <c r="J258">
        <v>-21.95</v>
      </c>
      <c r="K258">
        <v>-27</v>
      </c>
      <c r="L258">
        <v>-32.5</v>
      </c>
      <c r="M258">
        <v>91.380600000000001</v>
      </c>
      <c r="N258">
        <v>77.52</v>
      </c>
      <c r="O258">
        <v>75.47</v>
      </c>
      <c r="P258">
        <v>3.85E-2</v>
      </c>
      <c r="Q258">
        <v>21.25</v>
      </c>
      <c r="R258">
        <v>-22.25</v>
      </c>
    </row>
    <row r="259" spans="1:18" x14ac:dyDescent="0.2">
      <c r="A259" s="1">
        <v>40158</v>
      </c>
      <c r="B259" s="2">
        <v>-2.7650000000000001</v>
      </c>
      <c r="C259" s="3">
        <v>21.59</v>
      </c>
      <c r="D259">
        <v>13.945</v>
      </c>
      <c r="E259">
        <v>3.5497999999999998</v>
      </c>
      <c r="F259">
        <v>0.79820000000000002</v>
      </c>
      <c r="G259">
        <v>1.288</v>
      </c>
      <c r="H259">
        <v>0.18099999999999999</v>
      </c>
      <c r="I259">
        <v>-34.25</v>
      </c>
      <c r="J259">
        <v>-24.7</v>
      </c>
      <c r="K259">
        <v>-28</v>
      </c>
      <c r="L259">
        <v>-33.25</v>
      </c>
      <c r="M259">
        <v>92.294600000000003</v>
      </c>
      <c r="N259">
        <v>71.88</v>
      </c>
      <c r="O259">
        <v>69.87</v>
      </c>
      <c r="P259">
        <v>2.0299999999999999E-2</v>
      </c>
      <c r="Q259">
        <v>21.59</v>
      </c>
      <c r="R259">
        <v>-23.5</v>
      </c>
    </row>
    <row r="260" spans="1:18" x14ac:dyDescent="0.2">
      <c r="A260" s="1">
        <v>40165</v>
      </c>
      <c r="B260" s="2">
        <v>-2.7425000000000002</v>
      </c>
      <c r="C260" s="3">
        <v>21.68</v>
      </c>
      <c r="D260">
        <v>14.505000000000001</v>
      </c>
      <c r="E260">
        <v>3.5367999999999999</v>
      </c>
      <c r="F260">
        <v>0.79059999999999997</v>
      </c>
      <c r="G260">
        <v>1.236</v>
      </c>
      <c r="H260">
        <v>0.16900000000000001</v>
      </c>
      <c r="I260">
        <v>-34.625</v>
      </c>
      <c r="J260">
        <v>-21.65</v>
      </c>
      <c r="K260">
        <v>-28.625</v>
      </c>
      <c r="L260">
        <v>-33.875</v>
      </c>
      <c r="M260">
        <v>93.163200000000003</v>
      </c>
      <c r="N260">
        <v>73.75</v>
      </c>
      <c r="O260">
        <v>73.36</v>
      </c>
      <c r="P260">
        <v>3.6499999999999998E-2</v>
      </c>
      <c r="Q260">
        <v>21.68</v>
      </c>
      <c r="R260">
        <v>-24</v>
      </c>
    </row>
    <row r="261" spans="1:18" x14ac:dyDescent="0.2">
      <c r="A261" s="1">
        <v>40172</v>
      </c>
      <c r="B261" s="2">
        <v>-2.87</v>
      </c>
      <c r="C261" s="3">
        <v>19.47</v>
      </c>
      <c r="D261">
        <v>14.904999999999999</v>
      </c>
      <c r="E261">
        <v>3.8029999999999999</v>
      </c>
      <c r="F261">
        <v>0.96399999999999997</v>
      </c>
      <c r="G261">
        <v>1.28</v>
      </c>
      <c r="H261">
        <v>0.17</v>
      </c>
      <c r="I261">
        <v>-33.5</v>
      </c>
      <c r="J261">
        <v>-23</v>
      </c>
      <c r="K261">
        <v>-27</v>
      </c>
      <c r="L261">
        <v>-32.5</v>
      </c>
      <c r="M261">
        <v>92.869399999999999</v>
      </c>
      <c r="N261">
        <v>76.31</v>
      </c>
      <c r="O261">
        <v>78.05</v>
      </c>
      <c r="P261">
        <v>3.95E-2</v>
      </c>
      <c r="Q261">
        <v>19.47</v>
      </c>
      <c r="R261">
        <v>-22.712499999999999</v>
      </c>
    </row>
    <row r="262" spans="1:18" x14ac:dyDescent="0.2">
      <c r="A262" s="1">
        <v>40179</v>
      </c>
      <c r="B262" s="2">
        <v>-2.6775000000000002</v>
      </c>
      <c r="C262" s="3">
        <v>21.68</v>
      </c>
      <c r="D262">
        <v>14.605</v>
      </c>
      <c r="E262">
        <v>3.835</v>
      </c>
      <c r="F262">
        <v>1.1355999999999999</v>
      </c>
      <c r="G262">
        <v>1.2949999999999999</v>
      </c>
      <c r="H262">
        <v>0.152</v>
      </c>
      <c r="I262">
        <v>-33</v>
      </c>
      <c r="J262">
        <v>-22</v>
      </c>
      <c r="K262">
        <v>-27</v>
      </c>
      <c r="L262">
        <v>-32.5</v>
      </c>
      <c r="M262">
        <v>92.912400000000005</v>
      </c>
      <c r="N262">
        <v>77.930000000000007</v>
      </c>
      <c r="O262">
        <v>79.36</v>
      </c>
      <c r="P262">
        <v>5.5800000000000002E-2</v>
      </c>
      <c r="Q262">
        <v>21.68</v>
      </c>
      <c r="R262">
        <v>-21.75</v>
      </c>
    </row>
    <row r="263" spans="1:18" x14ac:dyDescent="0.2">
      <c r="A263" s="1">
        <v>40186</v>
      </c>
      <c r="B263" s="2">
        <v>-1.9325000000000001</v>
      </c>
      <c r="C263" s="3">
        <v>18.13</v>
      </c>
      <c r="D263">
        <v>13.195</v>
      </c>
      <c r="E263">
        <v>3.8296999999999999</v>
      </c>
      <c r="F263">
        <v>0.97589999999999999</v>
      </c>
      <c r="G263">
        <v>1.365</v>
      </c>
      <c r="H263">
        <v>0.17499999999999999</v>
      </c>
      <c r="I263">
        <v>-33</v>
      </c>
      <c r="J263">
        <v>-20.350000000000001</v>
      </c>
      <c r="K263">
        <v>-27.5</v>
      </c>
      <c r="L263">
        <v>-32.5</v>
      </c>
      <c r="M263">
        <v>92.148499999999999</v>
      </c>
      <c r="N263">
        <v>81.37</v>
      </c>
      <c r="O263">
        <v>82.75</v>
      </c>
      <c r="P263">
        <v>3.95E-2</v>
      </c>
      <c r="Q263">
        <v>18.13</v>
      </c>
      <c r="R263">
        <v>-22.5</v>
      </c>
    </row>
    <row r="264" spans="1:18" x14ac:dyDescent="0.2">
      <c r="A264" s="1">
        <v>40193</v>
      </c>
      <c r="B264" s="2">
        <v>-1.8625</v>
      </c>
      <c r="C264" s="3">
        <v>17.91</v>
      </c>
      <c r="D264">
        <v>13.045</v>
      </c>
      <c r="E264">
        <v>3.6743999999999999</v>
      </c>
      <c r="F264">
        <v>0.86209999999999998</v>
      </c>
      <c r="G264">
        <v>1.33</v>
      </c>
      <c r="H264">
        <v>0.16500000000000001</v>
      </c>
      <c r="I264">
        <v>-32.75</v>
      </c>
      <c r="J264">
        <v>-20.65</v>
      </c>
      <c r="K264">
        <v>-27.75</v>
      </c>
      <c r="L264">
        <v>-32.875</v>
      </c>
      <c r="M264">
        <v>91.766800000000003</v>
      </c>
      <c r="N264">
        <v>77.11</v>
      </c>
      <c r="O264">
        <v>78</v>
      </c>
      <c r="P264">
        <v>5.1700000000000003E-2</v>
      </c>
      <c r="Q264">
        <v>17.91</v>
      </c>
      <c r="R264">
        <v>-22.875</v>
      </c>
    </row>
    <row r="265" spans="1:18" x14ac:dyDescent="0.2">
      <c r="A265" s="1">
        <v>40200</v>
      </c>
      <c r="B265" s="2">
        <v>-2.4300000000000002</v>
      </c>
      <c r="C265" s="3">
        <v>27.31</v>
      </c>
      <c r="D265">
        <v>13.35</v>
      </c>
      <c r="E265">
        <v>3.6071</v>
      </c>
      <c r="F265">
        <v>0.78749999999999998</v>
      </c>
      <c r="G265">
        <v>1.33</v>
      </c>
      <c r="H265">
        <v>0.16500000000000001</v>
      </c>
      <c r="I265">
        <v>-32.299999999999997</v>
      </c>
      <c r="J265">
        <v>-19.45</v>
      </c>
      <c r="K265">
        <v>-27.5</v>
      </c>
      <c r="L265">
        <v>-32.799999999999997</v>
      </c>
      <c r="M265">
        <v>92.942999999999998</v>
      </c>
      <c r="N265">
        <v>72.83</v>
      </c>
      <c r="O265">
        <v>74.540000000000006</v>
      </c>
      <c r="P265">
        <v>4.36E-2</v>
      </c>
      <c r="Q265">
        <v>27.31</v>
      </c>
      <c r="R265">
        <v>-22.5</v>
      </c>
    </row>
    <row r="266" spans="1:18" x14ac:dyDescent="0.2">
      <c r="A266" s="1">
        <v>40207</v>
      </c>
      <c r="B266" s="2">
        <v>-2.5825</v>
      </c>
      <c r="C266" s="3">
        <v>24.62</v>
      </c>
      <c r="D266">
        <v>13.255000000000001</v>
      </c>
      <c r="E266">
        <v>3.5844</v>
      </c>
      <c r="F266">
        <v>0.81179999999999997</v>
      </c>
      <c r="G266">
        <v>1.325</v>
      </c>
      <c r="H266">
        <v>0.16400000000000001</v>
      </c>
      <c r="I266">
        <v>-31.25</v>
      </c>
      <c r="J266">
        <v>-19.3</v>
      </c>
      <c r="K266">
        <v>-27</v>
      </c>
      <c r="L266">
        <v>-32.75</v>
      </c>
      <c r="M266">
        <v>93.763800000000003</v>
      </c>
      <c r="N266">
        <v>71.459999999999994</v>
      </c>
      <c r="O266">
        <v>72.89</v>
      </c>
      <c r="P266">
        <v>6.9000000000000006E-2</v>
      </c>
      <c r="Q266">
        <v>24.62</v>
      </c>
      <c r="R266">
        <v>-22</v>
      </c>
    </row>
    <row r="267" spans="1:18" x14ac:dyDescent="0.2">
      <c r="A267" s="1">
        <v>40214</v>
      </c>
      <c r="B267" s="2">
        <v>-2.9424999999999999</v>
      </c>
      <c r="C267" s="3">
        <v>26.11</v>
      </c>
      <c r="D267">
        <v>13.62</v>
      </c>
      <c r="E267">
        <v>3.5653999999999999</v>
      </c>
      <c r="F267">
        <v>0.76329999999999998</v>
      </c>
      <c r="G267">
        <v>1.3740000000000001</v>
      </c>
      <c r="H267">
        <v>0.16500000000000001</v>
      </c>
      <c r="I267">
        <v>-31.5</v>
      </c>
      <c r="J267">
        <v>-19</v>
      </c>
      <c r="K267">
        <v>-27.75</v>
      </c>
      <c r="L267">
        <v>-34.125</v>
      </c>
      <c r="M267">
        <v>94.621799999999993</v>
      </c>
      <c r="N267">
        <v>69.59</v>
      </c>
      <c r="O267">
        <v>71.19</v>
      </c>
      <c r="P267">
        <v>8.5199999999999998E-2</v>
      </c>
      <c r="Q267">
        <v>26.11</v>
      </c>
      <c r="R267">
        <v>-22.5</v>
      </c>
    </row>
    <row r="268" spans="1:18" x14ac:dyDescent="0.2">
      <c r="A268" s="1">
        <v>40221</v>
      </c>
      <c r="B268" s="2">
        <v>-2.5375000000000001</v>
      </c>
      <c r="C268" s="3">
        <v>22.73</v>
      </c>
      <c r="D268">
        <v>12.715</v>
      </c>
      <c r="E268">
        <v>3.6928000000000001</v>
      </c>
      <c r="F268">
        <v>0.82650000000000001</v>
      </c>
      <c r="G268">
        <v>1.335</v>
      </c>
      <c r="H268">
        <v>0.16500000000000001</v>
      </c>
      <c r="I268">
        <v>-32</v>
      </c>
      <c r="J268">
        <v>-20.05</v>
      </c>
      <c r="K268">
        <v>-27.5</v>
      </c>
      <c r="L268">
        <v>-33</v>
      </c>
      <c r="M268">
        <v>93.997600000000006</v>
      </c>
      <c r="N268">
        <v>72.900000000000006</v>
      </c>
      <c r="O268">
        <v>74.13</v>
      </c>
      <c r="P268">
        <v>8.72E-2</v>
      </c>
      <c r="Q268">
        <v>22.73</v>
      </c>
      <c r="R268">
        <v>-22.5</v>
      </c>
    </row>
    <row r="269" spans="1:18" x14ac:dyDescent="0.2">
      <c r="A269" s="1">
        <v>40228</v>
      </c>
      <c r="B269" s="2">
        <v>-2.6375000000000002</v>
      </c>
      <c r="C269" s="3">
        <v>20.02</v>
      </c>
      <c r="D269">
        <v>12.25</v>
      </c>
      <c r="E269">
        <v>3.7726000000000002</v>
      </c>
      <c r="F269">
        <v>0.91569999999999996</v>
      </c>
      <c r="G269">
        <v>1.34</v>
      </c>
      <c r="H269">
        <v>0.16</v>
      </c>
      <c r="I269">
        <v>-31.9</v>
      </c>
      <c r="J269">
        <v>-19.2</v>
      </c>
      <c r="K269">
        <v>-27.5</v>
      </c>
      <c r="L269">
        <v>-33.024999999999999</v>
      </c>
      <c r="M269">
        <v>93.956900000000005</v>
      </c>
      <c r="N269">
        <v>78.19</v>
      </c>
      <c r="O269">
        <v>79.81</v>
      </c>
      <c r="P269">
        <v>9.4299999999999995E-2</v>
      </c>
      <c r="Q269">
        <v>20.02</v>
      </c>
      <c r="R269">
        <v>-22.774999999999999</v>
      </c>
    </row>
    <row r="270" spans="1:18" x14ac:dyDescent="0.2">
      <c r="A270" s="1">
        <v>40235</v>
      </c>
      <c r="B270" s="2">
        <v>-2.62</v>
      </c>
      <c r="C270" s="3">
        <v>19.5</v>
      </c>
      <c r="D270">
        <v>12.23</v>
      </c>
      <c r="E270">
        <v>3.6116999999999999</v>
      </c>
      <c r="F270">
        <v>0.81179999999999997</v>
      </c>
      <c r="G270">
        <v>1.3049999999999999</v>
      </c>
      <c r="H270">
        <v>0.16500000000000001</v>
      </c>
      <c r="I270">
        <v>-31.25</v>
      </c>
      <c r="J270">
        <v>-19.899999999999999</v>
      </c>
      <c r="K270">
        <v>-26.25</v>
      </c>
      <c r="L270">
        <v>-31.75</v>
      </c>
      <c r="M270">
        <v>93.660200000000003</v>
      </c>
      <c r="N270">
        <v>77.59</v>
      </c>
      <c r="O270">
        <v>79.66</v>
      </c>
      <c r="P270">
        <v>0.11459999999999999</v>
      </c>
      <c r="Q270">
        <v>19.5</v>
      </c>
      <c r="R270">
        <v>-21.75</v>
      </c>
    </row>
    <row r="271" spans="1:18" x14ac:dyDescent="0.2">
      <c r="A271" s="1">
        <v>40242</v>
      </c>
      <c r="B271" s="2">
        <v>-2.4424999999999999</v>
      </c>
      <c r="C271" s="3">
        <v>17.420000000000002</v>
      </c>
      <c r="D271">
        <v>12.025</v>
      </c>
      <c r="E271">
        <v>3.6796000000000002</v>
      </c>
      <c r="F271">
        <v>0.89100000000000001</v>
      </c>
      <c r="G271">
        <v>1.3149999999999999</v>
      </c>
      <c r="H271">
        <v>0.151</v>
      </c>
      <c r="I271">
        <v>-30.75</v>
      </c>
      <c r="J271">
        <v>-19</v>
      </c>
      <c r="K271">
        <v>-25.63</v>
      </c>
      <c r="L271">
        <v>-31.13</v>
      </c>
      <c r="M271">
        <v>93.262299999999996</v>
      </c>
      <c r="N271">
        <v>79.89</v>
      </c>
      <c r="O271">
        <v>81.5</v>
      </c>
      <c r="P271">
        <v>0.14299999999999999</v>
      </c>
      <c r="Q271">
        <v>17.420000000000002</v>
      </c>
      <c r="R271">
        <v>-21.13</v>
      </c>
    </row>
    <row r="272" spans="1:18" x14ac:dyDescent="0.2">
      <c r="A272" s="1">
        <v>40249</v>
      </c>
      <c r="B272" s="2">
        <v>-2.0350000000000001</v>
      </c>
      <c r="C272" s="3">
        <v>17.579999999999998</v>
      </c>
      <c r="D272">
        <v>11.6075</v>
      </c>
      <c r="E272">
        <v>3.7006000000000001</v>
      </c>
      <c r="F272">
        <v>0.9476</v>
      </c>
      <c r="G272">
        <v>1.349</v>
      </c>
      <c r="H272">
        <v>0.15</v>
      </c>
      <c r="I272">
        <v>-30.38</v>
      </c>
      <c r="J272">
        <v>-19.649999999999999</v>
      </c>
      <c r="K272">
        <v>-25</v>
      </c>
      <c r="L272">
        <v>-30.5</v>
      </c>
      <c r="M272">
        <v>92.661600000000007</v>
      </c>
      <c r="N272">
        <v>79.39</v>
      </c>
      <c r="O272">
        <v>81.239999999999995</v>
      </c>
      <c r="P272">
        <v>0.14199999999999999</v>
      </c>
      <c r="Q272">
        <v>17.579999999999998</v>
      </c>
      <c r="R272">
        <v>-20.88</v>
      </c>
    </row>
    <row r="273" spans="1:18" x14ac:dyDescent="0.2">
      <c r="A273" s="1">
        <v>40256</v>
      </c>
      <c r="B273" s="2">
        <v>-1.9950000000000001</v>
      </c>
      <c r="C273" s="3">
        <v>16.97</v>
      </c>
      <c r="D273">
        <v>10.7</v>
      </c>
      <c r="E273">
        <v>3.6892</v>
      </c>
      <c r="F273">
        <v>0.98899999999999999</v>
      </c>
      <c r="G273">
        <v>1.37</v>
      </c>
      <c r="H273">
        <v>0.15</v>
      </c>
      <c r="I273">
        <v>-27.875</v>
      </c>
      <c r="J273">
        <v>-20.7</v>
      </c>
      <c r="K273">
        <v>-23.125</v>
      </c>
      <c r="L273">
        <v>-28.125</v>
      </c>
      <c r="M273">
        <v>93.040700000000001</v>
      </c>
      <c r="N273">
        <v>79.88</v>
      </c>
      <c r="O273">
        <v>80.680000000000007</v>
      </c>
      <c r="P273">
        <v>0.14399999999999999</v>
      </c>
      <c r="Q273">
        <v>16.97</v>
      </c>
      <c r="R273">
        <v>-18.899999999999999</v>
      </c>
    </row>
    <row r="274" spans="1:18" x14ac:dyDescent="0.2">
      <c r="A274" s="1">
        <v>40263</v>
      </c>
      <c r="B274" s="2">
        <v>-2.34</v>
      </c>
      <c r="C274" s="3">
        <v>17.77</v>
      </c>
      <c r="D274">
        <v>11.37</v>
      </c>
      <c r="E274">
        <v>3.8468</v>
      </c>
      <c r="F274">
        <v>1.0396000000000001</v>
      </c>
      <c r="G274">
        <v>1.385</v>
      </c>
      <c r="H274">
        <v>0.16800000000000001</v>
      </c>
      <c r="I274">
        <v>-25.44</v>
      </c>
      <c r="J274">
        <v>-17.899999999999999</v>
      </c>
      <c r="K274">
        <v>-20.565000000000001</v>
      </c>
      <c r="L274">
        <v>-25.274999999999999</v>
      </c>
      <c r="M274">
        <v>93.687299999999993</v>
      </c>
      <c r="N274">
        <v>79.290000000000006</v>
      </c>
      <c r="O274">
        <v>80</v>
      </c>
      <c r="P274">
        <v>0.13489999999999999</v>
      </c>
      <c r="Q274">
        <v>17.77</v>
      </c>
      <c r="R274">
        <v>-16.815000000000001</v>
      </c>
    </row>
    <row r="275" spans="1:18" x14ac:dyDescent="0.2">
      <c r="A275" s="1">
        <v>40270</v>
      </c>
      <c r="B275" s="2">
        <v>-2.2524999999999999</v>
      </c>
      <c r="C275" s="3">
        <v>17.47</v>
      </c>
      <c r="D275">
        <v>11.64</v>
      </c>
      <c r="E275">
        <v>3.9445999999999999</v>
      </c>
      <c r="F275">
        <v>1.1037999999999999</v>
      </c>
      <c r="G275">
        <v>1.3640000000000001</v>
      </c>
      <c r="H275">
        <v>0.17499999999999999</v>
      </c>
      <c r="I275">
        <v>-26.5</v>
      </c>
      <c r="J275">
        <v>-18</v>
      </c>
      <c r="K275">
        <v>-21</v>
      </c>
      <c r="L275">
        <v>-26.3</v>
      </c>
      <c r="M275">
        <v>92.905699999999996</v>
      </c>
      <c r="N275">
        <v>84.01</v>
      </c>
      <c r="O275">
        <v>84.87</v>
      </c>
      <c r="P275">
        <v>0.15720000000000001</v>
      </c>
      <c r="Q275">
        <v>17.47</v>
      </c>
      <c r="R275">
        <v>-17</v>
      </c>
    </row>
    <row r="276" spans="1:18" x14ac:dyDescent="0.2">
      <c r="A276" s="1">
        <v>40277</v>
      </c>
      <c r="B276" s="2">
        <v>-2.06</v>
      </c>
      <c r="C276" s="3">
        <v>16.14</v>
      </c>
      <c r="D276">
        <v>11.59</v>
      </c>
      <c r="E276">
        <v>3.8824999999999998</v>
      </c>
      <c r="F276">
        <v>1.0563</v>
      </c>
      <c r="G276">
        <v>1.39</v>
      </c>
      <c r="H276">
        <v>0.16500000000000001</v>
      </c>
      <c r="I276">
        <v>-26.13</v>
      </c>
      <c r="J276">
        <v>-19.7</v>
      </c>
      <c r="K276">
        <v>-21.19</v>
      </c>
      <c r="L276">
        <v>-26.254999999999999</v>
      </c>
      <c r="M276">
        <v>92.477199999999996</v>
      </c>
      <c r="N276">
        <v>84.83</v>
      </c>
      <c r="O276">
        <v>84.92</v>
      </c>
      <c r="P276">
        <v>0.14710000000000001</v>
      </c>
      <c r="Q276">
        <v>16.14</v>
      </c>
      <c r="R276">
        <v>-17.065000000000001</v>
      </c>
    </row>
    <row r="277" spans="1:18" x14ac:dyDescent="0.2">
      <c r="A277" s="1">
        <v>40284</v>
      </c>
      <c r="B277" s="2">
        <v>-2.23</v>
      </c>
      <c r="C277" s="3">
        <v>18.36</v>
      </c>
      <c r="D277">
        <v>11.16</v>
      </c>
      <c r="E277">
        <v>3.7625999999999999</v>
      </c>
      <c r="F277">
        <v>0.95130000000000003</v>
      </c>
      <c r="G277">
        <v>1.35</v>
      </c>
      <c r="H277">
        <v>0.17</v>
      </c>
      <c r="I277">
        <v>-28.5</v>
      </c>
      <c r="J277">
        <v>-20.6</v>
      </c>
      <c r="K277">
        <v>-22</v>
      </c>
      <c r="L277">
        <v>-27.125</v>
      </c>
      <c r="M277">
        <v>92.525300000000001</v>
      </c>
      <c r="N277">
        <v>85.99</v>
      </c>
      <c r="O277">
        <v>83.24</v>
      </c>
      <c r="P277">
        <v>0.15110000000000001</v>
      </c>
      <c r="Q277">
        <v>18.36</v>
      </c>
      <c r="R277">
        <v>-17.75</v>
      </c>
    </row>
    <row r="278" spans="1:18" x14ac:dyDescent="0.2">
      <c r="A278" s="1">
        <v>40291</v>
      </c>
      <c r="B278" s="2">
        <v>-2.48</v>
      </c>
      <c r="C278" s="3">
        <v>16.62</v>
      </c>
      <c r="D278">
        <v>10.96</v>
      </c>
      <c r="E278">
        <v>3.8092000000000001</v>
      </c>
      <c r="F278">
        <v>1.0656000000000001</v>
      </c>
      <c r="G278">
        <v>1.32</v>
      </c>
      <c r="H278">
        <v>0.16500000000000001</v>
      </c>
      <c r="I278">
        <v>-28</v>
      </c>
      <c r="J278">
        <v>-21.425000000000001</v>
      </c>
      <c r="K278">
        <v>-20.440000000000001</v>
      </c>
      <c r="L278">
        <v>-26.5</v>
      </c>
      <c r="M278">
        <v>92.662199999999999</v>
      </c>
      <c r="N278">
        <v>87.25</v>
      </c>
      <c r="O278">
        <v>85.12</v>
      </c>
      <c r="P278">
        <v>0.15010000000000001</v>
      </c>
      <c r="Q278">
        <v>16.62</v>
      </c>
      <c r="R278">
        <v>-16.25</v>
      </c>
    </row>
    <row r="279" spans="1:18" x14ac:dyDescent="0.2">
      <c r="A279" s="1">
        <v>40298</v>
      </c>
      <c r="B279" s="2">
        <v>-2.4449999999999998</v>
      </c>
      <c r="C279" s="3">
        <v>22.05</v>
      </c>
      <c r="D279">
        <v>10.887499999999999</v>
      </c>
      <c r="E279">
        <v>3.6532</v>
      </c>
      <c r="F279">
        <v>0.96030000000000004</v>
      </c>
      <c r="G279">
        <v>1.29</v>
      </c>
      <c r="H279">
        <v>0.17</v>
      </c>
      <c r="I279">
        <v>-29.375</v>
      </c>
      <c r="J279">
        <v>-24.9</v>
      </c>
      <c r="K279">
        <v>-19.75</v>
      </c>
      <c r="L279">
        <v>-27.125</v>
      </c>
      <c r="M279">
        <v>92.842299999999994</v>
      </c>
      <c r="N279">
        <v>87.44</v>
      </c>
      <c r="O279">
        <v>86.15</v>
      </c>
      <c r="P279">
        <v>0.1542</v>
      </c>
      <c r="Q279">
        <v>22.05</v>
      </c>
      <c r="R279">
        <v>-15</v>
      </c>
    </row>
    <row r="280" spans="1:18" x14ac:dyDescent="0.2">
      <c r="A280" s="1">
        <v>40305</v>
      </c>
      <c r="B280" s="2">
        <v>-4.5199999999999996</v>
      </c>
      <c r="C280" s="3">
        <v>40.950000000000003</v>
      </c>
      <c r="D280">
        <v>14.305</v>
      </c>
      <c r="E280">
        <v>3.4255</v>
      </c>
      <c r="F280">
        <v>0.80800000000000005</v>
      </c>
      <c r="G280">
        <v>1.284</v>
      </c>
      <c r="H280">
        <v>0.17</v>
      </c>
      <c r="I280">
        <v>-36.375</v>
      </c>
      <c r="J280">
        <v>-36</v>
      </c>
      <c r="K280">
        <v>-26.94</v>
      </c>
      <c r="L280">
        <v>-34.75</v>
      </c>
      <c r="M280">
        <v>95.295199999999994</v>
      </c>
      <c r="N280">
        <v>78.27</v>
      </c>
      <c r="O280">
        <v>75.11</v>
      </c>
      <c r="P280">
        <v>0.1197</v>
      </c>
      <c r="Q280">
        <v>40.950000000000003</v>
      </c>
      <c r="R280">
        <v>-21.75</v>
      </c>
    </row>
    <row r="281" spans="1:18" x14ac:dyDescent="0.2">
      <c r="A281" s="1">
        <v>40312</v>
      </c>
      <c r="B281" s="2">
        <v>-3.9224999999999999</v>
      </c>
      <c r="C281" s="3">
        <v>31.24</v>
      </c>
      <c r="D281">
        <v>12.47</v>
      </c>
      <c r="E281">
        <v>3.4533999999999998</v>
      </c>
      <c r="F281">
        <v>0.78200000000000003</v>
      </c>
      <c r="G281">
        <v>1.3049999999999999</v>
      </c>
      <c r="H281">
        <v>0.16500000000000001</v>
      </c>
      <c r="I281">
        <v>-34.125</v>
      </c>
      <c r="J281">
        <v>-26.6</v>
      </c>
      <c r="K281">
        <v>-23.375</v>
      </c>
      <c r="L281">
        <v>-30.5</v>
      </c>
      <c r="M281">
        <v>95.374600000000001</v>
      </c>
      <c r="N281">
        <v>77.180000000000007</v>
      </c>
      <c r="O281">
        <v>71.61</v>
      </c>
      <c r="P281">
        <v>0.14499999999999999</v>
      </c>
      <c r="Q281">
        <v>31.24</v>
      </c>
      <c r="R281">
        <v>-18.125</v>
      </c>
    </row>
    <row r="282" spans="1:18" x14ac:dyDescent="0.2">
      <c r="A282" s="1">
        <v>40319</v>
      </c>
      <c r="B282" s="2">
        <v>-6.0125000000000002</v>
      </c>
      <c r="C282" s="3">
        <v>40.1</v>
      </c>
      <c r="D282">
        <v>15.975</v>
      </c>
      <c r="E282">
        <v>3.2378999999999998</v>
      </c>
      <c r="F282">
        <v>0.76359999999999995</v>
      </c>
      <c r="G282">
        <v>1.2450000000000001</v>
      </c>
      <c r="H282">
        <v>0.16400000000000001</v>
      </c>
      <c r="I282">
        <v>-37</v>
      </c>
      <c r="J282">
        <v>-31</v>
      </c>
      <c r="K282">
        <v>-23.3</v>
      </c>
      <c r="L282">
        <v>-33.799999999999997</v>
      </c>
      <c r="M282">
        <v>96.2911</v>
      </c>
      <c r="N282">
        <v>71.680000000000007</v>
      </c>
      <c r="O282">
        <v>70.040000000000006</v>
      </c>
      <c r="P282">
        <v>0.15210000000000001</v>
      </c>
      <c r="Q282">
        <v>40.1</v>
      </c>
      <c r="R282">
        <v>-17</v>
      </c>
    </row>
    <row r="283" spans="1:18" x14ac:dyDescent="0.2">
      <c r="A283" s="1">
        <v>40326</v>
      </c>
      <c r="B283" s="2">
        <v>-4.7874999999999996</v>
      </c>
      <c r="C283" s="3">
        <v>32.07</v>
      </c>
      <c r="D283">
        <v>13.362500000000001</v>
      </c>
      <c r="E283">
        <v>3.2921999999999998</v>
      </c>
      <c r="F283">
        <v>0.76580000000000004</v>
      </c>
      <c r="G283">
        <v>1.2589999999999999</v>
      </c>
      <c r="H283">
        <v>0.16500000000000001</v>
      </c>
      <c r="I283">
        <v>-38.5</v>
      </c>
      <c r="J283">
        <v>-32.6</v>
      </c>
      <c r="K283">
        <v>-19.5</v>
      </c>
      <c r="L283">
        <v>-34.5</v>
      </c>
      <c r="M283">
        <v>96.306200000000004</v>
      </c>
      <c r="N283">
        <v>74.02</v>
      </c>
      <c r="O283">
        <v>73.97</v>
      </c>
      <c r="P283">
        <v>0.1552</v>
      </c>
      <c r="Q283">
        <v>32.07</v>
      </c>
      <c r="R283">
        <v>-12.5</v>
      </c>
    </row>
    <row r="284" spans="1:18" x14ac:dyDescent="0.2">
      <c r="A284" s="1">
        <v>40333</v>
      </c>
      <c r="B284" s="2">
        <v>-5.0650000000000004</v>
      </c>
      <c r="C284" s="3">
        <v>35.479999999999997</v>
      </c>
      <c r="D284">
        <v>13.4475</v>
      </c>
      <c r="E284">
        <v>3.2023000000000001</v>
      </c>
      <c r="F284">
        <v>0.72609999999999997</v>
      </c>
      <c r="G284">
        <v>1.2749999999999999</v>
      </c>
      <c r="H284">
        <v>0.156</v>
      </c>
      <c r="I284">
        <v>-40.25</v>
      </c>
      <c r="J284">
        <v>-33.1</v>
      </c>
      <c r="K284">
        <v>-21.75</v>
      </c>
      <c r="L284">
        <v>-36.380000000000003</v>
      </c>
      <c r="M284">
        <v>97.168800000000005</v>
      </c>
      <c r="N284">
        <v>72.09</v>
      </c>
      <c r="O284">
        <v>71.510000000000005</v>
      </c>
      <c r="P284">
        <v>0.1207</v>
      </c>
      <c r="Q284">
        <v>35.479999999999997</v>
      </c>
      <c r="R284">
        <v>-14.75</v>
      </c>
    </row>
    <row r="285" spans="1:18" x14ac:dyDescent="0.2">
      <c r="A285" s="1">
        <v>40340</v>
      </c>
      <c r="B285" s="2">
        <v>-4.3875000000000002</v>
      </c>
      <c r="C285" s="3">
        <v>28.79</v>
      </c>
      <c r="D285">
        <v>12.67</v>
      </c>
      <c r="E285">
        <v>3.2345999999999999</v>
      </c>
      <c r="F285">
        <v>0.72589999999999999</v>
      </c>
      <c r="G285">
        <v>1.2370000000000001</v>
      </c>
      <c r="H285">
        <v>0.16</v>
      </c>
      <c r="I285">
        <v>-39.380000000000003</v>
      </c>
      <c r="J285">
        <v>-30.8</v>
      </c>
      <c r="K285">
        <v>-20.13</v>
      </c>
      <c r="L285">
        <v>-35.380000000000003</v>
      </c>
      <c r="M285">
        <v>96.561599999999999</v>
      </c>
      <c r="N285">
        <v>74.349999999999994</v>
      </c>
      <c r="O285">
        <v>73.78</v>
      </c>
      <c r="P285">
        <v>6.9000000000000006E-2</v>
      </c>
      <c r="Q285">
        <v>28.79</v>
      </c>
      <c r="R285">
        <v>-12.75</v>
      </c>
    </row>
    <row r="286" spans="1:18" x14ac:dyDescent="0.2">
      <c r="A286" s="1">
        <v>40347</v>
      </c>
      <c r="B286" s="2">
        <v>-4.2024999999999997</v>
      </c>
      <c r="C286" s="3">
        <v>23.95</v>
      </c>
      <c r="D286">
        <v>11.99</v>
      </c>
      <c r="E286">
        <v>3.2195</v>
      </c>
      <c r="F286">
        <v>0.70940000000000003</v>
      </c>
      <c r="G286">
        <v>1.206</v>
      </c>
      <c r="H286">
        <v>0.159</v>
      </c>
      <c r="I286">
        <v>-40.25</v>
      </c>
      <c r="J286">
        <v>-31.25</v>
      </c>
      <c r="K286">
        <v>-20.25</v>
      </c>
      <c r="L286">
        <v>-35.75</v>
      </c>
      <c r="M286">
        <v>95.298100000000005</v>
      </c>
      <c r="N286">
        <v>78.22</v>
      </c>
      <c r="O286">
        <v>77.180000000000007</v>
      </c>
      <c r="P286">
        <v>9.4299999999999995E-2</v>
      </c>
      <c r="Q286">
        <v>23.95</v>
      </c>
      <c r="R286">
        <v>-12.75</v>
      </c>
    </row>
    <row r="287" spans="1:18" x14ac:dyDescent="0.2">
      <c r="A287" s="1">
        <v>40354</v>
      </c>
      <c r="B287" s="2">
        <v>-4.79</v>
      </c>
      <c r="C287" s="3">
        <v>28.53</v>
      </c>
      <c r="D287">
        <v>12.605</v>
      </c>
      <c r="E287">
        <v>3.1078000000000001</v>
      </c>
      <c r="F287">
        <v>0.64859999999999995</v>
      </c>
      <c r="G287">
        <v>1.1499999999999999</v>
      </c>
      <c r="H287">
        <v>0.16</v>
      </c>
      <c r="I287">
        <v>-40.5</v>
      </c>
      <c r="J287">
        <v>-31.75</v>
      </c>
      <c r="K287">
        <v>-20.5</v>
      </c>
      <c r="L287">
        <v>-36</v>
      </c>
      <c r="M287">
        <v>95.458200000000005</v>
      </c>
      <c r="N287">
        <v>78.12</v>
      </c>
      <c r="O287">
        <v>78.86</v>
      </c>
      <c r="P287">
        <v>0.1268</v>
      </c>
      <c r="Q287">
        <v>28.53</v>
      </c>
      <c r="R287">
        <v>-13.25</v>
      </c>
    </row>
    <row r="288" spans="1:18" x14ac:dyDescent="0.2">
      <c r="A288" s="1">
        <v>40361</v>
      </c>
      <c r="B288" s="2">
        <v>-4.6524999999999999</v>
      </c>
      <c r="C288" s="3">
        <v>30.12</v>
      </c>
      <c r="D288">
        <v>13.04</v>
      </c>
      <c r="E288">
        <v>2.9769999999999999</v>
      </c>
      <c r="F288">
        <v>0.625</v>
      </c>
      <c r="G288">
        <v>1.103</v>
      </c>
      <c r="H288">
        <v>0.15</v>
      </c>
      <c r="I288">
        <v>-41</v>
      </c>
      <c r="J288">
        <v>-33.5</v>
      </c>
      <c r="K288">
        <v>-19.25</v>
      </c>
      <c r="L288">
        <v>-36</v>
      </c>
      <c r="M288">
        <v>95.634500000000003</v>
      </c>
      <c r="N288">
        <v>71.650000000000006</v>
      </c>
      <c r="O288">
        <v>72.14</v>
      </c>
      <c r="P288">
        <v>0.1603</v>
      </c>
      <c r="Q288">
        <v>30.12</v>
      </c>
      <c r="R288">
        <v>-11.5</v>
      </c>
    </row>
    <row r="289" spans="1:18" x14ac:dyDescent="0.2">
      <c r="A289" s="1">
        <v>40368</v>
      </c>
      <c r="B289" s="2">
        <v>-4.1150000000000002</v>
      </c>
      <c r="C289" s="3">
        <v>24.98</v>
      </c>
      <c r="D289">
        <v>11.555</v>
      </c>
      <c r="E289">
        <v>3.052</v>
      </c>
      <c r="F289">
        <v>0.625</v>
      </c>
      <c r="G289">
        <v>1.1639999999999999</v>
      </c>
      <c r="H289">
        <v>0.15</v>
      </c>
      <c r="I289">
        <v>-39.549999999999997</v>
      </c>
      <c r="J289">
        <v>-27.5</v>
      </c>
      <c r="K289">
        <v>-17.8</v>
      </c>
      <c r="L289">
        <v>-33.25</v>
      </c>
      <c r="M289">
        <v>94.683000000000007</v>
      </c>
      <c r="N289">
        <v>75.42</v>
      </c>
      <c r="O289">
        <v>76.09</v>
      </c>
      <c r="P289">
        <v>0.14499999999999999</v>
      </c>
      <c r="Q289">
        <v>24.98</v>
      </c>
      <c r="R289">
        <v>-10.65</v>
      </c>
    </row>
    <row r="290" spans="1:18" x14ac:dyDescent="0.2">
      <c r="A290" s="1">
        <v>40375</v>
      </c>
      <c r="B290" s="2">
        <v>-4.1775000000000002</v>
      </c>
      <c r="C290" s="3">
        <v>26.25</v>
      </c>
      <c r="D290">
        <v>12.57</v>
      </c>
      <c r="E290">
        <v>2.9215</v>
      </c>
      <c r="F290">
        <v>0.58460000000000001</v>
      </c>
      <c r="G290">
        <v>1.095</v>
      </c>
      <c r="H290">
        <v>0.14899999999999999</v>
      </c>
      <c r="I290">
        <v>-40.5</v>
      </c>
      <c r="J290">
        <v>-28.5</v>
      </c>
      <c r="K290">
        <v>-16.8</v>
      </c>
      <c r="L290">
        <v>-33.799999999999997</v>
      </c>
      <c r="M290">
        <v>94.506100000000004</v>
      </c>
      <c r="N290">
        <v>75.37</v>
      </c>
      <c r="O290">
        <v>76.010000000000005</v>
      </c>
      <c r="P290">
        <v>0.14499999999999999</v>
      </c>
      <c r="Q290">
        <v>26.25</v>
      </c>
      <c r="R290">
        <v>-9.7249999999999996</v>
      </c>
    </row>
    <row r="291" spans="1:18" x14ac:dyDescent="0.2">
      <c r="A291" s="1">
        <v>40382</v>
      </c>
      <c r="B291" s="2">
        <v>-3.8424999999999998</v>
      </c>
      <c r="C291" s="3">
        <v>23.47</v>
      </c>
      <c r="D291">
        <v>11.64</v>
      </c>
      <c r="E291">
        <v>2.9943</v>
      </c>
      <c r="F291">
        <v>0.58420000000000005</v>
      </c>
      <c r="G291">
        <v>1.075</v>
      </c>
      <c r="H291">
        <v>0.15</v>
      </c>
      <c r="I291">
        <v>-39.75</v>
      </c>
      <c r="J291">
        <v>-27</v>
      </c>
      <c r="K291">
        <v>-14.75</v>
      </c>
      <c r="L291">
        <v>-31.65</v>
      </c>
      <c r="M291">
        <v>94.143100000000004</v>
      </c>
      <c r="N291">
        <v>77.45</v>
      </c>
      <c r="O291">
        <v>78.98</v>
      </c>
      <c r="P291">
        <v>0.14499999999999999</v>
      </c>
      <c r="Q291">
        <v>23.47</v>
      </c>
      <c r="R291">
        <v>-6.7874999999999996</v>
      </c>
    </row>
    <row r="292" spans="1:18" x14ac:dyDescent="0.2">
      <c r="A292" s="1">
        <v>40389</v>
      </c>
      <c r="B292" s="2">
        <v>-3.7225000000000001</v>
      </c>
      <c r="C292" s="3">
        <v>23.5</v>
      </c>
      <c r="D292">
        <v>11.63</v>
      </c>
      <c r="E292">
        <v>2.9051999999999998</v>
      </c>
      <c r="F292">
        <v>0.54610000000000003</v>
      </c>
      <c r="G292">
        <v>1.0740000000000001</v>
      </c>
      <c r="H292">
        <v>0.155</v>
      </c>
      <c r="I292">
        <v>-36.25</v>
      </c>
      <c r="J292">
        <v>-24.25</v>
      </c>
      <c r="K292">
        <v>-9.5</v>
      </c>
      <c r="L292">
        <v>-29.5</v>
      </c>
      <c r="M292">
        <v>93.279300000000006</v>
      </c>
      <c r="N292">
        <v>78.180000000000007</v>
      </c>
      <c r="O292">
        <v>78.95</v>
      </c>
      <c r="P292">
        <v>0.14000000000000001</v>
      </c>
      <c r="Q292">
        <v>23.5</v>
      </c>
      <c r="R292">
        <v>-2.25</v>
      </c>
    </row>
    <row r="293" spans="1:18" x14ac:dyDescent="0.2">
      <c r="A293" s="1">
        <v>40396</v>
      </c>
      <c r="B293" s="2">
        <v>-3.4725000000000001</v>
      </c>
      <c r="C293" s="3">
        <v>21.74</v>
      </c>
      <c r="D293">
        <v>11.765000000000001</v>
      </c>
      <c r="E293">
        <v>2.8166000000000002</v>
      </c>
      <c r="F293">
        <v>0.50560000000000005</v>
      </c>
      <c r="G293">
        <v>1.0640000000000001</v>
      </c>
      <c r="H293">
        <v>0.15</v>
      </c>
      <c r="I293">
        <v>-35.5</v>
      </c>
      <c r="J293">
        <v>-23.6</v>
      </c>
      <c r="K293">
        <v>-12.6</v>
      </c>
      <c r="L293">
        <v>-30.5</v>
      </c>
      <c r="M293">
        <v>92.591499999999996</v>
      </c>
      <c r="N293">
        <v>80.16</v>
      </c>
      <c r="O293">
        <v>80.7</v>
      </c>
      <c r="P293">
        <v>0.13689999999999999</v>
      </c>
      <c r="Q293">
        <v>21.74</v>
      </c>
      <c r="R293">
        <v>-5.75</v>
      </c>
    </row>
    <row r="294" spans="1:18" x14ac:dyDescent="0.2">
      <c r="A294" s="1">
        <v>40403</v>
      </c>
      <c r="B294" s="2">
        <v>-3.7774999999999999</v>
      </c>
      <c r="C294" s="3">
        <v>26.24</v>
      </c>
      <c r="D294">
        <v>11.7525</v>
      </c>
      <c r="E294">
        <v>2.6716000000000002</v>
      </c>
      <c r="F294">
        <v>0.52849999999999997</v>
      </c>
      <c r="G294">
        <v>0.99</v>
      </c>
      <c r="H294">
        <v>0.14099999999999999</v>
      </c>
      <c r="I294">
        <v>-38.130000000000003</v>
      </c>
      <c r="J294">
        <v>-25.4</v>
      </c>
      <c r="K294">
        <v>-15.13</v>
      </c>
      <c r="L294">
        <v>-32.380000000000003</v>
      </c>
      <c r="M294">
        <v>94.045699999999997</v>
      </c>
      <c r="N294">
        <v>75.11</v>
      </c>
      <c r="O294">
        <v>75.39</v>
      </c>
      <c r="P294">
        <v>0.14710000000000001</v>
      </c>
      <c r="Q294">
        <v>26.24</v>
      </c>
      <c r="R294">
        <v>-8.25</v>
      </c>
    </row>
    <row r="295" spans="1:18" x14ac:dyDescent="0.2">
      <c r="A295" s="1">
        <v>40410</v>
      </c>
      <c r="B295" s="2">
        <v>-3.7124999999999999</v>
      </c>
      <c r="C295" s="3">
        <v>25.49</v>
      </c>
      <c r="D295">
        <v>11.695</v>
      </c>
      <c r="E295">
        <v>2.6105999999999998</v>
      </c>
      <c r="F295">
        <v>0.48709999999999998</v>
      </c>
      <c r="G295">
        <v>0.93500000000000005</v>
      </c>
      <c r="H295">
        <v>0.12</v>
      </c>
      <c r="I295">
        <v>-38.75</v>
      </c>
      <c r="J295">
        <v>-28.5</v>
      </c>
      <c r="K295">
        <v>-8.5</v>
      </c>
      <c r="L295">
        <v>-29.75</v>
      </c>
      <c r="M295">
        <v>94.208699999999993</v>
      </c>
      <c r="N295">
        <v>74.260000000000005</v>
      </c>
      <c r="O295">
        <v>73.459999999999994</v>
      </c>
      <c r="P295">
        <v>0.14499999999999999</v>
      </c>
      <c r="Q295">
        <v>25.49</v>
      </c>
      <c r="R295">
        <v>-1.875</v>
      </c>
    </row>
    <row r="296" spans="1:18" x14ac:dyDescent="0.2">
      <c r="A296" s="1">
        <v>40417</v>
      </c>
      <c r="B296" s="2">
        <v>-3.5274999999999999</v>
      </c>
      <c r="C296" s="3">
        <v>24.45</v>
      </c>
      <c r="D296">
        <v>12.22</v>
      </c>
      <c r="E296">
        <v>2.6446999999999998</v>
      </c>
      <c r="F296">
        <v>0.54810000000000003</v>
      </c>
      <c r="G296">
        <v>1.0089999999999999</v>
      </c>
      <c r="H296">
        <v>0.13500000000000001</v>
      </c>
      <c r="I296">
        <v>-41.05</v>
      </c>
      <c r="J296">
        <v>-33.5</v>
      </c>
      <c r="K296">
        <v>-9.375</v>
      </c>
      <c r="L296">
        <v>-30.35</v>
      </c>
      <c r="M296">
        <v>94.346199999999996</v>
      </c>
      <c r="N296">
        <v>76.650000000000006</v>
      </c>
      <c r="O296">
        <v>75.17</v>
      </c>
      <c r="P296">
        <v>0.13789999999999999</v>
      </c>
      <c r="Q296">
        <v>24.45</v>
      </c>
      <c r="R296">
        <v>-2.5</v>
      </c>
    </row>
    <row r="297" spans="1:18" x14ac:dyDescent="0.2">
      <c r="A297" s="1">
        <v>40424</v>
      </c>
      <c r="B297" s="2">
        <v>-3.3475000000000001</v>
      </c>
      <c r="C297" s="3">
        <v>21.31</v>
      </c>
      <c r="D297">
        <v>12.32</v>
      </c>
      <c r="E297">
        <v>2.6970000000000001</v>
      </c>
      <c r="F297">
        <v>0.51</v>
      </c>
      <c r="G297">
        <v>1.147</v>
      </c>
      <c r="H297">
        <v>0.13500000000000001</v>
      </c>
      <c r="I297">
        <v>-45</v>
      </c>
      <c r="J297">
        <v>-33.4</v>
      </c>
      <c r="K297">
        <v>-14.8</v>
      </c>
      <c r="L297">
        <v>-34.75</v>
      </c>
      <c r="M297">
        <v>93.6952</v>
      </c>
      <c r="N297">
        <v>76.67</v>
      </c>
      <c r="O297">
        <v>74.599999999999994</v>
      </c>
      <c r="P297">
        <v>0.12470000000000001</v>
      </c>
      <c r="Q297">
        <v>21.31</v>
      </c>
      <c r="R297">
        <v>-7.75</v>
      </c>
    </row>
    <row r="298" spans="1:18" x14ac:dyDescent="0.2">
      <c r="A298" s="1">
        <v>40431</v>
      </c>
      <c r="B298" s="2">
        <v>-3.1175000000000002</v>
      </c>
      <c r="C298" s="3">
        <v>21.99</v>
      </c>
      <c r="D298">
        <v>12.455</v>
      </c>
      <c r="E298">
        <v>2.7917000000000001</v>
      </c>
      <c r="F298">
        <v>0.56730000000000003</v>
      </c>
      <c r="G298">
        <v>1.161</v>
      </c>
      <c r="H298">
        <v>0.151</v>
      </c>
      <c r="I298">
        <v>-45</v>
      </c>
      <c r="J298">
        <v>-32.475000000000001</v>
      </c>
      <c r="K298">
        <v>-15.25</v>
      </c>
      <c r="L298">
        <v>-34.774999999999999</v>
      </c>
      <c r="M298">
        <v>93.6768</v>
      </c>
      <c r="N298">
        <v>78.16</v>
      </c>
      <c r="O298">
        <v>76.45</v>
      </c>
      <c r="P298">
        <v>0.1318</v>
      </c>
      <c r="Q298">
        <v>21.99</v>
      </c>
      <c r="R298">
        <v>-8.5</v>
      </c>
    </row>
    <row r="299" spans="1:18" x14ac:dyDescent="0.2">
      <c r="A299" s="1">
        <v>40438</v>
      </c>
      <c r="B299" s="2">
        <v>-2.7450000000000001</v>
      </c>
      <c r="C299" s="3">
        <v>22.01</v>
      </c>
      <c r="D299">
        <v>11.265000000000001</v>
      </c>
      <c r="E299">
        <v>2.7372000000000001</v>
      </c>
      <c r="F299">
        <v>0.46389999999999998</v>
      </c>
      <c r="G299">
        <v>1.0760000000000001</v>
      </c>
      <c r="H299">
        <v>0.13500000000000001</v>
      </c>
      <c r="I299">
        <v>-45.8</v>
      </c>
      <c r="J299">
        <v>-41</v>
      </c>
      <c r="K299">
        <v>-14.8</v>
      </c>
      <c r="L299">
        <v>-34.5</v>
      </c>
      <c r="M299">
        <v>92.941800000000001</v>
      </c>
      <c r="N299">
        <v>78.209999999999994</v>
      </c>
      <c r="O299">
        <v>73.66</v>
      </c>
      <c r="P299">
        <v>0.14710000000000001</v>
      </c>
      <c r="Q299">
        <v>22.01</v>
      </c>
      <c r="R299">
        <v>-8</v>
      </c>
    </row>
    <row r="300" spans="1:18" x14ac:dyDescent="0.2">
      <c r="A300" s="1">
        <v>40445</v>
      </c>
      <c r="B300" s="2">
        <v>-2.41</v>
      </c>
      <c r="C300" s="3">
        <v>21.71</v>
      </c>
      <c r="D300">
        <v>11.414999999999999</v>
      </c>
      <c r="E300">
        <v>2.605</v>
      </c>
      <c r="F300">
        <v>0.44030000000000002</v>
      </c>
      <c r="G300">
        <v>1.0069999999999999</v>
      </c>
      <c r="H300">
        <v>0.14000000000000001</v>
      </c>
      <c r="I300">
        <v>-45</v>
      </c>
      <c r="J300">
        <v>-34.9</v>
      </c>
      <c r="K300">
        <v>-13.8</v>
      </c>
      <c r="L300">
        <v>-33.5</v>
      </c>
      <c r="M300">
        <v>91.599599999999995</v>
      </c>
      <c r="N300">
        <v>78.87</v>
      </c>
      <c r="O300">
        <v>76.489999999999995</v>
      </c>
      <c r="P300">
        <v>0.14000000000000001</v>
      </c>
      <c r="Q300">
        <v>21.71</v>
      </c>
      <c r="R300">
        <v>-6.8</v>
      </c>
    </row>
    <row r="301" spans="1:18" x14ac:dyDescent="0.2">
      <c r="A301" s="1">
        <v>40452</v>
      </c>
      <c r="B301" s="2">
        <v>-2.2450000000000001</v>
      </c>
      <c r="C301" s="3">
        <v>22.5</v>
      </c>
      <c r="D301">
        <v>11.16</v>
      </c>
      <c r="E301">
        <v>2.5097</v>
      </c>
      <c r="F301">
        <v>0.41449999999999998</v>
      </c>
      <c r="G301">
        <v>0.96499999999999997</v>
      </c>
      <c r="H301">
        <v>0.13500000000000001</v>
      </c>
      <c r="I301">
        <v>-45</v>
      </c>
      <c r="J301">
        <v>-36</v>
      </c>
      <c r="K301">
        <v>-13.887499999999999</v>
      </c>
      <c r="L301">
        <v>-33.5</v>
      </c>
      <c r="M301">
        <v>90.835999999999999</v>
      </c>
      <c r="N301">
        <v>83.75</v>
      </c>
      <c r="O301">
        <v>81.58</v>
      </c>
      <c r="P301">
        <v>0.15010000000000001</v>
      </c>
      <c r="Q301">
        <v>22.5</v>
      </c>
      <c r="R301">
        <v>-6.8875000000000002</v>
      </c>
    </row>
    <row r="302" spans="1:18" x14ac:dyDescent="0.2">
      <c r="A302" s="1">
        <v>40459</v>
      </c>
      <c r="B302" s="2">
        <v>-2.1625000000000001</v>
      </c>
      <c r="C302" s="3">
        <v>20.71</v>
      </c>
      <c r="D302">
        <v>12.455</v>
      </c>
      <c r="E302">
        <v>2.3919999999999999</v>
      </c>
      <c r="F302">
        <v>0.34310000000000002</v>
      </c>
      <c r="G302">
        <v>0.873</v>
      </c>
      <c r="H302">
        <v>0.125</v>
      </c>
      <c r="I302">
        <v>-43.8</v>
      </c>
      <c r="J302">
        <v>-34.1</v>
      </c>
      <c r="K302">
        <v>-13.3</v>
      </c>
      <c r="L302">
        <v>-34.5</v>
      </c>
      <c r="M302">
        <v>90.113299999999995</v>
      </c>
      <c r="N302">
        <v>84.03</v>
      </c>
      <c r="O302">
        <v>82.66</v>
      </c>
      <c r="P302">
        <v>0.11459999999999999</v>
      </c>
      <c r="Q302">
        <v>20.71</v>
      </c>
      <c r="R302">
        <v>-7</v>
      </c>
    </row>
    <row r="303" spans="1:18" x14ac:dyDescent="0.2">
      <c r="A303" s="1">
        <v>40466</v>
      </c>
      <c r="B303" s="2">
        <v>-2.2349999999999999</v>
      </c>
      <c r="C303" s="3">
        <v>19.03</v>
      </c>
      <c r="D303">
        <v>12.06</v>
      </c>
      <c r="E303">
        <v>2.5596999999999999</v>
      </c>
      <c r="F303">
        <v>0.3589</v>
      </c>
      <c r="G303">
        <v>0.88500000000000001</v>
      </c>
      <c r="H303">
        <v>0.13400000000000001</v>
      </c>
      <c r="I303">
        <v>-45</v>
      </c>
      <c r="J303">
        <v>-34.4</v>
      </c>
      <c r="K303">
        <v>-14.3</v>
      </c>
      <c r="L303">
        <v>-35.25</v>
      </c>
      <c r="M303">
        <v>89.6815</v>
      </c>
      <c r="N303">
        <v>82.45</v>
      </c>
      <c r="O303">
        <v>81.25</v>
      </c>
      <c r="P303">
        <v>0.13489999999999999</v>
      </c>
      <c r="Q303">
        <v>19.03</v>
      </c>
      <c r="R303">
        <v>-7.5</v>
      </c>
    </row>
    <row r="304" spans="1:18" x14ac:dyDescent="0.2">
      <c r="A304" s="1">
        <v>40473</v>
      </c>
      <c r="B304" s="2">
        <v>-2.6749999999999998</v>
      </c>
      <c r="C304" s="3">
        <v>18.78</v>
      </c>
      <c r="D304">
        <v>11.815</v>
      </c>
      <c r="E304">
        <v>2.5541</v>
      </c>
      <c r="F304">
        <v>0.35060000000000002</v>
      </c>
      <c r="G304">
        <v>0.89600000000000002</v>
      </c>
      <c r="H304">
        <v>0.14399999999999999</v>
      </c>
      <c r="I304">
        <v>-44.3</v>
      </c>
      <c r="J304">
        <v>-33</v>
      </c>
      <c r="K304">
        <v>-14.5</v>
      </c>
      <c r="L304">
        <v>-34.799999999999997</v>
      </c>
      <c r="M304">
        <v>90.406300000000002</v>
      </c>
      <c r="N304">
        <v>82.96</v>
      </c>
      <c r="O304">
        <v>81.69</v>
      </c>
      <c r="P304">
        <v>0.1197</v>
      </c>
      <c r="Q304">
        <v>18.78</v>
      </c>
      <c r="R304">
        <v>-7.5</v>
      </c>
    </row>
    <row r="305" spans="1:18" x14ac:dyDescent="0.2">
      <c r="A305" s="1">
        <v>40480</v>
      </c>
      <c r="B305" s="2">
        <v>-2.7475000000000001</v>
      </c>
      <c r="C305" s="3">
        <v>21.2</v>
      </c>
      <c r="D305">
        <v>11.965</v>
      </c>
      <c r="E305">
        <v>2.5992999999999999</v>
      </c>
      <c r="F305">
        <v>0.3357</v>
      </c>
      <c r="G305">
        <v>0.93899999999999995</v>
      </c>
      <c r="H305">
        <v>0.14499999999999999</v>
      </c>
      <c r="I305">
        <v>-44.8</v>
      </c>
      <c r="J305">
        <v>-33.700000000000003</v>
      </c>
      <c r="K305">
        <v>-15.25</v>
      </c>
      <c r="L305">
        <v>-35.5</v>
      </c>
      <c r="M305">
        <v>90.093500000000006</v>
      </c>
      <c r="N305">
        <v>83.15</v>
      </c>
      <c r="O305">
        <v>81.430000000000007</v>
      </c>
      <c r="P305">
        <v>0.1105</v>
      </c>
      <c r="Q305">
        <v>21.2</v>
      </c>
      <c r="R305">
        <v>-8.25</v>
      </c>
    </row>
    <row r="306" spans="1:18" x14ac:dyDescent="0.2">
      <c r="A306" s="1">
        <v>40487</v>
      </c>
      <c r="B306" s="2">
        <v>-2.5</v>
      </c>
      <c r="C306" s="3">
        <v>18.260000000000002</v>
      </c>
      <c r="D306">
        <v>11.095000000000001</v>
      </c>
      <c r="E306">
        <v>2.5304000000000002</v>
      </c>
      <c r="F306">
        <v>0.36709999999999998</v>
      </c>
      <c r="G306">
        <v>0.93600000000000005</v>
      </c>
      <c r="H306">
        <v>0.14399999999999999</v>
      </c>
      <c r="I306">
        <v>-45.25</v>
      </c>
      <c r="J306">
        <v>-31.75</v>
      </c>
      <c r="K306">
        <v>-19.649999999999999</v>
      </c>
      <c r="L306">
        <v>-38</v>
      </c>
      <c r="M306">
        <v>89.244100000000003</v>
      </c>
      <c r="N306">
        <v>88.11</v>
      </c>
      <c r="O306">
        <v>86.85</v>
      </c>
      <c r="P306">
        <v>0.11459999999999999</v>
      </c>
      <c r="Q306">
        <v>18.260000000000002</v>
      </c>
      <c r="R306">
        <v>-12.15</v>
      </c>
    </row>
    <row r="307" spans="1:18" x14ac:dyDescent="0.2">
      <c r="A307" s="1">
        <v>40494</v>
      </c>
      <c r="B307" s="2">
        <v>-2.9824999999999999</v>
      </c>
      <c r="C307" s="3">
        <v>20.61</v>
      </c>
      <c r="D307">
        <v>11.32</v>
      </c>
      <c r="E307">
        <v>2.7871000000000001</v>
      </c>
      <c r="F307">
        <v>0.50360000000000005</v>
      </c>
      <c r="G307">
        <v>1.0029999999999999</v>
      </c>
      <c r="H307">
        <v>0.154</v>
      </c>
      <c r="I307">
        <v>-46.25</v>
      </c>
      <c r="J307">
        <v>-31.5</v>
      </c>
      <c r="K307">
        <v>-21.5</v>
      </c>
      <c r="L307">
        <v>-38.25</v>
      </c>
      <c r="M307">
        <v>90.170100000000005</v>
      </c>
      <c r="N307">
        <v>86.34</v>
      </c>
      <c r="O307">
        <v>84.88</v>
      </c>
      <c r="P307">
        <v>0.12470000000000001</v>
      </c>
      <c r="Q307">
        <v>20.61</v>
      </c>
      <c r="R307">
        <v>-14.5</v>
      </c>
    </row>
    <row r="308" spans="1:18" x14ac:dyDescent="0.2">
      <c r="A308" s="1">
        <v>40501</v>
      </c>
      <c r="B308" s="2">
        <v>-2.7925</v>
      </c>
      <c r="C308" s="3">
        <v>18.04</v>
      </c>
      <c r="D308">
        <v>10.725</v>
      </c>
      <c r="E308">
        <v>2.8713000000000002</v>
      </c>
      <c r="F308">
        <v>0.50470000000000004</v>
      </c>
      <c r="G308">
        <v>1.071</v>
      </c>
      <c r="H308">
        <v>0.16500000000000001</v>
      </c>
      <c r="I308">
        <v>-48.3</v>
      </c>
      <c r="J308">
        <v>-32.9</v>
      </c>
      <c r="K308">
        <v>-20.5</v>
      </c>
      <c r="L308">
        <v>-38.5</v>
      </c>
      <c r="M308">
        <v>90.698599999999999</v>
      </c>
      <c r="N308">
        <v>84.34</v>
      </c>
      <c r="O308">
        <v>81.510000000000005</v>
      </c>
      <c r="P308">
        <v>0.1298</v>
      </c>
      <c r="Q308">
        <v>18.04</v>
      </c>
      <c r="R308">
        <v>-13.5</v>
      </c>
    </row>
    <row r="309" spans="1:18" x14ac:dyDescent="0.2">
      <c r="A309" s="1">
        <v>40508</v>
      </c>
      <c r="B309" s="2">
        <v>-2.9750000000000001</v>
      </c>
      <c r="C309" s="3">
        <v>22.22</v>
      </c>
      <c r="D309">
        <v>11.147500000000001</v>
      </c>
      <c r="E309">
        <v>2.8662999999999998</v>
      </c>
      <c r="F309">
        <v>0.50790000000000002</v>
      </c>
      <c r="G309">
        <v>1.1950000000000001</v>
      </c>
      <c r="H309">
        <v>0.20399999999999999</v>
      </c>
      <c r="I309">
        <v>-56.5</v>
      </c>
      <c r="J309">
        <v>-44.7</v>
      </c>
      <c r="K309">
        <v>-25</v>
      </c>
      <c r="L309">
        <v>-44.5</v>
      </c>
      <c r="M309">
        <v>91.815200000000004</v>
      </c>
      <c r="N309">
        <v>85.58</v>
      </c>
      <c r="O309">
        <v>83.76</v>
      </c>
      <c r="P309">
        <v>0.15210000000000001</v>
      </c>
      <c r="Q309">
        <v>22.22</v>
      </c>
      <c r="R309">
        <v>-17.75</v>
      </c>
    </row>
    <row r="310" spans="1:18" x14ac:dyDescent="0.2">
      <c r="A310" s="1">
        <v>40515</v>
      </c>
      <c r="B310" s="2">
        <v>-2.96</v>
      </c>
      <c r="C310" s="3">
        <v>18.010000000000002</v>
      </c>
      <c r="D310">
        <v>11.045</v>
      </c>
      <c r="E310">
        <v>3.0055000000000001</v>
      </c>
      <c r="F310">
        <v>0.46829999999999999</v>
      </c>
      <c r="G310">
        <v>1.2150000000000001</v>
      </c>
      <c r="H310">
        <v>0.19400000000000001</v>
      </c>
      <c r="I310">
        <v>-54.75</v>
      </c>
      <c r="J310">
        <v>-39.9</v>
      </c>
      <c r="K310">
        <v>-22.5</v>
      </c>
      <c r="L310">
        <v>-42.75</v>
      </c>
      <c r="M310">
        <v>90.878799999999998</v>
      </c>
      <c r="N310">
        <v>91.42</v>
      </c>
      <c r="O310">
        <v>89.19</v>
      </c>
      <c r="P310">
        <v>0.1318</v>
      </c>
      <c r="Q310">
        <v>18.010000000000002</v>
      </c>
      <c r="R310">
        <v>-14.5</v>
      </c>
    </row>
    <row r="311" spans="1:18" x14ac:dyDescent="0.2">
      <c r="A311" s="1">
        <v>40522</v>
      </c>
      <c r="B311" s="2">
        <v>-2.9350000000000001</v>
      </c>
      <c r="C311" s="3">
        <v>17.61</v>
      </c>
      <c r="D311">
        <v>11.45</v>
      </c>
      <c r="E311">
        <v>3.319</v>
      </c>
      <c r="F311">
        <v>0.63629999999999998</v>
      </c>
      <c r="G311">
        <v>1.2050000000000001</v>
      </c>
      <c r="H311">
        <v>0.22700000000000001</v>
      </c>
      <c r="I311">
        <v>-58.3</v>
      </c>
      <c r="J311">
        <v>-40</v>
      </c>
      <c r="K311">
        <v>-29</v>
      </c>
      <c r="L311">
        <v>-47.3</v>
      </c>
      <c r="M311">
        <v>91.283100000000005</v>
      </c>
      <c r="N311">
        <v>90.48</v>
      </c>
      <c r="O311">
        <v>87.79</v>
      </c>
      <c r="P311">
        <v>0.1166</v>
      </c>
      <c r="Q311">
        <v>17.61</v>
      </c>
      <c r="R311">
        <v>-21.3</v>
      </c>
    </row>
    <row r="312" spans="1:18" x14ac:dyDescent="0.2">
      <c r="A312" s="1">
        <v>40529</v>
      </c>
      <c r="B312" s="2">
        <v>-2.87</v>
      </c>
      <c r="C312" s="3">
        <v>16.11</v>
      </c>
      <c r="D312">
        <v>11.16</v>
      </c>
      <c r="E312">
        <v>3.3279000000000001</v>
      </c>
      <c r="F312">
        <v>0.60519999999999996</v>
      </c>
      <c r="G312">
        <v>1.2010000000000001</v>
      </c>
      <c r="H312">
        <v>0.20699999999999999</v>
      </c>
      <c r="I312">
        <v>-57.494999999999997</v>
      </c>
      <c r="J312">
        <v>-38.75</v>
      </c>
      <c r="K312">
        <v>-28.587499999999999</v>
      </c>
      <c r="L312">
        <v>-46.524999999999999</v>
      </c>
      <c r="M312">
        <v>91.555499999999995</v>
      </c>
      <c r="N312">
        <v>91.67</v>
      </c>
      <c r="O312">
        <v>88.02</v>
      </c>
      <c r="P312">
        <v>0.1014</v>
      </c>
      <c r="Q312">
        <v>16.11</v>
      </c>
      <c r="R312">
        <v>-20.8125</v>
      </c>
    </row>
    <row r="313" spans="1:18" x14ac:dyDescent="0.2">
      <c r="A313" s="1">
        <v>40536</v>
      </c>
      <c r="B313" s="2">
        <v>-2.8050000000000002</v>
      </c>
      <c r="C313" s="3">
        <v>16.47</v>
      </c>
      <c r="D313">
        <v>11.005000000000001</v>
      </c>
      <c r="E313">
        <v>3.3933</v>
      </c>
      <c r="F313">
        <v>0.64739999999999998</v>
      </c>
      <c r="G313">
        <v>1.161</v>
      </c>
      <c r="H313">
        <v>0.23100000000000001</v>
      </c>
      <c r="I313">
        <v>-56.5</v>
      </c>
      <c r="J313">
        <v>-36</v>
      </c>
      <c r="K313">
        <v>-28</v>
      </c>
      <c r="L313">
        <v>-46</v>
      </c>
      <c r="M313">
        <v>91.301299999999998</v>
      </c>
      <c r="N313">
        <v>93.77</v>
      </c>
      <c r="O313">
        <v>91.51</v>
      </c>
      <c r="P313">
        <v>0.1318</v>
      </c>
      <c r="Q313">
        <v>16.47</v>
      </c>
      <c r="R313">
        <v>-20.3</v>
      </c>
    </row>
    <row r="314" spans="1:18" x14ac:dyDescent="0.2">
      <c r="A314" s="1">
        <v>40543</v>
      </c>
      <c r="B314" s="2">
        <v>-2.8050000000000002</v>
      </c>
      <c r="C314" s="3">
        <v>17.75</v>
      </c>
      <c r="D314">
        <v>11.55</v>
      </c>
      <c r="E314">
        <v>3.2934999999999999</v>
      </c>
      <c r="F314">
        <v>0.59340000000000004</v>
      </c>
      <c r="G314">
        <v>1.1279999999999999</v>
      </c>
      <c r="H314">
        <v>0.18</v>
      </c>
      <c r="I314">
        <v>-55.75</v>
      </c>
      <c r="J314">
        <v>-36</v>
      </c>
      <c r="K314">
        <v>-27.75</v>
      </c>
      <c r="L314">
        <v>-45.75</v>
      </c>
      <c r="M314">
        <v>90.514600000000002</v>
      </c>
      <c r="N314">
        <v>94.75</v>
      </c>
      <c r="O314">
        <v>91.38</v>
      </c>
      <c r="P314">
        <v>0.1197</v>
      </c>
      <c r="Q314">
        <v>17.75</v>
      </c>
      <c r="R314">
        <v>-19.75</v>
      </c>
    </row>
    <row r="315" spans="1:18" x14ac:dyDescent="0.2">
      <c r="A315" s="1">
        <v>40550</v>
      </c>
      <c r="B315" s="2">
        <v>-2.8149999999999999</v>
      </c>
      <c r="C315" s="3">
        <v>17.14</v>
      </c>
      <c r="D315">
        <v>11.105</v>
      </c>
      <c r="E315">
        <v>3.3237000000000001</v>
      </c>
      <c r="F315">
        <v>0.59309999999999996</v>
      </c>
      <c r="G315">
        <v>1.2050000000000001</v>
      </c>
      <c r="H315">
        <v>0.182</v>
      </c>
      <c r="I315">
        <v>-54</v>
      </c>
      <c r="J315">
        <v>-35</v>
      </c>
      <c r="K315">
        <v>-25.8</v>
      </c>
      <c r="L315">
        <v>-43</v>
      </c>
      <c r="M315">
        <v>91.000100000000003</v>
      </c>
      <c r="N315">
        <v>93.33</v>
      </c>
      <c r="O315">
        <v>88.03</v>
      </c>
      <c r="P315">
        <v>0.13489999999999999</v>
      </c>
      <c r="Q315">
        <v>17.14</v>
      </c>
      <c r="R315">
        <v>-18.3</v>
      </c>
    </row>
    <row r="316" spans="1:18" x14ac:dyDescent="0.2">
      <c r="A316" s="1">
        <v>40557</v>
      </c>
      <c r="B316" s="2">
        <v>-2.38</v>
      </c>
      <c r="C316" s="3">
        <v>15.46</v>
      </c>
      <c r="D316">
        <v>10.734999999999999</v>
      </c>
      <c r="E316">
        <v>3.3231000000000002</v>
      </c>
      <c r="F316">
        <v>0.56850000000000001</v>
      </c>
      <c r="G316">
        <v>1.2050000000000001</v>
      </c>
      <c r="H316">
        <v>0.19</v>
      </c>
      <c r="I316">
        <v>-52.505000000000003</v>
      </c>
      <c r="J316">
        <v>-31.75</v>
      </c>
      <c r="K316">
        <v>-24.5</v>
      </c>
      <c r="L316">
        <v>-42.9</v>
      </c>
      <c r="M316">
        <v>90.046099999999996</v>
      </c>
      <c r="N316">
        <v>98.68</v>
      </c>
      <c r="O316">
        <v>91.54</v>
      </c>
      <c r="P316">
        <v>0.14499999999999999</v>
      </c>
      <c r="Q316">
        <v>15.46</v>
      </c>
      <c r="R316">
        <v>-16.5</v>
      </c>
    </row>
    <row r="317" spans="1:18" x14ac:dyDescent="0.2">
      <c r="A317" s="1">
        <v>40564</v>
      </c>
      <c r="B317" s="2">
        <v>-2.57</v>
      </c>
      <c r="C317" s="3">
        <v>18.47</v>
      </c>
      <c r="D317">
        <v>10.772500000000001</v>
      </c>
      <c r="E317">
        <v>3.4041999999999999</v>
      </c>
      <c r="F317">
        <v>0.60870000000000002</v>
      </c>
      <c r="G317">
        <v>1.218</v>
      </c>
      <c r="H317">
        <v>0.19</v>
      </c>
      <c r="I317">
        <v>-52.8</v>
      </c>
      <c r="J317">
        <v>-31.1</v>
      </c>
      <c r="K317">
        <v>-25.3</v>
      </c>
      <c r="L317">
        <v>-43.5</v>
      </c>
      <c r="M317">
        <v>89.720399999999998</v>
      </c>
      <c r="N317">
        <v>97.6</v>
      </c>
      <c r="O317">
        <v>89.11</v>
      </c>
      <c r="P317">
        <v>0.15010000000000001</v>
      </c>
      <c r="Q317">
        <v>18.47</v>
      </c>
      <c r="R317">
        <v>-17</v>
      </c>
    </row>
    <row r="318" spans="1:18" x14ac:dyDescent="0.2">
      <c r="A318" s="1">
        <v>40571</v>
      </c>
      <c r="B318" s="2">
        <v>-2.5350000000000001</v>
      </c>
      <c r="C318" s="3">
        <v>20.04</v>
      </c>
      <c r="D318">
        <v>10.25</v>
      </c>
      <c r="E318">
        <v>3.3214000000000001</v>
      </c>
      <c r="F318">
        <v>0.53849999999999998</v>
      </c>
      <c r="G318">
        <v>1.224</v>
      </c>
      <c r="H318">
        <v>0.20499999999999999</v>
      </c>
      <c r="I318">
        <v>-50.75</v>
      </c>
      <c r="J318">
        <v>-30</v>
      </c>
      <c r="K318">
        <v>-24.25</v>
      </c>
      <c r="L318">
        <v>-42.25</v>
      </c>
      <c r="M318">
        <v>89.818899999999999</v>
      </c>
      <c r="N318">
        <v>99.42</v>
      </c>
      <c r="O318">
        <v>89.34</v>
      </c>
      <c r="P318">
        <v>0.14000000000000001</v>
      </c>
      <c r="Q318">
        <v>20.04</v>
      </c>
      <c r="R318">
        <v>-16.25</v>
      </c>
    </row>
    <row r="319" spans="1:18" x14ac:dyDescent="0.2">
      <c r="A319" s="1">
        <v>40578</v>
      </c>
      <c r="B319" s="2">
        <v>-2.5825</v>
      </c>
      <c r="C319" s="3">
        <v>15.93</v>
      </c>
      <c r="D319">
        <v>10.5</v>
      </c>
      <c r="E319">
        <v>3.6356000000000002</v>
      </c>
      <c r="F319">
        <v>0.74439999999999995</v>
      </c>
      <c r="G319">
        <v>1.29</v>
      </c>
      <c r="H319">
        <v>0.215</v>
      </c>
      <c r="I319">
        <v>-49</v>
      </c>
      <c r="J319">
        <v>-28.6</v>
      </c>
      <c r="K319">
        <v>-22</v>
      </c>
      <c r="L319">
        <v>-39.799999999999997</v>
      </c>
      <c r="M319">
        <v>89.391000000000005</v>
      </c>
      <c r="N319">
        <v>99.83</v>
      </c>
      <c r="O319">
        <v>89.03</v>
      </c>
      <c r="P319">
        <v>0.14499999999999999</v>
      </c>
      <c r="Q319">
        <v>15.93</v>
      </c>
      <c r="R319">
        <v>-14</v>
      </c>
    </row>
    <row r="320" spans="1:18" x14ac:dyDescent="0.2">
      <c r="A320" s="1">
        <v>40585</v>
      </c>
      <c r="B320" s="2">
        <v>-2.5775000000000001</v>
      </c>
      <c r="C320" s="3">
        <v>15.69</v>
      </c>
      <c r="D320">
        <v>10.234999999999999</v>
      </c>
      <c r="E320">
        <v>3.6288</v>
      </c>
      <c r="F320">
        <v>0.83420000000000005</v>
      </c>
      <c r="G320">
        <v>1.3149999999999999</v>
      </c>
      <c r="H320">
        <v>0.245</v>
      </c>
      <c r="I320">
        <v>-50.5</v>
      </c>
      <c r="J320">
        <v>-30.1</v>
      </c>
      <c r="K320">
        <v>-24.3</v>
      </c>
      <c r="L320">
        <v>-42</v>
      </c>
      <c r="M320">
        <v>89.878399999999999</v>
      </c>
      <c r="N320">
        <v>101.43</v>
      </c>
      <c r="O320">
        <v>85.58</v>
      </c>
      <c r="P320">
        <v>0.1116</v>
      </c>
      <c r="Q320">
        <v>15.69</v>
      </c>
      <c r="R320">
        <v>-16.3</v>
      </c>
    </row>
    <row r="321" spans="1:18" x14ac:dyDescent="0.2">
      <c r="A321" s="1">
        <v>40592</v>
      </c>
      <c r="B321" s="2">
        <v>-2.395</v>
      </c>
      <c r="C321" s="3">
        <v>16.43</v>
      </c>
      <c r="D321">
        <v>9.6950000000000003</v>
      </c>
      <c r="E321">
        <v>3.5798999999999999</v>
      </c>
      <c r="F321">
        <v>0.74690000000000001</v>
      </c>
      <c r="G321">
        <v>1.3089999999999999</v>
      </c>
      <c r="H321">
        <v>0.23599999999999999</v>
      </c>
      <c r="I321">
        <v>-50.8</v>
      </c>
      <c r="J321">
        <v>-28.95</v>
      </c>
      <c r="K321">
        <v>-24.5</v>
      </c>
      <c r="L321">
        <v>-42.8</v>
      </c>
      <c r="M321">
        <v>89.197400000000002</v>
      </c>
      <c r="N321">
        <v>102.52</v>
      </c>
      <c r="O321">
        <v>86.2</v>
      </c>
      <c r="P321">
        <v>8.9200000000000002E-2</v>
      </c>
      <c r="Q321">
        <v>16.43</v>
      </c>
      <c r="R321">
        <v>-16.5</v>
      </c>
    </row>
    <row r="322" spans="1:18" x14ac:dyDescent="0.2">
      <c r="A322" s="1">
        <v>40599</v>
      </c>
      <c r="B322" s="2">
        <v>-2.54</v>
      </c>
      <c r="C322" s="3">
        <v>19.22</v>
      </c>
      <c r="D322">
        <v>10.31</v>
      </c>
      <c r="E322">
        <v>3.4125000000000001</v>
      </c>
      <c r="F322">
        <v>0.7117</v>
      </c>
      <c r="G322">
        <v>1.2529999999999999</v>
      </c>
      <c r="H322">
        <v>0.251</v>
      </c>
      <c r="I322">
        <v>-49</v>
      </c>
      <c r="J322">
        <v>-28.925000000000001</v>
      </c>
      <c r="K322">
        <v>-24.5</v>
      </c>
      <c r="L322">
        <v>-41.5</v>
      </c>
      <c r="M322">
        <v>89.166399999999996</v>
      </c>
      <c r="N322">
        <v>112.14</v>
      </c>
      <c r="O322">
        <v>97.88</v>
      </c>
      <c r="P322">
        <v>0.12470000000000001</v>
      </c>
      <c r="Q322">
        <v>19.22</v>
      </c>
      <c r="R322">
        <v>-16.5</v>
      </c>
    </row>
    <row r="323" spans="1:18" x14ac:dyDescent="0.2">
      <c r="A323" s="1">
        <v>40606</v>
      </c>
      <c r="B323" s="2">
        <v>-2.5649999999999999</v>
      </c>
      <c r="C323" s="3">
        <v>19.059999999999999</v>
      </c>
      <c r="D323">
        <v>9.8849999999999998</v>
      </c>
      <c r="E323">
        <v>3.49</v>
      </c>
      <c r="F323">
        <v>0.68069999999999997</v>
      </c>
      <c r="G323">
        <v>1.3049999999999999</v>
      </c>
      <c r="H323">
        <v>0.24099999999999999</v>
      </c>
      <c r="I323">
        <v>-48.25</v>
      </c>
      <c r="J323">
        <v>-26.75</v>
      </c>
      <c r="K323">
        <v>-24.25</v>
      </c>
      <c r="L323">
        <v>-41.25</v>
      </c>
      <c r="M323">
        <v>88.489800000000002</v>
      </c>
      <c r="N323">
        <v>115.97</v>
      </c>
      <c r="O323">
        <v>104.42</v>
      </c>
      <c r="P323">
        <v>0.1105</v>
      </c>
      <c r="Q323">
        <v>19.059999999999999</v>
      </c>
      <c r="R323">
        <v>-16.25</v>
      </c>
    </row>
    <row r="324" spans="1:18" x14ac:dyDescent="0.2">
      <c r="A324" s="1">
        <v>40613</v>
      </c>
      <c r="B324" s="2">
        <v>-2.6475</v>
      </c>
      <c r="C324" s="3">
        <v>20.079999999999998</v>
      </c>
      <c r="D324">
        <v>10.2075</v>
      </c>
      <c r="E324">
        <v>3.4024999999999999</v>
      </c>
      <c r="F324">
        <v>0.64100000000000001</v>
      </c>
      <c r="G324">
        <v>1.2549999999999999</v>
      </c>
      <c r="H324">
        <v>0.223</v>
      </c>
      <c r="I324">
        <v>-50</v>
      </c>
      <c r="J324">
        <v>-26.2</v>
      </c>
      <c r="K324">
        <v>-26</v>
      </c>
      <c r="L324">
        <v>-43.25</v>
      </c>
      <c r="M324">
        <v>88.691000000000003</v>
      </c>
      <c r="N324">
        <v>113.84</v>
      </c>
      <c r="O324">
        <v>101.16</v>
      </c>
      <c r="P324">
        <v>6.9000000000000006E-2</v>
      </c>
      <c r="Q324">
        <v>20.079999999999998</v>
      </c>
      <c r="R324">
        <v>-18.5</v>
      </c>
    </row>
    <row r="325" spans="1:18" x14ac:dyDescent="0.2">
      <c r="A325" s="1">
        <v>40620</v>
      </c>
      <c r="B325" s="2">
        <v>-3.1549999999999998</v>
      </c>
      <c r="C325" s="3">
        <v>24.44</v>
      </c>
      <c r="D325">
        <v>13.445</v>
      </c>
      <c r="E325">
        <v>3.2677999999999998</v>
      </c>
      <c r="F325">
        <v>0.58450000000000002</v>
      </c>
      <c r="G325">
        <v>1.2150000000000001</v>
      </c>
      <c r="H325">
        <v>0.22</v>
      </c>
      <c r="I325">
        <v>-49.625</v>
      </c>
      <c r="J325">
        <v>-29.65</v>
      </c>
      <c r="K325">
        <v>-24.5</v>
      </c>
      <c r="L325">
        <v>-41</v>
      </c>
      <c r="M325">
        <v>88.522099999999995</v>
      </c>
      <c r="N325">
        <v>113.93</v>
      </c>
      <c r="O325">
        <v>101.07</v>
      </c>
      <c r="P325">
        <v>6.3899999999999998E-2</v>
      </c>
      <c r="Q325">
        <v>24.44</v>
      </c>
      <c r="R325">
        <v>-16.75</v>
      </c>
    </row>
    <row r="326" spans="1:18" x14ac:dyDescent="0.2">
      <c r="A326" s="1">
        <v>40627</v>
      </c>
      <c r="B326" s="2">
        <v>-2.5150000000000001</v>
      </c>
      <c r="C326" s="3">
        <v>17.91</v>
      </c>
      <c r="D326">
        <v>10.945</v>
      </c>
      <c r="E326">
        <v>3.4388000000000001</v>
      </c>
      <c r="F326">
        <v>0.73150000000000004</v>
      </c>
      <c r="G326">
        <v>1.2250000000000001</v>
      </c>
      <c r="H326">
        <v>0.20599999999999999</v>
      </c>
      <c r="I326">
        <v>-45.75</v>
      </c>
      <c r="J326">
        <v>-27.05</v>
      </c>
      <c r="K326">
        <v>-21.875</v>
      </c>
      <c r="L326">
        <v>-38.75</v>
      </c>
      <c r="M326">
        <v>88.171599999999998</v>
      </c>
      <c r="N326">
        <v>115.59</v>
      </c>
      <c r="O326">
        <v>105.4</v>
      </c>
      <c r="P326">
        <v>8.0100000000000005E-2</v>
      </c>
      <c r="Q326">
        <v>17.91</v>
      </c>
      <c r="R326">
        <v>-14.25</v>
      </c>
    </row>
    <row r="327" spans="1:18" x14ac:dyDescent="0.2">
      <c r="A327" s="1">
        <v>40634</v>
      </c>
      <c r="B327" s="2">
        <v>-2.6</v>
      </c>
      <c r="C327" s="3">
        <v>17.399999999999999</v>
      </c>
      <c r="D327">
        <v>11.455</v>
      </c>
      <c r="E327">
        <v>3.4422000000000001</v>
      </c>
      <c r="F327">
        <v>0.79759999999999998</v>
      </c>
      <c r="G327">
        <v>1.2849999999999999</v>
      </c>
      <c r="H327">
        <v>0.217</v>
      </c>
      <c r="I327">
        <v>-46.3</v>
      </c>
      <c r="J327">
        <v>-24.7</v>
      </c>
      <c r="K327">
        <v>-22.3</v>
      </c>
      <c r="L327">
        <v>-40.299999999999997</v>
      </c>
      <c r="M327">
        <v>87.799300000000002</v>
      </c>
      <c r="N327">
        <v>118.7</v>
      </c>
      <c r="O327">
        <v>107.94</v>
      </c>
      <c r="P327">
        <v>5.5800000000000002E-2</v>
      </c>
      <c r="Q327">
        <v>17.399999999999999</v>
      </c>
      <c r="R327">
        <v>-14.5</v>
      </c>
    </row>
    <row r="328" spans="1:18" x14ac:dyDescent="0.2">
      <c r="A328" s="1">
        <v>40641</v>
      </c>
      <c r="B328" s="2">
        <v>-2.75</v>
      </c>
      <c r="C328" s="3">
        <v>17.87</v>
      </c>
      <c r="D328">
        <v>11.595000000000001</v>
      </c>
      <c r="E328">
        <v>3.5771999999999999</v>
      </c>
      <c r="F328">
        <v>0.80610000000000004</v>
      </c>
      <c r="G328">
        <v>1.325</v>
      </c>
      <c r="H328">
        <v>0.21</v>
      </c>
      <c r="I328">
        <v>-45</v>
      </c>
      <c r="J328">
        <v>-23.75</v>
      </c>
      <c r="K328">
        <v>-21.8</v>
      </c>
      <c r="L328">
        <v>-39.5</v>
      </c>
      <c r="M328">
        <v>87.149299999999997</v>
      </c>
      <c r="N328">
        <v>126.65</v>
      </c>
      <c r="O328">
        <v>112.79</v>
      </c>
      <c r="P328">
        <v>3.5499999999999997E-2</v>
      </c>
      <c r="Q328">
        <v>17.87</v>
      </c>
      <c r="R328">
        <v>-14</v>
      </c>
    </row>
    <row r="329" spans="1:18" x14ac:dyDescent="0.2">
      <c r="A329" s="1">
        <v>40648</v>
      </c>
      <c r="B329" s="2">
        <v>-2.73</v>
      </c>
      <c r="C329" s="3">
        <v>15.32</v>
      </c>
      <c r="D329">
        <v>11.66</v>
      </c>
      <c r="E329">
        <v>3.4079000000000002</v>
      </c>
      <c r="F329">
        <v>0.69340000000000002</v>
      </c>
      <c r="G329">
        <v>1.2909999999999999</v>
      </c>
      <c r="H329">
        <v>0.21</v>
      </c>
      <c r="I329">
        <v>-46</v>
      </c>
      <c r="J329">
        <v>-22</v>
      </c>
      <c r="K329">
        <v>-22.3</v>
      </c>
      <c r="L329">
        <v>-40.5</v>
      </c>
      <c r="M329">
        <v>87.004999999999995</v>
      </c>
      <c r="N329">
        <v>123.45</v>
      </c>
      <c r="O329">
        <v>109.66</v>
      </c>
      <c r="P329">
        <v>6.08E-2</v>
      </c>
      <c r="Q329">
        <v>15.32</v>
      </c>
      <c r="R329">
        <v>-14.5</v>
      </c>
    </row>
    <row r="330" spans="1:18" x14ac:dyDescent="0.2">
      <c r="A330" s="1">
        <v>40655</v>
      </c>
      <c r="B330" s="2">
        <v>-2.69</v>
      </c>
      <c r="C330" s="3">
        <v>14.69</v>
      </c>
      <c r="D330">
        <v>11.63</v>
      </c>
      <c r="E330">
        <v>3.3906999999999998</v>
      </c>
      <c r="F330">
        <v>0.65200000000000002</v>
      </c>
      <c r="G330">
        <v>1.22</v>
      </c>
      <c r="H330">
        <v>0.20599999999999999</v>
      </c>
      <c r="I330">
        <v>-43.5</v>
      </c>
      <c r="J330">
        <v>-23</v>
      </c>
      <c r="K330">
        <v>-20.25</v>
      </c>
      <c r="L330">
        <v>-38.75</v>
      </c>
      <c r="M330">
        <v>86.374200000000002</v>
      </c>
      <c r="N330">
        <v>123.99</v>
      </c>
      <c r="O330">
        <v>112.29</v>
      </c>
      <c r="P330">
        <v>5.0700000000000002E-2</v>
      </c>
      <c r="Q330">
        <v>14.69</v>
      </c>
      <c r="R330">
        <v>-12.5</v>
      </c>
    </row>
    <row r="331" spans="1:18" x14ac:dyDescent="0.2">
      <c r="A331" s="1">
        <v>40662</v>
      </c>
      <c r="B331" s="2">
        <v>-2.5449999999999999</v>
      </c>
      <c r="C331" s="3">
        <v>14.75</v>
      </c>
      <c r="D331">
        <v>10.88</v>
      </c>
      <c r="E331">
        <v>3.2863000000000002</v>
      </c>
      <c r="F331">
        <v>0.60129999999999995</v>
      </c>
      <c r="G331">
        <v>1.21</v>
      </c>
      <c r="H331">
        <v>0.20499999999999999</v>
      </c>
      <c r="I331">
        <v>-42.75</v>
      </c>
      <c r="J331">
        <v>-21.524999999999999</v>
      </c>
      <c r="K331">
        <v>-19.5</v>
      </c>
      <c r="L331">
        <v>-37.75</v>
      </c>
      <c r="M331">
        <v>85.599900000000005</v>
      </c>
      <c r="N331">
        <v>125.89</v>
      </c>
      <c r="O331">
        <v>113.93</v>
      </c>
      <c r="P331">
        <v>3.5499999999999997E-2</v>
      </c>
      <c r="Q331">
        <v>14.75</v>
      </c>
      <c r="R331">
        <v>-11.75</v>
      </c>
    </row>
    <row r="332" spans="1:18" x14ac:dyDescent="0.2">
      <c r="A332" s="1">
        <v>40669</v>
      </c>
      <c r="B332" s="2">
        <v>-3.0550000000000002</v>
      </c>
      <c r="C332" s="3">
        <v>18.399999999999999</v>
      </c>
      <c r="D332">
        <v>11.4</v>
      </c>
      <c r="E332">
        <v>3.1459000000000001</v>
      </c>
      <c r="F332">
        <v>0.54930000000000001</v>
      </c>
      <c r="G332">
        <v>1.1459999999999999</v>
      </c>
      <c r="H332">
        <v>0.19</v>
      </c>
      <c r="I332">
        <v>-42.5</v>
      </c>
      <c r="J332">
        <v>-19.8</v>
      </c>
      <c r="K332">
        <v>-18.75</v>
      </c>
      <c r="L332">
        <v>-37.25</v>
      </c>
      <c r="M332">
        <v>86.457499999999996</v>
      </c>
      <c r="N332">
        <v>109.13</v>
      </c>
      <c r="O332">
        <v>97.18</v>
      </c>
      <c r="P332">
        <v>5.1000000000000004E-3</v>
      </c>
      <c r="Q332">
        <v>18.399999999999999</v>
      </c>
      <c r="R332">
        <v>-11.25</v>
      </c>
    </row>
    <row r="333" spans="1:18" x14ac:dyDescent="0.2">
      <c r="A333" s="1">
        <v>40676</v>
      </c>
      <c r="B333" s="2">
        <v>-3.24</v>
      </c>
      <c r="C333" s="3">
        <v>17.07</v>
      </c>
      <c r="D333">
        <v>11.005000000000001</v>
      </c>
      <c r="E333">
        <v>3.1709000000000001</v>
      </c>
      <c r="F333">
        <v>0.53249999999999997</v>
      </c>
      <c r="G333">
        <v>1.1259999999999999</v>
      </c>
      <c r="H333">
        <v>0.185</v>
      </c>
      <c r="I333">
        <v>-44.5</v>
      </c>
      <c r="J333">
        <v>-20.6</v>
      </c>
      <c r="K333">
        <v>-17.25</v>
      </c>
      <c r="L333">
        <v>-37.5</v>
      </c>
      <c r="M333">
        <v>87.417599999999993</v>
      </c>
      <c r="N333">
        <v>113.83</v>
      </c>
      <c r="O333">
        <v>99.65</v>
      </c>
      <c r="P333">
        <v>2.0299999999999999E-2</v>
      </c>
      <c r="Q333">
        <v>17.07</v>
      </c>
      <c r="R333">
        <v>-9.25</v>
      </c>
    </row>
    <row r="334" spans="1:18" x14ac:dyDescent="0.2">
      <c r="A334" s="1">
        <v>40683</v>
      </c>
      <c r="B334" s="2">
        <v>-3.1</v>
      </c>
      <c r="C334" s="3">
        <v>17.43</v>
      </c>
      <c r="D334">
        <v>10.715</v>
      </c>
      <c r="E334">
        <v>3.1450999999999998</v>
      </c>
      <c r="F334">
        <v>0.51139999999999997</v>
      </c>
      <c r="G334">
        <v>1.125</v>
      </c>
      <c r="H334">
        <v>0.17299999999999999</v>
      </c>
      <c r="I334">
        <v>-45.5</v>
      </c>
      <c r="J334">
        <v>-20.55</v>
      </c>
      <c r="K334">
        <v>-15.75</v>
      </c>
      <c r="L334">
        <v>-37.75</v>
      </c>
      <c r="M334">
        <v>87.304400000000001</v>
      </c>
      <c r="N334">
        <v>112.39</v>
      </c>
      <c r="O334">
        <v>99.49</v>
      </c>
      <c r="P334">
        <v>4.0599999999999997E-2</v>
      </c>
      <c r="Q334">
        <v>17.43</v>
      </c>
      <c r="R334">
        <v>-7.375</v>
      </c>
    </row>
    <row r="335" spans="1:18" x14ac:dyDescent="0.2">
      <c r="A335" s="1">
        <v>40690</v>
      </c>
      <c r="B335" s="2">
        <v>-3.09</v>
      </c>
      <c r="C335" s="3">
        <v>15.98</v>
      </c>
      <c r="D335">
        <v>10.64</v>
      </c>
      <c r="E335">
        <v>3.0735000000000001</v>
      </c>
      <c r="F335">
        <v>0.47639999999999999</v>
      </c>
      <c r="G335">
        <v>1.123</v>
      </c>
      <c r="H335">
        <v>0.17299999999999999</v>
      </c>
      <c r="I335">
        <v>-48.125</v>
      </c>
      <c r="J335">
        <v>-21.614999999999998</v>
      </c>
      <c r="K335">
        <v>-18</v>
      </c>
      <c r="L335">
        <v>-39.375</v>
      </c>
      <c r="M335">
        <v>86.952500000000001</v>
      </c>
      <c r="N335">
        <v>115.03</v>
      </c>
      <c r="O335">
        <v>100.59</v>
      </c>
      <c r="P335">
        <v>4.0599999999999997E-2</v>
      </c>
      <c r="Q335">
        <v>15.98</v>
      </c>
      <c r="R335">
        <v>-9.75</v>
      </c>
    </row>
    <row r="336" spans="1:18" x14ac:dyDescent="0.2">
      <c r="A336" s="1">
        <v>40697</v>
      </c>
      <c r="B336" s="2">
        <v>-2.8149999999999999</v>
      </c>
      <c r="C336" s="3">
        <v>17.95</v>
      </c>
      <c r="D336">
        <v>10.46</v>
      </c>
      <c r="E336">
        <v>2.9859</v>
      </c>
      <c r="F336">
        <v>0.42480000000000001</v>
      </c>
      <c r="G336">
        <v>1.135</v>
      </c>
      <c r="H336">
        <v>0.155</v>
      </c>
      <c r="I336">
        <v>-49.5</v>
      </c>
      <c r="J336">
        <v>-20.9</v>
      </c>
      <c r="K336">
        <v>-20</v>
      </c>
      <c r="L336">
        <v>-41.3</v>
      </c>
      <c r="M336">
        <v>86.423400000000001</v>
      </c>
      <c r="N336">
        <v>115.84</v>
      </c>
      <c r="O336">
        <v>100.22</v>
      </c>
      <c r="P336">
        <v>3.0499999999999999E-2</v>
      </c>
      <c r="Q336">
        <v>17.95</v>
      </c>
      <c r="R336">
        <v>-11.75</v>
      </c>
    </row>
    <row r="337" spans="1:18" x14ac:dyDescent="0.2">
      <c r="A337" s="1">
        <v>40704</v>
      </c>
      <c r="B337" s="2">
        <v>-2.7225000000000001</v>
      </c>
      <c r="C337" s="3">
        <v>18.86</v>
      </c>
      <c r="D337">
        <v>10.074999999999999</v>
      </c>
      <c r="E337">
        <v>2.9693000000000001</v>
      </c>
      <c r="F337">
        <v>0.39810000000000001</v>
      </c>
      <c r="G337">
        <v>1.135</v>
      </c>
      <c r="H337">
        <v>0.16</v>
      </c>
      <c r="I337">
        <v>-47.5</v>
      </c>
      <c r="J337">
        <v>-19.899999999999999</v>
      </c>
      <c r="K337">
        <v>-19</v>
      </c>
      <c r="L337">
        <v>-39.5</v>
      </c>
      <c r="M337">
        <v>87.042000000000002</v>
      </c>
      <c r="N337">
        <v>118.78</v>
      </c>
      <c r="O337">
        <v>99.29</v>
      </c>
      <c r="P337">
        <v>4.07E-2</v>
      </c>
      <c r="Q337">
        <v>18.86</v>
      </c>
      <c r="R337">
        <v>-10.8</v>
      </c>
    </row>
    <row r="338" spans="1:18" x14ac:dyDescent="0.2">
      <c r="A338" s="1">
        <v>40711</v>
      </c>
      <c r="B338" s="2">
        <v>-2.96</v>
      </c>
      <c r="C338" s="3">
        <v>21.85</v>
      </c>
      <c r="D338">
        <v>10.32</v>
      </c>
      <c r="E338">
        <v>2.9445000000000001</v>
      </c>
      <c r="F338">
        <v>0.37490000000000001</v>
      </c>
      <c r="G338">
        <v>1.115</v>
      </c>
      <c r="H338">
        <v>0.16800000000000001</v>
      </c>
      <c r="I338">
        <v>-50.5</v>
      </c>
      <c r="J338">
        <v>-25</v>
      </c>
      <c r="K338">
        <v>-20.75</v>
      </c>
      <c r="L338">
        <v>-41.5</v>
      </c>
      <c r="M338">
        <v>87.2179</v>
      </c>
      <c r="N338">
        <v>113.21</v>
      </c>
      <c r="O338">
        <v>93.01</v>
      </c>
      <c r="P338">
        <v>2.5399999999999999E-2</v>
      </c>
      <c r="Q338">
        <v>21.85</v>
      </c>
      <c r="R338">
        <v>-12.5</v>
      </c>
    </row>
    <row r="339" spans="1:18" x14ac:dyDescent="0.2">
      <c r="A339" s="1">
        <v>40718</v>
      </c>
      <c r="B339" s="2">
        <v>-2.9350000000000001</v>
      </c>
      <c r="C339" s="3">
        <v>21.1</v>
      </c>
      <c r="D339">
        <v>9.8224999999999998</v>
      </c>
      <c r="E339">
        <v>2.8635999999999999</v>
      </c>
      <c r="F339">
        <v>0.32900000000000001</v>
      </c>
      <c r="G339">
        <v>1.105</v>
      </c>
      <c r="H339">
        <v>0.155</v>
      </c>
      <c r="I339">
        <v>-47.75</v>
      </c>
      <c r="J339">
        <v>-23.7</v>
      </c>
      <c r="K339">
        <v>-20.3</v>
      </c>
      <c r="L339">
        <v>-40.15</v>
      </c>
      <c r="M339">
        <v>87.501400000000004</v>
      </c>
      <c r="N339">
        <v>105.12</v>
      </c>
      <c r="O339">
        <v>91.16</v>
      </c>
      <c r="P339">
        <v>5.1000000000000004E-3</v>
      </c>
      <c r="Q339">
        <v>21.1</v>
      </c>
      <c r="R339">
        <v>-12</v>
      </c>
    </row>
    <row r="340" spans="1:18" x14ac:dyDescent="0.2">
      <c r="A340" s="1">
        <v>40725</v>
      </c>
      <c r="B340" s="2">
        <v>-2.7549999999999999</v>
      </c>
      <c r="C340" s="3">
        <v>15.87</v>
      </c>
      <c r="D340">
        <v>9.5</v>
      </c>
      <c r="E340">
        <v>3.1823000000000001</v>
      </c>
      <c r="F340">
        <v>0.47189999999999999</v>
      </c>
      <c r="G340">
        <v>1.135</v>
      </c>
      <c r="H340">
        <v>0.16</v>
      </c>
      <c r="I340">
        <v>-47.75</v>
      </c>
      <c r="J340">
        <v>-23.1</v>
      </c>
      <c r="K340">
        <v>-19.5</v>
      </c>
      <c r="L340">
        <v>-39.5</v>
      </c>
      <c r="M340">
        <v>86.3613</v>
      </c>
      <c r="N340">
        <v>111.77</v>
      </c>
      <c r="O340">
        <v>94.94</v>
      </c>
      <c r="P340">
        <v>1.5299999999999999E-2</v>
      </c>
      <c r="Q340">
        <v>15.87</v>
      </c>
      <c r="R340">
        <v>-11.25</v>
      </c>
    </row>
    <row r="341" spans="1:18" x14ac:dyDescent="0.2">
      <c r="A341" s="1">
        <v>40732</v>
      </c>
      <c r="B341" s="2">
        <v>-2.665</v>
      </c>
      <c r="C341" s="3">
        <v>15.95</v>
      </c>
      <c r="D341">
        <v>9.0649999999999995</v>
      </c>
      <c r="E341">
        <v>3.0268000000000002</v>
      </c>
      <c r="F341">
        <v>0.39090000000000003</v>
      </c>
      <c r="G341">
        <v>1.173</v>
      </c>
      <c r="H341">
        <v>0.16200000000000001</v>
      </c>
      <c r="I341">
        <v>-47.95</v>
      </c>
      <c r="J341">
        <v>-22.9</v>
      </c>
      <c r="K341">
        <v>-20.75</v>
      </c>
      <c r="L341">
        <v>-40.450000000000003</v>
      </c>
      <c r="M341">
        <v>86.614999999999995</v>
      </c>
      <c r="N341">
        <v>118.33</v>
      </c>
      <c r="O341">
        <v>96.2</v>
      </c>
      <c r="P341">
        <v>2.0299999999999999E-2</v>
      </c>
      <c r="Q341">
        <v>15.95</v>
      </c>
      <c r="R341">
        <v>-12.5</v>
      </c>
    </row>
    <row r="342" spans="1:18" x14ac:dyDescent="0.2">
      <c r="A342" s="1">
        <v>40739</v>
      </c>
      <c r="B342" s="2">
        <v>-3.1749999999999998</v>
      </c>
      <c r="C342" s="3">
        <v>19.53</v>
      </c>
      <c r="D342">
        <v>10.265000000000001</v>
      </c>
      <c r="E342">
        <v>2.9058000000000002</v>
      </c>
      <c r="F342">
        <v>0.35289999999999999</v>
      </c>
      <c r="G342">
        <v>1.087</v>
      </c>
      <c r="H342">
        <v>0.14599999999999999</v>
      </c>
      <c r="I342">
        <v>-49.75</v>
      </c>
      <c r="J342">
        <v>-27.9</v>
      </c>
      <c r="K342">
        <v>-20.8</v>
      </c>
      <c r="L342">
        <v>-41</v>
      </c>
      <c r="M342">
        <v>86.516900000000007</v>
      </c>
      <c r="N342">
        <v>117.26</v>
      </c>
      <c r="O342">
        <v>97.24</v>
      </c>
      <c r="P342">
        <v>5.1000000000000004E-3</v>
      </c>
      <c r="Q342">
        <v>19.53</v>
      </c>
      <c r="R342">
        <v>-12</v>
      </c>
    </row>
    <row r="343" spans="1:18" x14ac:dyDescent="0.2">
      <c r="A343" s="1">
        <v>40746</v>
      </c>
      <c r="B343" s="2">
        <v>-2.92</v>
      </c>
      <c r="C343" s="3">
        <v>17.52</v>
      </c>
      <c r="D343">
        <v>9.8475000000000001</v>
      </c>
      <c r="E343">
        <v>2.9621</v>
      </c>
      <c r="F343">
        <v>0.38719999999999999</v>
      </c>
      <c r="G343">
        <v>1.099</v>
      </c>
      <c r="H343">
        <v>0.155</v>
      </c>
      <c r="I343">
        <v>-50</v>
      </c>
      <c r="J343">
        <v>-25.5</v>
      </c>
      <c r="K343">
        <v>-20.5</v>
      </c>
      <c r="L343">
        <v>-41.375</v>
      </c>
      <c r="M343">
        <v>85.862300000000005</v>
      </c>
      <c r="N343">
        <v>118.67</v>
      </c>
      <c r="O343">
        <v>99.87</v>
      </c>
      <c r="P343">
        <v>3.04E-2</v>
      </c>
      <c r="Q343">
        <v>17.52</v>
      </c>
      <c r="R343">
        <v>-11.875</v>
      </c>
    </row>
    <row r="344" spans="1:18" x14ac:dyDescent="0.2">
      <c r="A344" s="1">
        <v>40753</v>
      </c>
      <c r="B344" s="2">
        <v>-2.59</v>
      </c>
      <c r="C344" s="3">
        <v>25.25</v>
      </c>
      <c r="D344">
        <v>11.345000000000001</v>
      </c>
      <c r="E344">
        <v>2.7961</v>
      </c>
      <c r="F344">
        <v>0.35539999999999999</v>
      </c>
      <c r="G344">
        <v>1.077</v>
      </c>
      <c r="H344">
        <v>0.15</v>
      </c>
      <c r="I344">
        <v>-51.5</v>
      </c>
      <c r="J344">
        <v>-29.85</v>
      </c>
      <c r="K344">
        <v>-21.5</v>
      </c>
      <c r="L344">
        <v>-43.5</v>
      </c>
      <c r="M344">
        <v>85.728200000000001</v>
      </c>
      <c r="N344">
        <v>116.74</v>
      </c>
      <c r="O344">
        <v>95.7</v>
      </c>
      <c r="P344">
        <v>9.1499999999999998E-2</v>
      </c>
      <c r="Q344">
        <v>25.25</v>
      </c>
      <c r="R344">
        <v>-12.25</v>
      </c>
    </row>
    <row r="345" spans="1:18" x14ac:dyDescent="0.2">
      <c r="A345" s="1">
        <v>40760</v>
      </c>
      <c r="B345" s="2">
        <v>-3.5049999999999999</v>
      </c>
      <c r="C345" s="3">
        <v>32</v>
      </c>
      <c r="D345">
        <v>10.935</v>
      </c>
      <c r="E345">
        <v>2.5585</v>
      </c>
      <c r="F345">
        <v>0.2878</v>
      </c>
      <c r="G345">
        <v>1.002</v>
      </c>
      <c r="H345">
        <v>0.13700000000000001</v>
      </c>
      <c r="I345">
        <v>-58.3</v>
      </c>
      <c r="J345">
        <v>-37</v>
      </c>
      <c r="K345">
        <v>-22</v>
      </c>
      <c r="L345">
        <v>-46.5</v>
      </c>
      <c r="M345">
        <v>87.108400000000003</v>
      </c>
      <c r="N345">
        <v>109.37</v>
      </c>
      <c r="O345">
        <v>86.88</v>
      </c>
      <c r="P345">
        <v>5.1000000000000004E-3</v>
      </c>
      <c r="Q345">
        <v>32</v>
      </c>
      <c r="R345">
        <v>-13</v>
      </c>
    </row>
    <row r="346" spans="1:18" x14ac:dyDescent="0.2">
      <c r="A346" s="1">
        <v>40767</v>
      </c>
      <c r="B346" s="2">
        <v>-5.2450000000000001</v>
      </c>
      <c r="C346" s="3">
        <v>36.36</v>
      </c>
      <c r="D346">
        <v>12.685</v>
      </c>
      <c r="E346">
        <v>2.2547999999999999</v>
      </c>
      <c r="F346">
        <v>0.18720000000000001</v>
      </c>
      <c r="G346">
        <v>1.044</v>
      </c>
      <c r="H346">
        <v>0.14499999999999999</v>
      </c>
      <c r="I346">
        <v>-71.875</v>
      </c>
      <c r="J346">
        <v>-52.792499999999997</v>
      </c>
      <c r="K346">
        <v>-21.125</v>
      </c>
      <c r="L346">
        <v>-49.25</v>
      </c>
      <c r="M346">
        <v>87.177000000000007</v>
      </c>
      <c r="N346">
        <v>108.03</v>
      </c>
      <c r="O346">
        <v>85.38</v>
      </c>
      <c r="P346">
        <v>1.0200000000000001E-2</v>
      </c>
      <c r="Q346">
        <v>36.36</v>
      </c>
      <c r="R346">
        <v>-11.5</v>
      </c>
    </row>
    <row r="347" spans="1:18" x14ac:dyDescent="0.2">
      <c r="A347" s="1">
        <v>40774</v>
      </c>
      <c r="B347" s="2">
        <v>-4.8775000000000004</v>
      </c>
      <c r="C347" s="3">
        <v>43.05</v>
      </c>
      <c r="D347">
        <v>11.9</v>
      </c>
      <c r="E347">
        <v>2.0623</v>
      </c>
      <c r="F347">
        <v>0.1893</v>
      </c>
      <c r="G347">
        <v>0.98499999999999999</v>
      </c>
      <c r="H347">
        <v>0.13600000000000001</v>
      </c>
      <c r="I347">
        <v>-61.65</v>
      </c>
      <c r="J347">
        <v>-43.35</v>
      </c>
      <c r="K347">
        <v>-20.63</v>
      </c>
      <c r="L347">
        <v>-46.25</v>
      </c>
      <c r="M347">
        <v>86.828599999999994</v>
      </c>
      <c r="N347">
        <v>108.62</v>
      </c>
      <c r="O347">
        <v>82.26</v>
      </c>
      <c r="P347">
        <v>0</v>
      </c>
      <c r="Q347">
        <v>43.05</v>
      </c>
      <c r="R347">
        <v>-11.44</v>
      </c>
    </row>
    <row r="348" spans="1:18" x14ac:dyDescent="0.2">
      <c r="A348" s="1">
        <v>40781</v>
      </c>
      <c r="B348" s="2">
        <v>-5.15</v>
      </c>
      <c r="C348" s="3">
        <v>35.590000000000003</v>
      </c>
      <c r="D348">
        <v>11.265000000000001</v>
      </c>
      <c r="E348">
        <v>2.1899000000000002</v>
      </c>
      <c r="F348">
        <v>0.18759999999999999</v>
      </c>
      <c r="G348">
        <v>1.038</v>
      </c>
      <c r="H348">
        <v>0.128</v>
      </c>
      <c r="I348">
        <v>-61</v>
      </c>
      <c r="J348">
        <v>-41.1</v>
      </c>
      <c r="K348">
        <v>-20.88</v>
      </c>
      <c r="L348">
        <v>-46.88</v>
      </c>
      <c r="M348">
        <v>87.075100000000006</v>
      </c>
      <c r="N348">
        <v>111.36</v>
      </c>
      <c r="O348">
        <v>85.37</v>
      </c>
      <c r="P348">
        <v>-5.1000000000000004E-3</v>
      </c>
      <c r="Q348">
        <v>35.590000000000003</v>
      </c>
      <c r="R348">
        <v>-11.75</v>
      </c>
    </row>
    <row r="349" spans="1:18" x14ac:dyDescent="0.2">
      <c r="A349" s="1">
        <v>40788</v>
      </c>
      <c r="B349" s="2">
        <v>-5.1550000000000002</v>
      </c>
      <c r="C349" s="3">
        <v>33.92</v>
      </c>
      <c r="D349">
        <v>10.885</v>
      </c>
      <c r="E349">
        <v>1.9857</v>
      </c>
      <c r="F349">
        <v>0.1961</v>
      </c>
      <c r="G349">
        <v>1.026</v>
      </c>
      <c r="H349">
        <v>0.14000000000000001</v>
      </c>
      <c r="I349">
        <v>-63</v>
      </c>
      <c r="J349">
        <v>-33.875</v>
      </c>
      <c r="K349">
        <v>-21.75</v>
      </c>
      <c r="L349">
        <v>-48.5</v>
      </c>
      <c r="M349">
        <v>87.179699999999997</v>
      </c>
      <c r="N349">
        <v>112.33</v>
      </c>
      <c r="O349">
        <v>86.45</v>
      </c>
      <c r="P349">
        <v>1.5299999999999999E-2</v>
      </c>
      <c r="Q349">
        <v>33.92</v>
      </c>
      <c r="R349">
        <v>-12.5</v>
      </c>
    </row>
    <row r="350" spans="1:18" x14ac:dyDescent="0.2">
      <c r="A350" s="1">
        <v>40795</v>
      </c>
      <c r="B350" s="2">
        <v>-5.7850000000000001</v>
      </c>
      <c r="C350" s="3">
        <v>38.520000000000003</v>
      </c>
      <c r="D350">
        <v>11.15</v>
      </c>
      <c r="E350">
        <v>1.9182999999999999</v>
      </c>
      <c r="F350">
        <v>0.16880000000000001</v>
      </c>
      <c r="G350">
        <v>0.999</v>
      </c>
      <c r="H350">
        <v>0.13600000000000001</v>
      </c>
      <c r="I350">
        <v>-65.03</v>
      </c>
      <c r="J350">
        <v>-36.75</v>
      </c>
      <c r="K350">
        <v>-22.125</v>
      </c>
      <c r="L350">
        <v>-49.655000000000001</v>
      </c>
      <c r="M350">
        <v>88.951400000000007</v>
      </c>
      <c r="N350">
        <v>112.77</v>
      </c>
      <c r="O350">
        <v>87.24</v>
      </c>
      <c r="P350">
        <v>5.1000000000000004E-3</v>
      </c>
      <c r="Q350">
        <v>38.520000000000003</v>
      </c>
      <c r="R350">
        <v>-12.654999999999999</v>
      </c>
    </row>
    <row r="351" spans="1:18" x14ac:dyDescent="0.2">
      <c r="A351" s="1">
        <v>40802</v>
      </c>
      <c r="B351" s="2">
        <v>-6.0075000000000003</v>
      </c>
      <c r="C351" s="3">
        <v>30.98</v>
      </c>
      <c r="D351">
        <v>10.7775</v>
      </c>
      <c r="E351">
        <v>2.0478999999999998</v>
      </c>
      <c r="F351">
        <v>0.16520000000000001</v>
      </c>
      <c r="G351">
        <v>1.0069999999999999</v>
      </c>
      <c r="H351">
        <v>0.13500000000000001</v>
      </c>
      <c r="I351">
        <v>-64.63</v>
      </c>
      <c r="J351">
        <v>-32.6</v>
      </c>
      <c r="K351">
        <v>-21.5</v>
      </c>
      <c r="L351">
        <v>-48.75</v>
      </c>
      <c r="M351">
        <v>89.110799999999998</v>
      </c>
      <c r="N351">
        <v>112.22</v>
      </c>
      <c r="O351">
        <v>87.96</v>
      </c>
      <c r="P351">
        <v>0</v>
      </c>
      <c r="Q351">
        <v>30.98</v>
      </c>
      <c r="R351">
        <v>-11.8</v>
      </c>
    </row>
    <row r="352" spans="1:18" x14ac:dyDescent="0.2">
      <c r="A352" s="1">
        <v>40809</v>
      </c>
      <c r="B352" s="2">
        <v>-7.5125000000000002</v>
      </c>
      <c r="C352" s="3">
        <v>41.25</v>
      </c>
      <c r="D352">
        <v>12.2425</v>
      </c>
      <c r="E352">
        <v>1.8333999999999999</v>
      </c>
      <c r="F352">
        <v>0.21640000000000001</v>
      </c>
      <c r="G352">
        <v>0.98199999999999998</v>
      </c>
      <c r="H352">
        <v>0.129</v>
      </c>
      <c r="I352">
        <v>-65.5</v>
      </c>
      <c r="J352">
        <v>-34.85</v>
      </c>
      <c r="K352">
        <v>-22.5</v>
      </c>
      <c r="L352">
        <v>-49.8</v>
      </c>
      <c r="M352">
        <v>91.690399999999997</v>
      </c>
      <c r="N352">
        <v>103.97</v>
      </c>
      <c r="O352">
        <v>79.849999999999994</v>
      </c>
      <c r="P352">
        <v>-5.1000000000000004E-3</v>
      </c>
      <c r="Q352">
        <v>41.25</v>
      </c>
      <c r="R352">
        <v>-12.5</v>
      </c>
    </row>
    <row r="353" spans="1:18" x14ac:dyDescent="0.2">
      <c r="A353" s="1">
        <v>40816</v>
      </c>
      <c r="B353" s="2">
        <v>-6.8949999999999996</v>
      </c>
      <c r="C353" s="3">
        <v>42.96</v>
      </c>
      <c r="D353">
        <v>11.115</v>
      </c>
      <c r="E353">
        <v>1.9154</v>
      </c>
      <c r="F353">
        <v>0.24299999999999999</v>
      </c>
      <c r="G353">
        <v>1.0269999999999999</v>
      </c>
      <c r="H353">
        <v>0.14199999999999999</v>
      </c>
      <c r="I353">
        <v>-65.5</v>
      </c>
      <c r="J353">
        <v>-36.299999999999997</v>
      </c>
      <c r="K353">
        <v>-21.88</v>
      </c>
      <c r="L353">
        <v>-49.56</v>
      </c>
      <c r="M353">
        <v>91.999799999999993</v>
      </c>
      <c r="N353">
        <v>102.76</v>
      </c>
      <c r="O353">
        <v>79.2</v>
      </c>
      <c r="P353">
        <v>2.0299999999999999E-2</v>
      </c>
      <c r="Q353">
        <v>42.96</v>
      </c>
      <c r="R353">
        <v>-11.8</v>
      </c>
    </row>
    <row r="354" spans="1:18" x14ac:dyDescent="0.2">
      <c r="A354" s="1">
        <v>40823</v>
      </c>
      <c r="B354" s="2">
        <v>-5.2450000000000001</v>
      </c>
      <c r="C354" s="3">
        <v>36.200000000000003</v>
      </c>
      <c r="D354">
        <v>9.9700000000000006</v>
      </c>
      <c r="E354">
        <v>2.0764</v>
      </c>
      <c r="F354">
        <v>0.28820000000000001</v>
      </c>
      <c r="G354">
        <v>0.98299999999999998</v>
      </c>
      <c r="H354">
        <v>0.13800000000000001</v>
      </c>
      <c r="I354">
        <v>-66.95</v>
      </c>
      <c r="J354">
        <v>-39.35</v>
      </c>
      <c r="K354">
        <v>-22.63</v>
      </c>
      <c r="L354">
        <v>-50.45</v>
      </c>
      <c r="M354">
        <v>91.246899999999997</v>
      </c>
      <c r="N354">
        <v>105.88</v>
      </c>
      <c r="O354">
        <v>82.98</v>
      </c>
      <c r="P354">
        <v>5.1000000000000004E-3</v>
      </c>
      <c r="Q354">
        <v>36.200000000000003</v>
      </c>
      <c r="R354">
        <v>-12.63</v>
      </c>
    </row>
    <row r="355" spans="1:18" x14ac:dyDescent="0.2">
      <c r="A355" s="1">
        <v>40830</v>
      </c>
      <c r="B355" s="2">
        <v>-5.34</v>
      </c>
      <c r="C355" s="3">
        <v>28.24</v>
      </c>
      <c r="D355">
        <v>9.6449999999999996</v>
      </c>
      <c r="E355">
        <v>2.2477</v>
      </c>
      <c r="F355">
        <v>0.26540000000000002</v>
      </c>
      <c r="G355">
        <v>1.014</v>
      </c>
      <c r="H355">
        <v>0.13800000000000001</v>
      </c>
      <c r="I355">
        <v>-69.13</v>
      </c>
      <c r="J355">
        <v>-41.45</v>
      </c>
      <c r="K355">
        <v>-24.25</v>
      </c>
      <c r="L355">
        <v>-52.63</v>
      </c>
      <c r="M355">
        <v>90.211600000000004</v>
      </c>
      <c r="N355">
        <v>114.68</v>
      </c>
      <c r="O355">
        <v>86.8</v>
      </c>
      <c r="P355">
        <v>1.01E-2</v>
      </c>
      <c r="Q355">
        <v>28.24</v>
      </c>
      <c r="R355">
        <v>-14.25</v>
      </c>
    </row>
    <row r="356" spans="1:18" x14ac:dyDescent="0.2">
      <c r="A356" s="1">
        <v>40837</v>
      </c>
      <c r="B356" s="2">
        <v>-6.2649999999999997</v>
      </c>
      <c r="C356" s="3">
        <v>31.32</v>
      </c>
      <c r="D356">
        <v>10.199999999999999</v>
      </c>
      <c r="E356">
        <v>2.2191999999999998</v>
      </c>
      <c r="F356">
        <v>0.26679999999999998</v>
      </c>
      <c r="G356">
        <v>1.0049999999999999</v>
      </c>
      <c r="H356">
        <v>0.14499999999999999</v>
      </c>
      <c r="I356">
        <v>-70.8</v>
      </c>
      <c r="J356">
        <v>-41.25</v>
      </c>
      <c r="K356">
        <v>-25.5</v>
      </c>
      <c r="L356">
        <v>-54.3</v>
      </c>
      <c r="M356">
        <v>90.278999999999996</v>
      </c>
      <c r="N356">
        <v>109.56</v>
      </c>
      <c r="O356">
        <v>87.4</v>
      </c>
      <c r="P356">
        <v>1.5299999999999999E-2</v>
      </c>
      <c r="Q356">
        <v>31.32</v>
      </c>
      <c r="R356">
        <v>-15.3</v>
      </c>
    </row>
    <row r="357" spans="1:18" x14ac:dyDescent="0.2">
      <c r="A357" s="1">
        <v>40844</v>
      </c>
      <c r="B357" s="2">
        <v>-5.34</v>
      </c>
      <c r="C357" s="3">
        <v>24.53</v>
      </c>
      <c r="D357">
        <v>10.17</v>
      </c>
      <c r="E357">
        <v>2.3167</v>
      </c>
      <c r="F357">
        <v>0.28920000000000001</v>
      </c>
      <c r="G357">
        <v>1.0389999999999999</v>
      </c>
      <c r="H357">
        <v>0.13800000000000001</v>
      </c>
      <c r="I357">
        <v>-69.712500000000006</v>
      </c>
      <c r="J357">
        <v>-42.125</v>
      </c>
      <c r="K357">
        <v>-26.462499999999999</v>
      </c>
      <c r="L357">
        <v>-55.337499999999999</v>
      </c>
      <c r="M357">
        <v>88.638199999999998</v>
      </c>
      <c r="N357">
        <v>109.91</v>
      </c>
      <c r="O357">
        <v>93.32</v>
      </c>
      <c r="P357">
        <v>0</v>
      </c>
      <c r="Q357">
        <v>24.53</v>
      </c>
      <c r="R357">
        <v>-16.337499999999999</v>
      </c>
    </row>
    <row r="358" spans="1:18" x14ac:dyDescent="0.2">
      <c r="A358" s="1">
        <v>40851</v>
      </c>
      <c r="B358" s="2">
        <v>-6.2450000000000001</v>
      </c>
      <c r="C358" s="3">
        <v>30.16</v>
      </c>
      <c r="D358">
        <v>9.7650000000000006</v>
      </c>
      <c r="E358">
        <v>2.0327000000000002</v>
      </c>
      <c r="F358">
        <v>0.21840000000000001</v>
      </c>
      <c r="G358">
        <v>0.98799999999999999</v>
      </c>
      <c r="H358">
        <v>0.13800000000000001</v>
      </c>
      <c r="I358">
        <v>-71.38</v>
      </c>
      <c r="J358">
        <v>-45.16</v>
      </c>
      <c r="K358">
        <v>-25.5</v>
      </c>
      <c r="L358">
        <v>-55.63</v>
      </c>
      <c r="M358">
        <v>90.315399999999997</v>
      </c>
      <c r="N358">
        <v>111.97</v>
      </c>
      <c r="O358">
        <v>94.26</v>
      </c>
      <c r="P358">
        <v>-5.1000000000000004E-3</v>
      </c>
      <c r="Q358">
        <v>30.16</v>
      </c>
      <c r="R358">
        <v>-15.25</v>
      </c>
    </row>
    <row r="359" spans="1:18" x14ac:dyDescent="0.2">
      <c r="A359" s="1">
        <v>40858</v>
      </c>
      <c r="B359" s="2">
        <v>-6.26</v>
      </c>
      <c r="C359" s="3">
        <v>30.04</v>
      </c>
      <c r="D359">
        <v>9.9700000000000006</v>
      </c>
      <c r="E359">
        <v>2.0564</v>
      </c>
      <c r="F359">
        <v>0.23</v>
      </c>
      <c r="G359">
        <v>0.96599999999999997</v>
      </c>
      <c r="H359">
        <v>0.126</v>
      </c>
      <c r="I359">
        <v>-74.5</v>
      </c>
      <c r="J359">
        <v>-51.25</v>
      </c>
      <c r="K359">
        <v>-25</v>
      </c>
      <c r="L359">
        <v>-56</v>
      </c>
      <c r="M359">
        <v>90.858800000000002</v>
      </c>
      <c r="N359">
        <v>114.16</v>
      </c>
      <c r="O359">
        <v>98.99</v>
      </c>
      <c r="P359">
        <v>0</v>
      </c>
      <c r="Q359">
        <v>30.04</v>
      </c>
      <c r="R359">
        <v>-14.3</v>
      </c>
    </row>
    <row r="360" spans="1:18" x14ac:dyDescent="0.2">
      <c r="A360" s="1">
        <v>40865</v>
      </c>
      <c r="B360" s="2">
        <v>-5.83</v>
      </c>
      <c r="C360" s="3">
        <v>32</v>
      </c>
      <c r="D360">
        <v>9.6024999999999991</v>
      </c>
      <c r="E360">
        <v>2.0104000000000002</v>
      </c>
      <c r="F360">
        <v>0.2782</v>
      </c>
      <c r="G360">
        <v>0.94199999999999995</v>
      </c>
      <c r="H360">
        <v>0.115</v>
      </c>
      <c r="I360">
        <v>-91.5</v>
      </c>
      <c r="J360">
        <v>-68.47</v>
      </c>
      <c r="K360">
        <v>-26.38</v>
      </c>
      <c r="L360">
        <v>-62.38</v>
      </c>
      <c r="M360">
        <v>91.367599999999996</v>
      </c>
      <c r="N360">
        <v>107.56</v>
      </c>
      <c r="O360">
        <v>97.41</v>
      </c>
      <c r="P360">
        <v>0</v>
      </c>
      <c r="Q360">
        <v>32</v>
      </c>
      <c r="R360">
        <v>-14</v>
      </c>
    </row>
    <row r="361" spans="1:18" x14ac:dyDescent="0.2">
      <c r="A361" s="1">
        <v>40872</v>
      </c>
      <c r="B361" s="2">
        <v>-5.54</v>
      </c>
      <c r="C361" s="3">
        <v>34.47</v>
      </c>
      <c r="D361">
        <v>10.135</v>
      </c>
      <c r="E361">
        <v>1.9635</v>
      </c>
      <c r="F361">
        <v>0.27350000000000002</v>
      </c>
      <c r="G361">
        <v>1.0229999999999999</v>
      </c>
      <c r="H361">
        <v>0.13800000000000001</v>
      </c>
      <c r="I361">
        <v>-96</v>
      </c>
      <c r="J361">
        <v>-71</v>
      </c>
      <c r="K361">
        <v>-28.625</v>
      </c>
      <c r="L361">
        <v>-65.375</v>
      </c>
      <c r="M361">
        <v>93.145499999999998</v>
      </c>
      <c r="N361">
        <v>106.4</v>
      </c>
      <c r="O361">
        <v>96.77</v>
      </c>
      <c r="P361">
        <v>1.5299999999999999E-2</v>
      </c>
      <c r="Q361">
        <v>34.47</v>
      </c>
      <c r="R361">
        <v>-15.875</v>
      </c>
    </row>
    <row r="362" spans="1:18" x14ac:dyDescent="0.2">
      <c r="A362" s="1">
        <v>40879</v>
      </c>
      <c r="B362" s="2">
        <v>-4.6849999999999996</v>
      </c>
      <c r="C362" s="3">
        <v>27.52</v>
      </c>
      <c r="D362">
        <v>9.7750000000000004</v>
      </c>
      <c r="E362">
        <v>2.0331000000000001</v>
      </c>
      <c r="F362">
        <v>0.25</v>
      </c>
      <c r="G362">
        <v>1.0649999999999999</v>
      </c>
      <c r="H362">
        <v>0.13200000000000001</v>
      </c>
      <c r="I362">
        <v>-87.5</v>
      </c>
      <c r="J362">
        <v>-52.9</v>
      </c>
      <c r="K362">
        <v>-27.5</v>
      </c>
      <c r="L362">
        <v>-65</v>
      </c>
      <c r="M362">
        <v>91.353200000000001</v>
      </c>
      <c r="N362">
        <v>109.94</v>
      </c>
      <c r="O362">
        <v>100.96</v>
      </c>
      <c r="P362">
        <v>-5.1000000000000004E-3</v>
      </c>
      <c r="Q362">
        <v>27.52</v>
      </c>
      <c r="R362">
        <v>-14.3</v>
      </c>
    </row>
    <row r="363" spans="1:18" x14ac:dyDescent="0.2">
      <c r="A363" s="1">
        <v>40886</v>
      </c>
      <c r="B363" s="2">
        <v>-5.1150000000000002</v>
      </c>
      <c r="C363" s="3">
        <v>26.38</v>
      </c>
      <c r="D363">
        <v>9.6549999999999994</v>
      </c>
      <c r="E363">
        <v>2.0611000000000002</v>
      </c>
      <c r="F363">
        <v>0.22209999999999999</v>
      </c>
      <c r="G363">
        <v>1.016</v>
      </c>
      <c r="H363">
        <v>0.13</v>
      </c>
      <c r="I363">
        <v>-89</v>
      </c>
      <c r="J363">
        <v>-51.15</v>
      </c>
      <c r="K363">
        <v>-30.63</v>
      </c>
      <c r="L363">
        <v>-69.13</v>
      </c>
      <c r="M363">
        <v>91.612200000000001</v>
      </c>
      <c r="N363">
        <v>108.62</v>
      </c>
      <c r="O363">
        <v>99.41</v>
      </c>
      <c r="P363">
        <v>0</v>
      </c>
      <c r="Q363">
        <v>26.38</v>
      </c>
      <c r="R363">
        <v>-15.75</v>
      </c>
    </row>
    <row r="364" spans="1:18" x14ac:dyDescent="0.2">
      <c r="A364" s="1">
        <v>40893</v>
      </c>
      <c r="B364" s="2">
        <v>-4.6449999999999996</v>
      </c>
      <c r="C364" s="3">
        <v>24.29</v>
      </c>
      <c r="D364">
        <v>8.7949999999999999</v>
      </c>
      <c r="E364">
        <v>1.8473999999999999</v>
      </c>
      <c r="F364">
        <v>0.2218</v>
      </c>
      <c r="G364">
        <v>0.98099999999999998</v>
      </c>
      <c r="H364">
        <v>0.13</v>
      </c>
      <c r="I364">
        <v>-97.38</v>
      </c>
      <c r="J364">
        <v>-52.2</v>
      </c>
      <c r="K364">
        <v>-32.700000000000003</v>
      </c>
      <c r="L364">
        <v>-76</v>
      </c>
      <c r="M364">
        <v>92.825199999999995</v>
      </c>
      <c r="N364">
        <v>103.35</v>
      </c>
      <c r="O364">
        <v>93.53</v>
      </c>
      <c r="P364">
        <v>-5.1000000000000004E-3</v>
      </c>
      <c r="Q364">
        <v>24.29</v>
      </c>
      <c r="R364">
        <v>-14.4</v>
      </c>
    </row>
    <row r="365" spans="1:18" x14ac:dyDescent="0.2">
      <c r="A365" s="1">
        <v>40900</v>
      </c>
      <c r="B365" s="2">
        <v>-3.625</v>
      </c>
      <c r="C365" s="3">
        <v>20.73</v>
      </c>
      <c r="D365">
        <v>9.0150000000000006</v>
      </c>
      <c r="E365">
        <v>2.0244</v>
      </c>
      <c r="F365">
        <v>0.28239999999999998</v>
      </c>
      <c r="G365">
        <v>0.97299999999999998</v>
      </c>
      <c r="H365">
        <v>0.129</v>
      </c>
      <c r="I365">
        <v>-94</v>
      </c>
      <c r="J365">
        <v>-49.75</v>
      </c>
      <c r="K365">
        <v>-32.5</v>
      </c>
      <c r="L365">
        <v>-74.8</v>
      </c>
      <c r="M365">
        <v>92.389700000000005</v>
      </c>
      <c r="N365">
        <v>107.96</v>
      </c>
      <c r="O365">
        <v>99.68</v>
      </c>
      <c r="P365">
        <v>-5.1000000000000004E-3</v>
      </c>
      <c r="Q365">
        <v>20.73</v>
      </c>
      <c r="R365">
        <v>-14.3</v>
      </c>
    </row>
    <row r="366" spans="1:18" x14ac:dyDescent="0.2">
      <c r="A366" s="1">
        <v>40907</v>
      </c>
      <c r="B366" s="2">
        <v>-3.8975</v>
      </c>
      <c r="C366" s="3">
        <v>23.4</v>
      </c>
      <c r="D366">
        <v>9.1775000000000002</v>
      </c>
      <c r="E366">
        <v>1.8762000000000001</v>
      </c>
      <c r="F366">
        <v>0.23910000000000001</v>
      </c>
      <c r="G366">
        <v>0.98299999999999998</v>
      </c>
      <c r="H366">
        <v>0.13100000000000001</v>
      </c>
      <c r="I366">
        <v>-94.125</v>
      </c>
      <c r="J366">
        <v>-48</v>
      </c>
      <c r="K366">
        <v>-37.5</v>
      </c>
      <c r="L366">
        <v>-77.5</v>
      </c>
      <c r="M366">
        <v>92.426199999999994</v>
      </c>
      <c r="N366">
        <v>107.38</v>
      </c>
      <c r="O366">
        <v>98.83</v>
      </c>
      <c r="P366">
        <v>1.0200000000000001E-2</v>
      </c>
      <c r="Q366">
        <v>23.4</v>
      </c>
      <c r="R366">
        <v>-17.75</v>
      </c>
    </row>
    <row r="367" spans="1:18" x14ac:dyDescent="0.2">
      <c r="A367" s="1">
        <v>40914</v>
      </c>
      <c r="B367" s="2">
        <v>-4.09</v>
      </c>
      <c r="C367" s="3">
        <v>20.63</v>
      </c>
      <c r="D367">
        <v>8.6449999999999996</v>
      </c>
      <c r="E367">
        <v>1.9578</v>
      </c>
      <c r="F367">
        <v>0.25590000000000002</v>
      </c>
      <c r="G367">
        <v>0.97599999999999998</v>
      </c>
      <c r="H367">
        <v>0.129</v>
      </c>
      <c r="I367">
        <v>-88</v>
      </c>
      <c r="J367">
        <v>-41.35</v>
      </c>
      <c r="K367">
        <v>-33.880000000000003</v>
      </c>
      <c r="L367">
        <v>-73.004999999999995</v>
      </c>
      <c r="M367">
        <v>92.718299999999999</v>
      </c>
      <c r="N367">
        <v>113.06</v>
      </c>
      <c r="O367">
        <v>101.56</v>
      </c>
      <c r="P367">
        <v>5.1000000000000004E-3</v>
      </c>
      <c r="Q367">
        <v>20.63</v>
      </c>
      <c r="R367">
        <v>-14.69</v>
      </c>
    </row>
    <row r="368" spans="1:18" x14ac:dyDescent="0.2">
      <c r="A368" s="1">
        <v>40921</v>
      </c>
      <c r="B368" s="2">
        <v>-3.3</v>
      </c>
      <c r="C368" s="3">
        <v>20.91</v>
      </c>
      <c r="D368">
        <v>8.02</v>
      </c>
      <c r="E368">
        <v>1.8635999999999999</v>
      </c>
      <c r="F368">
        <v>0.2213</v>
      </c>
      <c r="G368">
        <v>0.94199999999999995</v>
      </c>
      <c r="H368">
        <v>0.128</v>
      </c>
      <c r="I368">
        <v>-82.13</v>
      </c>
      <c r="J368">
        <v>-32</v>
      </c>
      <c r="K368">
        <v>-30.315000000000001</v>
      </c>
      <c r="L368">
        <v>-68.44</v>
      </c>
      <c r="M368">
        <v>92.538499999999999</v>
      </c>
      <c r="N368">
        <v>110.44</v>
      </c>
      <c r="O368">
        <v>98.7</v>
      </c>
      <c r="P368">
        <v>2.0299999999999999E-2</v>
      </c>
      <c r="Q368">
        <v>20.91</v>
      </c>
      <c r="R368">
        <v>-11.315</v>
      </c>
    </row>
    <row r="369" spans="1:18" x14ac:dyDescent="0.2">
      <c r="A369" s="1">
        <v>40928</v>
      </c>
      <c r="B369" s="2">
        <v>-3.3125</v>
      </c>
      <c r="C369" s="3">
        <v>18.28</v>
      </c>
      <c r="D369">
        <v>7.8975</v>
      </c>
      <c r="E369">
        <v>2.0246</v>
      </c>
      <c r="F369">
        <v>0.24030000000000001</v>
      </c>
      <c r="G369">
        <v>0.98</v>
      </c>
      <c r="H369">
        <v>0.126</v>
      </c>
      <c r="I369">
        <v>-77.5</v>
      </c>
      <c r="J369">
        <v>-30.75</v>
      </c>
      <c r="K369">
        <v>-29.2</v>
      </c>
      <c r="L369">
        <v>-65.4375</v>
      </c>
      <c r="M369">
        <v>91.366100000000003</v>
      </c>
      <c r="N369">
        <v>109.86</v>
      </c>
      <c r="O369">
        <v>98.46</v>
      </c>
      <c r="P369">
        <v>4.07E-2</v>
      </c>
      <c r="Q369">
        <v>18.28</v>
      </c>
      <c r="R369">
        <v>-10.9</v>
      </c>
    </row>
    <row r="370" spans="1:18" x14ac:dyDescent="0.2">
      <c r="A370" s="1">
        <v>40935</v>
      </c>
      <c r="B370" s="2">
        <v>-3.3050000000000002</v>
      </c>
      <c r="C370" s="3">
        <v>18.53</v>
      </c>
      <c r="D370">
        <v>8.125</v>
      </c>
      <c r="E370">
        <v>1.891</v>
      </c>
      <c r="F370">
        <v>0.21079999999999999</v>
      </c>
      <c r="G370">
        <v>0.96499999999999997</v>
      </c>
      <c r="H370">
        <v>0.126</v>
      </c>
      <c r="I370">
        <v>-74.5</v>
      </c>
      <c r="J370">
        <v>-27</v>
      </c>
      <c r="K370">
        <v>-30.5</v>
      </c>
      <c r="L370">
        <v>-65</v>
      </c>
      <c r="M370">
        <v>90.255899999999997</v>
      </c>
      <c r="N370">
        <v>111.46</v>
      </c>
      <c r="O370">
        <v>99.56</v>
      </c>
      <c r="P370">
        <v>5.0799999999999998E-2</v>
      </c>
      <c r="Q370">
        <v>18.53</v>
      </c>
      <c r="R370">
        <v>-12</v>
      </c>
    </row>
    <row r="371" spans="1:18" x14ac:dyDescent="0.2">
      <c r="A371" s="1">
        <v>40942</v>
      </c>
      <c r="B371" s="2">
        <v>-3.3</v>
      </c>
      <c r="C371" s="3">
        <v>17.100000000000001</v>
      </c>
      <c r="D371">
        <v>8.2974999999999994</v>
      </c>
      <c r="E371">
        <v>1.9224000000000001</v>
      </c>
      <c r="F371">
        <v>0.23019999999999999</v>
      </c>
      <c r="G371">
        <v>0.94399999999999995</v>
      </c>
      <c r="H371">
        <v>0.13</v>
      </c>
      <c r="I371">
        <v>-74.75</v>
      </c>
      <c r="J371">
        <v>-29.05</v>
      </c>
      <c r="K371">
        <v>-31.125</v>
      </c>
      <c r="L371">
        <v>-65</v>
      </c>
      <c r="M371">
        <v>89.849100000000007</v>
      </c>
      <c r="N371">
        <v>114.58</v>
      </c>
      <c r="O371">
        <v>97.84</v>
      </c>
      <c r="P371">
        <v>7.1199999999999999E-2</v>
      </c>
      <c r="Q371">
        <v>17.100000000000001</v>
      </c>
      <c r="R371">
        <v>-13.125</v>
      </c>
    </row>
    <row r="372" spans="1:18" x14ac:dyDescent="0.2">
      <c r="A372" s="1">
        <v>40949</v>
      </c>
      <c r="B372" s="2">
        <v>-3.0975000000000001</v>
      </c>
      <c r="C372" s="3">
        <v>20.79</v>
      </c>
      <c r="D372">
        <v>8.5449999999999999</v>
      </c>
      <c r="E372">
        <v>1.9862</v>
      </c>
      <c r="F372">
        <v>0.27389999999999998</v>
      </c>
      <c r="G372">
        <v>0.97399999999999998</v>
      </c>
      <c r="H372">
        <v>0.12</v>
      </c>
      <c r="I372">
        <v>-74.5</v>
      </c>
      <c r="J372">
        <v>-31</v>
      </c>
      <c r="K372">
        <v>-32.625</v>
      </c>
      <c r="L372">
        <v>-65.625</v>
      </c>
      <c r="M372">
        <v>90.102400000000003</v>
      </c>
      <c r="N372">
        <v>117.31</v>
      </c>
      <c r="O372">
        <v>98.67</v>
      </c>
      <c r="P372">
        <v>8.1299999999999997E-2</v>
      </c>
      <c r="Q372">
        <v>20.79</v>
      </c>
      <c r="R372">
        <v>-14.75</v>
      </c>
    </row>
    <row r="373" spans="1:18" x14ac:dyDescent="0.2">
      <c r="A373" s="1">
        <v>40956</v>
      </c>
      <c r="B373" s="2">
        <v>-3.3650000000000002</v>
      </c>
      <c r="C373" s="3">
        <v>17.78</v>
      </c>
      <c r="D373">
        <v>9.2774999999999999</v>
      </c>
      <c r="E373">
        <v>2.0017</v>
      </c>
      <c r="F373">
        <v>0.29039999999999999</v>
      </c>
      <c r="G373">
        <v>0.94399999999999995</v>
      </c>
      <c r="H373">
        <v>0.104</v>
      </c>
      <c r="I373">
        <v>-73</v>
      </c>
      <c r="J373">
        <v>-27</v>
      </c>
      <c r="K373">
        <v>-28.5</v>
      </c>
      <c r="L373">
        <v>-62.5</v>
      </c>
      <c r="M373">
        <v>90.23</v>
      </c>
      <c r="N373">
        <v>119.58</v>
      </c>
      <c r="O373">
        <v>103.24</v>
      </c>
      <c r="P373">
        <v>7.6300000000000007E-2</v>
      </c>
      <c r="Q373">
        <v>17.78</v>
      </c>
      <c r="R373">
        <v>-10.5</v>
      </c>
    </row>
    <row r="374" spans="1:18" x14ac:dyDescent="0.2">
      <c r="A374" s="1">
        <v>40963</v>
      </c>
      <c r="B374" s="2">
        <v>-3.0125000000000002</v>
      </c>
      <c r="C374" s="3">
        <v>17.309999999999999</v>
      </c>
      <c r="D374">
        <v>9.5500000000000007</v>
      </c>
      <c r="E374">
        <v>1.9757</v>
      </c>
      <c r="F374">
        <v>0.3049</v>
      </c>
      <c r="G374">
        <v>0.97299999999999998</v>
      </c>
      <c r="H374">
        <v>0.107</v>
      </c>
      <c r="I374">
        <v>-72</v>
      </c>
      <c r="J374">
        <v>-28.25</v>
      </c>
      <c r="K374">
        <v>-28.4</v>
      </c>
      <c r="L374">
        <v>-61.5</v>
      </c>
      <c r="M374">
        <v>89.910399999999996</v>
      </c>
      <c r="N374">
        <v>125.47</v>
      </c>
      <c r="O374">
        <v>109.77</v>
      </c>
      <c r="P374">
        <v>9.1499999999999998E-2</v>
      </c>
      <c r="Q374">
        <v>17.309999999999999</v>
      </c>
      <c r="R374">
        <v>-10.3</v>
      </c>
    </row>
    <row r="375" spans="1:18" x14ac:dyDescent="0.2">
      <c r="A375" s="1">
        <v>40970</v>
      </c>
      <c r="B375" s="2">
        <v>-2.9775</v>
      </c>
      <c r="C375" s="3">
        <v>17.29</v>
      </c>
      <c r="D375">
        <v>9.82</v>
      </c>
      <c r="E375">
        <v>1.9739</v>
      </c>
      <c r="F375">
        <v>0.2737</v>
      </c>
      <c r="G375">
        <v>0.96399999999999997</v>
      </c>
      <c r="H375">
        <v>0.109</v>
      </c>
      <c r="I375">
        <v>-73.3</v>
      </c>
      <c r="J375">
        <v>-27.25</v>
      </c>
      <c r="K375">
        <v>-28.3</v>
      </c>
      <c r="L375">
        <v>-62.3</v>
      </c>
      <c r="M375">
        <v>90.135000000000005</v>
      </c>
      <c r="N375">
        <v>123.65</v>
      </c>
      <c r="O375">
        <v>106.7</v>
      </c>
      <c r="P375">
        <v>6.0999999999999999E-2</v>
      </c>
      <c r="Q375">
        <v>17.29</v>
      </c>
      <c r="R375">
        <v>-10.25</v>
      </c>
    </row>
    <row r="376" spans="1:18" x14ac:dyDescent="0.2">
      <c r="A376" s="1">
        <v>40977</v>
      </c>
      <c r="B376" s="2">
        <v>-3.17</v>
      </c>
      <c r="C376" s="3">
        <v>17.11</v>
      </c>
      <c r="D376">
        <v>10.81</v>
      </c>
      <c r="E376">
        <v>2.0278999999999998</v>
      </c>
      <c r="F376">
        <v>0.31780000000000003</v>
      </c>
      <c r="G376">
        <v>0.98599999999999999</v>
      </c>
      <c r="H376">
        <v>0.11</v>
      </c>
      <c r="I376">
        <v>-73</v>
      </c>
      <c r="J376">
        <v>-27.2</v>
      </c>
      <c r="K376">
        <v>-27.75</v>
      </c>
      <c r="L376">
        <v>-61.625</v>
      </c>
      <c r="M376">
        <v>90.434100000000001</v>
      </c>
      <c r="N376">
        <v>125.98</v>
      </c>
      <c r="O376">
        <v>107.4</v>
      </c>
      <c r="P376">
        <v>8.1299999999999997E-2</v>
      </c>
      <c r="Q376">
        <v>17.11</v>
      </c>
      <c r="R376">
        <v>-9.625</v>
      </c>
    </row>
    <row r="377" spans="1:18" x14ac:dyDescent="0.2">
      <c r="A377" s="1">
        <v>40984</v>
      </c>
      <c r="B377" s="2">
        <v>-3.0375000000000001</v>
      </c>
      <c r="C377" s="3">
        <v>14.47</v>
      </c>
      <c r="D377">
        <v>10.762499999999999</v>
      </c>
      <c r="E377">
        <v>2.294</v>
      </c>
      <c r="F377">
        <v>0.35870000000000002</v>
      </c>
      <c r="G377">
        <v>1.0429999999999999</v>
      </c>
      <c r="H377">
        <v>0.111</v>
      </c>
      <c r="I377">
        <v>-68.5</v>
      </c>
      <c r="J377">
        <v>-23.5</v>
      </c>
      <c r="K377">
        <v>-25.125</v>
      </c>
      <c r="L377">
        <v>-57.75</v>
      </c>
      <c r="M377">
        <v>90.524500000000003</v>
      </c>
      <c r="N377">
        <v>125.81</v>
      </c>
      <c r="O377">
        <v>107.06</v>
      </c>
      <c r="P377">
        <v>8.1299999999999997E-2</v>
      </c>
      <c r="Q377">
        <v>14.47</v>
      </c>
      <c r="R377">
        <v>-7.625</v>
      </c>
    </row>
    <row r="378" spans="1:18" x14ac:dyDescent="0.2">
      <c r="A378" s="1">
        <v>40991</v>
      </c>
      <c r="B378" s="2">
        <v>-3.15</v>
      </c>
      <c r="C378" s="3">
        <v>14.82</v>
      </c>
      <c r="D378">
        <v>10.79</v>
      </c>
      <c r="E378">
        <v>2.2317</v>
      </c>
      <c r="F378">
        <v>0.35170000000000001</v>
      </c>
      <c r="G378">
        <v>1.0229999999999999</v>
      </c>
      <c r="H378">
        <v>0.109</v>
      </c>
      <c r="I378">
        <v>-68.4375</v>
      </c>
      <c r="J378">
        <v>-24.4</v>
      </c>
      <c r="K378">
        <v>-26.25</v>
      </c>
      <c r="L378">
        <v>-58.212499999999999</v>
      </c>
      <c r="M378">
        <v>90.615600000000001</v>
      </c>
      <c r="N378">
        <v>125.13</v>
      </c>
      <c r="O378">
        <v>106.87</v>
      </c>
      <c r="P378">
        <v>7.1199999999999999E-2</v>
      </c>
      <c r="Q378">
        <v>14.82</v>
      </c>
      <c r="R378">
        <v>-8.5875000000000004</v>
      </c>
    </row>
    <row r="379" spans="1:18" x14ac:dyDescent="0.2">
      <c r="A379" s="1">
        <v>40998</v>
      </c>
      <c r="B379" s="2">
        <v>-3.3774999999999999</v>
      </c>
      <c r="C379" s="3">
        <v>15.5</v>
      </c>
      <c r="D379">
        <v>10.62</v>
      </c>
      <c r="E379">
        <v>2.2088000000000001</v>
      </c>
      <c r="F379">
        <v>0.32869999999999999</v>
      </c>
      <c r="G379">
        <v>0.98399999999999999</v>
      </c>
      <c r="H379">
        <v>0.113</v>
      </c>
      <c r="I379">
        <v>-67.5</v>
      </c>
      <c r="J379">
        <v>-23.55</v>
      </c>
      <c r="K379">
        <v>-28.125</v>
      </c>
      <c r="L379">
        <v>-59.375</v>
      </c>
      <c r="M379">
        <v>90.459299999999999</v>
      </c>
      <c r="N379">
        <v>122.88</v>
      </c>
      <c r="O379">
        <v>103.02</v>
      </c>
      <c r="P379">
        <v>6.6100000000000006E-2</v>
      </c>
      <c r="Q379">
        <v>15.5</v>
      </c>
      <c r="R379">
        <v>-10.75</v>
      </c>
    </row>
    <row r="380" spans="1:18" x14ac:dyDescent="0.2">
      <c r="A380" s="1">
        <v>41005</v>
      </c>
      <c r="B380" s="2">
        <v>-3.2450000000000001</v>
      </c>
      <c r="C380" s="3">
        <v>16.7</v>
      </c>
      <c r="D380">
        <v>10.62</v>
      </c>
      <c r="E380">
        <v>2.0545</v>
      </c>
      <c r="F380">
        <v>0.31359999999999999</v>
      </c>
      <c r="G380">
        <v>0.98899999999999999</v>
      </c>
      <c r="H380">
        <v>0.113</v>
      </c>
      <c r="I380">
        <v>-68.8</v>
      </c>
      <c r="J380">
        <v>-27.8</v>
      </c>
      <c r="K380">
        <v>-28.8</v>
      </c>
      <c r="L380">
        <v>-60.3</v>
      </c>
      <c r="M380">
        <v>90.9375</v>
      </c>
      <c r="N380">
        <v>123.43</v>
      </c>
      <c r="O380">
        <v>103.31</v>
      </c>
      <c r="P380">
        <v>7.1199999999999999E-2</v>
      </c>
      <c r="Q380">
        <v>16.7</v>
      </c>
      <c r="R380">
        <v>-10.4</v>
      </c>
    </row>
    <row r="381" spans="1:18" x14ac:dyDescent="0.2">
      <c r="A381" s="1">
        <v>41012</v>
      </c>
      <c r="B381" s="2">
        <v>-3.1324999999999998</v>
      </c>
      <c r="C381" s="3">
        <v>19.55</v>
      </c>
      <c r="D381">
        <v>9.5299999999999994</v>
      </c>
      <c r="E381">
        <v>1.9823</v>
      </c>
      <c r="F381">
        <v>0.26600000000000001</v>
      </c>
      <c r="G381">
        <v>0.94199999999999995</v>
      </c>
      <c r="H381">
        <v>0.107</v>
      </c>
      <c r="I381">
        <v>-71.75</v>
      </c>
      <c r="J381">
        <v>-31.5</v>
      </c>
      <c r="K381">
        <v>-30.5</v>
      </c>
      <c r="L381">
        <v>-62.5</v>
      </c>
      <c r="M381">
        <v>91.055800000000005</v>
      </c>
      <c r="N381">
        <v>121.83</v>
      </c>
      <c r="O381">
        <v>102.83</v>
      </c>
      <c r="P381">
        <v>8.1299999999999997E-2</v>
      </c>
      <c r="Q381">
        <v>19.55</v>
      </c>
      <c r="R381">
        <v>-12.75</v>
      </c>
    </row>
    <row r="382" spans="1:18" x14ac:dyDescent="0.2">
      <c r="A382" s="1">
        <v>41019</v>
      </c>
      <c r="B382" s="2">
        <v>-2.9474999999999998</v>
      </c>
      <c r="C382" s="3">
        <v>17.440000000000001</v>
      </c>
      <c r="D382">
        <v>9.69</v>
      </c>
      <c r="E382">
        <v>1.9629000000000001</v>
      </c>
      <c r="F382">
        <v>0.26419999999999999</v>
      </c>
      <c r="G382">
        <v>0.93400000000000005</v>
      </c>
      <c r="H382">
        <v>0.106</v>
      </c>
      <c r="I382">
        <v>-73.125</v>
      </c>
      <c r="J382">
        <v>-30.35</v>
      </c>
      <c r="K382">
        <v>-31.5</v>
      </c>
      <c r="L382">
        <v>-64.875</v>
      </c>
      <c r="M382">
        <v>90.806600000000003</v>
      </c>
      <c r="N382">
        <v>118.76</v>
      </c>
      <c r="O382">
        <v>103.05</v>
      </c>
      <c r="P382">
        <v>6.6100000000000006E-2</v>
      </c>
      <c r="Q382">
        <v>17.440000000000001</v>
      </c>
      <c r="R382">
        <v>-13.5</v>
      </c>
    </row>
    <row r="383" spans="1:18" x14ac:dyDescent="0.2">
      <c r="A383" s="1">
        <v>41026</v>
      </c>
      <c r="B383" s="2">
        <v>-2.42</v>
      </c>
      <c r="C383" s="3">
        <v>16.32</v>
      </c>
      <c r="D383">
        <v>8.6750000000000007</v>
      </c>
      <c r="E383">
        <v>1.9348000000000001</v>
      </c>
      <c r="F383">
        <v>0.25779999999999997</v>
      </c>
      <c r="G383">
        <v>0.89200000000000002</v>
      </c>
      <c r="H383">
        <v>0.106</v>
      </c>
      <c r="I383">
        <v>-73.625</v>
      </c>
      <c r="J383">
        <v>-30.8</v>
      </c>
      <c r="K383">
        <v>-32.375</v>
      </c>
      <c r="L383">
        <v>-66.25</v>
      </c>
      <c r="M383">
        <v>90.326899999999995</v>
      </c>
      <c r="N383">
        <v>119.83</v>
      </c>
      <c r="O383">
        <v>104.93</v>
      </c>
      <c r="P383">
        <v>8.6400000000000005E-2</v>
      </c>
      <c r="Q383">
        <v>16.32</v>
      </c>
      <c r="R383">
        <v>-14.25</v>
      </c>
    </row>
    <row r="384" spans="1:18" x14ac:dyDescent="0.2">
      <c r="A384" s="1">
        <v>41033</v>
      </c>
      <c r="B384" s="2">
        <v>-2.4575</v>
      </c>
      <c r="C384" s="3">
        <v>19.16</v>
      </c>
      <c r="D384">
        <v>8.9049999999999994</v>
      </c>
      <c r="E384">
        <v>1.8786</v>
      </c>
      <c r="F384">
        <v>0.254</v>
      </c>
      <c r="G384">
        <v>0.88700000000000001</v>
      </c>
      <c r="H384">
        <v>0.108</v>
      </c>
      <c r="I384">
        <v>-72</v>
      </c>
      <c r="J384">
        <v>-29.15</v>
      </c>
      <c r="K384">
        <v>-32</v>
      </c>
      <c r="L384">
        <v>-65.8</v>
      </c>
      <c r="M384">
        <v>91.049700000000001</v>
      </c>
      <c r="N384">
        <v>113.18</v>
      </c>
      <c r="O384">
        <v>98.49</v>
      </c>
      <c r="P384">
        <v>7.1199999999999999E-2</v>
      </c>
      <c r="Q384">
        <v>19.16</v>
      </c>
      <c r="R384">
        <v>-14</v>
      </c>
    </row>
    <row r="385" spans="1:18" x14ac:dyDescent="0.2">
      <c r="A385" s="1">
        <v>41040</v>
      </c>
      <c r="B385" s="2">
        <v>-3.4849999999999999</v>
      </c>
      <c r="C385" s="3">
        <v>19.89</v>
      </c>
      <c r="D385">
        <v>8.74</v>
      </c>
      <c r="E385">
        <v>1.8375999999999999</v>
      </c>
      <c r="F385">
        <v>0.25800000000000001</v>
      </c>
      <c r="G385">
        <v>0.84799999999999998</v>
      </c>
      <c r="H385">
        <v>0.1</v>
      </c>
      <c r="I385">
        <v>-77.75</v>
      </c>
      <c r="J385">
        <v>-30.3</v>
      </c>
      <c r="K385">
        <v>-35.75</v>
      </c>
      <c r="L385">
        <v>-71</v>
      </c>
      <c r="M385">
        <v>91.730599999999995</v>
      </c>
      <c r="N385">
        <v>112.26</v>
      </c>
      <c r="O385">
        <v>96.13</v>
      </c>
      <c r="P385">
        <v>9.1499999999999998E-2</v>
      </c>
      <c r="Q385">
        <v>19.89</v>
      </c>
      <c r="R385">
        <v>-17.25</v>
      </c>
    </row>
    <row r="386" spans="1:18" x14ac:dyDescent="0.2">
      <c r="A386" s="1">
        <v>41047</v>
      </c>
      <c r="B386" s="2">
        <v>-4.4249999999999998</v>
      </c>
      <c r="C386" s="3">
        <v>25.1</v>
      </c>
      <c r="D386">
        <v>9.7850000000000001</v>
      </c>
      <c r="E386">
        <v>1.7225999999999999</v>
      </c>
      <c r="F386">
        <v>0.29239999999999999</v>
      </c>
      <c r="G386">
        <v>0.82499999999999996</v>
      </c>
      <c r="H386">
        <v>9.5000000000000001E-2</v>
      </c>
      <c r="I386">
        <v>-89.6</v>
      </c>
      <c r="J386">
        <v>-37.85</v>
      </c>
      <c r="K386">
        <v>-40.75</v>
      </c>
      <c r="L386">
        <v>-78.75</v>
      </c>
      <c r="M386">
        <v>93.139499999999998</v>
      </c>
      <c r="N386">
        <v>107.14</v>
      </c>
      <c r="O386">
        <v>91.48</v>
      </c>
      <c r="P386">
        <v>7.6300000000000007E-2</v>
      </c>
      <c r="Q386">
        <v>25.1</v>
      </c>
      <c r="R386">
        <v>-22.25</v>
      </c>
    </row>
    <row r="387" spans="1:18" x14ac:dyDescent="0.2">
      <c r="A387" s="1">
        <v>41054</v>
      </c>
      <c r="B387" s="2">
        <v>-4.54</v>
      </c>
      <c r="C387" s="3">
        <v>21.76</v>
      </c>
      <c r="D387">
        <v>9.3000000000000007</v>
      </c>
      <c r="E387">
        <v>1.738</v>
      </c>
      <c r="F387">
        <v>0.2853</v>
      </c>
      <c r="G387">
        <v>0.88300000000000001</v>
      </c>
      <c r="H387">
        <v>0.1</v>
      </c>
      <c r="I387">
        <v>-87.875</v>
      </c>
      <c r="J387">
        <v>-36.75</v>
      </c>
      <c r="K387">
        <v>-34.5</v>
      </c>
      <c r="L387">
        <v>-75.375</v>
      </c>
      <c r="M387">
        <v>93.948800000000006</v>
      </c>
      <c r="N387">
        <v>106.83</v>
      </c>
      <c r="O387">
        <v>90.86</v>
      </c>
      <c r="P387">
        <v>8.1299999999999997E-2</v>
      </c>
      <c r="Q387">
        <v>21.76</v>
      </c>
      <c r="R387">
        <v>-15.625</v>
      </c>
    </row>
    <row r="388" spans="1:18" x14ac:dyDescent="0.2">
      <c r="A388" s="1">
        <v>41061</v>
      </c>
      <c r="B388" s="2">
        <v>-4.4749999999999996</v>
      </c>
      <c r="C388" s="3">
        <v>26.66</v>
      </c>
      <c r="D388">
        <v>9.8000000000000007</v>
      </c>
      <c r="E388">
        <v>1.452</v>
      </c>
      <c r="F388">
        <v>0.24610000000000001</v>
      </c>
      <c r="G388">
        <v>0.81100000000000005</v>
      </c>
      <c r="H388">
        <v>0.10199999999999999</v>
      </c>
      <c r="I388">
        <v>-92.4375</v>
      </c>
      <c r="J388">
        <v>-45</v>
      </c>
      <c r="K388">
        <v>-38.212499999999999</v>
      </c>
      <c r="L388">
        <v>-80.3125</v>
      </c>
      <c r="M388">
        <v>94.697900000000004</v>
      </c>
      <c r="N388">
        <v>98.43</v>
      </c>
      <c r="O388">
        <v>83.23</v>
      </c>
      <c r="P388">
        <v>6.59E-2</v>
      </c>
      <c r="Q388">
        <v>26.66</v>
      </c>
      <c r="R388">
        <v>-18.837499999999999</v>
      </c>
    </row>
    <row r="389" spans="1:18" x14ac:dyDescent="0.2">
      <c r="A389" s="1">
        <v>41068</v>
      </c>
      <c r="B389" s="2">
        <v>-4.2225000000000001</v>
      </c>
      <c r="C389" s="3">
        <v>21.23</v>
      </c>
      <c r="D389">
        <v>9.36</v>
      </c>
      <c r="E389">
        <v>1.6353</v>
      </c>
      <c r="F389">
        <v>0.26590000000000003</v>
      </c>
      <c r="G389">
        <v>0.85099999999999998</v>
      </c>
      <c r="H389">
        <v>9.7000000000000003E-2</v>
      </c>
      <c r="I389">
        <v>-87.5</v>
      </c>
      <c r="J389">
        <v>-37.450000000000003</v>
      </c>
      <c r="K389">
        <v>-33.299999999999997</v>
      </c>
      <c r="L389">
        <v>-75.5</v>
      </c>
      <c r="M389">
        <v>94.202399999999997</v>
      </c>
      <c r="N389">
        <v>99.47</v>
      </c>
      <c r="O389">
        <v>84.1</v>
      </c>
      <c r="P389">
        <v>7.6100000000000001E-2</v>
      </c>
      <c r="Q389">
        <v>21.23</v>
      </c>
      <c r="R389">
        <v>-14.1</v>
      </c>
    </row>
    <row r="390" spans="1:18" x14ac:dyDescent="0.2">
      <c r="A390" s="1">
        <v>41075</v>
      </c>
      <c r="B390" s="2">
        <v>-3.9775</v>
      </c>
      <c r="C390" s="3">
        <v>21.11</v>
      </c>
      <c r="D390">
        <v>9.3000000000000007</v>
      </c>
      <c r="E390">
        <v>1.5772999999999999</v>
      </c>
      <c r="F390">
        <v>0.27010000000000001</v>
      </c>
      <c r="G390">
        <v>0.84799999999999998</v>
      </c>
      <c r="H390">
        <v>9.7000000000000003E-2</v>
      </c>
      <c r="I390">
        <v>-86.875</v>
      </c>
      <c r="J390">
        <v>-40.299999999999997</v>
      </c>
      <c r="K390">
        <v>-33.75</v>
      </c>
      <c r="L390">
        <v>-75.625</v>
      </c>
      <c r="M390">
        <v>93.520300000000006</v>
      </c>
      <c r="N390">
        <v>97.61</v>
      </c>
      <c r="O390">
        <v>84.03</v>
      </c>
      <c r="P390">
        <v>8.6199999999999999E-2</v>
      </c>
      <c r="Q390">
        <v>21.11</v>
      </c>
      <c r="R390">
        <v>-14.25</v>
      </c>
    </row>
    <row r="391" spans="1:18" x14ac:dyDescent="0.2">
      <c r="A391" s="1">
        <v>41082</v>
      </c>
      <c r="B391" s="2">
        <v>-3.72</v>
      </c>
      <c r="C391" s="3">
        <v>18.11</v>
      </c>
      <c r="D391">
        <v>9.0950000000000006</v>
      </c>
      <c r="E391">
        <v>1.6741999999999999</v>
      </c>
      <c r="F391">
        <v>0.30280000000000001</v>
      </c>
      <c r="G391">
        <v>0.82499999999999996</v>
      </c>
      <c r="H391">
        <v>9.8000000000000004E-2</v>
      </c>
      <c r="I391">
        <v>-82.6</v>
      </c>
      <c r="J391">
        <v>-34.4</v>
      </c>
      <c r="K391">
        <v>-30</v>
      </c>
      <c r="L391">
        <v>-71.900000000000006</v>
      </c>
      <c r="M391">
        <v>93.920500000000004</v>
      </c>
      <c r="N391">
        <v>90.98</v>
      </c>
      <c r="O391">
        <v>79.760000000000005</v>
      </c>
      <c r="P391">
        <v>7.6300000000000007E-2</v>
      </c>
      <c r="Q391">
        <v>18.11</v>
      </c>
      <c r="R391">
        <v>-10.8</v>
      </c>
    </row>
    <row r="392" spans="1:18" x14ac:dyDescent="0.2">
      <c r="A392" s="1">
        <v>41089</v>
      </c>
      <c r="B392" s="2">
        <v>-3.4075000000000002</v>
      </c>
      <c r="C392" s="3">
        <v>17.079999999999998</v>
      </c>
      <c r="D392">
        <v>8.92</v>
      </c>
      <c r="E392">
        <v>1.6449</v>
      </c>
      <c r="F392">
        <v>0.30109999999999998</v>
      </c>
      <c r="G392">
        <v>0.83199999999999996</v>
      </c>
      <c r="H392">
        <v>0.109</v>
      </c>
      <c r="I392">
        <v>-80.900000000000006</v>
      </c>
      <c r="J392">
        <v>-33.532499999999999</v>
      </c>
      <c r="K392">
        <v>-30.875</v>
      </c>
      <c r="L392">
        <v>-72</v>
      </c>
      <c r="M392">
        <v>92.909599999999998</v>
      </c>
      <c r="N392">
        <v>97.8</v>
      </c>
      <c r="O392">
        <v>84.96</v>
      </c>
      <c r="P392">
        <v>8.1100000000000005E-2</v>
      </c>
      <c r="Q392">
        <v>17.079999999999998</v>
      </c>
      <c r="R392">
        <v>-10.75</v>
      </c>
    </row>
    <row r="393" spans="1:18" x14ac:dyDescent="0.2">
      <c r="A393" s="1">
        <v>41096</v>
      </c>
      <c r="B393" s="2">
        <v>-3.1324999999999998</v>
      </c>
      <c r="C393" s="3">
        <v>17.100000000000001</v>
      </c>
      <c r="D393">
        <v>8.58</v>
      </c>
      <c r="E393">
        <v>1.5490999999999999</v>
      </c>
      <c r="F393">
        <v>0.26979999999999998</v>
      </c>
      <c r="G393">
        <v>0.79500000000000004</v>
      </c>
      <c r="H393">
        <v>9.6000000000000002E-2</v>
      </c>
      <c r="I393">
        <v>-77</v>
      </c>
      <c r="J393">
        <v>-34.35</v>
      </c>
      <c r="K393">
        <v>-33</v>
      </c>
      <c r="L393">
        <v>-72.125</v>
      </c>
      <c r="M393">
        <v>93.708699999999993</v>
      </c>
      <c r="N393">
        <v>98.19</v>
      </c>
      <c r="O393">
        <v>84.45</v>
      </c>
      <c r="P393">
        <v>7.0999999999999994E-2</v>
      </c>
      <c r="Q393">
        <v>17.100000000000001</v>
      </c>
      <c r="R393">
        <v>-10.7125</v>
      </c>
    </row>
    <row r="394" spans="1:18" x14ac:dyDescent="0.2">
      <c r="A394" s="1">
        <v>41103</v>
      </c>
      <c r="B394" s="2">
        <v>-2.97</v>
      </c>
      <c r="C394" s="3">
        <v>16.739999999999998</v>
      </c>
      <c r="D394">
        <v>7.95</v>
      </c>
      <c r="E394">
        <v>1.4876</v>
      </c>
      <c r="F394">
        <v>0.23799999999999999</v>
      </c>
      <c r="G394">
        <v>0.77300000000000002</v>
      </c>
      <c r="H394">
        <v>0.1</v>
      </c>
      <c r="I394">
        <v>-76.989000000000004</v>
      </c>
      <c r="J394">
        <v>-33.950000000000003</v>
      </c>
      <c r="K394">
        <v>-33.119900000000001</v>
      </c>
      <c r="L394">
        <v>-74.118899999999996</v>
      </c>
      <c r="M394">
        <v>93.551500000000004</v>
      </c>
      <c r="N394">
        <v>102.4</v>
      </c>
      <c r="O394">
        <v>87.1</v>
      </c>
      <c r="P394">
        <v>8.1100000000000005E-2</v>
      </c>
      <c r="Q394">
        <v>16.739999999999998</v>
      </c>
      <c r="R394">
        <v>-11.745100000000001</v>
      </c>
    </row>
    <row r="395" spans="1:18" x14ac:dyDescent="0.2">
      <c r="A395" s="1">
        <v>41110</v>
      </c>
      <c r="B395" s="2">
        <v>-1.7949999999999999</v>
      </c>
      <c r="C395" s="3">
        <v>16.27</v>
      </c>
      <c r="D395">
        <v>7.6050000000000004</v>
      </c>
      <c r="E395">
        <v>1.4567000000000001</v>
      </c>
      <c r="F395">
        <v>0.20150000000000001</v>
      </c>
      <c r="G395">
        <v>0.73899999999999999</v>
      </c>
      <c r="H395">
        <v>9.5000000000000001E-2</v>
      </c>
      <c r="I395">
        <v>-74.625</v>
      </c>
      <c r="J395">
        <v>-32</v>
      </c>
      <c r="K395">
        <v>-32.69</v>
      </c>
      <c r="L395">
        <v>-73.314999999999998</v>
      </c>
      <c r="M395">
        <v>93.365300000000005</v>
      </c>
      <c r="N395">
        <v>106.83</v>
      </c>
      <c r="O395">
        <v>91.44</v>
      </c>
      <c r="P395">
        <v>8.6400000000000005E-2</v>
      </c>
      <c r="Q395">
        <v>16.27</v>
      </c>
      <c r="R395">
        <v>-10.5</v>
      </c>
    </row>
    <row r="396" spans="1:18" x14ac:dyDescent="0.2">
      <c r="A396" s="1">
        <v>41117</v>
      </c>
      <c r="B396" s="2">
        <v>-2.4674999999999998</v>
      </c>
      <c r="C396" s="3">
        <v>16.7</v>
      </c>
      <c r="D396">
        <v>7.6974999999999998</v>
      </c>
      <c r="E396">
        <v>1.5463</v>
      </c>
      <c r="F396">
        <v>0.23860000000000001</v>
      </c>
      <c r="G396">
        <v>0.74199999999999999</v>
      </c>
      <c r="H396">
        <v>9.7000000000000003E-2</v>
      </c>
      <c r="I396">
        <v>-77</v>
      </c>
      <c r="J396">
        <v>-32.9</v>
      </c>
      <c r="K396">
        <v>-34.125</v>
      </c>
      <c r="L396">
        <v>-75.125</v>
      </c>
      <c r="M396">
        <v>92.933300000000003</v>
      </c>
      <c r="N396">
        <v>106.47</v>
      </c>
      <c r="O396">
        <v>90.13</v>
      </c>
      <c r="P396">
        <v>0.1014</v>
      </c>
      <c r="Q396">
        <v>16.7</v>
      </c>
      <c r="R396">
        <v>-11.375</v>
      </c>
    </row>
    <row r="397" spans="1:18" x14ac:dyDescent="0.2">
      <c r="A397" s="1">
        <v>41124</v>
      </c>
      <c r="B397" s="2">
        <v>-2.2825000000000002</v>
      </c>
      <c r="C397" s="3">
        <v>15.64</v>
      </c>
      <c r="D397">
        <v>7.6124999999999998</v>
      </c>
      <c r="E397">
        <v>1.5630999999999999</v>
      </c>
      <c r="F397">
        <v>0.23760000000000001</v>
      </c>
      <c r="G397">
        <v>0.73799999999999999</v>
      </c>
      <c r="H397">
        <v>8.7999999999999995E-2</v>
      </c>
      <c r="I397">
        <v>-75.525000000000006</v>
      </c>
      <c r="J397">
        <v>-33.115000000000002</v>
      </c>
      <c r="K397">
        <v>-32.875</v>
      </c>
      <c r="L397">
        <v>-74.5</v>
      </c>
      <c r="M397">
        <v>92.604799999999997</v>
      </c>
      <c r="N397">
        <v>108.94</v>
      </c>
      <c r="O397">
        <v>91.4</v>
      </c>
      <c r="P397">
        <v>7.6100000000000001E-2</v>
      </c>
      <c r="Q397">
        <v>15.64</v>
      </c>
      <c r="R397">
        <v>-9.875</v>
      </c>
    </row>
    <row r="398" spans="1:18" x14ac:dyDescent="0.2">
      <c r="A398" s="1">
        <v>41131</v>
      </c>
      <c r="B398" s="2">
        <v>-2.0674999999999999</v>
      </c>
      <c r="C398" s="3">
        <v>14.74</v>
      </c>
      <c r="D398">
        <v>7.4375</v>
      </c>
      <c r="E398">
        <v>1.6573</v>
      </c>
      <c r="F398">
        <v>0.2606</v>
      </c>
      <c r="G398">
        <v>0.79700000000000004</v>
      </c>
      <c r="H398">
        <v>8.7999999999999995E-2</v>
      </c>
      <c r="I398">
        <v>-76.75</v>
      </c>
      <c r="J398">
        <v>-33.1</v>
      </c>
      <c r="K398">
        <v>-32</v>
      </c>
      <c r="L398">
        <v>-75.5</v>
      </c>
      <c r="M398">
        <v>92.512900000000002</v>
      </c>
      <c r="N398">
        <v>112.95</v>
      </c>
      <c r="O398">
        <v>92.87</v>
      </c>
      <c r="P398">
        <v>0.1014</v>
      </c>
      <c r="Q398">
        <v>14.74</v>
      </c>
      <c r="R398">
        <v>-8.5</v>
      </c>
    </row>
    <row r="399" spans="1:18" x14ac:dyDescent="0.2">
      <c r="A399" s="1">
        <v>41138</v>
      </c>
      <c r="B399" s="2">
        <v>-2.4900000000000002</v>
      </c>
      <c r="C399" s="3">
        <v>13.45</v>
      </c>
      <c r="D399">
        <v>7.81</v>
      </c>
      <c r="E399">
        <v>1.8105</v>
      </c>
      <c r="F399">
        <v>0.28620000000000001</v>
      </c>
      <c r="G399">
        <v>0.83199999999999996</v>
      </c>
      <c r="H399">
        <v>8.5000000000000006E-2</v>
      </c>
      <c r="I399">
        <v>-75.5</v>
      </c>
      <c r="J399">
        <v>-29.6</v>
      </c>
      <c r="K399">
        <v>-33</v>
      </c>
      <c r="L399">
        <v>-75.5</v>
      </c>
      <c r="M399">
        <v>92.710999999999999</v>
      </c>
      <c r="N399">
        <v>113.71</v>
      </c>
      <c r="O399">
        <v>96.01</v>
      </c>
      <c r="P399">
        <v>6.6100000000000006E-2</v>
      </c>
      <c r="Q399">
        <v>13.45</v>
      </c>
      <c r="R399">
        <v>-9.3000000000000007</v>
      </c>
    </row>
    <row r="400" spans="1:18" x14ac:dyDescent="0.2">
      <c r="A400" s="1">
        <v>41145</v>
      </c>
      <c r="B400" s="2">
        <v>-2.57</v>
      </c>
      <c r="C400" s="3">
        <v>15.18</v>
      </c>
      <c r="D400">
        <v>7.2750000000000004</v>
      </c>
      <c r="E400">
        <v>1.6865000000000001</v>
      </c>
      <c r="F400">
        <v>0.26740000000000003</v>
      </c>
      <c r="G400">
        <v>0.80400000000000005</v>
      </c>
      <c r="H400">
        <v>9.5000000000000001E-2</v>
      </c>
      <c r="I400">
        <v>-73.5</v>
      </c>
      <c r="J400">
        <v>-28.15</v>
      </c>
      <c r="K400">
        <v>-32.75</v>
      </c>
      <c r="L400">
        <v>-75.3</v>
      </c>
      <c r="M400">
        <v>92.278499999999994</v>
      </c>
      <c r="N400">
        <v>113.59</v>
      </c>
      <c r="O400">
        <v>96.15</v>
      </c>
      <c r="P400">
        <v>9.1300000000000006E-2</v>
      </c>
      <c r="Q400">
        <v>15.18</v>
      </c>
      <c r="R400">
        <v>-9.8000000000000007</v>
      </c>
    </row>
    <row r="401" spans="1:18" x14ac:dyDescent="0.2">
      <c r="A401" s="1">
        <v>41152</v>
      </c>
      <c r="B401" s="2">
        <v>-2.7425000000000002</v>
      </c>
      <c r="C401" s="3">
        <v>17.47</v>
      </c>
      <c r="D401">
        <v>7.4850000000000003</v>
      </c>
      <c r="E401">
        <v>1.5484</v>
      </c>
      <c r="F401">
        <v>0.2205</v>
      </c>
      <c r="G401">
        <v>0.79200000000000004</v>
      </c>
      <c r="H401">
        <v>0.09</v>
      </c>
      <c r="I401">
        <v>-74.400000000000006</v>
      </c>
      <c r="J401">
        <v>-28.75</v>
      </c>
      <c r="K401">
        <v>-34.299999999999997</v>
      </c>
      <c r="L401">
        <v>-76.8</v>
      </c>
      <c r="M401">
        <v>92.167699999999996</v>
      </c>
      <c r="N401">
        <v>114.57</v>
      </c>
      <c r="O401">
        <v>96.47</v>
      </c>
      <c r="P401">
        <v>7.0999999999999994E-2</v>
      </c>
      <c r="Q401">
        <v>17.47</v>
      </c>
      <c r="R401">
        <v>-10.5</v>
      </c>
    </row>
    <row r="402" spans="1:18" x14ac:dyDescent="0.2">
      <c r="A402" s="1">
        <v>41159</v>
      </c>
      <c r="B402" s="2">
        <v>-2.335</v>
      </c>
      <c r="C402" s="3">
        <v>14.38</v>
      </c>
      <c r="D402">
        <v>7.125</v>
      </c>
      <c r="E402">
        <v>1.6677999999999999</v>
      </c>
      <c r="F402">
        <v>0.25</v>
      </c>
      <c r="G402">
        <v>0.81699999999999995</v>
      </c>
      <c r="H402">
        <v>0.109</v>
      </c>
      <c r="I402">
        <v>-68.5</v>
      </c>
      <c r="J402">
        <v>-27.5</v>
      </c>
      <c r="K402">
        <v>-34.299999999999997</v>
      </c>
      <c r="L402">
        <v>-74.254000000000005</v>
      </c>
      <c r="M402">
        <v>91.346900000000005</v>
      </c>
      <c r="N402">
        <v>114.25</v>
      </c>
      <c r="O402">
        <v>96.42</v>
      </c>
      <c r="P402">
        <v>0.1014</v>
      </c>
      <c r="Q402">
        <v>14.38</v>
      </c>
      <c r="R402">
        <v>-10.3</v>
      </c>
    </row>
    <row r="403" spans="1:18" x14ac:dyDescent="0.2">
      <c r="A403" s="1">
        <v>41166</v>
      </c>
      <c r="B403" s="2">
        <v>-1.7224999999999999</v>
      </c>
      <c r="C403" s="3">
        <v>14.51</v>
      </c>
      <c r="D403">
        <v>7.2050000000000001</v>
      </c>
      <c r="E403">
        <v>1.8660000000000001</v>
      </c>
      <c r="F403">
        <v>0.25</v>
      </c>
      <c r="G403">
        <v>0.79900000000000004</v>
      </c>
      <c r="H403">
        <v>9.2999999999999999E-2</v>
      </c>
      <c r="I403">
        <v>-63.8</v>
      </c>
      <c r="J403">
        <v>-25.2</v>
      </c>
      <c r="K403">
        <v>-31</v>
      </c>
      <c r="L403">
        <v>-68.8</v>
      </c>
      <c r="M403">
        <v>90.143600000000006</v>
      </c>
      <c r="N403">
        <v>116.66</v>
      </c>
      <c r="O403">
        <v>99</v>
      </c>
      <c r="P403">
        <v>9.6600000000000005E-2</v>
      </c>
      <c r="Q403">
        <v>14.51</v>
      </c>
      <c r="R403">
        <v>-6.95</v>
      </c>
    </row>
    <row r="404" spans="1:18" x14ac:dyDescent="0.2">
      <c r="A404" s="1">
        <v>41173</v>
      </c>
      <c r="B404" s="2">
        <v>-1.9575</v>
      </c>
      <c r="C404" s="3">
        <v>13.98</v>
      </c>
      <c r="D404">
        <v>7.0875000000000004</v>
      </c>
      <c r="E404">
        <v>1.7527999999999999</v>
      </c>
      <c r="F404">
        <v>0.2581</v>
      </c>
      <c r="G404">
        <v>0.79700000000000004</v>
      </c>
      <c r="H404">
        <v>9.0999999999999998E-2</v>
      </c>
      <c r="I404">
        <v>-60</v>
      </c>
      <c r="J404">
        <v>-26.15</v>
      </c>
      <c r="K404">
        <v>-31.5</v>
      </c>
      <c r="L404">
        <v>-65.900000000000006</v>
      </c>
      <c r="M404">
        <v>90.534199999999998</v>
      </c>
      <c r="N404">
        <v>111.42</v>
      </c>
      <c r="O404">
        <v>92.89</v>
      </c>
      <c r="P404">
        <v>0.1014</v>
      </c>
      <c r="Q404">
        <v>13.98</v>
      </c>
      <c r="R404">
        <v>-7.25</v>
      </c>
    </row>
    <row r="405" spans="1:18" x14ac:dyDescent="0.2">
      <c r="A405" s="1">
        <v>41180</v>
      </c>
      <c r="B405" s="2">
        <v>-1.87</v>
      </c>
      <c r="C405" s="3">
        <v>15.73</v>
      </c>
      <c r="D405">
        <v>7.0125000000000002</v>
      </c>
      <c r="E405">
        <v>1.6335</v>
      </c>
      <c r="F405">
        <v>0.23039999999999999</v>
      </c>
      <c r="G405">
        <v>0.77200000000000002</v>
      </c>
      <c r="H405">
        <v>9.2999999999999999E-2</v>
      </c>
      <c r="I405">
        <v>-60.75</v>
      </c>
      <c r="J405">
        <v>-31.75</v>
      </c>
      <c r="K405">
        <v>-32.5</v>
      </c>
      <c r="L405">
        <v>-59.5</v>
      </c>
      <c r="M405">
        <v>90.834199999999996</v>
      </c>
      <c r="N405">
        <v>112.39</v>
      </c>
      <c r="O405">
        <v>92.19</v>
      </c>
      <c r="P405">
        <v>9.1300000000000006E-2</v>
      </c>
      <c r="Q405">
        <v>15.73</v>
      </c>
      <c r="R405">
        <v>-8.5</v>
      </c>
    </row>
    <row r="406" spans="1:18" x14ac:dyDescent="0.2">
      <c r="A406" s="1">
        <v>41187</v>
      </c>
      <c r="B406" s="2">
        <v>-1.9450000000000001</v>
      </c>
      <c r="C406" s="3">
        <v>14.33</v>
      </c>
      <c r="D406">
        <v>6.7350000000000003</v>
      </c>
      <c r="E406">
        <v>1.7427999999999999</v>
      </c>
      <c r="F406">
        <v>0.25790000000000002</v>
      </c>
      <c r="G406">
        <v>0.77100000000000002</v>
      </c>
      <c r="H406">
        <v>9.7000000000000003E-2</v>
      </c>
      <c r="I406">
        <v>-57</v>
      </c>
      <c r="J406">
        <v>-30.225000000000001</v>
      </c>
      <c r="K406">
        <v>-31.25</v>
      </c>
      <c r="L406">
        <v>-50.25</v>
      </c>
      <c r="M406">
        <v>90.2851</v>
      </c>
      <c r="N406">
        <v>112.02</v>
      </c>
      <c r="O406">
        <v>89.88</v>
      </c>
      <c r="P406">
        <v>9.6299999999999997E-2</v>
      </c>
      <c r="Q406">
        <v>14.33</v>
      </c>
      <c r="R406">
        <v>-11.875</v>
      </c>
    </row>
    <row r="407" spans="1:18" x14ac:dyDescent="0.2">
      <c r="A407" s="1">
        <v>41194</v>
      </c>
      <c r="B407" s="2">
        <v>-1.8174999999999999</v>
      </c>
      <c r="C407" s="3">
        <v>16.14</v>
      </c>
      <c r="D407">
        <v>6.8224999999999998</v>
      </c>
      <c r="E407">
        <v>1.6559999999999999</v>
      </c>
      <c r="F407">
        <v>0.26</v>
      </c>
      <c r="G407">
        <v>0.76100000000000001</v>
      </c>
      <c r="H407">
        <v>9.7000000000000003E-2</v>
      </c>
      <c r="I407">
        <v>-59.3</v>
      </c>
      <c r="J407">
        <v>-28.7</v>
      </c>
      <c r="K407">
        <v>-31.5</v>
      </c>
      <c r="L407">
        <v>-50.8</v>
      </c>
      <c r="M407">
        <v>90.683300000000003</v>
      </c>
      <c r="N407">
        <v>114.62</v>
      </c>
      <c r="O407">
        <v>91.86</v>
      </c>
      <c r="P407">
        <v>9.6600000000000005E-2</v>
      </c>
      <c r="Q407">
        <v>16.14</v>
      </c>
      <c r="R407">
        <v>-12.3</v>
      </c>
    </row>
    <row r="408" spans="1:18" x14ac:dyDescent="0.2">
      <c r="A408" s="1">
        <v>41201</v>
      </c>
      <c r="B408" s="2">
        <v>-1.65</v>
      </c>
      <c r="C408" s="3">
        <v>17.059999999999999</v>
      </c>
      <c r="D408">
        <v>7.0975000000000001</v>
      </c>
      <c r="E408">
        <v>1.7633000000000001</v>
      </c>
      <c r="F408">
        <v>0.29449999999999998</v>
      </c>
      <c r="G408">
        <v>0.78</v>
      </c>
      <c r="H408">
        <v>0.10299999999999999</v>
      </c>
      <c r="I408">
        <v>-67.3</v>
      </c>
      <c r="J408">
        <v>-27.45</v>
      </c>
      <c r="K408">
        <v>-36.9</v>
      </c>
      <c r="L408">
        <v>-63.3</v>
      </c>
      <c r="M408">
        <v>90.810699999999997</v>
      </c>
      <c r="N408">
        <v>110.14</v>
      </c>
      <c r="O408">
        <v>90.05</v>
      </c>
      <c r="P408">
        <v>9.1300000000000006E-2</v>
      </c>
      <c r="Q408">
        <v>17.059999999999999</v>
      </c>
      <c r="R408">
        <v>-17.100000000000001</v>
      </c>
    </row>
    <row r="409" spans="1:18" x14ac:dyDescent="0.2">
      <c r="A409" s="1">
        <v>41208</v>
      </c>
      <c r="B409" s="2">
        <v>-1.59</v>
      </c>
      <c r="C409" s="3">
        <v>17.809999999999999</v>
      </c>
      <c r="D409">
        <v>7.54</v>
      </c>
      <c r="E409">
        <v>1.7451000000000001</v>
      </c>
      <c r="F409">
        <v>0.29699999999999999</v>
      </c>
      <c r="G409">
        <v>0.76200000000000001</v>
      </c>
      <c r="H409">
        <v>9.7000000000000003E-2</v>
      </c>
      <c r="I409">
        <v>-67.3</v>
      </c>
      <c r="J409">
        <v>-29.8</v>
      </c>
      <c r="K409">
        <v>-33.5</v>
      </c>
      <c r="L409">
        <v>-64</v>
      </c>
      <c r="M409">
        <v>91.141099999999994</v>
      </c>
      <c r="N409">
        <v>109.55</v>
      </c>
      <c r="O409">
        <v>86.28</v>
      </c>
      <c r="P409">
        <v>0.1116</v>
      </c>
      <c r="Q409">
        <v>17.809999999999999</v>
      </c>
      <c r="R409">
        <v>-13.5</v>
      </c>
    </row>
    <row r="410" spans="1:18" x14ac:dyDescent="0.2">
      <c r="A410" s="1">
        <v>41215</v>
      </c>
      <c r="B410" s="2">
        <v>-1.6</v>
      </c>
      <c r="C410" s="3">
        <v>17.59</v>
      </c>
      <c r="D410">
        <v>7.5750000000000002</v>
      </c>
      <c r="E410">
        <v>1.7146999999999999</v>
      </c>
      <c r="F410">
        <v>0.28160000000000002</v>
      </c>
      <c r="G410">
        <v>0.77900000000000003</v>
      </c>
      <c r="H410">
        <v>9.8000000000000004E-2</v>
      </c>
      <c r="I410">
        <v>-66</v>
      </c>
      <c r="J410">
        <v>-28.5</v>
      </c>
      <c r="K410">
        <v>-30.5</v>
      </c>
      <c r="L410">
        <v>-63</v>
      </c>
      <c r="M410">
        <v>91.281000000000006</v>
      </c>
      <c r="N410">
        <v>105.68</v>
      </c>
      <c r="O410">
        <v>84.86</v>
      </c>
      <c r="P410">
        <v>9.1300000000000006E-2</v>
      </c>
      <c r="Q410">
        <v>17.59</v>
      </c>
      <c r="R410">
        <v>-10.5</v>
      </c>
    </row>
    <row r="411" spans="1:18" x14ac:dyDescent="0.2">
      <c r="A411" s="1">
        <v>41222</v>
      </c>
      <c r="B411" s="2">
        <v>-1.7524999999999999</v>
      </c>
      <c r="C411" s="3">
        <v>18.61</v>
      </c>
      <c r="D411">
        <v>7.2675000000000001</v>
      </c>
      <c r="E411">
        <v>1.6063000000000001</v>
      </c>
      <c r="F411">
        <v>0.25800000000000001</v>
      </c>
      <c r="G411">
        <v>0.73299999999999998</v>
      </c>
      <c r="H411">
        <v>9.5000000000000001E-2</v>
      </c>
      <c r="I411">
        <v>-64.5</v>
      </c>
      <c r="J411">
        <v>-30.1</v>
      </c>
      <c r="K411">
        <v>-28.774999999999999</v>
      </c>
      <c r="L411">
        <v>-63.2</v>
      </c>
      <c r="M411">
        <v>91.687100000000001</v>
      </c>
      <c r="N411">
        <v>109.4</v>
      </c>
      <c r="O411">
        <v>86.07</v>
      </c>
      <c r="P411">
        <v>9.1499999999999998E-2</v>
      </c>
      <c r="Q411">
        <v>18.61</v>
      </c>
      <c r="R411">
        <v>-8.5</v>
      </c>
    </row>
    <row r="412" spans="1:18" x14ac:dyDescent="0.2">
      <c r="A412" s="1">
        <v>41229</v>
      </c>
      <c r="B412" s="2">
        <v>-1.94</v>
      </c>
      <c r="C412" s="3">
        <v>16.41</v>
      </c>
      <c r="D412">
        <v>8.2050000000000001</v>
      </c>
      <c r="E412">
        <v>1.58</v>
      </c>
      <c r="F412">
        <v>0.2379</v>
      </c>
      <c r="G412">
        <v>0.72399999999999998</v>
      </c>
      <c r="H412">
        <v>9.2999999999999999E-2</v>
      </c>
      <c r="I412">
        <v>-71</v>
      </c>
      <c r="J412">
        <v>-33.299999999999997</v>
      </c>
      <c r="K412">
        <v>-31.125</v>
      </c>
      <c r="L412">
        <v>-68.625</v>
      </c>
      <c r="M412">
        <v>92.009500000000003</v>
      </c>
      <c r="N412">
        <v>108.95</v>
      </c>
      <c r="O412">
        <v>86.67</v>
      </c>
      <c r="P412">
        <v>7.6100000000000001E-2</v>
      </c>
      <c r="Q412">
        <v>16.41</v>
      </c>
      <c r="R412">
        <v>-9.5</v>
      </c>
    </row>
    <row r="413" spans="1:18" x14ac:dyDescent="0.2">
      <c r="A413" s="1">
        <v>41236</v>
      </c>
      <c r="B413" s="2">
        <v>-1.8975</v>
      </c>
      <c r="C413" s="3">
        <v>15.14</v>
      </c>
      <c r="D413">
        <v>8.75</v>
      </c>
      <c r="E413">
        <v>1.6899</v>
      </c>
      <c r="F413">
        <v>0.27029999999999998</v>
      </c>
      <c r="G413">
        <v>0.73499999999999999</v>
      </c>
      <c r="H413">
        <v>9.2999999999999999E-2</v>
      </c>
      <c r="I413">
        <v>-69</v>
      </c>
      <c r="J413">
        <v>-29.91</v>
      </c>
      <c r="K413">
        <v>-25.5</v>
      </c>
      <c r="L413">
        <v>-66.3</v>
      </c>
      <c r="M413">
        <v>91.261600000000001</v>
      </c>
      <c r="N413">
        <v>111.38</v>
      </c>
      <c r="O413">
        <v>88.28</v>
      </c>
      <c r="P413">
        <v>8.6199999999999999E-2</v>
      </c>
      <c r="Q413">
        <v>15.14</v>
      </c>
      <c r="R413">
        <v>-3.8</v>
      </c>
    </row>
    <row r="414" spans="1:18" x14ac:dyDescent="0.2">
      <c r="A414" s="1">
        <v>41243</v>
      </c>
      <c r="B414" s="2">
        <v>-1.7975000000000001</v>
      </c>
      <c r="C414" s="3">
        <v>15.87</v>
      </c>
      <c r="D414">
        <v>8.69</v>
      </c>
      <c r="E414">
        <v>1.6155999999999999</v>
      </c>
      <c r="F414">
        <v>0.24610000000000001</v>
      </c>
      <c r="G414">
        <v>0.71</v>
      </c>
      <c r="H414">
        <v>9.2999999999999999E-2</v>
      </c>
      <c r="I414">
        <v>-64.75</v>
      </c>
      <c r="J414">
        <v>-27.5</v>
      </c>
      <c r="K414">
        <v>-27.5</v>
      </c>
      <c r="L414">
        <v>-65</v>
      </c>
      <c r="M414">
        <v>91.103800000000007</v>
      </c>
      <c r="N414">
        <v>111.23</v>
      </c>
      <c r="O414">
        <v>88.91</v>
      </c>
      <c r="P414">
        <v>7.6100000000000001E-2</v>
      </c>
      <c r="Q414">
        <v>15.87</v>
      </c>
      <c r="R414">
        <v>-5.25</v>
      </c>
    </row>
    <row r="415" spans="1:18" x14ac:dyDescent="0.2">
      <c r="A415" s="1">
        <v>41250</v>
      </c>
      <c r="B415" s="2">
        <v>-1.83</v>
      </c>
      <c r="C415" s="3">
        <v>15.9</v>
      </c>
      <c r="D415">
        <v>8.4350000000000005</v>
      </c>
      <c r="E415">
        <v>1.6214999999999999</v>
      </c>
      <c r="F415">
        <v>0.23810000000000001</v>
      </c>
      <c r="G415">
        <v>0.7</v>
      </c>
      <c r="H415">
        <v>9.5000000000000001E-2</v>
      </c>
      <c r="I415">
        <v>-68.3</v>
      </c>
      <c r="J415">
        <v>-28.4</v>
      </c>
      <c r="K415">
        <v>-30</v>
      </c>
      <c r="L415">
        <v>-68.5</v>
      </c>
      <c r="M415">
        <v>91.043700000000001</v>
      </c>
      <c r="N415">
        <v>107.02</v>
      </c>
      <c r="O415">
        <v>85.93</v>
      </c>
      <c r="P415">
        <v>8.1100000000000005E-2</v>
      </c>
      <c r="Q415">
        <v>15.9</v>
      </c>
      <c r="R415">
        <v>-7.8</v>
      </c>
    </row>
    <row r="416" spans="1:18" x14ac:dyDescent="0.2">
      <c r="A416" s="1">
        <v>41257</v>
      </c>
      <c r="B416" s="2">
        <v>-1.6875</v>
      </c>
      <c r="C416" s="3">
        <v>17</v>
      </c>
      <c r="D416">
        <v>8.7375000000000007</v>
      </c>
      <c r="E416">
        <v>1.7015</v>
      </c>
      <c r="F416">
        <v>0.23400000000000001</v>
      </c>
      <c r="G416">
        <v>0.73099999999999998</v>
      </c>
      <c r="H416">
        <v>9.2999999999999999E-2</v>
      </c>
      <c r="I416">
        <v>-65.5</v>
      </c>
      <c r="J416">
        <v>-24.5</v>
      </c>
      <c r="K416">
        <v>-29.75</v>
      </c>
      <c r="L416">
        <v>-66.875</v>
      </c>
      <c r="M416">
        <v>90.715599999999995</v>
      </c>
      <c r="N416">
        <v>109.15</v>
      </c>
      <c r="O416">
        <v>86.73</v>
      </c>
      <c r="P416">
        <v>2.53E-2</v>
      </c>
      <c r="Q416">
        <v>17</v>
      </c>
      <c r="R416">
        <v>-7.5</v>
      </c>
    </row>
    <row r="417" spans="1:18" x14ac:dyDescent="0.2">
      <c r="A417" s="1">
        <v>41264</v>
      </c>
      <c r="B417" s="2">
        <v>-1.7649999999999999</v>
      </c>
      <c r="C417" s="3">
        <v>17.84</v>
      </c>
      <c r="D417">
        <v>8.5574999999999992</v>
      </c>
      <c r="E417">
        <v>1.7623</v>
      </c>
      <c r="F417">
        <v>0.2661</v>
      </c>
      <c r="G417">
        <v>0.76100000000000001</v>
      </c>
      <c r="H417">
        <v>9.2999999999999999E-2</v>
      </c>
      <c r="I417">
        <v>-59</v>
      </c>
      <c r="J417">
        <v>-20.375</v>
      </c>
      <c r="K417">
        <v>-29.5</v>
      </c>
      <c r="L417">
        <v>-65.400000000000006</v>
      </c>
      <c r="M417">
        <v>90.959699999999998</v>
      </c>
      <c r="N417">
        <v>108.97</v>
      </c>
      <c r="O417">
        <v>88.66</v>
      </c>
      <c r="P417">
        <v>5.5800000000000002E-2</v>
      </c>
      <c r="Q417">
        <v>17.84</v>
      </c>
      <c r="R417">
        <v>-8.5</v>
      </c>
    </row>
    <row r="418" spans="1:18" x14ac:dyDescent="0.2">
      <c r="A418" s="1">
        <v>41271</v>
      </c>
      <c r="B418" s="2">
        <v>-1.7949999999999999</v>
      </c>
      <c r="C418" s="3">
        <v>22.72</v>
      </c>
      <c r="D418">
        <v>9.3049999999999997</v>
      </c>
      <c r="E418">
        <v>1.7009000000000001</v>
      </c>
      <c r="F418">
        <v>0.2465</v>
      </c>
      <c r="G418">
        <v>0.78600000000000003</v>
      </c>
      <c r="H418">
        <v>9.2999999999999999E-2</v>
      </c>
      <c r="I418">
        <v>-58</v>
      </c>
      <c r="J418">
        <v>-18.3</v>
      </c>
      <c r="K418">
        <v>-27.8</v>
      </c>
      <c r="L418">
        <v>-63</v>
      </c>
      <c r="M418">
        <v>91.041899999999998</v>
      </c>
      <c r="N418">
        <v>110.62</v>
      </c>
      <c r="O418">
        <v>90.8</v>
      </c>
      <c r="P418">
        <v>0.03</v>
      </c>
      <c r="Q418">
        <v>22.72</v>
      </c>
      <c r="R418">
        <v>-6.3</v>
      </c>
    </row>
    <row r="419" spans="1:18" x14ac:dyDescent="0.2">
      <c r="A419" s="1">
        <v>41278</v>
      </c>
      <c r="B419" s="2">
        <v>-1.7250000000000001</v>
      </c>
      <c r="C419" s="3">
        <v>13.83</v>
      </c>
      <c r="D419">
        <v>9.6449999999999996</v>
      </c>
      <c r="E419">
        <v>1.8991</v>
      </c>
      <c r="F419">
        <v>0.26350000000000001</v>
      </c>
      <c r="G419">
        <v>0.82099999999999995</v>
      </c>
      <c r="H419">
        <v>9.2999999999999999E-2</v>
      </c>
      <c r="I419">
        <v>-57.5</v>
      </c>
      <c r="J419">
        <v>-17.899999999999999</v>
      </c>
      <c r="K419">
        <v>-27.25</v>
      </c>
      <c r="L419">
        <v>-62.25</v>
      </c>
      <c r="M419">
        <v>91.102500000000006</v>
      </c>
      <c r="N419">
        <v>111.31</v>
      </c>
      <c r="O419">
        <v>93.09</v>
      </c>
      <c r="P419">
        <v>6.59E-2</v>
      </c>
      <c r="Q419">
        <v>13.83</v>
      </c>
      <c r="R419">
        <v>-6.75</v>
      </c>
    </row>
    <row r="420" spans="1:18" x14ac:dyDescent="0.2">
      <c r="A420" s="1">
        <v>41285</v>
      </c>
      <c r="B420" s="2">
        <v>-1.4025000000000001</v>
      </c>
      <c r="C420" s="3">
        <v>13.36</v>
      </c>
      <c r="D420">
        <v>10.57</v>
      </c>
      <c r="E420">
        <v>1.8676999999999999</v>
      </c>
      <c r="F420">
        <v>0.24890000000000001</v>
      </c>
      <c r="G420">
        <v>0.81200000000000006</v>
      </c>
      <c r="H420">
        <v>0.08</v>
      </c>
      <c r="I420">
        <v>-56</v>
      </c>
      <c r="J420">
        <v>-24.175000000000001</v>
      </c>
      <c r="K420">
        <v>-28.8</v>
      </c>
      <c r="L420">
        <v>-61.3</v>
      </c>
      <c r="M420">
        <v>90.535200000000003</v>
      </c>
      <c r="N420">
        <v>110.64</v>
      </c>
      <c r="O420">
        <v>93.56</v>
      </c>
      <c r="P420">
        <v>6.59E-2</v>
      </c>
      <c r="Q420">
        <v>13.36</v>
      </c>
      <c r="R420">
        <v>-8.5</v>
      </c>
    </row>
    <row r="421" spans="1:18" x14ac:dyDescent="0.2">
      <c r="A421" s="1">
        <v>41292</v>
      </c>
      <c r="B421" s="2">
        <v>-1.62</v>
      </c>
      <c r="C421" s="3">
        <v>12.46</v>
      </c>
      <c r="D421">
        <v>11.21</v>
      </c>
      <c r="E421">
        <v>1.8415999999999999</v>
      </c>
      <c r="F421">
        <v>0.25030000000000002</v>
      </c>
      <c r="G421">
        <v>0.748</v>
      </c>
      <c r="H421">
        <v>7.2999999999999995E-2</v>
      </c>
      <c r="I421">
        <v>-58.25</v>
      </c>
      <c r="J421">
        <v>-25</v>
      </c>
      <c r="K421">
        <v>-32.799999999999997</v>
      </c>
      <c r="L421">
        <v>-64.5</v>
      </c>
      <c r="M421">
        <v>90.869699999999995</v>
      </c>
      <c r="N421">
        <v>111.89</v>
      </c>
      <c r="O421">
        <v>95.56</v>
      </c>
      <c r="P421">
        <v>7.0999999999999994E-2</v>
      </c>
      <c r="Q421">
        <v>12.46</v>
      </c>
      <c r="R421">
        <v>-13</v>
      </c>
    </row>
    <row r="422" spans="1:18" x14ac:dyDescent="0.2">
      <c r="A422" s="1">
        <v>41299</v>
      </c>
      <c r="B422" s="2">
        <v>-1.73</v>
      </c>
      <c r="C422" s="3">
        <v>12.89</v>
      </c>
      <c r="D422">
        <v>11.41</v>
      </c>
      <c r="E422">
        <v>1.9487000000000001</v>
      </c>
      <c r="F422">
        <v>0.27179999999999999</v>
      </c>
      <c r="G422">
        <v>0.72099999999999997</v>
      </c>
      <c r="H422">
        <v>7.6999999999999999E-2</v>
      </c>
      <c r="I422">
        <v>-55.8</v>
      </c>
      <c r="J422">
        <v>-20.9</v>
      </c>
      <c r="K422">
        <v>-29.8</v>
      </c>
      <c r="L422">
        <v>-59.8</v>
      </c>
      <c r="M422">
        <v>91.086799999999997</v>
      </c>
      <c r="N422">
        <v>113.28</v>
      </c>
      <c r="O422">
        <v>95.88</v>
      </c>
      <c r="P422">
        <v>7.0999999999999994E-2</v>
      </c>
      <c r="Q422">
        <v>12.89</v>
      </c>
      <c r="R422">
        <v>-10.8</v>
      </c>
    </row>
    <row r="423" spans="1:18" x14ac:dyDescent="0.2">
      <c r="A423" s="1">
        <v>41306</v>
      </c>
      <c r="B423" s="2">
        <v>-1.8774999999999999</v>
      </c>
      <c r="C423" s="3">
        <v>12.9</v>
      </c>
      <c r="D423">
        <v>11.452500000000001</v>
      </c>
      <c r="E423">
        <v>2.0148999999999999</v>
      </c>
      <c r="F423">
        <v>0.26179999999999998</v>
      </c>
      <c r="G423">
        <v>0.76600000000000001</v>
      </c>
      <c r="H423">
        <v>7.0000000000000007E-2</v>
      </c>
      <c r="I423">
        <v>-55</v>
      </c>
      <c r="J423">
        <v>-22.85</v>
      </c>
      <c r="K423">
        <v>-30.5</v>
      </c>
      <c r="L423">
        <v>-59</v>
      </c>
      <c r="M423">
        <v>90.692300000000003</v>
      </c>
      <c r="N423">
        <v>116.76</v>
      </c>
      <c r="O423">
        <v>97.77</v>
      </c>
      <c r="P423">
        <v>6.59E-2</v>
      </c>
      <c r="Q423">
        <v>12.9</v>
      </c>
      <c r="R423">
        <v>-13</v>
      </c>
    </row>
    <row r="424" spans="1:18" x14ac:dyDescent="0.2">
      <c r="A424" s="1">
        <v>41313</v>
      </c>
      <c r="B424" s="2">
        <v>-2.0750000000000002</v>
      </c>
      <c r="C424" s="3">
        <v>13.02</v>
      </c>
      <c r="D424">
        <v>12.04</v>
      </c>
      <c r="E424">
        <v>1.9499</v>
      </c>
      <c r="F424">
        <v>0.25</v>
      </c>
      <c r="G424">
        <v>0.76</v>
      </c>
      <c r="H424">
        <v>2.5000000000000001E-2</v>
      </c>
      <c r="I424">
        <v>-56.6</v>
      </c>
      <c r="J424">
        <v>-23.074999999999999</v>
      </c>
      <c r="K424">
        <v>-31.4</v>
      </c>
      <c r="L424">
        <v>-60.3</v>
      </c>
      <c r="M424">
        <v>91.305599999999998</v>
      </c>
      <c r="N424">
        <v>118.9</v>
      </c>
      <c r="O424">
        <v>95.72</v>
      </c>
      <c r="P424">
        <v>6.59E-2</v>
      </c>
      <c r="Q424">
        <v>13.02</v>
      </c>
      <c r="R424">
        <v>-13.8</v>
      </c>
    </row>
    <row r="425" spans="1:18" x14ac:dyDescent="0.2">
      <c r="A425" s="1">
        <v>41320</v>
      </c>
      <c r="B425" s="2">
        <v>-2.0150000000000001</v>
      </c>
      <c r="C425" s="3">
        <v>12.46</v>
      </c>
      <c r="D425">
        <v>12.2125</v>
      </c>
      <c r="E425">
        <v>2.0017</v>
      </c>
      <c r="F425">
        <v>0.2661</v>
      </c>
      <c r="G425">
        <v>0.748</v>
      </c>
      <c r="H425">
        <v>0.02</v>
      </c>
      <c r="I425">
        <v>-55.3</v>
      </c>
      <c r="J425">
        <v>-22.5</v>
      </c>
      <c r="K425">
        <v>-30.5</v>
      </c>
      <c r="L425">
        <v>-57.5</v>
      </c>
      <c r="M425">
        <v>91.455100000000002</v>
      </c>
      <c r="N425">
        <v>117.66</v>
      </c>
      <c r="O425">
        <v>95.86</v>
      </c>
      <c r="P425">
        <v>9.6299999999999997E-2</v>
      </c>
      <c r="Q425">
        <v>12.46</v>
      </c>
      <c r="R425">
        <v>-12.9</v>
      </c>
    </row>
    <row r="426" spans="1:18" x14ac:dyDescent="0.2">
      <c r="A426" s="1">
        <v>41327</v>
      </c>
      <c r="B426" s="2">
        <v>-2.1749999999999998</v>
      </c>
      <c r="C426" s="3">
        <v>14.17</v>
      </c>
      <c r="D426">
        <v>11.967499999999999</v>
      </c>
      <c r="E426">
        <v>1.9619</v>
      </c>
      <c r="F426">
        <v>0.248</v>
      </c>
      <c r="G426">
        <v>0.72499999999999998</v>
      </c>
      <c r="H426">
        <v>3.6999999999999998E-2</v>
      </c>
      <c r="I426">
        <v>-54.8</v>
      </c>
      <c r="J426">
        <v>-22.5</v>
      </c>
      <c r="K426">
        <v>-29.8</v>
      </c>
      <c r="L426">
        <v>-56.3</v>
      </c>
      <c r="M426">
        <v>92.119699999999995</v>
      </c>
      <c r="N426">
        <v>114.1</v>
      </c>
      <c r="O426">
        <v>93.13</v>
      </c>
      <c r="P426">
        <v>0.1217</v>
      </c>
      <c r="Q426">
        <v>14.17</v>
      </c>
      <c r="R426">
        <v>-12.3</v>
      </c>
    </row>
    <row r="427" spans="1:18" x14ac:dyDescent="0.2">
      <c r="A427" s="1">
        <v>41334</v>
      </c>
      <c r="B427" s="2">
        <v>-2.3725000000000001</v>
      </c>
      <c r="C427" s="3">
        <v>15.36</v>
      </c>
      <c r="D427">
        <v>12.077500000000001</v>
      </c>
      <c r="E427">
        <v>1.8411999999999999</v>
      </c>
      <c r="F427">
        <v>0.23419999999999999</v>
      </c>
      <c r="G427">
        <v>0.65500000000000003</v>
      </c>
      <c r="H427">
        <v>4.4999999999999998E-2</v>
      </c>
      <c r="I427">
        <v>-55.1</v>
      </c>
      <c r="J427">
        <v>-22.9</v>
      </c>
      <c r="K427">
        <v>-26</v>
      </c>
      <c r="L427">
        <v>-52.1</v>
      </c>
      <c r="M427">
        <v>92.617699999999999</v>
      </c>
      <c r="N427">
        <v>110.4</v>
      </c>
      <c r="O427">
        <v>90.68</v>
      </c>
      <c r="P427">
        <v>0.1014</v>
      </c>
      <c r="Q427">
        <v>15.36</v>
      </c>
      <c r="R427">
        <v>-9.8000000000000007</v>
      </c>
    </row>
    <row r="428" spans="1:18" x14ac:dyDescent="0.2">
      <c r="A428" s="1">
        <v>41341</v>
      </c>
      <c r="B428" s="2">
        <v>-2.0750000000000002</v>
      </c>
      <c r="C428" s="3">
        <v>12.59</v>
      </c>
      <c r="D428">
        <v>12.185</v>
      </c>
      <c r="E428">
        <v>2.0427</v>
      </c>
      <c r="F428">
        <v>0.25</v>
      </c>
      <c r="G428">
        <v>0.64300000000000002</v>
      </c>
      <c r="H428">
        <v>4.4999999999999998E-2</v>
      </c>
      <c r="I428">
        <v>-55.5</v>
      </c>
      <c r="J428">
        <v>-19.2</v>
      </c>
      <c r="K428">
        <v>-25.5</v>
      </c>
      <c r="L428">
        <v>-51.8</v>
      </c>
      <c r="M428">
        <v>92.625200000000007</v>
      </c>
      <c r="N428">
        <v>110.85</v>
      </c>
      <c r="O428">
        <v>91.95</v>
      </c>
      <c r="P428">
        <v>8.6199999999999999E-2</v>
      </c>
      <c r="Q428">
        <v>12.59</v>
      </c>
      <c r="R428">
        <v>-9</v>
      </c>
    </row>
    <row r="429" spans="1:18" x14ac:dyDescent="0.2">
      <c r="A429" s="1">
        <v>41348</v>
      </c>
      <c r="B429" s="2">
        <v>-1.605</v>
      </c>
      <c r="C429" s="3">
        <v>11.3</v>
      </c>
      <c r="D429">
        <v>11.785</v>
      </c>
      <c r="E429">
        <v>1.9895</v>
      </c>
      <c r="F429">
        <v>0.25</v>
      </c>
      <c r="G429">
        <v>0.62</v>
      </c>
      <c r="H429">
        <v>4.2000000000000003E-2</v>
      </c>
      <c r="I429">
        <v>-55.8</v>
      </c>
      <c r="J429">
        <v>-20.3</v>
      </c>
      <c r="K429">
        <v>-25.8</v>
      </c>
      <c r="L429">
        <v>-54.3</v>
      </c>
      <c r="M429">
        <v>92.128</v>
      </c>
      <c r="N429">
        <v>109.82</v>
      </c>
      <c r="O429">
        <v>93.45</v>
      </c>
      <c r="P429">
        <v>8.1100000000000005E-2</v>
      </c>
      <c r="Q429">
        <v>11.3</v>
      </c>
      <c r="R429">
        <v>-9.3000000000000007</v>
      </c>
    </row>
    <row r="430" spans="1:18" x14ac:dyDescent="0.2">
      <c r="A430" s="1">
        <v>41355</v>
      </c>
      <c r="B430" s="2">
        <v>-1.72</v>
      </c>
      <c r="C430" s="3">
        <v>13.57</v>
      </c>
      <c r="D430">
        <v>12.335000000000001</v>
      </c>
      <c r="E430">
        <v>1.925</v>
      </c>
      <c r="F430">
        <v>0.25</v>
      </c>
      <c r="G430">
        <v>0.56100000000000005</v>
      </c>
      <c r="H430">
        <v>5.8000000000000003E-2</v>
      </c>
      <c r="I430">
        <v>-56</v>
      </c>
      <c r="J430">
        <v>-21.6</v>
      </c>
      <c r="K430">
        <v>-25.3</v>
      </c>
      <c r="L430">
        <v>-54.8</v>
      </c>
      <c r="M430">
        <v>92.205100000000002</v>
      </c>
      <c r="N430">
        <v>107.66</v>
      </c>
      <c r="O430">
        <v>93.71</v>
      </c>
      <c r="P430">
        <v>6.59E-2</v>
      </c>
      <c r="Q430">
        <v>13.57</v>
      </c>
      <c r="R430">
        <v>-9.3000000000000007</v>
      </c>
    </row>
    <row r="431" spans="1:18" x14ac:dyDescent="0.2">
      <c r="A431" s="1">
        <v>41362</v>
      </c>
      <c r="B431" s="2">
        <v>-1.7649999999999999</v>
      </c>
      <c r="C431" s="3">
        <v>12.7</v>
      </c>
      <c r="D431">
        <v>11.827500000000001</v>
      </c>
      <c r="E431">
        <v>1.8486</v>
      </c>
      <c r="F431">
        <v>0.24210000000000001</v>
      </c>
      <c r="G431">
        <v>0.54600000000000004</v>
      </c>
      <c r="H431">
        <v>4.7E-2</v>
      </c>
      <c r="I431">
        <v>-56.4</v>
      </c>
      <c r="J431">
        <v>-22</v>
      </c>
      <c r="K431">
        <v>-24</v>
      </c>
      <c r="L431">
        <v>-54.8</v>
      </c>
      <c r="M431">
        <v>92.302000000000007</v>
      </c>
      <c r="N431">
        <v>110.02</v>
      </c>
      <c r="O431">
        <v>97.23</v>
      </c>
      <c r="P431">
        <v>7.0999999999999994E-2</v>
      </c>
      <c r="Q431">
        <v>12.7</v>
      </c>
      <c r="R431">
        <v>-7.8</v>
      </c>
    </row>
    <row r="432" spans="1:18" x14ac:dyDescent="0.2">
      <c r="A432" s="1">
        <v>41369</v>
      </c>
      <c r="B432" s="2">
        <v>-1.7725</v>
      </c>
      <c r="C432" s="3">
        <v>13.92</v>
      </c>
      <c r="D432">
        <v>12.7</v>
      </c>
      <c r="E432">
        <v>1.7128000000000001</v>
      </c>
      <c r="F432">
        <v>0.22819999999999999</v>
      </c>
      <c r="G432">
        <v>0.52900000000000003</v>
      </c>
      <c r="H432">
        <v>8.6999999999999994E-2</v>
      </c>
      <c r="I432">
        <v>-59.05</v>
      </c>
      <c r="J432">
        <v>-22.1</v>
      </c>
      <c r="K432">
        <v>-24.75</v>
      </c>
      <c r="L432">
        <v>-57.05</v>
      </c>
      <c r="M432">
        <v>92.104299999999995</v>
      </c>
      <c r="N432">
        <v>104.12</v>
      </c>
      <c r="O432">
        <v>92.7</v>
      </c>
      <c r="P432">
        <v>6.08E-2</v>
      </c>
      <c r="Q432">
        <v>13.92</v>
      </c>
      <c r="R432">
        <v>-8.5</v>
      </c>
    </row>
    <row r="433" spans="1:18" x14ac:dyDescent="0.2">
      <c r="A433" s="1">
        <v>41376</v>
      </c>
      <c r="B433" s="2">
        <v>-1.345</v>
      </c>
      <c r="C433" s="3">
        <v>12.06</v>
      </c>
      <c r="D433">
        <v>12.9</v>
      </c>
      <c r="E433">
        <v>1.7208000000000001</v>
      </c>
      <c r="F433">
        <v>0.22600000000000001</v>
      </c>
      <c r="G433">
        <v>0.60899999999999999</v>
      </c>
      <c r="H433">
        <v>0.123</v>
      </c>
      <c r="I433">
        <v>-65.8</v>
      </c>
      <c r="J433">
        <v>-22.5</v>
      </c>
      <c r="K433">
        <v>-29.75</v>
      </c>
      <c r="L433">
        <v>-65.8</v>
      </c>
      <c r="M433">
        <v>91.796700000000001</v>
      </c>
      <c r="N433">
        <v>103.11</v>
      </c>
      <c r="O433">
        <v>91.29</v>
      </c>
      <c r="P433">
        <v>6.08E-2</v>
      </c>
      <c r="Q433">
        <v>12.06</v>
      </c>
      <c r="R433">
        <v>-12.75</v>
      </c>
    </row>
    <row r="434" spans="1:18" x14ac:dyDescent="0.2">
      <c r="A434" s="1">
        <v>41383</v>
      </c>
      <c r="B434" s="2">
        <v>-1.9575</v>
      </c>
      <c r="C434" s="3">
        <v>14.97</v>
      </c>
      <c r="D434">
        <v>13.237500000000001</v>
      </c>
      <c r="E434">
        <v>1.7049000000000001</v>
      </c>
      <c r="F434">
        <v>0.2298</v>
      </c>
      <c r="G434">
        <v>0.57599999999999996</v>
      </c>
      <c r="H434">
        <v>0.126</v>
      </c>
      <c r="I434">
        <v>-60.5</v>
      </c>
      <c r="J434">
        <v>-20.2</v>
      </c>
      <c r="K434">
        <v>-28.6</v>
      </c>
      <c r="L434">
        <v>-63</v>
      </c>
      <c r="M434">
        <v>92.2166</v>
      </c>
      <c r="N434">
        <v>99.65</v>
      </c>
      <c r="O434">
        <v>88.01</v>
      </c>
      <c r="P434">
        <v>4.5600000000000002E-2</v>
      </c>
      <c r="Q434">
        <v>14.97</v>
      </c>
      <c r="R434">
        <v>-10.8</v>
      </c>
    </row>
    <row r="435" spans="1:18" x14ac:dyDescent="0.2">
      <c r="A435" s="1">
        <v>41390</v>
      </c>
      <c r="B435" s="2">
        <v>-1.82</v>
      </c>
      <c r="C435" s="3">
        <v>13.61</v>
      </c>
      <c r="D435">
        <v>11.865</v>
      </c>
      <c r="E435">
        <v>1.6633</v>
      </c>
      <c r="F435">
        <v>0.2112</v>
      </c>
      <c r="G435">
        <v>0.58599999999999997</v>
      </c>
      <c r="H435">
        <v>0.11799999999999999</v>
      </c>
      <c r="I435">
        <v>-64.3</v>
      </c>
      <c r="J435">
        <v>-20.8</v>
      </c>
      <c r="K435">
        <v>-32.4</v>
      </c>
      <c r="L435">
        <v>-67.8</v>
      </c>
      <c r="M435">
        <v>91.901200000000003</v>
      </c>
      <c r="N435">
        <v>103.16</v>
      </c>
      <c r="O435">
        <v>93</v>
      </c>
      <c r="P435">
        <v>5.0700000000000002E-2</v>
      </c>
      <c r="Q435">
        <v>13.61</v>
      </c>
      <c r="R435">
        <v>-14.4</v>
      </c>
    </row>
    <row r="436" spans="1:18" x14ac:dyDescent="0.2">
      <c r="A436" s="1">
        <v>41397</v>
      </c>
      <c r="B436" s="2">
        <v>-1.8825000000000001</v>
      </c>
      <c r="C436" s="3">
        <v>12.85</v>
      </c>
      <c r="D436">
        <v>11.62</v>
      </c>
      <c r="E436">
        <v>1.7382</v>
      </c>
      <c r="F436">
        <v>0.21579999999999999</v>
      </c>
      <c r="G436">
        <v>0.56000000000000005</v>
      </c>
      <c r="H436">
        <v>0.113</v>
      </c>
      <c r="I436">
        <v>-62.25</v>
      </c>
      <c r="J436">
        <v>-18.324999999999999</v>
      </c>
      <c r="K436">
        <v>-32.1</v>
      </c>
      <c r="L436">
        <v>-67.5</v>
      </c>
      <c r="M436">
        <v>91.508700000000005</v>
      </c>
      <c r="N436">
        <v>104.19</v>
      </c>
      <c r="O436">
        <v>95.61</v>
      </c>
      <c r="P436">
        <v>4.5600000000000002E-2</v>
      </c>
      <c r="Q436">
        <v>12.85</v>
      </c>
      <c r="R436">
        <v>-14.3</v>
      </c>
    </row>
    <row r="437" spans="1:18" x14ac:dyDescent="0.2">
      <c r="A437" s="1">
        <v>41404</v>
      </c>
      <c r="B437" s="2">
        <v>-2.48</v>
      </c>
      <c r="C437" s="3">
        <v>12.59</v>
      </c>
      <c r="D437">
        <v>12.4</v>
      </c>
      <c r="E437">
        <v>1.8973</v>
      </c>
      <c r="F437">
        <v>0.23669999999999999</v>
      </c>
      <c r="G437">
        <v>0.69099999999999995</v>
      </c>
      <c r="H437">
        <v>0.112</v>
      </c>
      <c r="I437">
        <v>-60.9</v>
      </c>
      <c r="J437">
        <v>-16.100000000000001</v>
      </c>
      <c r="K437">
        <v>-33.75</v>
      </c>
      <c r="L437">
        <v>-66.8</v>
      </c>
      <c r="M437">
        <v>92.252700000000004</v>
      </c>
      <c r="N437">
        <v>103.91</v>
      </c>
      <c r="O437">
        <v>96.04</v>
      </c>
      <c r="P437">
        <v>3.5499999999999997E-2</v>
      </c>
      <c r="Q437">
        <v>12.59</v>
      </c>
      <c r="R437">
        <v>-16</v>
      </c>
    </row>
    <row r="438" spans="1:18" x14ac:dyDescent="0.2">
      <c r="A438" s="1">
        <v>41411</v>
      </c>
      <c r="B438" s="2">
        <v>-2.7625000000000002</v>
      </c>
      <c r="C438" s="3">
        <v>12.45</v>
      </c>
      <c r="D438">
        <v>12.2925</v>
      </c>
      <c r="E438">
        <v>1.9505999999999999</v>
      </c>
      <c r="F438">
        <v>0.24179999999999999</v>
      </c>
      <c r="G438">
        <v>0.79100000000000004</v>
      </c>
      <c r="H438">
        <v>0.128</v>
      </c>
      <c r="I438">
        <v>-61</v>
      </c>
      <c r="J438">
        <v>-16.600000000000001</v>
      </c>
      <c r="K438">
        <v>-39.799999999999997</v>
      </c>
      <c r="L438">
        <v>-70.924999999999997</v>
      </c>
      <c r="M438">
        <v>93.161699999999996</v>
      </c>
      <c r="N438">
        <v>104.64</v>
      </c>
      <c r="O438">
        <v>96.02</v>
      </c>
      <c r="P438">
        <v>3.04E-2</v>
      </c>
      <c r="Q438">
        <v>12.45</v>
      </c>
      <c r="R438">
        <v>-22.75</v>
      </c>
    </row>
    <row r="439" spans="1:18" x14ac:dyDescent="0.2">
      <c r="A439" s="1">
        <v>41418</v>
      </c>
      <c r="B439" s="2">
        <v>-2.625</v>
      </c>
      <c r="C439" s="3">
        <v>13.99</v>
      </c>
      <c r="D439">
        <v>12.63</v>
      </c>
      <c r="E439">
        <v>2.0081000000000002</v>
      </c>
      <c r="F439">
        <v>0.2472</v>
      </c>
      <c r="G439">
        <v>0.82899999999999996</v>
      </c>
      <c r="H439">
        <v>0.123</v>
      </c>
      <c r="I439">
        <v>-64</v>
      </c>
      <c r="J439">
        <v>-18</v>
      </c>
      <c r="K439">
        <v>-43.25</v>
      </c>
      <c r="L439">
        <v>-76.8</v>
      </c>
      <c r="M439">
        <v>93.276799999999994</v>
      </c>
      <c r="N439">
        <v>102.64</v>
      </c>
      <c r="O439">
        <v>94.15</v>
      </c>
      <c r="P439">
        <v>3.5499999999999997E-2</v>
      </c>
      <c r="Q439">
        <v>13.99</v>
      </c>
      <c r="R439">
        <v>-26.5</v>
      </c>
    </row>
    <row r="440" spans="1:18" x14ac:dyDescent="0.2">
      <c r="A440" s="1">
        <v>41425</v>
      </c>
      <c r="B440" s="2">
        <v>-2.5674999999999999</v>
      </c>
      <c r="C440" s="3">
        <v>16.3</v>
      </c>
      <c r="D440">
        <v>12.9825</v>
      </c>
      <c r="E440">
        <v>2.1282000000000001</v>
      </c>
      <c r="F440">
        <v>0.29330000000000001</v>
      </c>
      <c r="G440">
        <v>0.85199999999999998</v>
      </c>
      <c r="H440">
        <v>0.14099999999999999</v>
      </c>
      <c r="I440">
        <v>-61.5</v>
      </c>
      <c r="J440">
        <v>-16.487500000000001</v>
      </c>
      <c r="K440">
        <v>-42.5</v>
      </c>
      <c r="L440">
        <v>-72.900000000000006</v>
      </c>
      <c r="M440">
        <v>93.607600000000005</v>
      </c>
      <c r="N440">
        <v>100.39</v>
      </c>
      <c r="O440">
        <v>91.97</v>
      </c>
      <c r="P440">
        <v>2.53E-2</v>
      </c>
      <c r="Q440">
        <v>16.3</v>
      </c>
      <c r="R440">
        <v>-26.125</v>
      </c>
    </row>
    <row r="441" spans="1:18" x14ac:dyDescent="0.2">
      <c r="A441" s="1">
        <v>41432</v>
      </c>
      <c r="B441" s="2">
        <v>-2.9</v>
      </c>
      <c r="C441" s="3">
        <v>15.14</v>
      </c>
      <c r="D441">
        <v>13.725</v>
      </c>
      <c r="E441">
        <v>2.1718000000000002</v>
      </c>
      <c r="F441">
        <v>0.30170000000000002</v>
      </c>
      <c r="G441">
        <v>0.85</v>
      </c>
      <c r="H441">
        <v>0.12</v>
      </c>
      <c r="I441">
        <v>-63.3</v>
      </c>
      <c r="J441">
        <v>-17.7</v>
      </c>
      <c r="K441">
        <v>-36.5</v>
      </c>
      <c r="L441">
        <v>-69</v>
      </c>
      <c r="M441">
        <v>92.605599999999995</v>
      </c>
      <c r="N441">
        <v>104.56</v>
      </c>
      <c r="O441">
        <v>96.03</v>
      </c>
      <c r="P441">
        <v>4.0599999999999997E-2</v>
      </c>
      <c r="Q441">
        <v>15.14</v>
      </c>
      <c r="R441">
        <v>-20.3</v>
      </c>
    </row>
    <row r="442" spans="1:18" x14ac:dyDescent="0.2">
      <c r="A442" s="1">
        <v>41439</v>
      </c>
      <c r="B442" s="2">
        <v>-2.78</v>
      </c>
      <c r="C442" s="3">
        <v>17.149999999999999</v>
      </c>
      <c r="D442">
        <v>14.95</v>
      </c>
      <c r="E442">
        <v>2.1295000000000002</v>
      </c>
      <c r="F442">
        <v>0.27010000000000001</v>
      </c>
      <c r="G442">
        <v>0.81899999999999995</v>
      </c>
      <c r="H442">
        <v>0.126</v>
      </c>
      <c r="I442">
        <v>-67.400000000000006</v>
      </c>
      <c r="J442">
        <v>-21</v>
      </c>
      <c r="K442">
        <v>-34</v>
      </c>
      <c r="L442">
        <v>-68</v>
      </c>
      <c r="M442">
        <v>92.188599999999994</v>
      </c>
      <c r="N442">
        <v>105.93</v>
      </c>
      <c r="O442">
        <v>97.85</v>
      </c>
      <c r="P442">
        <v>4.0599999999999997E-2</v>
      </c>
      <c r="Q442">
        <v>17.149999999999999</v>
      </c>
      <c r="R442">
        <v>-17.75</v>
      </c>
    </row>
    <row r="443" spans="1:18" x14ac:dyDescent="0.2">
      <c r="A443" s="1">
        <v>41446</v>
      </c>
      <c r="B443" s="2">
        <v>-3.31</v>
      </c>
      <c r="C443" s="3">
        <v>18.899999999999999</v>
      </c>
      <c r="D443">
        <v>15.282500000000001</v>
      </c>
      <c r="E443">
        <v>2.5310000000000001</v>
      </c>
      <c r="F443">
        <v>0.36759999999999998</v>
      </c>
      <c r="G443">
        <v>0.871</v>
      </c>
      <c r="H443">
        <v>0.13100000000000001</v>
      </c>
      <c r="I443">
        <v>-72.2</v>
      </c>
      <c r="J443">
        <v>-21.85</v>
      </c>
      <c r="K443">
        <v>-39.700000000000003</v>
      </c>
      <c r="L443">
        <v>-74</v>
      </c>
      <c r="M443">
        <v>94.424300000000002</v>
      </c>
      <c r="N443">
        <v>100.91</v>
      </c>
      <c r="O443">
        <v>93.69</v>
      </c>
      <c r="P443">
        <v>4.0599999999999997E-2</v>
      </c>
      <c r="Q443">
        <v>18.899999999999999</v>
      </c>
      <c r="R443">
        <v>-22.8</v>
      </c>
    </row>
    <row r="444" spans="1:18" x14ac:dyDescent="0.2">
      <c r="A444" s="1">
        <v>41453</v>
      </c>
      <c r="B444" s="2">
        <v>-3.05</v>
      </c>
      <c r="C444" s="3">
        <v>16.86</v>
      </c>
      <c r="D444">
        <v>14.095000000000001</v>
      </c>
      <c r="E444">
        <v>2.4857</v>
      </c>
      <c r="F444">
        <v>0.35539999999999999</v>
      </c>
      <c r="G444">
        <v>0.84799999999999998</v>
      </c>
      <c r="H444">
        <v>0.127</v>
      </c>
      <c r="I444">
        <v>-69.75</v>
      </c>
      <c r="J444">
        <v>-21.4</v>
      </c>
      <c r="K444">
        <v>-40.5</v>
      </c>
      <c r="L444">
        <v>-74</v>
      </c>
      <c r="M444">
        <v>94.304699999999997</v>
      </c>
      <c r="N444">
        <v>102.16</v>
      </c>
      <c r="O444">
        <v>96.56</v>
      </c>
      <c r="P444">
        <v>3.04E-2</v>
      </c>
      <c r="Q444">
        <v>16.86</v>
      </c>
      <c r="R444">
        <v>-24.25</v>
      </c>
    </row>
    <row r="445" spans="1:18" x14ac:dyDescent="0.2">
      <c r="A445" s="1">
        <v>41460</v>
      </c>
      <c r="B445" s="2">
        <v>-2.9224999999999999</v>
      </c>
      <c r="C445" s="3">
        <v>14.89</v>
      </c>
      <c r="D445">
        <v>13.817500000000001</v>
      </c>
      <c r="E445">
        <v>2.7391000000000001</v>
      </c>
      <c r="F445">
        <v>0.39479999999999998</v>
      </c>
      <c r="G445">
        <v>0.85399999999999998</v>
      </c>
      <c r="H445">
        <v>0.13300000000000001</v>
      </c>
      <c r="I445">
        <v>-71</v>
      </c>
      <c r="J445">
        <v>-22</v>
      </c>
      <c r="K445">
        <v>-42.8</v>
      </c>
      <c r="L445">
        <v>-75.5</v>
      </c>
      <c r="M445">
        <v>95.063900000000004</v>
      </c>
      <c r="N445">
        <v>107.72</v>
      </c>
      <c r="O445">
        <v>103.22</v>
      </c>
      <c r="P445">
        <v>3.5499999999999997E-2</v>
      </c>
      <c r="Q445">
        <v>14.89</v>
      </c>
      <c r="R445">
        <v>-26.3</v>
      </c>
    </row>
    <row r="446" spans="1:18" x14ac:dyDescent="0.2">
      <c r="A446" s="1">
        <v>41467</v>
      </c>
      <c r="B446" s="2">
        <v>-2.6074999999999999</v>
      </c>
      <c r="C446" s="3">
        <v>13.84</v>
      </c>
      <c r="D446">
        <v>13.782500000000001</v>
      </c>
      <c r="E446">
        <v>2.5821000000000001</v>
      </c>
      <c r="F446">
        <v>0.33900000000000002</v>
      </c>
      <c r="G446">
        <v>0.81699999999999995</v>
      </c>
      <c r="H446">
        <v>0.127</v>
      </c>
      <c r="I446">
        <v>-69.900000000000006</v>
      </c>
      <c r="J446">
        <v>-20.6</v>
      </c>
      <c r="K446">
        <v>-44.6</v>
      </c>
      <c r="L446">
        <v>-76.900000000000006</v>
      </c>
      <c r="M446">
        <v>94.002899999999997</v>
      </c>
      <c r="N446">
        <v>108.81</v>
      </c>
      <c r="O446">
        <v>105.95</v>
      </c>
      <c r="P446">
        <v>3.04E-2</v>
      </c>
      <c r="Q446">
        <v>13.84</v>
      </c>
      <c r="R446">
        <v>-28.15</v>
      </c>
    </row>
    <row r="447" spans="1:18" x14ac:dyDescent="0.2">
      <c r="A447" s="1">
        <v>41474</v>
      </c>
      <c r="B447" s="2">
        <v>-2.2974999999999999</v>
      </c>
      <c r="C447" s="3">
        <v>12.54</v>
      </c>
      <c r="D447">
        <v>12.675000000000001</v>
      </c>
      <c r="E447">
        <v>2.4839000000000002</v>
      </c>
      <c r="F447">
        <v>0.29820000000000002</v>
      </c>
      <c r="G447">
        <v>0.80900000000000005</v>
      </c>
      <c r="H447">
        <v>0.123</v>
      </c>
      <c r="I447">
        <v>-67.900000000000006</v>
      </c>
      <c r="J447">
        <v>-19.100000000000001</v>
      </c>
      <c r="K447">
        <v>-43.1</v>
      </c>
      <c r="L447">
        <v>-74.8</v>
      </c>
      <c r="M447">
        <v>93.475899999999996</v>
      </c>
      <c r="N447">
        <v>108.07</v>
      </c>
      <c r="O447">
        <v>108.05</v>
      </c>
      <c r="P447">
        <v>2.0299999999999999E-2</v>
      </c>
      <c r="Q447">
        <v>12.54</v>
      </c>
      <c r="R447">
        <v>-26.5</v>
      </c>
    </row>
    <row r="448" spans="1:18" x14ac:dyDescent="0.2">
      <c r="A448" s="1">
        <v>41481</v>
      </c>
      <c r="B448" s="2">
        <v>-2.2625000000000002</v>
      </c>
      <c r="C448" s="3">
        <v>12.72</v>
      </c>
      <c r="D448">
        <v>12.225</v>
      </c>
      <c r="E448">
        <v>2.5623999999999998</v>
      </c>
      <c r="F448">
        <v>0.31269999999999998</v>
      </c>
      <c r="G448">
        <v>0.78200000000000003</v>
      </c>
      <c r="H448">
        <v>0.125</v>
      </c>
      <c r="I448">
        <v>-66.8</v>
      </c>
      <c r="J448">
        <v>-19.5</v>
      </c>
      <c r="K448">
        <v>-41.5</v>
      </c>
      <c r="L448">
        <v>-72.625</v>
      </c>
      <c r="M448">
        <v>93.169499999999999</v>
      </c>
      <c r="N448">
        <v>107.17</v>
      </c>
      <c r="O448">
        <v>104.7</v>
      </c>
      <c r="P448">
        <v>1.52E-2</v>
      </c>
      <c r="Q448">
        <v>12.72</v>
      </c>
      <c r="R448">
        <v>-25.125</v>
      </c>
    </row>
    <row r="449" spans="1:18" x14ac:dyDescent="0.2">
      <c r="A449" s="1">
        <v>41488</v>
      </c>
      <c r="B449" s="2">
        <v>-2.73</v>
      </c>
      <c r="C449" s="3">
        <v>11.98</v>
      </c>
      <c r="D449">
        <v>12.01</v>
      </c>
      <c r="E449">
        <v>2.5960000000000001</v>
      </c>
      <c r="F449">
        <v>0.2974</v>
      </c>
      <c r="G449">
        <v>0.81699999999999995</v>
      </c>
      <c r="H449">
        <v>0.11600000000000001</v>
      </c>
      <c r="I449">
        <v>-64.5</v>
      </c>
      <c r="J449">
        <v>-19.125</v>
      </c>
      <c r="K449">
        <v>-39.25</v>
      </c>
      <c r="L449">
        <v>-70.25</v>
      </c>
      <c r="M449">
        <v>93.578900000000004</v>
      </c>
      <c r="N449">
        <v>108.95</v>
      </c>
      <c r="O449">
        <v>106.94</v>
      </c>
      <c r="P449">
        <v>3.04E-2</v>
      </c>
      <c r="Q449">
        <v>11.98</v>
      </c>
      <c r="R449">
        <v>-22.75</v>
      </c>
    </row>
    <row r="450" spans="1:18" x14ac:dyDescent="0.2">
      <c r="A450" s="1">
        <v>41495</v>
      </c>
      <c r="B450" s="2">
        <v>-2.2850000000000001</v>
      </c>
      <c r="C450" s="3">
        <v>13.41</v>
      </c>
      <c r="D450">
        <v>11.855</v>
      </c>
      <c r="E450">
        <v>2.5783999999999998</v>
      </c>
      <c r="F450">
        <v>0.30180000000000001</v>
      </c>
      <c r="G450">
        <v>0.752</v>
      </c>
      <c r="H450">
        <v>0.106</v>
      </c>
      <c r="I450">
        <v>-65.5</v>
      </c>
      <c r="J450">
        <v>-19.100000000000001</v>
      </c>
      <c r="K450">
        <v>-40.5</v>
      </c>
      <c r="L450">
        <v>-71.5</v>
      </c>
      <c r="M450">
        <v>92.839399999999998</v>
      </c>
      <c r="N450">
        <v>108.22</v>
      </c>
      <c r="O450">
        <v>105.97</v>
      </c>
      <c r="P450">
        <v>5.0700000000000002E-2</v>
      </c>
      <c r="Q450">
        <v>13.41</v>
      </c>
      <c r="R450">
        <v>-24.3</v>
      </c>
    </row>
    <row r="451" spans="1:18" x14ac:dyDescent="0.2">
      <c r="A451" s="1">
        <v>41502</v>
      </c>
      <c r="B451" s="2">
        <v>-2.33</v>
      </c>
      <c r="C451" s="3">
        <v>14.37</v>
      </c>
      <c r="D451">
        <v>11.824999999999999</v>
      </c>
      <c r="E451">
        <v>2.8250999999999999</v>
      </c>
      <c r="F451">
        <v>0.33860000000000001</v>
      </c>
      <c r="G451">
        <v>0.752</v>
      </c>
      <c r="H451">
        <v>0.10199999999999999</v>
      </c>
      <c r="I451">
        <v>-66.099999999999994</v>
      </c>
      <c r="J451">
        <v>-18.899999999999999</v>
      </c>
      <c r="K451">
        <v>-42.1</v>
      </c>
      <c r="L451">
        <v>-73.400000000000006</v>
      </c>
      <c r="M451">
        <v>93.4255</v>
      </c>
      <c r="N451">
        <v>110.4</v>
      </c>
      <c r="O451">
        <v>107.46</v>
      </c>
      <c r="P451">
        <v>3.5499999999999997E-2</v>
      </c>
      <c r="Q451">
        <v>14.37</v>
      </c>
      <c r="R451">
        <v>-26</v>
      </c>
    </row>
    <row r="452" spans="1:18" x14ac:dyDescent="0.2">
      <c r="A452" s="1">
        <v>41509</v>
      </c>
      <c r="B452" s="2">
        <v>-2.6575000000000002</v>
      </c>
      <c r="C452" s="3">
        <v>13.98</v>
      </c>
      <c r="D452">
        <v>12.2925</v>
      </c>
      <c r="E452">
        <v>2.8146</v>
      </c>
      <c r="F452">
        <v>0.37609999999999999</v>
      </c>
      <c r="G452">
        <v>0.76900000000000002</v>
      </c>
      <c r="H452">
        <v>0.113</v>
      </c>
      <c r="I452">
        <v>-67</v>
      </c>
      <c r="J452">
        <v>-18.46</v>
      </c>
      <c r="K452">
        <v>-42.3</v>
      </c>
      <c r="L452">
        <v>-73.5</v>
      </c>
      <c r="M452">
        <v>93.946600000000004</v>
      </c>
      <c r="N452">
        <v>111.04</v>
      </c>
      <c r="O452">
        <v>106.42</v>
      </c>
      <c r="P452">
        <v>2.53E-2</v>
      </c>
      <c r="Q452">
        <v>13.98</v>
      </c>
      <c r="R452">
        <v>-26.3</v>
      </c>
    </row>
    <row r="453" spans="1:18" x14ac:dyDescent="0.2">
      <c r="A453" s="1">
        <v>41516</v>
      </c>
      <c r="B453" s="2">
        <v>-2.7650000000000001</v>
      </c>
      <c r="C453" s="3">
        <v>17.010000000000002</v>
      </c>
      <c r="D453">
        <v>12.75</v>
      </c>
      <c r="E453">
        <v>2.7839</v>
      </c>
      <c r="F453">
        <v>0.3987</v>
      </c>
      <c r="G453">
        <v>0.71499999999999997</v>
      </c>
      <c r="H453">
        <v>0.10299999999999999</v>
      </c>
      <c r="I453">
        <v>-66</v>
      </c>
      <c r="J453">
        <v>-17.399999999999999</v>
      </c>
      <c r="K453">
        <v>-42.1</v>
      </c>
      <c r="L453">
        <v>-73</v>
      </c>
      <c r="M453">
        <v>94.754099999999994</v>
      </c>
      <c r="N453">
        <v>114.01</v>
      </c>
      <c r="O453">
        <v>107.65</v>
      </c>
      <c r="P453">
        <v>2.0299999999999999E-2</v>
      </c>
      <c r="Q453">
        <v>17.010000000000002</v>
      </c>
      <c r="R453">
        <v>-26.1</v>
      </c>
    </row>
    <row r="454" spans="1:18" x14ac:dyDescent="0.2">
      <c r="A454" s="1">
        <v>41523</v>
      </c>
      <c r="B454" s="2">
        <v>-2.5049999999999999</v>
      </c>
      <c r="C454" s="3">
        <v>15.85</v>
      </c>
      <c r="D454">
        <v>12.452500000000001</v>
      </c>
      <c r="E454">
        <v>2.9342000000000001</v>
      </c>
      <c r="F454">
        <v>0.45450000000000002</v>
      </c>
      <c r="G454">
        <v>0.77800000000000002</v>
      </c>
      <c r="H454">
        <v>0.11</v>
      </c>
      <c r="I454">
        <v>-63.4</v>
      </c>
      <c r="J454">
        <v>-17.600000000000001</v>
      </c>
      <c r="K454">
        <v>-41.6</v>
      </c>
      <c r="L454">
        <v>-69.599999999999994</v>
      </c>
      <c r="M454">
        <v>94.248699999999999</v>
      </c>
      <c r="N454">
        <v>116.12</v>
      </c>
      <c r="O454">
        <v>110.53</v>
      </c>
      <c r="P454">
        <v>1.52E-2</v>
      </c>
      <c r="Q454">
        <v>15.85</v>
      </c>
      <c r="R454">
        <v>-25.6</v>
      </c>
    </row>
    <row r="455" spans="1:18" x14ac:dyDescent="0.2">
      <c r="A455" s="1">
        <v>41530</v>
      </c>
      <c r="B455" s="2">
        <v>-2.645</v>
      </c>
      <c r="C455" s="3">
        <v>14.16</v>
      </c>
      <c r="D455">
        <v>11.845000000000001</v>
      </c>
      <c r="E455">
        <v>2.8845999999999998</v>
      </c>
      <c r="F455">
        <v>0.43120000000000003</v>
      </c>
      <c r="G455">
        <v>0.72299999999999998</v>
      </c>
      <c r="H455">
        <v>0.11</v>
      </c>
      <c r="I455">
        <v>-64.8</v>
      </c>
      <c r="J455">
        <v>-17.5</v>
      </c>
      <c r="K455">
        <v>-45.375</v>
      </c>
      <c r="L455">
        <v>-73.875</v>
      </c>
      <c r="M455">
        <v>93.666600000000003</v>
      </c>
      <c r="N455">
        <v>112.78</v>
      </c>
      <c r="O455">
        <v>108.21</v>
      </c>
      <c r="P455">
        <v>1.01E-2</v>
      </c>
      <c r="Q455">
        <v>14.16</v>
      </c>
      <c r="R455">
        <v>-29.75</v>
      </c>
    </row>
    <row r="456" spans="1:18" x14ac:dyDescent="0.2">
      <c r="A456" s="1">
        <v>41537</v>
      </c>
      <c r="B456" s="2">
        <v>-2.4449999999999998</v>
      </c>
      <c r="C456" s="3">
        <v>13.12</v>
      </c>
      <c r="D456">
        <v>11.37</v>
      </c>
      <c r="E456">
        <v>2.7336999999999998</v>
      </c>
      <c r="F456">
        <v>0.33040000000000003</v>
      </c>
      <c r="G456">
        <v>0.69</v>
      </c>
      <c r="H456">
        <v>9.6000000000000002E-2</v>
      </c>
      <c r="I456">
        <v>-63</v>
      </c>
      <c r="J456">
        <v>-17.8</v>
      </c>
      <c r="K456">
        <v>-44.3</v>
      </c>
      <c r="L456">
        <v>-72.400000000000006</v>
      </c>
      <c r="M456">
        <v>92.604900000000001</v>
      </c>
      <c r="N456">
        <v>109.22</v>
      </c>
      <c r="O456">
        <v>104.67</v>
      </c>
      <c r="P456">
        <v>1.01E-2</v>
      </c>
      <c r="Q456">
        <v>13.12</v>
      </c>
      <c r="R456">
        <v>-29.0625</v>
      </c>
    </row>
    <row r="457" spans="1:18" x14ac:dyDescent="0.2">
      <c r="A457" s="1">
        <v>41544</v>
      </c>
      <c r="B457" s="2">
        <v>-2.5499999999999998</v>
      </c>
      <c r="C457" s="3">
        <v>15.46</v>
      </c>
      <c r="D457">
        <v>10.952500000000001</v>
      </c>
      <c r="E457">
        <v>2.6244999999999998</v>
      </c>
      <c r="F457">
        <v>0.33239999999999997</v>
      </c>
      <c r="G457">
        <v>0.67700000000000005</v>
      </c>
      <c r="H457">
        <v>9.2999999999999999E-2</v>
      </c>
      <c r="I457">
        <v>-61.4</v>
      </c>
      <c r="J457">
        <v>-17.8</v>
      </c>
      <c r="K457">
        <v>-43</v>
      </c>
      <c r="L457">
        <v>-70.5</v>
      </c>
      <c r="M457">
        <v>92.974699999999999</v>
      </c>
      <c r="N457">
        <v>108.63</v>
      </c>
      <c r="O457">
        <v>102.87</v>
      </c>
      <c r="P457">
        <v>1.01E-2</v>
      </c>
      <c r="Q457">
        <v>15.46</v>
      </c>
      <c r="R457">
        <v>-27</v>
      </c>
    </row>
    <row r="458" spans="1:18" x14ac:dyDescent="0.2">
      <c r="A458" s="1">
        <v>41551</v>
      </c>
      <c r="B458" s="2">
        <v>-2.2850000000000001</v>
      </c>
      <c r="C458" s="3">
        <v>16.739999999999998</v>
      </c>
      <c r="D458">
        <v>10.64</v>
      </c>
      <c r="E458">
        <v>2.6446999999999998</v>
      </c>
      <c r="F458">
        <v>0.32919999999999999</v>
      </c>
      <c r="G458">
        <v>0.64700000000000002</v>
      </c>
      <c r="H458">
        <v>9.4E-2</v>
      </c>
      <c r="I458">
        <v>-60.8</v>
      </c>
      <c r="J458">
        <v>-18.899999999999999</v>
      </c>
      <c r="K458">
        <v>-42.8</v>
      </c>
      <c r="L458">
        <v>-70.5</v>
      </c>
      <c r="M458">
        <v>92.646900000000002</v>
      </c>
      <c r="N458">
        <v>109.46</v>
      </c>
      <c r="O458">
        <v>103.84</v>
      </c>
      <c r="P458">
        <v>2.0299999999999999E-2</v>
      </c>
      <c r="Q458">
        <v>16.739999999999998</v>
      </c>
      <c r="R458">
        <v>-27.3</v>
      </c>
    </row>
    <row r="459" spans="1:18" x14ac:dyDescent="0.2">
      <c r="A459" s="1">
        <v>41558</v>
      </c>
      <c r="B459" s="2">
        <v>-2.085</v>
      </c>
      <c r="C459" s="3">
        <v>15.72</v>
      </c>
      <c r="D459">
        <v>10.395</v>
      </c>
      <c r="E459">
        <v>2.6871</v>
      </c>
      <c r="F459">
        <v>0.35010000000000002</v>
      </c>
      <c r="G459">
        <v>0.65200000000000002</v>
      </c>
      <c r="H459">
        <v>9.9000000000000005E-2</v>
      </c>
      <c r="I459">
        <v>-59.5</v>
      </c>
      <c r="J459">
        <v>-17.3</v>
      </c>
      <c r="K459">
        <v>-41</v>
      </c>
      <c r="L459">
        <v>-69.400000000000006</v>
      </c>
      <c r="M459">
        <v>92.853999999999999</v>
      </c>
      <c r="N459">
        <v>111.28</v>
      </c>
      <c r="O459">
        <v>102.02</v>
      </c>
      <c r="P459">
        <v>5.5800000000000002E-2</v>
      </c>
      <c r="Q459">
        <v>15.72</v>
      </c>
      <c r="R459">
        <v>-25.6</v>
      </c>
    </row>
    <row r="460" spans="1:18" x14ac:dyDescent="0.2">
      <c r="A460" s="1">
        <v>41565</v>
      </c>
      <c r="B460" s="2">
        <v>-1.4575</v>
      </c>
      <c r="C460" s="3">
        <v>13.04</v>
      </c>
      <c r="D460">
        <v>9.26</v>
      </c>
      <c r="E460">
        <v>2.5777000000000001</v>
      </c>
      <c r="F460">
        <v>0.31059999999999999</v>
      </c>
      <c r="G460">
        <v>0.61499999999999999</v>
      </c>
      <c r="H460">
        <v>0.104</v>
      </c>
      <c r="I460">
        <v>-57</v>
      </c>
      <c r="J460">
        <v>-15.8</v>
      </c>
      <c r="K460">
        <v>-37.799999999999997</v>
      </c>
      <c r="L460">
        <v>-66.400000000000006</v>
      </c>
      <c r="M460">
        <v>91.998900000000006</v>
      </c>
      <c r="N460">
        <v>109.94</v>
      </c>
      <c r="O460">
        <v>100.81</v>
      </c>
      <c r="P460">
        <v>2.0299999999999999E-2</v>
      </c>
      <c r="Q460">
        <v>13.04</v>
      </c>
      <c r="R460">
        <v>-22.5</v>
      </c>
    </row>
    <row r="461" spans="1:18" x14ac:dyDescent="0.2">
      <c r="A461" s="1">
        <v>41572</v>
      </c>
      <c r="B461" s="2">
        <v>-1.625</v>
      </c>
      <c r="C461" s="3">
        <v>13.09</v>
      </c>
      <c r="D461">
        <v>8.85</v>
      </c>
      <c r="E461">
        <v>2.5087999999999999</v>
      </c>
      <c r="F461">
        <v>0.2989</v>
      </c>
      <c r="G461">
        <v>0.61199999999999999</v>
      </c>
      <c r="H461">
        <v>9.7000000000000003E-2</v>
      </c>
      <c r="I461">
        <v>-55</v>
      </c>
      <c r="J461">
        <v>-16.3</v>
      </c>
      <c r="K461">
        <v>-35.5</v>
      </c>
      <c r="L461">
        <v>-64.05</v>
      </c>
      <c r="M461">
        <v>92.162300000000002</v>
      </c>
      <c r="N461">
        <v>106.93</v>
      </c>
      <c r="O461">
        <v>97.85</v>
      </c>
      <c r="P461">
        <v>3.04E-2</v>
      </c>
      <c r="Q461">
        <v>13.09</v>
      </c>
      <c r="R461">
        <v>-20.2</v>
      </c>
    </row>
    <row r="462" spans="1:18" x14ac:dyDescent="0.2">
      <c r="A462" s="1">
        <v>41579</v>
      </c>
      <c r="B462" s="2">
        <v>-1.9950000000000001</v>
      </c>
      <c r="C462" s="3">
        <v>13.28</v>
      </c>
      <c r="D462">
        <v>9.26</v>
      </c>
      <c r="E462">
        <v>2.6217999999999999</v>
      </c>
      <c r="F462">
        <v>0.30909999999999999</v>
      </c>
      <c r="G462">
        <v>0.59399999999999997</v>
      </c>
      <c r="H462">
        <v>9.2999999999999999E-2</v>
      </c>
      <c r="I462">
        <v>-59.45</v>
      </c>
      <c r="J462">
        <v>-17.100000000000001</v>
      </c>
      <c r="K462">
        <v>-38.4</v>
      </c>
      <c r="L462">
        <v>-66.95</v>
      </c>
      <c r="M462">
        <v>93.155000000000001</v>
      </c>
      <c r="N462">
        <v>105.91</v>
      </c>
      <c r="O462">
        <v>94.61</v>
      </c>
      <c r="P462">
        <v>3.5499999999999997E-2</v>
      </c>
      <c r="Q462">
        <v>13.28</v>
      </c>
      <c r="R462">
        <v>-22.6</v>
      </c>
    </row>
    <row r="463" spans="1:18" x14ac:dyDescent="0.2">
      <c r="A463" s="1">
        <v>41586</v>
      </c>
      <c r="B463" s="2">
        <v>-2.1524999999999999</v>
      </c>
      <c r="C463" s="3">
        <v>12.9</v>
      </c>
      <c r="D463">
        <v>9.5274999999999999</v>
      </c>
      <c r="E463">
        <v>2.7477</v>
      </c>
      <c r="F463">
        <v>0.30980000000000002</v>
      </c>
      <c r="G463">
        <v>0.58899999999999997</v>
      </c>
      <c r="H463">
        <v>8.8999999999999996E-2</v>
      </c>
      <c r="I463">
        <v>-58.5</v>
      </c>
      <c r="J463">
        <v>-17</v>
      </c>
      <c r="K463">
        <v>-38.299999999999997</v>
      </c>
      <c r="L463">
        <v>-67</v>
      </c>
      <c r="M463">
        <v>93.661900000000003</v>
      </c>
      <c r="N463">
        <v>105.12</v>
      </c>
      <c r="O463">
        <v>94.6</v>
      </c>
      <c r="P463">
        <v>5.0700000000000002E-2</v>
      </c>
      <c r="Q463">
        <v>12.9</v>
      </c>
      <c r="R463">
        <v>-23</v>
      </c>
    </row>
    <row r="464" spans="1:18" x14ac:dyDescent="0.2">
      <c r="A464" s="1">
        <v>41593</v>
      </c>
      <c r="B464" s="2">
        <v>-1.9275</v>
      </c>
      <c r="C464" s="3">
        <v>12.19</v>
      </c>
      <c r="D464">
        <v>9.8699999999999992</v>
      </c>
      <c r="E464">
        <v>2.7033</v>
      </c>
      <c r="F464">
        <v>0.29020000000000001</v>
      </c>
      <c r="G464">
        <v>0.629</v>
      </c>
      <c r="H464">
        <v>8.6999999999999994E-2</v>
      </c>
      <c r="I464">
        <v>-57.5</v>
      </c>
      <c r="J464">
        <v>-16.3</v>
      </c>
      <c r="K464">
        <v>-38</v>
      </c>
      <c r="L464">
        <v>-67.400000000000006</v>
      </c>
      <c r="M464">
        <v>93.285399999999996</v>
      </c>
      <c r="N464">
        <v>108.5</v>
      </c>
      <c r="O464">
        <v>93.84</v>
      </c>
      <c r="P464">
        <v>6.59E-2</v>
      </c>
      <c r="Q464">
        <v>12.19</v>
      </c>
      <c r="R464">
        <v>-23.1</v>
      </c>
    </row>
    <row r="465" spans="1:18" x14ac:dyDescent="0.2">
      <c r="A465" s="1">
        <v>41600</v>
      </c>
      <c r="B465" s="2">
        <v>-2.2725</v>
      </c>
      <c r="C465" s="3">
        <v>12.26</v>
      </c>
      <c r="D465">
        <v>9.9450000000000003</v>
      </c>
      <c r="E465">
        <v>2.7427000000000001</v>
      </c>
      <c r="F465">
        <v>0.27839999999999998</v>
      </c>
      <c r="G465">
        <v>0.623</v>
      </c>
      <c r="H465">
        <v>9.7000000000000003E-2</v>
      </c>
      <c r="I465">
        <v>-56</v>
      </c>
      <c r="J465">
        <v>-14.6</v>
      </c>
      <c r="K465">
        <v>-37</v>
      </c>
      <c r="L465">
        <v>-67.099999999999994</v>
      </c>
      <c r="M465">
        <v>93.419799999999995</v>
      </c>
      <c r="N465">
        <v>111.05</v>
      </c>
      <c r="O465">
        <v>94.84</v>
      </c>
      <c r="P465">
        <v>7.0999999999999994E-2</v>
      </c>
      <c r="Q465">
        <v>12.26</v>
      </c>
      <c r="R465">
        <v>-22.1</v>
      </c>
    </row>
    <row r="466" spans="1:18" x14ac:dyDescent="0.2">
      <c r="A466" s="1">
        <v>41607</v>
      </c>
      <c r="B466" s="2">
        <v>-2.2875000000000001</v>
      </c>
      <c r="C466" s="3">
        <v>13.7</v>
      </c>
      <c r="D466">
        <v>9.8849999999999998</v>
      </c>
      <c r="E466">
        <v>2.7444999999999999</v>
      </c>
      <c r="F466">
        <v>0.28139999999999998</v>
      </c>
      <c r="G466">
        <v>0.6</v>
      </c>
      <c r="H466">
        <v>8.4000000000000005E-2</v>
      </c>
      <c r="I466">
        <v>-56</v>
      </c>
      <c r="J466">
        <v>-15.4</v>
      </c>
      <c r="K466">
        <v>-37</v>
      </c>
      <c r="L466">
        <v>-67.3</v>
      </c>
      <c r="M466">
        <v>93.629099999999994</v>
      </c>
      <c r="N466">
        <v>109.69</v>
      </c>
      <c r="O466">
        <v>92.72</v>
      </c>
      <c r="P466">
        <v>5.5800000000000002E-2</v>
      </c>
      <c r="Q466">
        <v>13.7</v>
      </c>
      <c r="R466">
        <v>-21.8</v>
      </c>
    </row>
    <row r="467" spans="1:18" x14ac:dyDescent="0.2">
      <c r="A467" s="1">
        <v>41614</v>
      </c>
      <c r="B467" s="2">
        <v>-2.2999999999999998</v>
      </c>
      <c r="C467" s="3">
        <v>13.79</v>
      </c>
      <c r="D467">
        <v>10.039999999999999</v>
      </c>
      <c r="E467">
        <v>2.8553000000000002</v>
      </c>
      <c r="F467">
        <v>0.30159999999999998</v>
      </c>
      <c r="G467">
        <v>0.66300000000000003</v>
      </c>
      <c r="H467">
        <v>8.1000000000000003E-2</v>
      </c>
      <c r="I467">
        <v>-56.3</v>
      </c>
      <c r="J467">
        <v>-15.35</v>
      </c>
      <c r="K467">
        <v>-37.799999999999997</v>
      </c>
      <c r="L467">
        <v>-68.125</v>
      </c>
      <c r="M467">
        <v>93.404499999999999</v>
      </c>
      <c r="N467">
        <v>111.61</v>
      </c>
      <c r="O467">
        <v>97.65</v>
      </c>
      <c r="P467">
        <v>5.5800000000000002E-2</v>
      </c>
      <c r="Q467">
        <v>13.79</v>
      </c>
      <c r="R467">
        <v>-22.1</v>
      </c>
    </row>
    <row r="468" spans="1:18" x14ac:dyDescent="0.2">
      <c r="A468" s="1">
        <v>41621</v>
      </c>
      <c r="B468" s="2">
        <v>-2.4075000000000002</v>
      </c>
      <c r="C468" s="3">
        <v>15.76</v>
      </c>
      <c r="D468">
        <v>10.465</v>
      </c>
      <c r="E468">
        <v>2.8645999999999998</v>
      </c>
      <c r="F468">
        <v>0.32419999999999999</v>
      </c>
      <c r="G468">
        <v>0.69099999999999995</v>
      </c>
      <c r="H468">
        <v>9.2999999999999999E-2</v>
      </c>
      <c r="I468">
        <v>-57</v>
      </c>
      <c r="J468">
        <v>-14.5</v>
      </c>
      <c r="K468">
        <v>-38</v>
      </c>
      <c r="L468">
        <v>-68.599999999999994</v>
      </c>
      <c r="M468">
        <v>93.356800000000007</v>
      </c>
      <c r="N468">
        <v>108.83</v>
      </c>
      <c r="O468">
        <v>96.6</v>
      </c>
      <c r="P468">
        <v>6.08E-2</v>
      </c>
      <c r="Q468">
        <v>15.76</v>
      </c>
      <c r="R468">
        <v>-22.4</v>
      </c>
    </row>
    <row r="469" spans="1:18" x14ac:dyDescent="0.2">
      <c r="A469" s="1">
        <v>41628</v>
      </c>
      <c r="B469" s="2">
        <v>-1.905</v>
      </c>
      <c r="C469" s="3">
        <v>13.79</v>
      </c>
      <c r="D469">
        <v>9.98</v>
      </c>
      <c r="E469">
        <v>2.8885999999999998</v>
      </c>
      <c r="F469">
        <v>0.37559999999999999</v>
      </c>
      <c r="G469">
        <v>0.67600000000000005</v>
      </c>
      <c r="H469">
        <v>8.8999999999999996E-2</v>
      </c>
      <c r="I469">
        <v>-55</v>
      </c>
      <c r="J469">
        <v>-12.9</v>
      </c>
      <c r="K469">
        <v>-36.5</v>
      </c>
      <c r="L469">
        <v>-67.125</v>
      </c>
      <c r="M469">
        <v>93.721100000000007</v>
      </c>
      <c r="N469">
        <v>111.77</v>
      </c>
      <c r="O469">
        <v>99.32</v>
      </c>
      <c r="P469">
        <v>5.5800000000000002E-2</v>
      </c>
      <c r="Q469">
        <v>13.79</v>
      </c>
      <c r="R469">
        <v>-21</v>
      </c>
    </row>
    <row r="470" spans="1:18" x14ac:dyDescent="0.2">
      <c r="A470" s="1">
        <v>41635</v>
      </c>
      <c r="B470" s="2">
        <v>-1.7275</v>
      </c>
      <c r="C470" s="3">
        <v>12.46</v>
      </c>
      <c r="D470">
        <v>10.285</v>
      </c>
      <c r="E470">
        <v>3</v>
      </c>
      <c r="F470">
        <v>0.38740000000000002</v>
      </c>
      <c r="G470">
        <v>0.7</v>
      </c>
      <c r="H470">
        <v>8.5000000000000006E-2</v>
      </c>
      <c r="I470">
        <v>-53.25</v>
      </c>
      <c r="J470">
        <v>-12.21</v>
      </c>
      <c r="K470">
        <v>-36.549999999999997</v>
      </c>
      <c r="L470">
        <v>-66.25</v>
      </c>
      <c r="M470">
        <v>93.701800000000006</v>
      </c>
      <c r="N470">
        <v>112.18</v>
      </c>
      <c r="O470">
        <v>100.32</v>
      </c>
      <c r="P470">
        <v>6.08E-2</v>
      </c>
      <c r="Q470">
        <v>12.46</v>
      </c>
      <c r="R470">
        <v>-21.25</v>
      </c>
    </row>
    <row r="471" spans="1:18" x14ac:dyDescent="0.2">
      <c r="A471" s="1">
        <v>41642</v>
      </c>
      <c r="B471" s="2">
        <v>-1.4924999999999999</v>
      </c>
      <c r="C471" s="3">
        <v>13.76</v>
      </c>
      <c r="D471">
        <v>9.99</v>
      </c>
      <c r="E471">
        <v>2.9948000000000001</v>
      </c>
      <c r="F471">
        <v>0.39650000000000002</v>
      </c>
      <c r="G471">
        <v>0.73599999999999999</v>
      </c>
      <c r="H471">
        <v>8.8999999999999996E-2</v>
      </c>
      <c r="I471">
        <v>-52.3</v>
      </c>
      <c r="J471">
        <v>-11.705</v>
      </c>
      <c r="K471">
        <v>-36.799999999999997</v>
      </c>
      <c r="L471">
        <v>-66.099999999999994</v>
      </c>
      <c r="M471">
        <v>93.852999999999994</v>
      </c>
      <c r="N471">
        <v>106.89</v>
      </c>
      <c r="O471">
        <v>93.96</v>
      </c>
      <c r="P471">
        <v>6.59E-2</v>
      </c>
      <c r="Q471">
        <v>13.76</v>
      </c>
      <c r="R471">
        <v>-21.25</v>
      </c>
    </row>
    <row r="472" spans="1:18" x14ac:dyDescent="0.2">
      <c r="A472" s="1">
        <v>41649</v>
      </c>
      <c r="B472" s="2">
        <v>-1.53</v>
      </c>
      <c r="C472" s="3">
        <v>12.14</v>
      </c>
      <c r="D472">
        <v>9.2799999999999994</v>
      </c>
      <c r="E472">
        <v>2.8578999999999999</v>
      </c>
      <c r="F472">
        <v>0.36990000000000001</v>
      </c>
      <c r="G472">
        <v>0.69699999999999995</v>
      </c>
      <c r="H472">
        <v>9.8000000000000004E-2</v>
      </c>
      <c r="I472">
        <v>-51.1</v>
      </c>
      <c r="J472">
        <v>-12.5</v>
      </c>
      <c r="K472">
        <v>-37.4</v>
      </c>
      <c r="L472">
        <v>-66</v>
      </c>
      <c r="M472">
        <v>94.004499999999993</v>
      </c>
      <c r="N472">
        <v>107.25</v>
      </c>
      <c r="O472">
        <v>92.72</v>
      </c>
      <c r="P472">
        <v>3.5499999999999997E-2</v>
      </c>
      <c r="Q472">
        <v>12.14</v>
      </c>
      <c r="R472">
        <v>-21.75</v>
      </c>
    </row>
    <row r="473" spans="1:18" x14ac:dyDescent="0.2">
      <c r="A473" s="1">
        <v>41656</v>
      </c>
      <c r="B473" s="2">
        <v>-1.4624999999999999</v>
      </c>
      <c r="C473" s="3">
        <v>12.44</v>
      </c>
      <c r="D473">
        <v>9.0675000000000008</v>
      </c>
      <c r="E473">
        <v>2.8193999999999999</v>
      </c>
      <c r="F473">
        <v>0.37119999999999997</v>
      </c>
      <c r="G473">
        <v>0.66900000000000004</v>
      </c>
      <c r="H473">
        <v>8.3000000000000004E-2</v>
      </c>
      <c r="I473">
        <v>-48.5</v>
      </c>
      <c r="J473">
        <v>-11.705</v>
      </c>
      <c r="K473">
        <v>-36.299999999999997</v>
      </c>
      <c r="L473">
        <v>-62.5</v>
      </c>
      <c r="M473">
        <v>94.584599999999995</v>
      </c>
      <c r="N473">
        <v>106.48</v>
      </c>
      <c r="O473">
        <v>94.37</v>
      </c>
      <c r="P473">
        <v>3.04E-2</v>
      </c>
      <c r="Q473">
        <v>12.44</v>
      </c>
      <c r="R473">
        <v>-21</v>
      </c>
    </row>
    <row r="474" spans="1:18" x14ac:dyDescent="0.2">
      <c r="A474" s="1">
        <v>41663</v>
      </c>
      <c r="B474" s="2">
        <v>-1.61</v>
      </c>
      <c r="C474" s="3">
        <v>18.14</v>
      </c>
      <c r="D474">
        <v>10.0875</v>
      </c>
      <c r="E474">
        <v>2.7149999999999999</v>
      </c>
      <c r="F474">
        <v>0.33550000000000002</v>
      </c>
      <c r="G474">
        <v>0.627</v>
      </c>
      <c r="H474">
        <v>9.2999999999999999E-2</v>
      </c>
      <c r="I474">
        <v>-51.2</v>
      </c>
      <c r="J474">
        <v>-16.5</v>
      </c>
      <c r="K474">
        <v>-39</v>
      </c>
      <c r="L474">
        <v>-63.05</v>
      </c>
      <c r="M474">
        <v>94.855500000000006</v>
      </c>
      <c r="N474">
        <v>107.88</v>
      </c>
      <c r="O474">
        <v>96.64</v>
      </c>
      <c r="P474">
        <v>4.5600000000000002E-2</v>
      </c>
      <c r="Q474">
        <v>18.14</v>
      </c>
      <c r="R474">
        <v>-23.8</v>
      </c>
    </row>
    <row r="475" spans="1:18" x14ac:dyDescent="0.2">
      <c r="A475" s="1">
        <v>41670</v>
      </c>
      <c r="B475" s="2">
        <v>-1.48</v>
      </c>
      <c r="C475" s="3">
        <v>18.41</v>
      </c>
      <c r="D475">
        <v>9.6950000000000003</v>
      </c>
      <c r="E475">
        <v>2.6440000000000001</v>
      </c>
      <c r="F475">
        <v>0.32769999999999999</v>
      </c>
      <c r="G475">
        <v>0.61699999999999999</v>
      </c>
      <c r="H475">
        <v>8.3000000000000004E-2</v>
      </c>
      <c r="I475">
        <v>-51.8</v>
      </c>
      <c r="J475">
        <v>-15.845000000000001</v>
      </c>
      <c r="K475">
        <v>-41</v>
      </c>
      <c r="L475">
        <v>-62.8</v>
      </c>
      <c r="M475">
        <v>95.177400000000006</v>
      </c>
      <c r="N475">
        <v>106.4</v>
      </c>
      <c r="O475">
        <v>97.49</v>
      </c>
      <c r="P475">
        <v>2.0299999999999999E-2</v>
      </c>
      <c r="Q475">
        <v>18.41</v>
      </c>
      <c r="R475">
        <v>-25.9</v>
      </c>
    </row>
    <row r="476" spans="1:18" x14ac:dyDescent="0.2">
      <c r="A476" s="1">
        <v>41677</v>
      </c>
      <c r="B476" s="2">
        <v>-1.4125000000000001</v>
      </c>
      <c r="C476" s="3">
        <v>15.29</v>
      </c>
      <c r="D476">
        <v>9.5150000000000006</v>
      </c>
      <c r="E476">
        <v>2.6829000000000001</v>
      </c>
      <c r="F476">
        <v>0.3034</v>
      </c>
      <c r="G476">
        <v>0.61499999999999999</v>
      </c>
      <c r="H476">
        <v>7.1999999999999995E-2</v>
      </c>
      <c r="I476">
        <v>-51.3</v>
      </c>
      <c r="J476">
        <v>-15.994999999999999</v>
      </c>
      <c r="K476">
        <v>-41.9</v>
      </c>
      <c r="L476">
        <v>-61.9</v>
      </c>
      <c r="M476">
        <v>94.745699999999999</v>
      </c>
      <c r="N476">
        <v>109.57</v>
      </c>
      <c r="O476">
        <v>99.88</v>
      </c>
      <c r="P476">
        <v>8.1100000000000005E-2</v>
      </c>
      <c r="Q476">
        <v>15.29</v>
      </c>
      <c r="R476">
        <v>-27.45</v>
      </c>
    </row>
    <row r="477" spans="1:18" x14ac:dyDescent="0.2">
      <c r="A477" s="1">
        <v>41684</v>
      </c>
      <c r="B477" s="2">
        <v>-1.5</v>
      </c>
      <c r="C477" s="3">
        <v>13.57</v>
      </c>
      <c r="D477">
        <v>9.1549999999999994</v>
      </c>
      <c r="E477">
        <v>2.7427999999999999</v>
      </c>
      <c r="F477">
        <v>0.31069999999999998</v>
      </c>
      <c r="G477">
        <v>0.59399999999999997</v>
      </c>
      <c r="H477">
        <v>6.8000000000000005E-2</v>
      </c>
      <c r="I477">
        <v>-49.5</v>
      </c>
      <c r="J477">
        <v>-15</v>
      </c>
      <c r="K477">
        <v>-41.5</v>
      </c>
      <c r="L477">
        <v>-60</v>
      </c>
      <c r="M477">
        <v>94.271100000000004</v>
      </c>
      <c r="N477">
        <v>109.08</v>
      </c>
      <c r="O477">
        <v>100.3</v>
      </c>
      <c r="P477">
        <v>1.01E-2</v>
      </c>
      <c r="Q477">
        <v>13.57</v>
      </c>
      <c r="R477">
        <v>-26.5</v>
      </c>
    </row>
    <row r="478" spans="1:18" x14ac:dyDescent="0.2">
      <c r="A478" s="1">
        <v>41691</v>
      </c>
      <c r="B478" s="2">
        <v>-1.6475</v>
      </c>
      <c r="C478" s="3">
        <v>14.68</v>
      </c>
      <c r="D478">
        <v>8.9924999999999997</v>
      </c>
      <c r="E478">
        <v>2.7309999999999999</v>
      </c>
      <c r="F478">
        <v>0.31419999999999998</v>
      </c>
      <c r="G478">
        <v>0.59699999999999998</v>
      </c>
      <c r="H478">
        <v>7.1999999999999995E-2</v>
      </c>
      <c r="I478">
        <v>-48.9</v>
      </c>
      <c r="J478">
        <v>-14.8</v>
      </c>
      <c r="K478">
        <v>-40</v>
      </c>
      <c r="L478">
        <v>-58.9</v>
      </c>
      <c r="M478">
        <v>94.6571</v>
      </c>
      <c r="N478">
        <v>109.85</v>
      </c>
      <c r="O478">
        <v>102.2</v>
      </c>
      <c r="P478">
        <v>3.5499999999999997E-2</v>
      </c>
      <c r="Q478">
        <v>14.68</v>
      </c>
      <c r="R478">
        <v>-25.4</v>
      </c>
    </row>
    <row r="479" spans="1:18" x14ac:dyDescent="0.2">
      <c r="A479" s="1">
        <v>41698</v>
      </c>
      <c r="B479" s="2">
        <v>-1.8049999999999999</v>
      </c>
      <c r="C479" s="3">
        <v>14</v>
      </c>
      <c r="D479">
        <v>8.81</v>
      </c>
      <c r="E479">
        <v>2.6476000000000002</v>
      </c>
      <c r="F479">
        <v>0.31690000000000002</v>
      </c>
      <c r="G479">
        <v>0.58099999999999996</v>
      </c>
      <c r="H479">
        <v>6.9000000000000006E-2</v>
      </c>
      <c r="I479">
        <v>-47.8</v>
      </c>
      <c r="J479">
        <v>-15</v>
      </c>
      <c r="K479">
        <v>-38.25</v>
      </c>
      <c r="L479">
        <v>-57.5</v>
      </c>
      <c r="M479">
        <v>94.387900000000002</v>
      </c>
      <c r="N479">
        <v>109.07</v>
      </c>
      <c r="O479">
        <v>102.59</v>
      </c>
      <c r="P479">
        <v>4.5600000000000002E-2</v>
      </c>
      <c r="Q479">
        <v>14</v>
      </c>
      <c r="R479">
        <v>-24.25</v>
      </c>
    </row>
    <row r="480" spans="1:18" x14ac:dyDescent="0.2">
      <c r="A480" s="1">
        <v>41705</v>
      </c>
      <c r="B480" s="2">
        <v>-1.585</v>
      </c>
      <c r="C480" s="3">
        <v>14.11</v>
      </c>
      <c r="D480">
        <v>8.57</v>
      </c>
      <c r="E480">
        <v>2.7879</v>
      </c>
      <c r="F480">
        <v>0.36930000000000002</v>
      </c>
      <c r="G480">
        <v>0.623</v>
      </c>
      <c r="H480">
        <v>7.0000000000000007E-2</v>
      </c>
      <c r="I480">
        <v>-46</v>
      </c>
      <c r="J480">
        <v>-12.94</v>
      </c>
      <c r="K480">
        <v>-37.5</v>
      </c>
      <c r="L480">
        <v>-56.3</v>
      </c>
      <c r="M480">
        <v>94.253200000000007</v>
      </c>
      <c r="N480">
        <v>109</v>
      </c>
      <c r="O480">
        <v>102.58</v>
      </c>
      <c r="P480">
        <v>4.5600000000000002E-2</v>
      </c>
      <c r="Q480">
        <v>14.11</v>
      </c>
      <c r="R480">
        <v>-23.6</v>
      </c>
    </row>
    <row r="481" spans="1:18" x14ac:dyDescent="0.2">
      <c r="A481" s="1">
        <v>41712</v>
      </c>
      <c r="B481" s="2">
        <v>-1.83</v>
      </c>
      <c r="C481" s="3">
        <v>17.82</v>
      </c>
      <c r="D481">
        <v>8.7850000000000001</v>
      </c>
      <c r="E481">
        <v>2.6543000000000001</v>
      </c>
      <c r="F481">
        <v>0.34239999999999998</v>
      </c>
      <c r="G481">
        <v>0.62</v>
      </c>
      <c r="H481">
        <v>8.6999999999999994E-2</v>
      </c>
      <c r="I481">
        <v>-45.5</v>
      </c>
      <c r="J481">
        <v>-14</v>
      </c>
      <c r="K481">
        <v>-37.4</v>
      </c>
      <c r="L481">
        <v>-55.45</v>
      </c>
      <c r="M481">
        <v>94.242999999999995</v>
      </c>
      <c r="N481">
        <v>108.57</v>
      </c>
      <c r="O481">
        <v>98.89</v>
      </c>
      <c r="P481">
        <v>4.5600000000000002E-2</v>
      </c>
      <c r="Q481">
        <v>17.82</v>
      </c>
      <c r="R481">
        <v>-24</v>
      </c>
    </row>
    <row r="482" spans="1:18" x14ac:dyDescent="0.2">
      <c r="A482" s="1">
        <v>41719</v>
      </c>
      <c r="B482" s="2">
        <v>-1.7250000000000001</v>
      </c>
      <c r="C482" s="3">
        <v>15</v>
      </c>
      <c r="D482">
        <v>8.2650000000000006</v>
      </c>
      <c r="E482">
        <v>2.7425999999999999</v>
      </c>
      <c r="F482">
        <v>0.42449999999999999</v>
      </c>
      <c r="G482">
        <v>0.59399999999999997</v>
      </c>
      <c r="H482">
        <v>6.7000000000000004E-2</v>
      </c>
      <c r="I482">
        <v>-43</v>
      </c>
      <c r="J482">
        <v>-14.25</v>
      </c>
      <c r="K482">
        <v>-35.299999999999997</v>
      </c>
      <c r="L482">
        <v>-53.25</v>
      </c>
      <c r="M482">
        <v>94.854699999999994</v>
      </c>
      <c r="N482">
        <v>106.92</v>
      </c>
      <c r="O482">
        <v>99.46</v>
      </c>
      <c r="P482">
        <v>4.5600000000000002E-2</v>
      </c>
      <c r="Q482">
        <v>15</v>
      </c>
      <c r="R482">
        <v>-22.25</v>
      </c>
    </row>
    <row r="483" spans="1:18" x14ac:dyDescent="0.2">
      <c r="A483" s="1">
        <v>41726</v>
      </c>
      <c r="B483" s="2">
        <v>-1.405</v>
      </c>
      <c r="C483" s="3">
        <v>14.41</v>
      </c>
      <c r="D483">
        <v>8.8574999999999999</v>
      </c>
      <c r="E483">
        <v>2.7208000000000001</v>
      </c>
      <c r="F483">
        <v>0.4496</v>
      </c>
      <c r="G483">
        <v>0.621</v>
      </c>
      <c r="H483">
        <v>7.4999999999999997E-2</v>
      </c>
      <c r="I483">
        <v>-44.8</v>
      </c>
      <c r="J483">
        <v>-13.625</v>
      </c>
      <c r="K483">
        <v>-37</v>
      </c>
      <c r="L483">
        <v>-54.8</v>
      </c>
      <c r="M483">
        <v>94.368300000000005</v>
      </c>
      <c r="N483">
        <v>108.07</v>
      </c>
      <c r="O483">
        <v>101.67</v>
      </c>
      <c r="P483">
        <v>3.5499999999999997E-2</v>
      </c>
      <c r="Q483">
        <v>14.41</v>
      </c>
      <c r="R483">
        <v>-24.125</v>
      </c>
    </row>
    <row r="484" spans="1:18" x14ac:dyDescent="0.2">
      <c r="A484" s="1">
        <v>41733</v>
      </c>
      <c r="B484" s="2">
        <v>-1.42</v>
      </c>
      <c r="C484" s="3">
        <v>13.96</v>
      </c>
      <c r="D484">
        <v>8.0824999999999996</v>
      </c>
      <c r="E484">
        <v>2.7206999999999999</v>
      </c>
      <c r="F484">
        <v>0.41070000000000001</v>
      </c>
      <c r="G484">
        <v>0.64300000000000002</v>
      </c>
      <c r="H484">
        <v>0.08</v>
      </c>
      <c r="I484">
        <v>-48</v>
      </c>
      <c r="J484">
        <v>-14.75</v>
      </c>
      <c r="K484">
        <v>-41.5</v>
      </c>
      <c r="L484">
        <v>-58.5</v>
      </c>
      <c r="M484">
        <v>94.219099999999997</v>
      </c>
      <c r="N484">
        <v>106.72</v>
      </c>
      <c r="O484">
        <v>101.14</v>
      </c>
      <c r="P484">
        <v>2.0299999999999999E-2</v>
      </c>
      <c r="Q484">
        <v>13.96</v>
      </c>
      <c r="R484">
        <v>-28.75</v>
      </c>
    </row>
    <row r="485" spans="1:18" x14ac:dyDescent="0.2">
      <c r="A485" s="1">
        <v>41740</v>
      </c>
      <c r="B485" s="2">
        <v>-1.41</v>
      </c>
      <c r="C485" s="3">
        <v>17.03</v>
      </c>
      <c r="D485">
        <v>8.0299999999999994</v>
      </c>
      <c r="E485">
        <v>2.6246999999999998</v>
      </c>
      <c r="F485">
        <v>0.35499999999999998</v>
      </c>
      <c r="G485">
        <v>0.6</v>
      </c>
      <c r="H485">
        <v>7.8E-2</v>
      </c>
      <c r="I485">
        <v>-46</v>
      </c>
      <c r="J485">
        <v>-14.8</v>
      </c>
      <c r="K485">
        <v>-41.5</v>
      </c>
      <c r="L485">
        <v>-58</v>
      </c>
      <c r="M485">
        <v>93.639499999999998</v>
      </c>
      <c r="N485">
        <v>107.33</v>
      </c>
      <c r="O485">
        <v>103.74</v>
      </c>
      <c r="P485">
        <v>3.5499999999999997E-2</v>
      </c>
      <c r="Q485">
        <v>17.03</v>
      </c>
      <c r="R485">
        <v>-28.75</v>
      </c>
    </row>
    <row r="486" spans="1:18" x14ac:dyDescent="0.2">
      <c r="A486" s="1">
        <v>41747</v>
      </c>
      <c r="B486" s="2">
        <v>-1.3774999999999999</v>
      </c>
      <c r="C486" s="3">
        <v>13.36</v>
      </c>
      <c r="D486">
        <v>7.7149999999999999</v>
      </c>
      <c r="E486">
        <v>2.7214999999999998</v>
      </c>
      <c r="F486">
        <v>0.3952</v>
      </c>
      <c r="G486">
        <v>0.59599999999999997</v>
      </c>
      <c r="H486">
        <v>8.3000000000000004E-2</v>
      </c>
      <c r="I486">
        <v>-43.6875</v>
      </c>
      <c r="J486">
        <v>-14.5</v>
      </c>
      <c r="K486">
        <v>-40.25</v>
      </c>
      <c r="L486">
        <v>-56.875</v>
      </c>
      <c r="M486">
        <v>93.962900000000005</v>
      </c>
      <c r="N486">
        <v>109.53</v>
      </c>
      <c r="O486">
        <v>104.3</v>
      </c>
      <c r="P486">
        <v>2.0299999999999999E-2</v>
      </c>
      <c r="Q486">
        <v>13.36</v>
      </c>
      <c r="R486">
        <v>-27</v>
      </c>
    </row>
    <row r="487" spans="1:18" x14ac:dyDescent="0.2">
      <c r="A487" s="1">
        <v>41754</v>
      </c>
      <c r="B487" s="2">
        <v>-1.345</v>
      </c>
      <c r="C487" s="3">
        <v>14.06</v>
      </c>
      <c r="D487">
        <v>7.07</v>
      </c>
      <c r="E487">
        <v>2.6623000000000001</v>
      </c>
      <c r="F487">
        <v>0.43</v>
      </c>
      <c r="G487">
        <v>0.61799999999999999</v>
      </c>
      <c r="H487">
        <v>8.5000000000000006E-2</v>
      </c>
      <c r="I487">
        <v>-42</v>
      </c>
      <c r="J487">
        <v>-15.9</v>
      </c>
      <c r="K487">
        <v>-36.799999999999997</v>
      </c>
      <c r="L487">
        <v>-52.25</v>
      </c>
      <c r="M487">
        <v>94.162300000000002</v>
      </c>
      <c r="N487">
        <v>109.58</v>
      </c>
      <c r="O487">
        <v>100.6</v>
      </c>
      <c r="P487">
        <v>1.01E-2</v>
      </c>
      <c r="Q487">
        <v>14.06</v>
      </c>
      <c r="R487">
        <v>-25.3</v>
      </c>
    </row>
    <row r="488" spans="1:18" x14ac:dyDescent="0.2">
      <c r="A488" s="1">
        <v>41761</v>
      </c>
      <c r="B488" s="2">
        <v>-1.385</v>
      </c>
      <c r="C488" s="3">
        <v>12.91</v>
      </c>
      <c r="D488">
        <v>6.8375000000000004</v>
      </c>
      <c r="E488">
        <v>2.5842999999999998</v>
      </c>
      <c r="F488">
        <v>0.4224</v>
      </c>
      <c r="G488">
        <v>0.60599999999999998</v>
      </c>
      <c r="H488">
        <v>8.5000000000000006E-2</v>
      </c>
      <c r="I488">
        <v>-42.6</v>
      </c>
      <c r="J488">
        <v>-16.8</v>
      </c>
      <c r="K488">
        <v>-37.200000000000003</v>
      </c>
      <c r="L488">
        <v>-52.6</v>
      </c>
      <c r="M488">
        <v>93.818200000000004</v>
      </c>
      <c r="N488">
        <v>108.59</v>
      </c>
      <c r="O488">
        <v>99.76</v>
      </c>
      <c r="P488">
        <v>1.52E-2</v>
      </c>
      <c r="Q488">
        <v>12.91</v>
      </c>
      <c r="R488">
        <v>-25.8</v>
      </c>
    </row>
    <row r="489" spans="1:18" x14ac:dyDescent="0.2">
      <c r="A489" s="1">
        <v>41768</v>
      </c>
      <c r="B489" s="2">
        <v>-1.29</v>
      </c>
      <c r="C489" s="3">
        <v>12.92</v>
      </c>
      <c r="D489">
        <v>6.3650000000000002</v>
      </c>
      <c r="E489">
        <v>2.6233</v>
      </c>
      <c r="F489">
        <v>0.38300000000000001</v>
      </c>
      <c r="G489">
        <v>0.60299999999999998</v>
      </c>
      <c r="H489">
        <v>0.08</v>
      </c>
      <c r="I489">
        <v>-44.9</v>
      </c>
      <c r="J489">
        <v>-17.899999999999999</v>
      </c>
      <c r="K489">
        <v>-38.6</v>
      </c>
      <c r="L489">
        <v>-54.5</v>
      </c>
      <c r="M489">
        <v>93.6614</v>
      </c>
      <c r="N489">
        <v>107.89</v>
      </c>
      <c r="O489">
        <v>99.99</v>
      </c>
      <c r="P489">
        <v>2.0299999999999999E-2</v>
      </c>
      <c r="Q489">
        <v>12.92</v>
      </c>
      <c r="R489">
        <v>-27.3</v>
      </c>
    </row>
    <row r="490" spans="1:18" x14ac:dyDescent="0.2">
      <c r="A490" s="1">
        <v>41775</v>
      </c>
      <c r="B490" s="2">
        <v>-1.21</v>
      </c>
      <c r="C490" s="3">
        <v>12.44</v>
      </c>
      <c r="D490">
        <v>6.7925000000000004</v>
      </c>
      <c r="E490">
        <v>2.5230999999999999</v>
      </c>
      <c r="F490">
        <v>0.3589</v>
      </c>
      <c r="G490">
        <v>0.57899999999999996</v>
      </c>
      <c r="H490">
        <v>0.08</v>
      </c>
      <c r="I490">
        <v>-46.2</v>
      </c>
      <c r="J490">
        <v>-19.25</v>
      </c>
      <c r="K490">
        <v>-40.1</v>
      </c>
      <c r="L490">
        <v>-55.8</v>
      </c>
      <c r="M490">
        <v>93.607299999999995</v>
      </c>
      <c r="N490">
        <v>109.75</v>
      </c>
      <c r="O490">
        <v>102.02</v>
      </c>
      <c r="P490">
        <v>1.52E-2</v>
      </c>
      <c r="Q490">
        <v>12.44</v>
      </c>
      <c r="R490">
        <v>-28.9</v>
      </c>
    </row>
    <row r="491" spans="1:18" x14ac:dyDescent="0.2">
      <c r="A491" s="1">
        <v>41782</v>
      </c>
      <c r="B491" s="2">
        <v>-1.4475</v>
      </c>
      <c r="C491" s="3">
        <v>11.36</v>
      </c>
      <c r="D491">
        <v>6.4050000000000002</v>
      </c>
      <c r="E491">
        <v>2.5320999999999998</v>
      </c>
      <c r="F491">
        <v>0.34239999999999998</v>
      </c>
      <c r="G491">
        <v>0.58699999999999997</v>
      </c>
      <c r="H491">
        <v>7.8E-2</v>
      </c>
      <c r="I491">
        <v>-45.8</v>
      </c>
      <c r="J491">
        <v>-19</v>
      </c>
      <c r="K491">
        <v>-40.299999999999997</v>
      </c>
      <c r="L491">
        <v>-55.9</v>
      </c>
      <c r="M491">
        <v>93.7042</v>
      </c>
      <c r="N491">
        <v>110.54</v>
      </c>
      <c r="O491">
        <v>104.35</v>
      </c>
      <c r="P491">
        <v>3.04E-2</v>
      </c>
      <c r="Q491">
        <v>11.36</v>
      </c>
      <c r="R491">
        <v>-29.4</v>
      </c>
    </row>
    <row r="492" spans="1:18" x14ac:dyDescent="0.2">
      <c r="A492" s="1">
        <v>41789</v>
      </c>
      <c r="B492" s="2">
        <v>-1.2050000000000001</v>
      </c>
      <c r="C492" s="3">
        <v>11.4</v>
      </c>
      <c r="D492">
        <v>6.0750000000000002</v>
      </c>
      <c r="E492">
        <v>2.4759000000000002</v>
      </c>
      <c r="F492">
        <v>0.373</v>
      </c>
      <c r="G492">
        <v>0.57299999999999995</v>
      </c>
      <c r="H492">
        <v>8.5000000000000006E-2</v>
      </c>
      <c r="I492">
        <v>-44.7</v>
      </c>
      <c r="J492">
        <v>-18</v>
      </c>
      <c r="K492">
        <v>-40</v>
      </c>
      <c r="L492">
        <v>-55</v>
      </c>
      <c r="M492">
        <v>93.760599999999997</v>
      </c>
      <c r="N492">
        <v>109.41</v>
      </c>
      <c r="O492">
        <v>102.71</v>
      </c>
      <c r="P492">
        <v>3.04E-2</v>
      </c>
      <c r="Q492">
        <v>11.4</v>
      </c>
      <c r="R492">
        <v>-28.9</v>
      </c>
    </row>
    <row r="493" spans="1:18" x14ac:dyDescent="0.2">
      <c r="A493" s="1">
        <v>41796</v>
      </c>
      <c r="B493" s="2">
        <v>-1.165</v>
      </c>
      <c r="C493" s="3">
        <v>10.73</v>
      </c>
      <c r="D493">
        <v>6.02</v>
      </c>
      <c r="E493">
        <v>2.5869</v>
      </c>
      <c r="F493">
        <v>0.39879999999999999</v>
      </c>
      <c r="G493">
        <v>0.59499999999999997</v>
      </c>
      <c r="H493">
        <v>8.3000000000000004E-2</v>
      </c>
      <c r="I493">
        <v>-43.4</v>
      </c>
      <c r="J493">
        <v>-17.149999999999999</v>
      </c>
      <c r="K493">
        <v>-40.1</v>
      </c>
      <c r="L493">
        <v>-54.6</v>
      </c>
      <c r="M493">
        <v>93.906899999999993</v>
      </c>
      <c r="N493">
        <v>108.61</v>
      </c>
      <c r="O493">
        <v>102.66</v>
      </c>
      <c r="P493">
        <v>3.04E-2</v>
      </c>
      <c r="Q493">
        <v>10.73</v>
      </c>
      <c r="R493">
        <v>-29.1</v>
      </c>
    </row>
    <row r="494" spans="1:18" x14ac:dyDescent="0.2">
      <c r="A494" s="1">
        <v>41803</v>
      </c>
      <c r="B494" s="2">
        <v>-1.0175000000000001</v>
      </c>
      <c r="C494" s="3">
        <v>12.18</v>
      </c>
      <c r="D494">
        <v>6.0724999999999998</v>
      </c>
      <c r="E494">
        <v>2.6032999999999999</v>
      </c>
      <c r="F494">
        <v>0.44929999999999998</v>
      </c>
      <c r="G494">
        <v>0.59799999999999998</v>
      </c>
      <c r="H494">
        <v>0.08</v>
      </c>
      <c r="I494">
        <v>-41.1</v>
      </c>
      <c r="J494">
        <v>-17</v>
      </c>
      <c r="K494">
        <v>-40.5</v>
      </c>
      <c r="L494">
        <v>-53.875</v>
      </c>
      <c r="M494">
        <v>93.916799999999995</v>
      </c>
      <c r="N494">
        <v>113.41</v>
      </c>
      <c r="O494">
        <v>106.91</v>
      </c>
      <c r="P494">
        <v>3.04E-2</v>
      </c>
      <c r="Q494">
        <v>12.18</v>
      </c>
      <c r="R494">
        <v>-29.563300000000002</v>
      </c>
    </row>
    <row r="495" spans="1:18" x14ac:dyDescent="0.2">
      <c r="A495" s="1">
        <v>41810</v>
      </c>
      <c r="B495" s="2">
        <v>-1.07</v>
      </c>
      <c r="C495" s="3">
        <v>10.85</v>
      </c>
      <c r="D495">
        <v>5.81</v>
      </c>
      <c r="E495">
        <v>2.6052</v>
      </c>
      <c r="F495">
        <v>0.45610000000000001</v>
      </c>
      <c r="G495">
        <v>0.58199999999999996</v>
      </c>
      <c r="H495">
        <v>0.08</v>
      </c>
      <c r="I495">
        <v>-41.8</v>
      </c>
      <c r="J495">
        <v>-16.3</v>
      </c>
      <c r="K495">
        <v>-43.8</v>
      </c>
      <c r="L495">
        <v>-55.3</v>
      </c>
      <c r="M495">
        <v>93.759100000000004</v>
      </c>
      <c r="N495">
        <v>114.81</v>
      </c>
      <c r="O495">
        <v>107.26</v>
      </c>
      <c r="P495">
        <v>1.01E-2</v>
      </c>
      <c r="Q495">
        <v>10.85</v>
      </c>
      <c r="R495">
        <v>-33.1</v>
      </c>
    </row>
    <row r="496" spans="1:18" x14ac:dyDescent="0.2">
      <c r="A496" s="1">
        <v>41817</v>
      </c>
      <c r="B496" s="2">
        <v>-1.115</v>
      </c>
      <c r="C496" s="3">
        <v>11.26</v>
      </c>
      <c r="D496">
        <v>5.8849999999999998</v>
      </c>
      <c r="E496">
        <v>2.5339999999999998</v>
      </c>
      <c r="F496">
        <v>0.4607</v>
      </c>
      <c r="G496">
        <v>0.55900000000000005</v>
      </c>
      <c r="H496">
        <v>7.6999999999999999E-2</v>
      </c>
      <c r="I496">
        <v>-40.5</v>
      </c>
      <c r="J496">
        <v>-16.8</v>
      </c>
      <c r="K496">
        <v>-44.3</v>
      </c>
      <c r="L496">
        <v>-54.75</v>
      </c>
      <c r="M496">
        <v>93.398300000000006</v>
      </c>
      <c r="N496">
        <v>113.3</v>
      </c>
      <c r="O496">
        <v>105.74</v>
      </c>
      <c r="P496">
        <v>2.0299999999999999E-2</v>
      </c>
      <c r="Q496">
        <v>11.26</v>
      </c>
      <c r="R496">
        <v>-33.75</v>
      </c>
    </row>
    <row r="497" spans="1:18" x14ac:dyDescent="0.2">
      <c r="A497" s="1">
        <v>41824</v>
      </c>
      <c r="B497" s="2">
        <v>-1.1775</v>
      </c>
      <c r="C497" s="3">
        <v>10.32</v>
      </c>
      <c r="D497">
        <v>5.2149999999999999</v>
      </c>
      <c r="E497">
        <v>2.6383000000000001</v>
      </c>
      <c r="F497">
        <v>0.50590000000000002</v>
      </c>
      <c r="G497">
        <v>0.56499999999999995</v>
      </c>
      <c r="H497">
        <v>6.8000000000000005E-2</v>
      </c>
      <c r="I497">
        <v>-39.75</v>
      </c>
      <c r="J497">
        <v>-18.25</v>
      </c>
      <c r="K497">
        <v>-43.375</v>
      </c>
      <c r="L497">
        <v>-53.375</v>
      </c>
      <c r="M497">
        <v>93.314899999999994</v>
      </c>
      <c r="N497">
        <v>110.64</v>
      </c>
      <c r="O497">
        <v>104.06</v>
      </c>
      <c r="P497">
        <v>5.1000000000000004E-3</v>
      </c>
      <c r="Q497">
        <v>10.32</v>
      </c>
      <c r="R497">
        <v>-32.75</v>
      </c>
    </row>
    <row r="498" spans="1:18" x14ac:dyDescent="0.2">
      <c r="A498" s="1">
        <v>41831</v>
      </c>
      <c r="B498" s="2">
        <v>-1.2849999999999999</v>
      </c>
      <c r="C498" s="3">
        <v>12.08</v>
      </c>
      <c r="D498">
        <v>5.46</v>
      </c>
      <c r="E498">
        <v>2.516</v>
      </c>
      <c r="F498">
        <v>0.44790000000000002</v>
      </c>
      <c r="G498">
        <v>0.53200000000000003</v>
      </c>
      <c r="H498">
        <v>0.06</v>
      </c>
      <c r="I498">
        <v>-38.799999999999997</v>
      </c>
      <c r="J498">
        <v>-19</v>
      </c>
      <c r="K498">
        <v>-41.3</v>
      </c>
      <c r="L498">
        <v>-51.3</v>
      </c>
      <c r="M498">
        <v>93.417100000000005</v>
      </c>
      <c r="N498">
        <v>106.66</v>
      </c>
      <c r="O498">
        <v>100.83</v>
      </c>
      <c r="P498">
        <v>1.52E-2</v>
      </c>
      <c r="Q498">
        <v>12.08</v>
      </c>
      <c r="R498">
        <v>-30.75</v>
      </c>
    </row>
    <row r="499" spans="1:18" x14ac:dyDescent="0.2">
      <c r="A499" s="1">
        <v>41838</v>
      </c>
      <c r="B499" s="2">
        <v>-1.3925000000000001</v>
      </c>
      <c r="C499" s="3">
        <v>12.06</v>
      </c>
      <c r="D499">
        <v>5.28</v>
      </c>
      <c r="E499">
        <v>2.4809000000000001</v>
      </c>
      <c r="F499">
        <v>0.47770000000000001</v>
      </c>
      <c r="G499">
        <v>0.54100000000000004</v>
      </c>
      <c r="H499">
        <v>5.7000000000000002E-2</v>
      </c>
      <c r="I499">
        <v>-39</v>
      </c>
      <c r="J499">
        <v>-20.25</v>
      </c>
      <c r="K499">
        <v>-40.5</v>
      </c>
      <c r="L499">
        <v>-50.5</v>
      </c>
      <c r="M499">
        <v>93.660799999999995</v>
      </c>
      <c r="N499">
        <v>107.24</v>
      </c>
      <c r="O499">
        <v>103.13</v>
      </c>
      <c r="P499">
        <v>1.01E-2</v>
      </c>
      <c r="Q499">
        <v>12.06</v>
      </c>
      <c r="R499">
        <v>-30</v>
      </c>
    </row>
    <row r="500" spans="1:18" x14ac:dyDescent="0.2">
      <c r="A500" s="1">
        <v>41845</v>
      </c>
      <c r="B500" s="2">
        <v>-1.2150000000000001</v>
      </c>
      <c r="C500" s="3">
        <v>12.69</v>
      </c>
      <c r="D500">
        <v>5.58</v>
      </c>
      <c r="E500">
        <v>2.4655</v>
      </c>
      <c r="F500">
        <v>0.48770000000000002</v>
      </c>
      <c r="G500">
        <v>0.53100000000000003</v>
      </c>
      <c r="H500">
        <v>6.5000000000000002E-2</v>
      </c>
      <c r="I500">
        <v>-39.75</v>
      </c>
      <c r="J500">
        <v>-21.25</v>
      </c>
      <c r="K500">
        <v>-40.375</v>
      </c>
      <c r="L500">
        <v>-50.375</v>
      </c>
      <c r="M500">
        <v>93.829400000000007</v>
      </c>
      <c r="N500">
        <v>108.39</v>
      </c>
      <c r="O500">
        <v>102.09</v>
      </c>
      <c r="P500">
        <v>2.53E-2</v>
      </c>
      <c r="Q500">
        <v>12.69</v>
      </c>
      <c r="R500">
        <v>-29.875</v>
      </c>
    </row>
    <row r="501" spans="1:18" x14ac:dyDescent="0.2">
      <c r="A501" s="1">
        <v>41852</v>
      </c>
      <c r="B501" s="2">
        <v>-1.5825</v>
      </c>
      <c r="C501" s="3">
        <v>17.03</v>
      </c>
      <c r="D501">
        <v>5.9225000000000003</v>
      </c>
      <c r="E501">
        <v>2.4925000000000002</v>
      </c>
      <c r="F501">
        <v>0.4723</v>
      </c>
      <c r="G501">
        <v>0.53400000000000003</v>
      </c>
      <c r="H501">
        <v>6.4000000000000001E-2</v>
      </c>
      <c r="I501">
        <v>-39.75</v>
      </c>
      <c r="J501">
        <v>-20</v>
      </c>
      <c r="K501">
        <v>-40.5</v>
      </c>
      <c r="L501">
        <v>-50</v>
      </c>
      <c r="M501">
        <v>94.475399999999993</v>
      </c>
      <c r="N501">
        <v>104.84</v>
      </c>
      <c r="O501">
        <v>97.88</v>
      </c>
      <c r="P501">
        <v>2.0299999999999999E-2</v>
      </c>
      <c r="Q501">
        <v>17.03</v>
      </c>
      <c r="R501">
        <v>-30.25</v>
      </c>
    </row>
    <row r="502" spans="1:18" x14ac:dyDescent="0.2">
      <c r="A502" s="1">
        <v>41859</v>
      </c>
      <c r="B502" s="2">
        <v>-1.61</v>
      </c>
      <c r="C502" s="3">
        <v>15.77</v>
      </c>
      <c r="D502">
        <v>6.4824999999999999</v>
      </c>
      <c r="E502">
        <v>2.4203000000000001</v>
      </c>
      <c r="F502">
        <v>0.44419999999999998</v>
      </c>
      <c r="G502">
        <v>0.5</v>
      </c>
      <c r="H502">
        <v>5.8000000000000003E-2</v>
      </c>
      <c r="I502">
        <v>-44.3</v>
      </c>
      <c r="J502">
        <v>-22</v>
      </c>
      <c r="K502">
        <v>-44.3</v>
      </c>
      <c r="L502">
        <v>-54.5</v>
      </c>
      <c r="M502">
        <v>94.602699999999999</v>
      </c>
      <c r="N502">
        <v>105.02</v>
      </c>
      <c r="O502">
        <v>97.65</v>
      </c>
      <c r="P502">
        <v>2.0299999999999999E-2</v>
      </c>
      <c r="Q502">
        <v>15.77</v>
      </c>
      <c r="R502">
        <v>-33.9</v>
      </c>
    </row>
    <row r="503" spans="1:18" x14ac:dyDescent="0.2">
      <c r="A503" s="1">
        <v>41866</v>
      </c>
      <c r="B503" s="2">
        <v>-1.4175</v>
      </c>
      <c r="C503" s="3">
        <v>13.15</v>
      </c>
      <c r="D503">
        <v>6.4574999999999996</v>
      </c>
      <c r="E503">
        <v>2.3397000000000001</v>
      </c>
      <c r="F503">
        <v>0.40739999999999998</v>
      </c>
      <c r="G503">
        <v>0.498</v>
      </c>
      <c r="H503">
        <v>6.5000000000000002E-2</v>
      </c>
      <c r="I503">
        <v>-44</v>
      </c>
      <c r="J503">
        <v>-22</v>
      </c>
      <c r="K503">
        <v>-44.3</v>
      </c>
      <c r="L503">
        <v>-54</v>
      </c>
      <c r="M503">
        <v>94.2941</v>
      </c>
      <c r="N503">
        <v>103.53</v>
      </c>
      <c r="O503">
        <v>97.35</v>
      </c>
      <c r="P503">
        <v>2.53E-2</v>
      </c>
      <c r="Q503">
        <v>13.15</v>
      </c>
      <c r="R503">
        <v>-33.6</v>
      </c>
    </row>
    <row r="504" spans="1:18" x14ac:dyDescent="0.2">
      <c r="A504" s="1">
        <v>41873</v>
      </c>
      <c r="B504" s="2">
        <v>-1.34</v>
      </c>
      <c r="C504" s="3">
        <v>11.47</v>
      </c>
      <c r="D504">
        <v>6.4424999999999999</v>
      </c>
      <c r="E504">
        <v>2.4024000000000001</v>
      </c>
      <c r="F504">
        <v>0.49180000000000001</v>
      </c>
      <c r="G504">
        <v>0.505</v>
      </c>
      <c r="H504">
        <v>7.2999999999999995E-2</v>
      </c>
      <c r="I504">
        <v>-47</v>
      </c>
      <c r="J504">
        <v>-22.9</v>
      </c>
      <c r="K504">
        <v>-46.5</v>
      </c>
      <c r="L504">
        <v>-56.5</v>
      </c>
      <c r="M504">
        <v>94.801199999999994</v>
      </c>
      <c r="N504">
        <v>102.29</v>
      </c>
      <c r="O504">
        <v>93.65</v>
      </c>
      <c r="P504">
        <v>1.52E-2</v>
      </c>
      <c r="Q504">
        <v>11.47</v>
      </c>
      <c r="R504">
        <v>-36</v>
      </c>
    </row>
    <row r="505" spans="1:18" x14ac:dyDescent="0.2">
      <c r="A505" s="1">
        <v>41880</v>
      </c>
      <c r="B505" s="2">
        <v>-1.2825</v>
      </c>
      <c r="C505" s="3">
        <v>11.98</v>
      </c>
      <c r="D505">
        <v>6.4175000000000004</v>
      </c>
      <c r="E505">
        <v>2.3431000000000002</v>
      </c>
      <c r="F505">
        <v>0.48820000000000002</v>
      </c>
      <c r="G505">
        <v>0.49099999999999999</v>
      </c>
      <c r="H505">
        <v>7.0000000000000007E-2</v>
      </c>
      <c r="I505">
        <v>-47.5</v>
      </c>
      <c r="J505">
        <v>-21.5</v>
      </c>
      <c r="K505">
        <v>-47.8</v>
      </c>
      <c r="L505">
        <v>-57.125</v>
      </c>
      <c r="M505">
        <v>94.725099999999998</v>
      </c>
      <c r="N505">
        <v>103.19</v>
      </c>
      <c r="O505">
        <v>95.96</v>
      </c>
      <c r="P505">
        <v>2.0299999999999999E-2</v>
      </c>
      <c r="Q505">
        <v>11.98</v>
      </c>
      <c r="R505">
        <v>-37.299999999999997</v>
      </c>
    </row>
    <row r="506" spans="1:18" x14ac:dyDescent="0.2">
      <c r="A506" s="1">
        <v>41887</v>
      </c>
      <c r="B506" s="2">
        <v>-1.2925</v>
      </c>
      <c r="C506" s="3">
        <v>12.09</v>
      </c>
      <c r="D506">
        <v>6.75</v>
      </c>
      <c r="E506">
        <v>2.4586999999999999</v>
      </c>
      <c r="F506">
        <v>0.50790000000000002</v>
      </c>
      <c r="G506">
        <v>0.53800000000000003</v>
      </c>
      <c r="H506">
        <v>7.0000000000000007E-2</v>
      </c>
      <c r="I506">
        <v>-47.6</v>
      </c>
      <c r="J506">
        <v>-24.3</v>
      </c>
      <c r="K506">
        <v>-48</v>
      </c>
      <c r="L506">
        <v>-57.25</v>
      </c>
      <c r="M506">
        <v>95.220299999999995</v>
      </c>
      <c r="N506">
        <v>100.82</v>
      </c>
      <c r="O506">
        <v>93.29</v>
      </c>
      <c r="P506">
        <v>2.53E-2</v>
      </c>
      <c r="Q506">
        <v>12.09</v>
      </c>
      <c r="R506">
        <v>-37.625</v>
      </c>
    </row>
    <row r="507" spans="1:18" x14ac:dyDescent="0.2">
      <c r="A507" s="1">
        <v>41894</v>
      </c>
      <c r="B507" s="2">
        <v>-2.0125000000000002</v>
      </c>
      <c r="C507" s="3">
        <v>13.31</v>
      </c>
      <c r="D507">
        <v>8.1174999999999997</v>
      </c>
      <c r="E507">
        <v>2.6105</v>
      </c>
      <c r="F507">
        <v>0.56020000000000003</v>
      </c>
      <c r="G507">
        <v>0.57299999999999995</v>
      </c>
      <c r="H507">
        <v>7.1999999999999995E-2</v>
      </c>
      <c r="I507">
        <v>-50</v>
      </c>
      <c r="J507">
        <v>-26.75</v>
      </c>
      <c r="K507">
        <v>-48.8</v>
      </c>
      <c r="L507">
        <v>-58.8</v>
      </c>
      <c r="M507">
        <v>96.074799999999996</v>
      </c>
      <c r="N507">
        <v>97.11</v>
      </c>
      <c r="O507">
        <v>92.27</v>
      </c>
      <c r="P507">
        <v>1.01E-2</v>
      </c>
      <c r="Q507">
        <v>13.31</v>
      </c>
      <c r="R507">
        <v>-38.299999999999997</v>
      </c>
    </row>
    <row r="508" spans="1:18" x14ac:dyDescent="0.2">
      <c r="A508" s="1">
        <v>41901</v>
      </c>
      <c r="B508" s="2">
        <v>-1.8174999999999999</v>
      </c>
      <c r="C508" s="3">
        <v>12.11</v>
      </c>
      <c r="D508">
        <v>7.9725000000000001</v>
      </c>
      <c r="E508">
        <v>2.5745</v>
      </c>
      <c r="F508">
        <v>0.56489999999999996</v>
      </c>
      <c r="G508">
        <v>0.55900000000000005</v>
      </c>
      <c r="H508">
        <v>6.2E-2</v>
      </c>
      <c r="I508">
        <v>-54.5</v>
      </c>
      <c r="J508">
        <v>-31.3</v>
      </c>
      <c r="K508">
        <v>-53.8</v>
      </c>
      <c r="L508">
        <v>-62.6</v>
      </c>
      <c r="M508">
        <v>96.341700000000003</v>
      </c>
      <c r="N508">
        <v>98.39</v>
      </c>
      <c r="O508">
        <v>92.41</v>
      </c>
      <c r="P508">
        <v>1.01E-2</v>
      </c>
      <c r="Q508">
        <v>12.11</v>
      </c>
      <c r="R508">
        <v>-43.3</v>
      </c>
    </row>
    <row r="509" spans="1:18" x14ac:dyDescent="0.2">
      <c r="A509" s="1">
        <v>41908</v>
      </c>
      <c r="B509" s="2">
        <v>-1.82</v>
      </c>
      <c r="C509" s="3">
        <v>14.85</v>
      </c>
      <c r="D509">
        <v>8.0425000000000004</v>
      </c>
      <c r="E509">
        <v>2.5276000000000001</v>
      </c>
      <c r="F509">
        <v>0.57479999999999998</v>
      </c>
      <c r="G509">
        <v>0.51800000000000002</v>
      </c>
      <c r="H509">
        <v>5.8000000000000003E-2</v>
      </c>
      <c r="I509">
        <v>-51.3</v>
      </c>
      <c r="J509">
        <v>-28.4</v>
      </c>
      <c r="K509">
        <v>-51.8</v>
      </c>
      <c r="L509">
        <v>-58.9</v>
      </c>
      <c r="M509">
        <v>97.207999999999998</v>
      </c>
      <c r="N509">
        <v>97</v>
      </c>
      <c r="O509">
        <v>93.54</v>
      </c>
      <c r="P509">
        <v>1.01E-2</v>
      </c>
      <c r="Q509">
        <v>14.85</v>
      </c>
      <c r="R509">
        <v>-41.9</v>
      </c>
    </row>
    <row r="510" spans="1:18" x14ac:dyDescent="0.2">
      <c r="A510" s="1">
        <v>41915</v>
      </c>
      <c r="B510" s="2">
        <v>-1.84</v>
      </c>
      <c r="C510" s="3">
        <v>14.55</v>
      </c>
      <c r="D510">
        <v>7.8975</v>
      </c>
      <c r="E510">
        <v>2.4340000000000002</v>
      </c>
      <c r="F510">
        <v>0.5575</v>
      </c>
      <c r="G510">
        <v>0.51300000000000001</v>
      </c>
      <c r="H510">
        <v>5.6000000000000001E-2</v>
      </c>
      <c r="I510">
        <v>-47.05</v>
      </c>
      <c r="J510">
        <v>-25</v>
      </c>
      <c r="K510">
        <v>-48.5</v>
      </c>
      <c r="L510">
        <v>-54.825000000000003</v>
      </c>
      <c r="M510">
        <v>97.9846</v>
      </c>
      <c r="N510">
        <v>92.31</v>
      </c>
      <c r="O510">
        <v>89.74</v>
      </c>
      <c r="P510">
        <v>5.1000000000000004E-3</v>
      </c>
      <c r="Q510">
        <v>14.55</v>
      </c>
      <c r="R510">
        <v>-39.5</v>
      </c>
    </row>
    <row r="511" spans="1:18" x14ac:dyDescent="0.2">
      <c r="A511" s="1">
        <v>41922</v>
      </c>
      <c r="B511" s="2">
        <v>-1.5825</v>
      </c>
      <c r="C511" s="3">
        <v>21.24</v>
      </c>
      <c r="D511">
        <v>7.7149999999999999</v>
      </c>
      <c r="E511">
        <v>2.2804000000000002</v>
      </c>
      <c r="F511">
        <v>0.4239</v>
      </c>
      <c r="G511">
        <v>0.5</v>
      </c>
      <c r="H511">
        <v>5.1999999999999998E-2</v>
      </c>
      <c r="I511">
        <v>-47.9</v>
      </c>
      <c r="J511">
        <v>-24.8</v>
      </c>
      <c r="K511">
        <v>-49.001800000000003</v>
      </c>
      <c r="L511">
        <v>-55.4</v>
      </c>
      <c r="M511">
        <v>97.414400000000001</v>
      </c>
      <c r="N511">
        <v>90.21</v>
      </c>
      <c r="O511">
        <v>85.82</v>
      </c>
      <c r="P511">
        <v>5.1000000000000004E-3</v>
      </c>
      <c r="Q511">
        <v>21.24</v>
      </c>
      <c r="R511">
        <v>-39.252499999999998</v>
      </c>
    </row>
    <row r="512" spans="1:18" x14ac:dyDescent="0.2">
      <c r="A512" s="1">
        <v>41929</v>
      </c>
      <c r="B512" s="2">
        <v>-1.86</v>
      </c>
      <c r="C512" s="3">
        <v>21.99</v>
      </c>
      <c r="D512">
        <v>8.09</v>
      </c>
      <c r="E512">
        <v>2.1936</v>
      </c>
      <c r="F512">
        <v>0.37090000000000001</v>
      </c>
      <c r="G512">
        <v>0.47099999999999997</v>
      </c>
      <c r="H512">
        <v>1.2999999999999999E-2</v>
      </c>
      <c r="I512">
        <v>-49.5</v>
      </c>
      <c r="J512">
        <v>-26.75</v>
      </c>
      <c r="K512">
        <v>-49.25</v>
      </c>
      <c r="L512">
        <v>-55.75</v>
      </c>
      <c r="M512">
        <v>97.306700000000006</v>
      </c>
      <c r="N512">
        <v>86.16</v>
      </c>
      <c r="O512">
        <v>82.75</v>
      </c>
      <c r="P512">
        <v>2.0299999999999999E-2</v>
      </c>
      <c r="Q512">
        <v>21.99</v>
      </c>
      <c r="R512">
        <v>-39.75</v>
      </c>
    </row>
    <row r="513" spans="1:18" x14ac:dyDescent="0.2">
      <c r="A513" s="1">
        <v>41936</v>
      </c>
      <c r="B513" s="2">
        <v>-1.7075</v>
      </c>
      <c r="C513" s="3">
        <v>16.11</v>
      </c>
      <c r="D513">
        <v>7.8375000000000004</v>
      </c>
      <c r="E513">
        <v>2.2685</v>
      </c>
      <c r="F513">
        <v>0.38590000000000002</v>
      </c>
      <c r="G513">
        <v>0.46500000000000002</v>
      </c>
      <c r="H513">
        <v>1.4E-2</v>
      </c>
      <c r="I513">
        <v>-48.3</v>
      </c>
      <c r="J513">
        <v>-27</v>
      </c>
      <c r="K513">
        <v>-45.5</v>
      </c>
      <c r="L513">
        <v>-52.25</v>
      </c>
      <c r="M513">
        <v>97.477199999999996</v>
      </c>
      <c r="N513">
        <v>86.13</v>
      </c>
      <c r="O513">
        <v>81.010000000000005</v>
      </c>
      <c r="P513">
        <v>5.1000000000000004E-3</v>
      </c>
      <c r="Q513">
        <v>16.11</v>
      </c>
      <c r="R513">
        <v>-35.950000000000003</v>
      </c>
    </row>
    <row r="514" spans="1:18" x14ac:dyDescent="0.2">
      <c r="A514" s="1">
        <v>41943</v>
      </c>
      <c r="B514" s="2">
        <v>-1.6325000000000001</v>
      </c>
      <c r="C514" s="3">
        <v>14.03</v>
      </c>
      <c r="D514">
        <v>9.125</v>
      </c>
      <c r="E514">
        <v>2.3353000000000002</v>
      </c>
      <c r="F514">
        <v>0.4914</v>
      </c>
      <c r="G514">
        <v>0.45300000000000001</v>
      </c>
      <c r="H514">
        <v>2.8000000000000001E-2</v>
      </c>
      <c r="I514">
        <v>-51.5</v>
      </c>
      <c r="J514">
        <v>-30.5</v>
      </c>
      <c r="K514">
        <v>-46.8</v>
      </c>
      <c r="L514">
        <v>-55</v>
      </c>
      <c r="M514">
        <v>98.116299999999995</v>
      </c>
      <c r="N514">
        <v>85.86</v>
      </c>
      <c r="O514">
        <v>80.540000000000006</v>
      </c>
      <c r="P514">
        <v>5.1000000000000004E-3</v>
      </c>
      <c r="Q514">
        <v>14.03</v>
      </c>
      <c r="R514">
        <v>-36.9</v>
      </c>
    </row>
    <row r="515" spans="1:18" x14ac:dyDescent="0.2">
      <c r="A515" s="1">
        <v>41950</v>
      </c>
      <c r="B515" s="2">
        <v>-1.9850000000000001</v>
      </c>
      <c r="C515" s="3">
        <v>13.12</v>
      </c>
      <c r="D515">
        <v>9.5</v>
      </c>
      <c r="E515">
        <v>2.2976000000000001</v>
      </c>
      <c r="F515">
        <v>0.4985</v>
      </c>
      <c r="G515">
        <v>0.47799999999999998</v>
      </c>
      <c r="H515">
        <v>2.8000000000000001E-2</v>
      </c>
      <c r="I515">
        <v>-57.15</v>
      </c>
      <c r="J515">
        <v>-29.3</v>
      </c>
      <c r="K515">
        <v>-55.3</v>
      </c>
      <c r="L515">
        <v>-62.6</v>
      </c>
      <c r="M515">
        <v>99.023600000000002</v>
      </c>
      <c r="N515">
        <v>83.39</v>
      </c>
      <c r="O515">
        <v>78.650000000000006</v>
      </c>
      <c r="P515">
        <v>2.0299999999999999E-2</v>
      </c>
      <c r="Q515">
        <v>13.12</v>
      </c>
      <c r="R515">
        <v>-45.3</v>
      </c>
    </row>
    <row r="516" spans="1:18" x14ac:dyDescent="0.2">
      <c r="A516" s="1">
        <v>41957</v>
      </c>
      <c r="B516" s="2">
        <v>-1.9125000000000001</v>
      </c>
      <c r="C516" s="3">
        <v>13.31</v>
      </c>
      <c r="D516">
        <v>10.87</v>
      </c>
      <c r="E516">
        <v>2.3203999999999998</v>
      </c>
      <c r="F516">
        <v>0.51190000000000002</v>
      </c>
      <c r="G516">
        <v>0.47799999999999998</v>
      </c>
      <c r="H516">
        <v>8.9999999999999993E-3</v>
      </c>
      <c r="I516">
        <v>-63.5</v>
      </c>
      <c r="J516">
        <v>-32</v>
      </c>
      <c r="K516">
        <v>-61.375</v>
      </c>
      <c r="L516">
        <v>-68.75</v>
      </c>
      <c r="M516">
        <v>99.091700000000003</v>
      </c>
      <c r="N516">
        <v>79.41</v>
      </c>
      <c r="O516">
        <v>75.819999999999993</v>
      </c>
      <c r="P516">
        <v>5.1000000000000004E-3</v>
      </c>
      <c r="Q516">
        <v>13.31</v>
      </c>
      <c r="R516">
        <v>-51.25</v>
      </c>
    </row>
    <row r="517" spans="1:18" x14ac:dyDescent="0.2">
      <c r="A517" s="1">
        <v>41964</v>
      </c>
      <c r="B517" s="2">
        <v>-1.8825000000000001</v>
      </c>
      <c r="C517" s="3">
        <v>12.9</v>
      </c>
      <c r="D517">
        <v>10.535</v>
      </c>
      <c r="E517">
        <v>2.3098999999999998</v>
      </c>
      <c r="F517">
        <v>0.501</v>
      </c>
      <c r="G517">
        <v>0.45700000000000002</v>
      </c>
      <c r="H517">
        <v>3.0000000000000001E-3</v>
      </c>
      <c r="I517">
        <v>-64.875</v>
      </c>
      <c r="J517">
        <v>-32.75</v>
      </c>
      <c r="K517">
        <v>-58.75</v>
      </c>
      <c r="L517">
        <v>-68.5</v>
      </c>
      <c r="M517">
        <v>99.289400000000001</v>
      </c>
      <c r="N517">
        <v>80.36</v>
      </c>
      <c r="O517">
        <v>76.510000000000005</v>
      </c>
      <c r="P517">
        <v>5.1000000000000004E-3</v>
      </c>
      <c r="Q517">
        <v>12.9</v>
      </c>
      <c r="R517">
        <v>-48.875</v>
      </c>
    </row>
    <row r="518" spans="1:18" x14ac:dyDescent="0.2">
      <c r="A518" s="1">
        <v>41971</v>
      </c>
      <c r="B518" s="2">
        <v>-1.8674999999999999</v>
      </c>
      <c r="C518" s="3">
        <v>13.33</v>
      </c>
      <c r="D518">
        <v>10.02</v>
      </c>
      <c r="E518">
        <v>2.1640000000000001</v>
      </c>
      <c r="F518">
        <v>0.46850000000000003</v>
      </c>
      <c r="G518">
        <v>0.41599999999999998</v>
      </c>
      <c r="H518">
        <v>3.0000000000000001E-3</v>
      </c>
      <c r="I518">
        <v>-61.6</v>
      </c>
      <c r="J518">
        <v>-30.5</v>
      </c>
      <c r="K518">
        <v>-54.2</v>
      </c>
      <c r="L518">
        <v>-65.599999999999994</v>
      </c>
      <c r="M518">
        <v>100.0719</v>
      </c>
      <c r="N518">
        <v>70.150000000000006</v>
      </c>
      <c r="O518">
        <v>66.150000000000006</v>
      </c>
      <c r="P518">
        <v>1.01E-2</v>
      </c>
      <c r="Q518">
        <v>13.33</v>
      </c>
      <c r="R518">
        <v>-43.85</v>
      </c>
    </row>
    <row r="519" spans="1:18" x14ac:dyDescent="0.2">
      <c r="A519" s="1">
        <v>41978</v>
      </c>
      <c r="B519" s="2">
        <v>-2.0274999999999999</v>
      </c>
      <c r="C519" s="3">
        <v>11.82</v>
      </c>
      <c r="D519">
        <v>11.324999999999999</v>
      </c>
      <c r="E519">
        <v>2.3065000000000002</v>
      </c>
      <c r="F519">
        <v>0.64329999999999998</v>
      </c>
      <c r="G519">
        <v>0.41599999999999998</v>
      </c>
      <c r="H519">
        <v>-8.9999999999999993E-3</v>
      </c>
      <c r="I519">
        <v>-63.5</v>
      </c>
      <c r="J519">
        <v>-33.5</v>
      </c>
      <c r="K519">
        <v>-54.3</v>
      </c>
      <c r="L519">
        <v>-65.75</v>
      </c>
      <c r="M519">
        <v>101.0989</v>
      </c>
      <c r="N519">
        <v>69.069999999999993</v>
      </c>
      <c r="O519">
        <v>65.84</v>
      </c>
      <c r="P519">
        <v>1.01E-2</v>
      </c>
      <c r="Q519">
        <v>11.82</v>
      </c>
      <c r="R519">
        <v>-43.5</v>
      </c>
    </row>
    <row r="520" spans="1:18" x14ac:dyDescent="0.2">
      <c r="A520" s="1">
        <v>41985</v>
      </c>
      <c r="B520" s="2">
        <v>-2.0649999999999999</v>
      </c>
      <c r="C520" s="3">
        <v>21.08</v>
      </c>
      <c r="D520">
        <v>11.435</v>
      </c>
      <c r="E520">
        <v>2.0817000000000001</v>
      </c>
      <c r="F520">
        <v>0.54010000000000002</v>
      </c>
      <c r="G520">
        <v>0.39100000000000001</v>
      </c>
      <c r="H520">
        <v>2E-3</v>
      </c>
      <c r="I520">
        <v>-61.75</v>
      </c>
      <c r="J520">
        <v>-30.8</v>
      </c>
      <c r="K520">
        <v>-54</v>
      </c>
      <c r="L520">
        <v>-66</v>
      </c>
      <c r="M520">
        <v>101.37350000000001</v>
      </c>
      <c r="N520">
        <v>61.85</v>
      </c>
      <c r="O520">
        <v>57.81</v>
      </c>
      <c r="P520">
        <v>1.52E-2</v>
      </c>
      <c r="Q520">
        <v>21.08</v>
      </c>
      <c r="R520">
        <v>-43.5</v>
      </c>
    </row>
    <row r="521" spans="1:18" x14ac:dyDescent="0.2">
      <c r="A521" s="1">
        <v>41992</v>
      </c>
      <c r="B521" s="2">
        <v>-2.2250000000000001</v>
      </c>
      <c r="C521" s="3">
        <v>16.489999999999998</v>
      </c>
      <c r="D521">
        <v>10.9</v>
      </c>
      <c r="E521">
        <v>2.1617999999999999</v>
      </c>
      <c r="F521">
        <v>0.63800000000000001</v>
      </c>
      <c r="G521">
        <v>0.35099999999999998</v>
      </c>
      <c r="H521">
        <v>-4.2000000000000003E-2</v>
      </c>
      <c r="I521">
        <v>-59.750500000000002</v>
      </c>
      <c r="J521">
        <v>-26.25</v>
      </c>
      <c r="K521">
        <v>-54</v>
      </c>
      <c r="L521">
        <v>-65.625</v>
      </c>
      <c r="M521">
        <v>102.0483</v>
      </c>
      <c r="N521">
        <v>61.38</v>
      </c>
      <c r="O521">
        <v>56.52</v>
      </c>
      <c r="P521">
        <v>2.53E-2</v>
      </c>
      <c r="Q521">
        <v>16.489999999999998</v>
      </c>
      <c r="R521">
        <v>-42.875</v>
      </c>
    </row>
    <row r="522" spans="1:18" x14ac:dyDescent="0.2">
      <c r="A522" s="1">
        <v>41999</v>
      </c>
      <c r="B522" s="2">
        <v>-2.1074999999999999</v>
      </c>
      <c r="C522" s="3">
        <v>14.5</v>
      </c>
      <c r="D522">
        <v>11.05</v>
      </c>
      <c r="E522">
        <v>2.2498999999999998</v>
      </c>
      <c r="F522">
        <v>0.73929999999999996</v>
      </c>
      <c r="G522">
        <v>0.32500000000000001</v>
      </c>
      <c r="H522">
        <v>-4.2000000000000003E-2</v>
      </c>
      <c r="I522">
        <v>-61.5</v>
      </c>
      <c r="J522">
        <v>-26.9</v>
      </c>
      <c r="K522">
        <v>-55</v>
      </c>
      <c r="L522">
        <v>-68.111000000000004</v>
      </c>
      <c r="M522">
        <v>102.3028</v>
      </c>
      <c r="N522">
        <v>59.45</v>
      </c>
      <c r="O522">
        <v>54.73</v>
      </c>
      <c r="P522">
        <v>0</v>
      </c>
      <c r="Q522">
        <v>14.5</v>
      </c>
      <c r="R522">
        <v>-45.244999999999997</v>
      </c>
    </row>
    <row r="523" spans="1:18" x14ac:dyDescent="0.2">
      <c r="A523" s="1">
        <v>42006</v>
      </c>
      <c r="B523" s="2">
        <v>-2.0724999999999998</v>
      </c>
      <c r="C523" s="3">
        <v>17.79</v>
      </c>
      <c r="D523">
        <v>11.3125</v>
      </c>
      <c r="E523">
        <v>2.1105</v>
      </c>
      <c r="F523">
        <v>0.66469999999999996</v>
      </c>
      <c r="G523">
        <v>0.32200000000000001</v>
      </c>
      <c r="H523">
        <v>-2.7E-2</v>
      </c>
      <c r="I523">
        <v>-61</v>
      </c>
      <c r="J523">
        <v>-27.5</v>
      </c>
      <c r="K523">
        <v>-54.3</v>
      </c>
      <c r="L523">
        <v>-67.5</v>
      </c>
      <c r="M523">
        <v>102.9027</v>
      </c>
      <c r="N523">
        <v>56.42</v>
      </c>
      <c r="O523">
        <v>52.69</v>
      </c>
      <c r="P523">
        <v>1.52E-2</v>
      </c>
      <c r="Q523">
        <v>17.79</v>
      </c>
      <c r="R523">
        <v>-43.6</v>
      </c>
    </row>
    <row r="524" spans="1:18" x14ac:dyDescent="0.2">
      <c r="A524" s="1">
        <v>42013</v>
      </c>
      <c r="B524" s="2">
        <v>-1.75</v>
      </c>
      <c r="C524" s="3">
        <v>17.55</v>
      </c>
      <c r="D524">
        <v>10.17</v>
      </c>
      <c r="E524">
        <v>1.9449000000000001</v>
      </c>
      <c r="F524">
        <v>0.56100000000000005</v>
      </c>
      <c r="G524">
        <v>0.26900000000000002</v>
      </c>
      <c r="H524">
        <v>-3.5999999999999997E-2</v>
      </c>
      <c r="I524">
        <v>-57.1</v>
      </c>
      <c r="J524">
        <v>-27.8</v>
      </c>
      <c r="K524">
        <v>-48.6</v>
      </c>
      <c r="L524">
        <v>-63</v>
      </c>
      <c r="M524">
        <v>103.12130000000001</v>
      </c>
      <c r="N524">
        <v>50.11</v>
      </c>
      <c r="O524">
        <v>48.36</v>
      </c>
      <c r="P524">
        <v>1.52E-2</v>
      </c>
      <c r="Q524">
        <v>17.55</v>
      </c>
      <c r="R524">
        <v>-38.5</v>
      </c>
    </row>
    <row r="525" spans="1:18" x14ac:dyDescent="0.2">
      <c r="A525" s="1">
        <v>42020</v>
      </c>
      <c r="B525" s="2">
        <v>-2.11</v>
      </c>
      <c r="C525" s="3">
        <v>20.95</v>
      </c>
      <c r="D525">
        <v>11.67</v>
      </c>
      <c r="E525">
        <v>1.8368</v>
      </c>
      <c r="F525">
        <v>0.48349999999999999</v>
      </c>
      <c r="G525">
        <v>0.23699999999999999</v>
      </c>
      <c r="H525">
        <v>-0.03</v>
      </c>
      <c r="I525">
        <v>-58</v>
      </c>
      <c r="J525">
        <v>-35</v>
      </c>
      <c r="K525">
        <v>-44.5</v>
      </c>
      <c r="L525">
        <v>-61</v>
      </c>
      <c r="M525">
        <v>103.2189</v>
      </c>
      <c r="N525">
        <v>50.17</v>
      </c>
      <c r="O525">
        <v>48.69</v>
      </c>
      <c r="P525">
        <v>1.52E-2</v>
      </c>
      <c r="Q525">
        <v>20.95</v>
      </c>
      <c r="R525">
        <v>-34.1</v>
      </c>
    </row>
    <row r="526" spans="1:18" x14ac:dyDescent="0.2">
      <c r="A526" s="1">
        <v>42027</v>
      </c>
      <c r="B526" s="2">
        <v>-2.5625</v>
      </c>
      <c r="C526" s="3">
        <v>16.66</v>
      </c>
      <c r="D526">
        <v>10.85</v>
      </c>
      <c r="E526">
        <v>1.7968</v>
      </c>
      <c r="F526">
        <v>0.4864</v>
      </c>
      <c r="G526">
        <v>0.22800000000000001</v>
      </c>
      <c r="H526">
        <v>-2.1000000000000001E-2</v>
      </c>
      <c r="I526">
        <v>-65</v>
      </c>
      <c r="J526">
        <v>-38.5</v>
      </c>
      <c r="K526">
        <v>-49.75</v>
      </c>
      <c r="L526">
        <v>-68.25</v>
      </c>
      <c r="M526">
        <v>104.3676</v>
      </c>
      <c r="N526">
        <v>48.79</v>
      </c>
      <c r="O526">
        <v>45.59</v>
      </c>
      <c r="P526">
        <v>1.52E-2</v>
      </c>
      <c r="Q526">
        <v>16.66</v>
      </c>
      <c r="R526">
        <v>-38.75</v>
      </c>
    </row>
    <row r="527" spans="1:18" x14ac:dyDescent="0.2">
      <c r="A527" s="1">
        <v>42034</v>
      </c>
      <c r="B527" s="2">
        <v>-2.7549999999999999</v>
      </c>
      <c r="C527" s="3">
        <v>20.97</v>
      </c>
      <c r="D527">
        <v>11.315</v>
      </c>
      <c r="E527">
        <v>1.6407</v>
      </c>
      <c r="F527">
        <v>0.44879999999999998</v>
      </c>
      <c r="G527">
        <v>0.27200000000000002</v>
      </c>
      <c r="H527">
        <v>1E-3</v>
      </c>
      <c r="I527">
        <v>-64.3</v>
      </c>
      <c r="J527">
        <v>-35</v>
      </c>
      <c r="K527">
        <v>-46.8</v>
      </c>
      <c r="L527">
        <v>-66.8</v>
      </c>
      <c r="M527">
        <v>105.58839999999999</v>
      </c>
      <c r="N527">
        <v>52.99</v>
      </c>
      <c r="O527">
        <v>48.24</v>
      </c>
      <c r="P527">
        <v>0</v>
      </c>
      <c r="Q527">
        <v>20.97</v>
      </c>
      <c r="R527">
        <v>-35.5</v>
      </c>
    </row>
    <row r="528" spans="1:18" x14ac:dyDescent="0.2">
      <c r="A528" s="1">
        <v>42041</v>
      </c>
      <c r="B528" s="2">
        <v>-2.2650000000000001</v>
      </c>
      <c r="C528" s="3">
        <v>17.29</v>
      </c>
      <c r="D528">
        <v>10.14</v>
      </c>
      <c r="E528">
        <v>1.9567000000000001</v>
      </c>
      <c r="F528">
        <v>0.64349999999999996</v>
      </c>
      <c r="G528">
        <v>0.33400000000000002</v>
      </c>
      <c r="H528">
        <v>2.8000000000000001E-2</v>
      </c>
      <c r="I528">
        <v>-62.3</v>
      </c>
      <c r="J528">
        <v>-33.125</v>
      </c>
      <c r="K528">
        <v>-38.799999999999997</v>
      </c>
      <c r="L528">
        <v>-63.25</v>
      </c>
      <c r="M528">
        <v>105.1283</v>
      </c>
      <c r="N528">
        <v>57.8</v>
      </c>
      <c r="O528">
        <v>51.69</v>
      </c>
      <c r="P528">
        <v>1.52E-2</v>
      </c>
      <c r="Q528">
        <v>17.29</v>
      </c>
      <c r="R528">
        <v>-27.75</v>
      </c>
    </row>
    <row r="529" spans="1:18" x14ac:dyDescent="0.2">
      <c r="A529" s="1">
        <v>42048</v>
      </c>
      <c r="B529" s="2">
        <v>-2.2400000000000002</v>
      </c>
      <c r="C529" s="3">
        <v>14.69</v>
      </c>
      <c r="D529">
        <v>10.615</v>
      </c>
      <c r="E529">
        <v>2.0503999999999998</v>
      </c>
      <c r="F529">
        <v>0.6411</v>
      </c>
      <c r="G529">
        <v>0.41899999999999998</v>
      </c>
      <c r="H529">
        <v>4.1000000000000002E-2</v>
      </c>
      <c r="I529">
        <v>-63.3</v>
      </c>
      <c r="J529">
        <v>-33.75</v>
      </c>
      <c r="K529">
        <v>-44.375500000000002</v>
      </c>
      <c r="L529">
        <v>-67.599999999999994</v>
      </c>
      <c r="M529">
        <v>104.84520000000001</v>
      </c>
      <c r="N529">
        <v>61.52</v>
      </c>
      <c r="O529">
        <v>52.78</v>
      </c>
      <c r="P529">
        <v>5.1000000000000004E-3</v>
      </c>
      <c r="Q529">
        <v>14.69</v>
      </c>
      <c r="R529">
        <v>-32.625</v>
      </c>
    </row>
    <row r="530" spans="1:18" x14ac:dyDescent="0.2">
      <c r="A530" s="1">
        <v>42055</v>
      </c>
      <c r="B530" s="2">
        <v>-2.0175000000000001</v>
      </c>
      <c r="C530" s="3">
        <v>14.3</v>
      </c>
      <c r="D530">
        <v>10.055</v>
      </c>
      <c r="E530">
        <v>2.1116999999999999</v>
      </c>
      <c r="F530">
        <v>0.6321</v>
      </c>
      <c r="G530">
        <v>0.38100000000000001</v>
      </c>
      <c r="H530">
        <v>2.9000000000000001E-2</v>
      </c>
      <c r="I530">
        <v>-63.75</v>
      </c>
      <c r="J530">
        <v>-36</v>
      </c>
      <c r="K530">
        <v>-45.5</v>
      </c>
      <c r="L530">
        <v>-67.599999999999994</v>
      </c>
      <c r="M530">
        <v>105.3387</v>
      </c>
      <c r="N530">
        <v>60.22</v>
      </c>
      <c r="O530">
        <v>50.34</v>
      </c>
      <c r="P530">
        <v>1.52E-2</v>
      </c>
      <c r="Q530">
        <v>14.3</v>
      </c>
      <c r="R530">
        <v>-34</v>
      </c>
    </row>
    <row r="531" spans="1:18" x14ac:dyDescent="0.2">
      <c r="A531" s="1">
        <v>42062</v>
      </c>
      <c r="B531" s="2">
        <v>-1.9550000000000001</v>
      </c>
      <c r="C531" s="3">
        <v>13.34</v>
      </c>
      <c r="D531">
        <v>8.8550000000000004</v>
      </c>
      <c r="E531">
        <v>1.9930000000000001</v>
      </c>
      <c r="F531">
        <v>0.61839999999999995</v>
      </c>
      <c r="G531">
        <v>0.32900000000000001</v>
      </c>
      <c r="H531">
        <v>8.9999999999999993E-3</v>
      </c>
      <c r="I531">
        <v>-63.5</v>
      </c>
      <c r="J531">
        <v>-36</v>
      </c>
      <c r="K531">
        <v>-49</v>
      </c>
      <c r="L531">
        <v>-68</v>
      </c>
      <c r="M531">
        <v>105.5981</v>
      </c>
      <c r="N531">
        <v>62.58</v>
      </c>
      <c r="O531">
        <v>49.76</v>
      </c>
      <c r="P531">
        <v>1.01E-2</v>
      </c>
      <c r="Q531">
        <v>13.34</v>
      </c>
      <c r="R531">
        <v>-38.25</v>
      </c>
    </row>
    <row r="532" spans="1:18" x14ac:dyDescent="0.2">
      <c r="A532" s="1">
        <v>42069</v>
      </c>
      <c r="B532" s="2">
        <v>-1.9125000000000001</v>
      </c>
      <c r="C532" s="3">
        <v>15.2</v>
      </c>
      <c r="D532">
        <v>9.16</v>
      </c>
      <c r="E532">
        <v>2.2414000000000001</v>
      </c>
      <c r="F532">
        <v>0.72340000000000004</v>
      </c>
      <c r="G532">
        <v>0.39100000000000001</v>
      </c>
      <c r="H532">
        <v>6.0000000000000001E-3</v>
      </c>
      <c r="I532">
        <v>-62</v>
      </c>
      <c r="J532">
        <v>-37.125</v>
      </c>
      <c r="K532">
        <v>-46</v>
      </c>
      <c r="L532">
        <v>-64.3</v>
      </c>
      <c r="M532">
        <v>107.4337</v>
      </c>
      <c r="N532">
        <v>59.73</v>
      </c>
      <c r="O532">
        <v>49.61</v>
      </c>
      <c r="P532">
        <v>5.1000000000000004E-3</v>
      </c>
      <c r="Q532">
        <v>15.2</v>
      </c>
      <c r="R532">
        <v>-35.5</v>
      </c>
    </row>
    <row r="533" spans="1:18" x14ac:dyDescent="0.2">
      <c r="A533" s="1">
        <v>42076</v>
      </c>
      <c r="B533" s="2">
        <v>-2.0225</v>
      </c>
      <c r="C533" s="3">
        <v>16</v>
      </c>
      <c r="D533">
        <v>9.5299999999999994</v>
      </c>
      <c r="E533">
        <v>2.1139999999999999</v>
      </c>
      <c r="F533">
        <v>0.65700000000000003</v>
      </c>
      <c r="G533">
        <v>0.40200000000000002</v>
      </c>
      <c r="H533">
        <v>1.4E-2</v>
      </c>
      <c r="I533">
        <v>-60.75</v>
      </c>
      <c r="J533">
        <v>-38</v>
      </c>
      <c r="K533">
        <v>-45.5</v>
      </c>
      <c r="L533">
        <v>-63</v>
      </c>
      <c r="M533">
        <v>108.9174</v>
      </c>
      <c r="N533">
        <v>54.67</v>
      </c>
      <c r="O533">
        <v>44.84</v>
      </c>
      <c r="P533">
        <v>2.0299999999999999E-2</v>
      </c>
      <c r="Q533">
        <v>16</v>
      </c>
      <c r="R533">
        <v>-35</v>
      </c>
    </row>
    <row r="534" spans="1:18" x14ac:dyDescent="0.2">
      <c r="A534" s="1">
        <v>42083</v>
      </c>
      <c r="B534" s="2">
        <v>-2.0499999999999998</v>
      </c>
      <c r="C534" s="3">
        <v>13.02</v>
      </c>
      <c r="D534">
        <v>8.9</v>
      </c>
      <c r="E534">
        <v>1.9302999999999999</v>
      </c>
      <c r="F534">
        <v>0.58120000000000005</v>
      </c>
      <c r="G534">
        <v>0.32300000000000001</v>
      </c>
      <c r="H534">
        <v>3.0000000000000001E-3</v>
      </c>
      <c r="I534">
        <v>-58.8</v>
      </c>
      <c r="J534">
        <v>-36.299999999999997</v>
      </c>
      <c r="K534">
        <v>-41.3</v>
      </c>
      <c r="L534">
        <v>-59.125</v>
      </c>
      <c r="M534">
        <v>107.1671</v>
      </c>
      <c r="N534">
        <v>55.32</v>
      </c>
      <c r="O534">
        <v>45.72</v>
      </c>
      <c r="P534">
        <v>0</v>
      </c>
      <c r="Q534">
        <v>13.02</v>
      </c>
      <c r="R534">
        <v>-31.25</v>
      </c>
    </row>
    <row r="535" spans="1:18" x14ac:dyDescent="0.2">
      <c r="A535" s="1">
        <v>42090</v>
      </c>
      <c r="B535" s="2">
        <v>-2.1375000000000002</v>
      </c>
      <c r="C535" s="3">
        <v>15.07</v>
      </c>
      <c r="D535">
        <v>9.0749999999999993</v>
      </c>
      <c r="E535">
        <v>1.9615</v>
      </c>
      <c r="F535">
        <v>0.59440000000000004</v>
      </c>
      <c r="G535">
        <v>0.37</v>
      </c>
      <c r="H535">
        <v>3.5999999999999997E-2</v>
      </c>
      <c r="I535">
        <v>-62.55</v>
      </c>
      <c r="J535">
        <v>-39.25</v>
      </c>
      <c r="K535">
        <v>-46.5</v>
      </c>
      <c r="L535">
        <v>-63.55</v>
      </c>
      <c r="M535">
        <v>106.8916</v>
      </c>
      <c r="N535">
        <v>56.41</v>
      </c>
      <c r="O535">
        <v>48.87</v>
      </c>
      <c r="P535">
        <v>3.5499999999999997E-2</v>
      </c>
      <c r="Q535">
        <v>15.07</v>
      </c>
      <c r="R535">
        <v>-36.1205</v>
      </c>
    </row>
    <row r="536" spans="1:18" x14ac:dyDescent="0.2">
      <c r="A536" s="1">
        <v>42097</v>
      </c>
      <c r="B536" s="2">
        <v>-2.1850000000000001</v>
      </c>
      <c r="C536" s="3">
        <v>14.67</v>
      </c>
      <c r="D536">
        <v>9.0374999999999996</v>
      </c>
      <c r="E536">
        <v>1.8389</v>
      </c>
      <c r="F536">
        <v>0.47620000000000001</v>
      </c>
      <c r="G536">
        <v>0.36299999999999999</v>
      </c>
      <c r="H536">
        <v>1.4999999999999999E-2</v>
      </c>
      <c r="I536">
        <v>-64.875</v>
      </c>
      <c r="J536">
        <v>-39.875</v>
      </c>
      <c r="K536">
        <v>-49.375</v>
      </c>
      <c r="L536">
        <v>-66.625</v>
      </c>
      <c r="M536">
        <v>105.8861</v>
      </c>
      <c r="N536">
        <v>54.95</v>
      </c>
      <c r="O536">
        <v>49.14</v>
      </c>
      <c r="P536">
        <v>1.01E-2</v>
      </c>
      <c r="Q536">
        <v>14.67</v>
      </c>
      <c r="R536">
        <v>-38.75</v>
      </c>
    </row>
    <row r="537" spans="1:18" x14ac:dyDescent="0.2">
      <c r="A537" s="1">
        <v>42104</v>
      </c>
      <c r="B537" s="2">
        <v>-1.85</v>
      </c>
      <c r="C537" s="3">
        <v>12.58</v>
      </c>
      <c r="D537">
        <v>8.6374999999999993</v>
      </c>
      <c r="E537">
        <v>1.9473</v>
      </c>
      <c r="F537">
        <v>0.55600000000000005</v>
      </c>
      <c r="G537">
        <v>0.33900000000000002</v>
      </c>
      <c r="H537">
        <v>3.0000000000000001E-3</v>
      </c>
      <c r="I537">
        <v>-62.6</v>
      </c>
      <c r="J537">
        <v>-41.5</v>
      </c>
      <c r="K537">
        <v>-46.7</v>
      </c>
      <c r="L537">
        <v>-63.95</v>
      </c>
      <c r="M537">
        <v>107.4526</v>
      </c>
      <c r="N537">
        <v>57.87</v>
      </c>
      <c r="O537">
        <v>51.64</v>
      </c>
      <c r="P537">
        <v>1.52E-2</v>
      </c>
      <c r="Q537">
        <v>12.58</v>
      </c>
      <c r="R537">
        <v>-36.200000000000003</v>
      </c>
    </row>
    <row r="538" spans="1:18" x14ac:dyDescent="0.2">
      <c r="A538" s="1">
        <v>42111</v>
      </c>
      <c r="B538" s="2">
        <v>-1.7075</v>
      </c>
      <c r="C538" s="3">
        <v>13.89</v>
      </c>
      <c r="D538">
        <v>8.3650000000000002</v>
      </c>
      <c r="E538">
        <v>1.8653</v>
      </c>
      <c r="F538">
        <v>0.5081</v>
      </c>
      <c r="G538">
        <v>0.30299999999999999</v>
      </c>
      <c r="H538">
        <v>-2E-3</v>
      </c>
      <c r="I538">
        <v>-66</v>
      </c>
      <c r="J538">
        <v>-42.5</v>
      </c>
      <c r="K538">
        <v>-49.625</v>
      </c>
      <c r="L538">
        <v>-67.125</v>
      </c>
      <c r="M538">
        <v>106.32899999999999</v>
      </c>
      <c r="N538">
        <v>63.45</v>
      </c>
      <c r="O538">
        <v>55.74</v>
      </c>
      <c r="P538">
        <v>1.52E-2</v>
      </c>
      <c r="Q538">
        <v>13.89</v>
      </c>
      <c r="R538">
        <v>-39</v>
      </c>
    </row>
    <row r="539" spans="1:18" x14ac:dyDescent="0.2">
      <c r="A539" s="1">
        <v>42118</v>
      </c>
      <c r="B539" s="2">
        <v>-1.7424999999999999</v>
      </c>
      <c r="C539" s="3">
        <v>12.29</v>
      </c>
      <c r="D539">
        <v>8.5500000000000007</v>
      </c>
      <c r="E539">
        <v>1.9086000000000001</v>
      </c>
      <c r="F539">
        <v>0.50409999999999999</v>
      </c>
      <c r="G539">
        <v>0.28499999999999998</v>
      </c>
      <c r="H539">
        <v>-2.1000000000000001E-2</v>
      </c>
      <c r="I539">
        <v>-68.3</v>
      </c>
      <c r="J539">
        <v>-43</v>
      </c>
      <c r="K539">
        <v>-50.3</v>
      </c>
      <c r="L539">
        <v>-68.498999999999995</v>
      </c>
      <c r="M539">
        <v>105.905</v>
      </c>
      <c r="N539">
        <v>65.28</v>
      </c>
      <c r="O539">
        <v>57.15</v>
      </c>
      <c r="P539">
        <v>1.52E-2</v>
      </c>
      <c r="Q539">
        <v>12.29</v>
      </c>
      <c r="R539">
        <v>-39.996000000000002</v>
      </c>
    </row>
    <row r="540" spans="1:18" x14ac:dyDescent="0.2">
      <c r="A540" s="1">
        <v>42125</v>
      </c>
      <c r="B540" s="2">
        <v>-1.9850000000000001</v>
      </c>
      <c r="C540" s="3">
        <v>12.7</v>
      </c>
      <c r="D540">
        <v>8.76</v>
      </c>
      <c r="E540">
        <v>2.1135000000000002</v>
      </c>
      <c r="F540">
        <v>0.59499999999999997</v>
      </c>
      <c r="G540">
        <v>0.35799999999999998</v>
      </c>
      <c r="H540">
        <v>0</v>
      </c>
      <c r="I540">
        <v>-68.8</v>
      </c>
      <c r="J540">
        <v>-43.25</v>
      </c>
      <c r="K540">
        <v>-51</v>
      </c>
      <c r="L540">
        <v>-68.75</v>
      </c>
      <c r="M540">
        <v>105.6382</v>
      </c>
      <c r="N540">
        <v>66.459999999999994</v>
      </c>
      <c r="O540">
        <v>59.15</v>
      </c>
      <c r="P540">
        <v>0</v>
      </c>
      <c r="Q540">
        <v>12.7</v>
      </c>
      <c r="R540">
        <v>-40.25</v>
      </c>
    </row>
    <row r="541" spans="1:18" x14ac:dyDescent="0.2">
      <c r="A541" s="1">
        <v>42132</v>
      </c>
      <c r="B541" s="2">
        <v>-1.845</v>
      </c>
      <c r="C541" s="3">
        <v>12.86</v>
      </c>
      <c r="D541">
        <v>8.3524999999999991</v>
      </c>
      <c r="E541">
        <v>2.1478000000000002</v>
      </c>
      <c r="F541">
        <v>0.57189999999999996</v>
      </c>
      <c r="G541">
        <v>0.41599999999999998</v>
      </c>
      <c r="H541">
        <v>8.0000000000000002E-3</v>
      </c>
      <c r="I541">
        <v>-68.8</v>
      </c>
      <c r="J541">
        <v>-42.3</v>
      </c>
      <c r="K541">
        <v>-51.8</v>
      </c>
      <c r="L541">
        <v>-69.25</v>
      </c>
      <c r="M541">
        <v>104.8424</v>
      </c>
      <c r="N541">
        <v>65.39</v>
      </c>
      <c r="O541">
        <v>59.39</v>
      </c>
      <c r="P541">
        <v>5.1000000000000004E-3</v>
      </c>
      <c r="Q541">
        <v>12.86</v>
      </c>
      <c r="R541">
        <v>-40.75</v>
      </c>
    </row>
    <row r="542" spans="1:18" x14ac:dyDescent="0.2">
      <c r="A542" s="1">
        <v>42139</v>
      </c>
      <c r="B542" s="2">
        <v>-1.5649999999999999</v>
      </c>
      <c r="C542" s="3">
        <v>12.38</v>
      </c>
      <c r="D542">
        <v>7.5350000000000001</v>
      </c>
      <c r="E542">
        <v>2.1423999999999999</v>
      </c>
      <c r="F542">
        <v>0.5363</v>
      </c>
      <c r="G542">
        <v>0.39900000000000002</v>
      </c>
      <c r="H542">
        <v>-1.2E-2</v>
      </c>
      <c r="I542">
        <v>-68</v>
      </c>
      <c r="J542">
        <v>-42</v>
      </c>
      <c r="K542">
        <v>-50.3</v>
      </c>
      <c r="L542">
        <v>-68.5</v>
      </c>
      <c r="M542">
        <v>104.0202</v>
      </c>
      <c r="N542">
        <v>66.81</v>
      </c>
      <c r="O542">
        <v>59.69</v>
      </c>
      <c r="P542">
        <v>1.01E-2</v>
      </c>
      <c r="Q542">
        <v>12.38</v>
      </c>
      <c r="R542">
        <v>-39.874499999999998</v>
      </c>
    </row>
    <row r="543" spans="1:18" x14ac:dyDescent="0.2">
      <c r="A543" s="1">
        <v>42146</v>
      </c>
      <c r="B543" s="2">
        <v>-1.6325000000000001</v>
      </c>
      <c r="C543" s="3">
        <v>12.13</v>
      </c>
      <c r="D543">
        <v>7.915</v>
      </c>
      <c r="E543">
        <v>2.2092000000000001</v>
      </c>
      <c r="F543">
        <v>0.61419999999999997</v>
      </c>
      <c r="G543">
        <v>0.41299999999999998</v>
      </c>
      <c r="H543">
        <v>-1.4E-2</v>
      </c>
      <c r="I543">
        <v>-67.8</v>
      </c>
      <c r="J543">
        <v>-39.700000000000003</v>
      </c>
      <c r="K543">
        <v>-50.500500000000002</v>
      </c>
      <c r="L543">
        <v>-68.250500000000002</v>
      </c>
      <c r="M543">
        <v>105.84869999999999</v>
      </c>
      <c r="N543">
        <v>65.37</v>
      </c>
      <c r="O543">
        <v>59.72</v>
      </c>
      <c r="P543">
        <v>1.01E-2</v>
      </c>
      <c r="Q543">
        <v>12.13</v>
      </c>
      <c r="R543">
        <v>-40.250500000000002</v>
      </c>
    </row>
    <row r="544" spans="1:18" x14ac:dyDescent="0.2">
      <c r="A544" s="1">
        <v>42153</v>
      </c>
      <c r="B544" s="2">
        <v>-1.6475</v>
      </c>
      <c r="C544" s="3">
        <v>13.84</v>
      </c>
      <c r="D544">
        <v>9.0374999999999996</v>
      </c>
      <c r="E544">
        <v>2.1214</v>
      </c>
      <c r="F544">
        <v>0.60529999999999995</v>
      </c>
      <c r="G544">
        <v>0.38900000000000001</v>
      </c>
      <c r="H544">
        <v>-6.0000000000000001E-3</v>
      </c>
      <c r="I544">
        <v>-71</v>
      </c>
      <c r="J544">
        <v>-42.5</v>
      </c>
      <c r="K544">
        <v>-55.6</v>
      </c>
      <c r="L544">
        <v>-72.599999999999994</v>
      </c>
      <c r="M544">
        <v>106.7388</v>
      </c>
      <c r="N544">
        <v>65.56</v>
      </c>
      <c r="O544">
        <v>60.3</v>
      </c>
      <c r="P544">
        <v>0</v>
      </c>
      <c r="Q544">
        <v>13.84</v>
      </c>
      <c r="R544">
        <v>-45.4</v>
      </c>
    </row>
    <row r="545" spans="1:18" x14ac:dyDescent="0.2">
      <c r="A545" s="1">
        <v>42160</v>
      </c>
      <c r="B545" s="2">
        <v>-1.5649999999999999</v>
      </c>
      <c r="C545" s="3">
        <v>14.21</v>
      </c>
      <c r="D545">
        <v>8.7650000000000006</v>
      </c>
      <c r="E545">
        <v>2.4076</v>
      </c>
      <c r="F545">
        <v>0.7087</v>
      </c>
      <c r="G545">
        <v>0.48599999999999999</v>
      </c>
      <c r="H545">
        <v>-6.0000000000000001E-3</v>
      </c>
      <c r="I545">
        <v>-69.5</v>
      </c>
      <c r="J545">
        <v>-41</v>
      </c>
      <c r="K545">
        <v>-53.5</v>
      </c>
      <c r="L545">
        <v>-70.400000000000006</v>
      </c>
      <c r="M545">
        <v>107.1336</v>
      </c>
      <c r="N545">
        <v>63.31</v>
      </c>
      <c r="O545">
        <v>59.13</v>
      </c>
      <c r="P545">
        <v>1.5299999999999999E-2</v>
      </c>
      <c r="Q545">
        <v>14.21</v>
      </c>
      <c r="R545">
        <v>-43.7</v>
      </c>
    </row>
    <row r="546" spans="1:18" x14ac:dyDescent="0.2">
      <c r="A546" s="1">
        <v>42167</v>
      </c>
      <c r="B546" s="2">
        <v>-1.52</v>
      </c>
      <c r="C546" s="3">
        <v>13.78</v>
      </c>
      <c r="D546">
        <v>8.5724999999999998</v>
      </c>
      <c r="E546">
        <v>2.3917999999999999</v>
      </c>
      <c r="F546">
        <v>0.72560000000000002</v>
      </c>
      <c r="G546">
        <v>0.50900000000000001</v>
      </c>
      <c r="H546">
        <v>4.0000000000000001E-3</v>
      </c>
      <c r="I546">
        <v>-67.5</v>
      </c>
      <c r="J546">
        <v>-39.5</v>
      </c>
      <c r="K546">
        <v>-52.125</v>
      </c>
      <c r="L546">
        <v>-68.625</v>
      </c>
      <c r="M546">
        <v>105.9015</v>
      </c>
      <c r="N546">
        <v>63.87</v>
      </c>
      <c r="O546">
        <v>59.96</v>
      </c>
      <c r="P546">
        <v>5.1000000000000004E-3</v>
      </c>
      <c r="Q546">
        <v>13.78</v>
      </c>
      <c r="R546">
        <v>-42.375</v>
      </c>
    </row>
    <row r="547" spans="1:18" x14ac:dyDescent="0.2">
      <c r="A547" s="1">
        <v>42174</v>
      </c>
      <c r="B547" s="2">
        <v>-1.375</v>
      </c>
      <c r="C547" s="3">
        <v>13.96</v>
      </c>
      <c r="D547">
        <v>8.2799999999999994</v>
      </c>
      <c r="E547">
        <v>2.2576999999999998</v>
      </c>
      <c r="F547">
        <v>0.6169</v>
      </c>
      <c r="G547">
        <v>0.41799999999999998</v>
      </c>
      <c r="H547">
        <v>4.0000000000000001E-3</v>
      </c>
      <c r="I547">
        <v>-69</v>
      </c>
      <c r="J547">
        <v>-40.5</v>
      </c>
      <c r="K547">
        <v>-52.4</v>
      </c>
      <c r="L547">
        <v>-69</v>
      </c>
      <c r="M547">
        <v>105.4496</v>
      </c>
      <c r="N547">
        <v>63.02</v>
      </c>
      <c r="O547">
        <v>59.61</v>
      </c>
      <c r="P547">
        <v>0</v>
      </c>
      <c r="Q547">
        <v>13.96</v>
      </c>
      <c r="R547">
        <v>-42.8</v>
      </c>
    </row>
    <row r="548" spans="1:18" x14ac:dyDescent="0.2">
      <c r="A548" s="1">
        <v>42181</v>
      </c>
      <c r="B548" s="2">
        <v>-1.47</v>
      </c>
      <c r="C548" s="3">
        <v>14.02</v>
      </c>
      <c r="D548">
        <v>8.1875</v>
      </c>
      <c r="E548">
        <v>2.4725999999999999</v>
      </c>
      <c r="F548">
        <v>0.7117</v>
      </c>
      <c r="G548">
        <v>0.46500000000000002</v>
      </c>
      <c r="H548">
        <v>-1.0999999999999999E-2</v>
      </c>
      <c r="I548">
        <v>-69.5</v>
      </c>
      <c r="J548">
        <v>-40.25</v>
      </c>
      <c r="K548">
        <v>-51.25</v>
      </c>
      <c r="L548">
        <v>-68.25</v>
      </c>
      <c r="M548">
        <v>106.41160000000001</v>
      </c>
      <c r="N548">
        <v>63.26</v>
      </c>
      <c r="O548">
        <v>59.63</v>
      </c>
      <c r="P548">
        <v>0</v>
      </c>
      <c r="Q548">
        <v>14.02</v>
      </c>
      <c r="R548">
        <v>-42.25</v>
      </c>
    </row>
    <row r="549" spans="1:18" x14ac:dyDescent="0.2">
      <c r="A549" s="1">
        <v>42188</v>
      </c>
      <c r="B549" s="2">
        <v>-1.79</v>
      </c>
      <c r="C549" s="3">
        <v>16.79</v>
      </c>
      <c r="D549">
        <v>8.3674999999999997</v>
      </c>
      <c r="E549">
        <v>2.3822999999999999</v>
      </c>
      <c r="F549">
        <v>0.627</v>
      </c>
      <c r="G549">
        <v>0.47799999999999998</v>
      </c>
      <c r="H549">
        <v>8.9999999999999993E-3</v>
      </c>
      <c r="I549">
        <v>-71.5</v>
      </c>
      <c r="J549">
        <v>-41.25</v>
      </c>
      <c r="K549">
        <v>-53.4</v>
      </c>
      <c r="L549">
        <v>-70.95</v>
      </c>
      <c r="M549">
        <v>106.9106</v>
      </c>
      <c r="N549">
        <v>60.32</v>
      </c>
      <c r="O549">
        <v>56.93</v>
      </c>
      <c r="P549">
        <v>0</v>
      </c>
      <c r="Q549">
        <v>16.79</v>
      </c>
      <c r="R549">
        <v>-44.1</v>
      </c>
    </row>
    <row r="550" spans="1:18" x14ac:dyDescent="0.2">
      <c r="A550" s="1">
        <v>42195</v>
      </c>
      <c r="B550" s="2">
        <v>-2.0175000000000001</v>
      </c>
      <c r="C550" s="3">
        <v>16.829999999999998</v>
      </c>
      <c r="D550">
        <v>8.3350000000000009</v>
      </c>
      <c r="E550">
        <v>2.3972000000000002</v>
      </c>
      <c r="F550">
        <v>0.63700000000000001</v>
      </c>
      <c r="G550">
        <v>0.441</v>
      </c>
      <c r="H550">
        <v>1.2999999999999999E-2</v>
      </c>
      <c r="I550">
        <v>-72.3</v>
      </c>
      <c r="J550">
        <v>-43</v>
      </c>
      <c r="K550">
        <v>-53.9</v>
      </c>
      <c r="L550">
        <v>-71.099999999999994</v>
      </c>
      <c r="M550">
        <v>107.21299999999999</v>
      </c>
      <c r="N550">
        <v>58.73</v>
      </c>
      <c r="O550">
        <v>52.74</v>
      </c>
      <c r="P550">
        <v>5.1000000000000004E-3</v>
      </c>
      <c r="Q550">
        <v>16.829999999999998</v>
      </c>
      <c r="R550">
        <v>-44.8</v>
      </c>
    </row>
    <row r="551" spans="1:18" x14ac:dyDescent="0.2">
      <c r="A551" s="1">
        <v>42202</v>
      </c>
      <c r="B551" s="2">
        <v>-1.55</v>
      </c>
      <c r="C551" s="3">
        <v>11.95</v>
      </c>
      <c r="D551">
        <v>7.7050000000000001</v>
      </c>
      <c r="E551">
        <v>2.3469000000000002</v>
      </c>
      <c r="F551">
        <v>0.66549999999999998</v>
      </c>
      <c r="G551">
        <v>0.42099999999999999</v>
      </c>
      <c r="H551">
        <v>7.0000000000000001E-3</v>
      </c>
      <c r="I551">
        <v>-70.5</v>
      </c>
      <c r="J551">
        <v>-40.5</v>
      </c>
      <c r="K551">
        <v>-51.497999999999998</v>
      </c>
      <c r="L551">
        <v>-68.999499999999998</v>
      </c>
      <c r="M551">
        <v>108.53740000000001</v>
      </c>
      <c r="N551">
        <v>57.1</v>
      </c>
      <c r="O551">
        <v>50.89</v>
      </c>
      <c r="P551">
        <v>1.52E-2</v>
      </c>
      <c r="Q551">
        <v>11.95</v>
      </c>
      <c r="R551">
        <v>-42.497999999999998</v>
      </c>
    </row>
    <row r="552" spans="1:18" x14ac:dyDescent="0.2">
      <c r="A552" s="1">
        <v>42209</v>
      </c>
      <c r="B552" s="2">
        <v>-1.4724999999999999</v>
      </c>
      <c r="C552" s="3">
        <v>13.74</v>
      </c>
      <c r="D552">
        <v>7.94</v>
      </c>
      <c r="E552">
        <v>2.2624</v>
      </c>
      <c r="F552">
        <v>0.67810000000000004</v>
      </c>
      <c r="G552">
        <v>0.40600000000000003</v>
      </c>
      <c r="H552">
        <v>3.0000000000000001E-3</v>
      </c>
      <c r="I552">
        <v>-71.25</v>
      </c>
      <c r="J552">
        <v>-40.289299999999997</v>
      </c>
      <c r="K552">
        <v>-52.247500000000002</v>
      </c>
      <c r="L552">
        <v>-69.629499999999993</v>
      </c>
      <c r="M552">
        <v>109.01739999999999</v>
      </c>
      <c r="N552">
        <v>54.62</v>
      </c>
      <c r="O552">
        <v>48.14</v>
      </c>
      <c r="P552">
        <v>3.0499999999999999E-2</v>
      </c>
      <c r="Q552">
        <v>13.74</v>
      </c>
      <c r="R552">
        <v>-43.5</v>
      </c>
    </row>
    <row r="553" spans="1:18" x14ac:dyDescent="0.2">
      <c r="A553" s="1">
        <v>42216</v>
      </c>
      <c r="B553" s="2">
        <v>-1.4650000000000001</v>
      </c>
      <c r="C553" s="3">
        <v>12.12</v>
      </c>
      <c r="D553">
        <v>8.2225000000000001</v>
      </c>
      <c r="E553">
        <v>2.1800999999999999</v>
      </c>
      <c r="F553">
        <v>0.66059999999999997</v>
      </c>
      <c r="G553">
        <v>0.40500000000000003</v>
      </c>
      <c r="H553">
        <v>2E-3</v>
      </c>
      <c r="I553">
        <v>-72</v>
      </c>
      <c r="J553">
        <v>-41.3</v>
      </c>
      <c r="K553">
        <v>-53</v>
      </c>
      <c r="L553">
        <v>-70.5</v>
      </c>
      <c r="M553">
        <v>108.78189999999999</v>
      </c>
      <c r="N553">
        <v>52.21</v>
      </c>
      <c r="O553">
        <v>47.12</v>
      </c>
      <c r="P553">
        <v>6.0999999999999999E-2</v>
      </c>
      <c r="Q553">
        <v>12.12</v>
      </c>
      <c r="R553">
        <v>-44.25</v>
      </c>
    </row>
    <row r="554" spans="1:18" x14ac:dyDescent="0.2">
      <c r="A554" s="1">
        <v>42223</v>
      </c>
      <c r="B554" s="2">
        <v>-1.415</v>
      </c>
      <c r="C554" s="3">
        <v>13.39</v>
      </c>
      <c r="D554">
        <v>8.25</v>
      </c>
      <c r="E554">
        <v>2.1623000000000001</v>
      </c>
      <c r="F554">
        <v>0.71689999999999998</v>
      </c>
      <c r="G554">
        <v>0.41499999999999998</v>
      </c>
      <c r="H554">
        <v>2E-3</v>
      </c>
      <c r="I554">
        <v>-71.5</v>
      </c>
      <c r="J554">
        <v>-41.5</v>
      </c>
      <c r="K554">
        <v>-52.8</v>
      </c>
      <c r="L554">
        <v>-70</v>
      </c>
      <c r="M554">
        <v>109.4376</v>
      </c>
      <c r="N554">
        <v>48.61</v>
      </c>
      <c r="O554">
        <v>43.87</v>
      </c>
      <c r="P554">
        <v>6.0999999999999999E-2</v>
      </c>
      <c r="Q554">
        <v>13.39</v>
      </c>
      <c r="R554">
        <v>-43.625</v>
      </c>
    </row>
    <row r="555" spans="1:18" x14ac:dyDescent="0.2">
      <c r="A555" s="1">
        <v>42230</v>
      </c>
      <c r="B555" s="2">
        <v>-1.6</v>
      </c>
      <c r="C555" s="3">
        <v>12.83</v>
      </c>
      <c r="D555">
        <v>8.2050000000000001</v>
      </c>
      <c r="E555">
        <v>2.1977000000000002</v>
      </c>
      <c r="F555">
        <v>0.7218</v>
      </c>
      <c r="G555">
        <v>0.374</v>
      </c>
      <c r="H555">
        <v>3.0000000000000001E-3</v>
      </c>
      <c r="I555">
        <v>-72.38</v>
      </c>
      <c r="J555">
        <v>-42</v>
      </c>
      <c r="K555">
        <v>-52.62</v>
      </c>
      <c r="L555">
        <v>-70.5</v>
      </c>
      <c r="M555">
        <v>109.9174</v>
      </c>
      <c r="N555">
        <v>49.03</v>
      </c>
      <c r="O555">
        <v>42.5</v>
      </c>
      <c r="P555">
        <v>8.1100000000000005E-2</v>
      </c>
      <c r="Q555">
        <v>12.83</v>
      </c>
      <c r="R555">
        <v>-43.75</v>
      </c>
    </row>
    <row r="556" spans="1:18" x14ac:dyDescent="0.2">
      <c r="A556" s="1">
        <v>42237</v>
      </c>
      <c r="B556" s="2">
        <v>-1.5874999999999999</v>
      </c>
      <c r="C556" s="3">
        <v>28.03</v>
      </c>
      <c r="D556">
        <v>9.3650000000000002</v>
      </c>
      <c r="E556">
        <v>2.0365000000000002</v>
      </c>
      <c r="F556">
        <v>0.61280000000000001</v>
      </c>
      <c r="G556">
        <v>0.36099999999999999</v>
      </c>
      <c r="H556">
        <v>1E-3</v>
      </c>
      <c r="I556">
        <v>-72.13</v>
      </c>
      <c r="J556">
        <v>-42.305999999999997</v>
      </c>
      <c r="K556">
        <v>-51.25</v>
      </c>
      <c r="L556">
        <v>-69.749499999999998</v>
      </c>
      <c r="M556">
        <v>110.1443</v>
      </c>
      <c r="N556">
        <v>45.46</v>
      </c>
      <c r="O556">
        <v>40.450000000000003</v>
      </c>
      <c r="P556">
        <v>2.0299999999999999E-2</v>
      </c>
      <c r="Q556">
        <v>28.03</v>
      </c>
      <c r="R556">
        <v>-42.380499999999998</v>
      </c>
    </row>
    <row r="557" spans="1:18" x14ac:dyDescent="0.2">
      <c r="A557" s="1">
        <v>42244</v>
      </c>
      <c r="B557" s="2">
        <v>-1.8825000000000001</v>
      </c>
      <c r="C557" s="3">
        <v>26.05</v>
      </c>
      <c r="D557">
        <v>9.6775000000000002</v>
      </c>
      <c r="E557">
        <v>2.1806999999999999</v>
      </c>
      <c r="F557">
        <v>0.71560000000000001</v>
      </c>
      <c r="G557">
        <v>0.374</v>
      </c>
      <c r="H557">
        <v>8.9999999999999993E-3</v>
      </c>
      <c r="I557">
        <v>-72.599999999999994</v>
      </c>
      <c r="J557">
        <v>-42</v>
      </c>
      <c r="K557">
        <v>-51.9</v>
      </c>
      <c r="L557">
        <v>-70.400000000000006</v>
      </c>
      <c r="M557">
        <v>110.67140000000001</v>
      </c>
      <c r="N557">
        <v>50.05</v>
      </c>
      <c r="O557">
        <v>45.22</v>
      </c>
      <c r="P557">
        <v>5.0799999999999998E-2</v>
      </c>
      <c r="Q557">
        <v>26.05</v>
      </c>
      <c r="R557">
        <v>-43.1</v>
      </c>
    </row>
    <row r="558" spans="1:18" x14ac:dyDescent="0.2">
      <c r="A558" s="1">
        <v>42251</v>
      </c>
      <c r="B558" s="2">
        <v>-2.0074999999999998</v>
      </c>
      <c r="C558" s="3">
        <v>27.8</v>
      </c>
      <c r="D558">
        <v>10.91</v>
      </c>
      <c r="E558">
        <v>2.1244000000000001</v>
      </c>
      <c r="F558">
        <v>0.70669999999999999</v>
      </c>
      <c r="G558">
        <v>0.35499999999999998</v>
      </c>
      <c r="H558">
        <v>1.0999999999999999E-2</v>
      </c>
      <c r="I558">
        <v>-77.3</v>
      </c>
      <c r="J558">
        <v>-45.5</v>
      </c>
      <c r="K558">
        <v>-56.4</v>
      </c>
      <c r="L558">
        <v>-75</v>
      </c>
      <c r="M558">
        <v>111.1018</v>
      </c>
      <c r="N558">
        <v>49.61</v>
      </c>
      <c r="O558">
        <v>46.05</v>
      </c>
      <c r="P558">
        <v>2.5399999999999999E-2</v>
      </c>
      <c r="Q558">
        <v>27.8</v>
      </c>
      <c r="R558">
        <v>-47.3</v>
      </c>
    </row>
    <row r="559" spans="1:18" x14ac:dyDescent="0.2">
      <c r="A559" s="1">
        <v>42258</v>
      </c>
      <c r="B559" s="2">
        <v>-1.8975</v>
      </c>
      <c r="C559" s="3">
        <v>23.2</v>
      </c>
      <c r="D559">
        <v>10.827500000000001</v>
      </c>
      <c r="E559">
        <v>2.1882999999999999</v>
      </c>
      <c r="F559">
        <v>0.70530000000000004</v>
      </c>
      <c r="G559">
        <v>0.34</v>
      </c>
      <c r="H559">
        <v>1.0999999999999999E-2</v>
      </c>
      <c r="I559">
        <v>-78.599999999999994</v>
      </c>
      <c r="J559">
        <v>-46</v>
      </c>
      <c r="K559">
        <v>-54.85</v>
      </c>
      <c r="L559">
        <v>-75.8</v>
      </c>
      <c r="M559">
        <v>110.6109</v>
      </c>
      <c r="N559">
        <v>48.14</v>
      </c>
      <c r="O559">
        <v>44.63</v>
      </c>
      <c r="P559">
        <v>2.53E-2</v>
      </c>
      <c r="Q559">
        <v>23.2</v>
      </c>
      <c r="R559">
        <v>-45.55</v>
      </c>
    </row>
    <row r="560" spans="1:18" x14ac:dyDescent="0.2">
      <c r="A560" s="1">
        <v>42265</v>
      </c>
      <c r="B560" s="2">
        <v>-1.7975000000000001</v>
      </c>
      <c r="C560" s="3">
        <v>22.28</v>
      </c>
      <c r="D560">
        <v>10.282500000000001</v>
      </c>
      <c r="E560">
        <v>2.1335999999999999</v>
      </c>
      <c r="F560">
        <v>0.67769999999999997</v>
      </c>
      <c r="G560">
        <v>0.309</v>
      </c>
      <c r="H560">
        <v>7.0000000000000001E-3</v>
      </c>
      <c r="I560">
        <v>-81.95</v>
      </c>
      <c r="J560">
        <v>-53.75</v>
      </c>
      <c r="K560">
        <v>-56.25</v>
      </c>
      <c r="L560">
        <v>-77.5</v>
      </c>
      <c r="M560">
        <v>109.8165</v>
      </c>
      <c r="N560">
        <v>47.47</v>
      </c>
      <c r="O560">
        <v>44.68</v>
      </c>
      <c r="P560">
        <v>-1.52E-2</v>
      </c>
      <c r="Q560">
        <v>22.28</v>
      </c>
      <c r="R560">
        <v>-46.25</v>
      </c>
    </row>
    <row r="561" spans="1:18" x14ac:dyDescent="0.2">
      <c r="A561" s="1">
        <v>42272</v>
      </c>
      <c r="B561" s="2">
        <v>-1.9850000000000001</v>
      </c>
      <c r="C561" s="3">
        <v>23.62</v>
      </c>
      <c r="D561">
        <v>10.64</v>
      </c>
      <c r="E561">
        <v>2.1623000000000001</v>
      </c>
      <c r="F561">
        <v>0.69179999999999997</v>
      </c>
      <c r="G561">
        <v>0.31900000000000001</v>
      </c>
      <c r="H561">
        <v>8.0000000000000002E-3</v>
      </c>
      <c r="I561">
        <v>-80</v>
      </c>
      <c r="J561">
        <v>-50</v>
      </c>
      <c r="K561">
        <v>-54</v>
      </c>
      <c r="L561">
        <v>-75.8</v>
      </c>
      <c r="M561">
        <v>111.3725</v>
      </c>
      <c r="N561">
        <v>48.6</v>
      </c>
      <c r="O561">
        <v>45.7</v>
      </c>
      <c r="P561">
        <v>-2.0299999999999999E-2</v>
      </c>
      <c r="Q561">
        <v>23.62</v>
      </c>
      <c r="R561">
        <v>-44.5</v>
      </c>
    </row>
    <row r="562" spans="1:18" x14ac:dyDescent="0.2">
      <c r="A562" s="1">
        <v>42279</v>
      </c>
      <c r="B562" s="2">
        <v>-1.91</v>
      </c>
      <c r="C562" s="3">
        <v>20.94</v>
      </c>
      <c r="D562">
        <v>10.199999999999999</v>
      </c>
      <c r="E562">
        <v>1.9928999999999999</v>
      </c>
      <c r="F562">
        <v>0.57940000000000003</v>
      </c>
      <c r="G562">
        <v>0.312</v>
      </c>
      <c r="H562">
        <v>-1E-3</v>
      </c>
      <c r="I562">
        <v>-79.8</v>
      </c>
      <c r="J562">
        <v>-51.3</v>
      </c>
      <c r="K562">
        <v>-53.8</v>
      </c>
      <c r="L562">
        <v>-75.599999999999994</v>
      </c>
      <c r="M562">
        <v>110.70059999999999</v>
      </c>
      <c r="N562">
        <v>48.13</v>
      </c>
      <c r="O562">
        <v>45.54</v>
      </c>
      <c r="P562">
        <v>-5.1000000000000004E-3</v>
      </c>
      <c r="Q562">
        <v>20.94</v>
      </c>
      <c r="R562">
        <v>-44</v>
      </c>
    </row>
    <row r="563" spans="1:18" x14ac:dyDescent="0.2">
      <c r="A563" s="1">
        <v>42286</v>
      </c>
      <c r="B563" s="2">
        <v>-1.665</v>
      </c>
      <c r="C563" s="3">
        <v>17.079999999999998</v>
      </c>
      <c r="D563">
        <v>9.1649999999999991</v>
      </c>
      <c r="E563">
        <v>2.0880999999999998</v>
      </c>
      <c r="F563">
        <v>0.63700000000000001</v>
      </c>
      <c r="G563">
        <v>0.315</v>
      </c>
      <c r="H563">
        <v>3.0000000000000001E-3</v>
      </c>
      <c r="I563">
        <v>-78</v>
      </c>
      <c r="J563">
        <v>-50</v>
      </c>
      <c r="K563">
        <v>-50.8</v>
      </c>
      <c r="L563">
        <v>-72.900000000000006</v>
      </c>
      <c r="M563">
        <v>109.0782</v>
      </c>
      <c r="N563">
        <v>52.65</v>
      </c>
      <c r="O563">
        <v>49.63</v>
      </c>
      <c r="P563">
        <v>0</v>
      </c>
      <c r="Q563">
        <v>17.079999999999998</v>
      </c>
      <c r="R563">
        <v>-41</v>
      </c>
    </row>
    <row r="564" spans="1:18" x14ac:dyDescent="0.2">
      <c r="A564" s="1">
        <v>42293</v>
      </c>
      <c r="B564" s="2">
        <v>-1.7450000000000001</v>
      </c>
      <c r="C564" s="3">
        <v>15.05</v>
      </c>
      <c r="D564">
        <v>9.1300000000000008</v>
      </c>
      <c r="E564">
        <v>2.0333999999999999</v>
      </c>
      <c r="F564">
        <v>0.60880000000000001</v>
      </c>
      <c r="G564">
        <v>0.315</v>
      </c>
      <c r="H564">
        <v>4.0000000000000001E-3</v>
      </c>
      <c r="I564">
        <v>-76.75</v>
      </c>
      <c r="J564">
        <v>-47.625</v>
      </c>
      <c r="K564">
        <v>-48</v>
      </c>
      <c r="L564">
        <v>-70.400000000000006</v>
      </c>
      <c r="M564">
        <v>108.9956</v>
      </c>
      <c r="N564">
        <v>50.46</v>
      </c>
      <c r="O564">
        <v>47.26</v>
      </c>
      <c r="P564">
        <v>0</v>
      </c>
      <c r="Q564">
        <v>15.05</v>
      </c>
      <c r="R564">
        <v>-38.5</v>
      </c>
    </row>
    <row r="565" spans="1:18" x14ac:dyDescent="0.2">
      <c r="A565" s="1">
        <v>42300</v>
      </c>
      <c r="B565" s="2">
        <v>-1.6625000000000001</v>
      </c>
      <c r="C565" s="3">
        <v>14.46</v>
      </c>
      <c r="D565">
        <v>9.0050000000000008</v>
      </c>
      <c r="E565">
        <v>2.0865999999999998</v>
      </c>
      <c r="F565">
        <v>0.64129999999999998</v>
      </c>
      <c r="G565">
        <v>0.29799999999999999</v>
      </c>
      <c r="H565">
        <v>1.0999999999999999E-2</v>
      </c>
      <c r="I565">
        <v>-80.900000000000006</v>
      </c>
      <c r="J565">
        <v>-51.25</v>
      </c>
      <c r="K565">
        <v>-53</v>
      </c>
      <c r="L565">
        <v>-75.25</v>
      </c>
      <c r="M565">
        <v>110.4329</v>
      </c>
      <c r="N565">
        <v>47.99</v>
      </c>
      <c r="O565">
        <v>44.6</v>
      </c>
      <c r="P565">
        <v>0</v>
      </c>
      <c r="Q565">
        <v>14.46</v>
      </c>
      <c r="R565">
        <v>-43.3</v>
      </c>
    </row>
    <row r="566" spans="1:18" x14ac:dyDescent="0.2">
      <c r="A566" s="1">
        <v>42307</v>
      </c>
      <c r="B566" s="2">
        <v>-1.6675</v>
      </c>
      <c r="C566" s="3">
        <v>15.07</v>
      </c>
      <c r="D566">
        <v>8.3350000000000009</v>
      </c>
      <c r="E566">
        <v>2.1421000000000001</v>
      </c>
      <c r="F566">
        <v>0.72399999999999998</v>
      </c>
      <c r="G566">
        <v>0.30399999999999999</v>
      </c>
      <c r="H566">
        <v>2E-3</v>
      </c>
      <c r="I566">
        <v>-82</v>
      </c>
      <c r="J566">
        <v>-52.5</v>
      </c>
      <c r="K566">
        <v>-50.8</v>
      </c>
      <c r="L566">
        <v>-74.900000000000006</v>
      </c>
      <c r="M566">
        <v>110.2079</v>
      </c>
      <c r="N566">
        <v>49.56</v>
      </c>
      <c r="O566">
        <v>46.59</v>
      </c>
      <c r="P566">
        <v>7.1199999999999999E-2</v>
      </c>
      <c r="Q566">
        <v>15.07</v>
      </c>
      <c r="R566">
        <v>-40.75</v>
      </c>
    </row>
    <row r="567" spans="1:18" x14ac:dyDescent="0.2">
      <c r="A567" s="1">
        <v>42314</v>
      </c>
      <c r="B567" s="2">
        <v>-1.5974999999999999</v>
      </c>
      <c r="C567" s="3">
        <v>14.33</v>
      </c>
      <c r="D567">
        <v>8.8149999999999995</v>
      </c>
      <c r="E567">
        <v>2.3252000000000002</v>
      </c>
      <c r="F567">
        <v>0.88590000000000002</v>
      </c>
      <c r="G567">
        <v>0.316</v>
      </c>
      <c r="H567">
        <v>-4.0000000000000001E-3</v>
      </c>
      <c r="I567">
        <v>-93.75</v>
      </c>
      <c r="J567">
        <v>-65.5</v>
      </c>
      <c r="K567">
        <v>-60.5</v>
      </c>
      <c r="L567">
        <v>-86.95</v>
      </c>
      <c r="M567">
        <v>111.7603</v>
      </c>
      <c r="N567">
        <v>47.42</v>
      </c>
      <c r="O567">
        <v>44.29</v>
      </c>
      <c r="P567">
        <v>7.6100000000000001E-2</v>
      </c>
      <c r="Q567">
        <v>14.33</v>
      </c>
      <c r="R567">
        <v>-50</v>
      </c>
    </row>
    <row r="568" spans="1:18" x14ac:dyDescent="0.2">
      <c r="A568" s="1">
        <v>42321</v>
      </c>
      <c r="B568" s="2">
        <v>-1.4975000000000001</v>
      </c>
      <c r="C568" s="3">
        <v>20.079999999999998</v>
      </c>
      <c r="D568">
        <v>8.6549999999999994</v>
      </c>
      <c r="E568">
        <v>2.2658</v>
      </c>
      <c r="F568">
        <v>0.8347</v>
      </c>
      <c r="G568">
        <v>0.3</v>
      </c>
      <c r="H568">
        <v>-1.0999999999999999E-2</v>
      </c>
      <c r="I568">
        <v>-91.6</v>
      </c>
      <c r="J568">
        <v>-67.5</v>
      </c>
      <c r="K568">
        <v>-54.7</v>
      </c>
      <c r="L568">
        <v>-84.4</v>
      </c>
      <c r="M568">
        <v>112.0264</v>
      </c>
      <c r="N568">
        <v>43.61</v>
      </c>
      <c r="O568">
        <v>40.74</v>
      </c>
      <c r="P568">
        <v>0.1169</v>
      </c>
      <c r="Q568">
        <v>20.079999999999998</v>
      </c>
      <c r="R568">
        <v>-44</v>
      </c>
    </row>
    <row r="569" spans="1:18" x14ac:dyDescent="0.2">
      <c r="A569" s="1">
        <v>42328</v>
      </c>
      <c r="B569" s="2">
        <v>-1.3325</v>
      </c>
      <c r="C569" s="3">
        <v>15.47</v>
      </c>
      <c r="D569">
        <v>8.3149999999999995</v>
      </c>
      <c r="E569">
        <v>2.2623000000000002</v>
      </c>
      <c r="F569">
        <v>0.91720000000000002</v>
      </c>
      <c r="G569">
        <v>0.31900000000000001</v>
      </c>
      <c r="H569">
        <v>-2.5000000000000001E-2</v>
      </c>
      <c r="I569">
        <v>-90</v>
      </c>
      <c r="J569">
        <v>-64</v>
      </c>
      <c r="K569">
        <v>-55.25</v>
      </c>
      <c r="L569">
        <v>-86.375</v>
      </c>
      <c r="M569">
        <v>111.7799</v>
      </c>
      <c r="N569">
        <v>44.66</v>
      </c>
      <c r="O569">
        <v>40.39</v>
      </c>
      <c r="P569">
        <v>9.6600000000000005E-2</v>
      </c>
      <c r="Q569">
        <v>15.47</v>
      </c>
      <c r="R569">
        <v>-44.25</v>
      </c>
    </row>
    <row r="570" spans="1:18" x14ac:dyDescent="0.2">
      <c r="A570" s="1">
        <v>42335</v>
      </c>
      <c r="B570" s="2">
        <v>-1.3925000000000001</v>
      </c>
      <c r="C570" s="3">
        <v>15.12</v>
      </c>
      <c r="D570">
        <v>8.3849999999999998</v>
      </c>
      <c r="E570">
        <v>2.2201</v>
      </c>
      <c r="F570">
        <v>0.91849999999999998</v>
      </c>
      <c r="G570">
        <v>0.3</v>
      </c>
      <c r="H570">
        <v>-1.2999999999999999E-2</v>
      </c>
      <c r="I570">
        <v>-89.5</v>
      </c>
      <c r="J570">
        <v>-61.75</v>
      </c>
      <c r="K570">
        <v>-56.8</v>
      </c>
      <c r="L570">
        <v>-85.55</v>
      </c>
      <c r="M570">
        <v>112.2824</v>
      </c>
      <c r="N570">
        <v>44.86</v>
      </c>
      <c r="O570">
        <v>41.71</v>
      </c>
      <c r="P570">
        <v>0.1678</v>
      </c>
      <c r="Q570">
        <v>15.12</v>
      </c>
      <c r="R570">
        <v>-44.3</v>
      </c>
    </row>
    <row r="571" spans="1:18" x14ac:dyDescent="0.2">
      <c r="A571" s="1">
        <v>42342</v>
      </c>
      <c r="B571" s="2">
        <v>-1.4025000000000001</v>
      </c>
      <c r="C571" s="3">
        <v>14.81</v>
      </c>
      <c r="D571">
        <v>7.78</v>
      </c>
      <c r="E571">
        <v>2.2692999999999999</v>
      </c>
      <c r="F571">
        <v>0.93879999999999997</v>
      </c>
      <c r="G571">
        <v>0.33600000000000002</v>
      </c>
      <c r="H571">
        <v>-2.3E-2</v>
      </c>
      <c r="I571">
        <v>-90.25</v>
      </c>
      <c r="J571">
        <v>-59.5</v>
      </c>
      <c r="K571">
        <v>-53.5</v>
      </c>
      <c r="L571">
        <v>-84.25</v>
      </c>
      <c r="M571">
        <v>111.5463</v>
      </c>
      <c r="N571">
        <v>43</v>
      </c>
      <c r="O571">
        <v>39.97</v>
      </c>
      <c r="P571">
        <v>0.21360000000000001</v>
      </c>
      <c r="Q571">
        <v>14.81</v>
      </c>
      <c r="R571">
        <v>-42.875</v>
      </c>
    </row>
    <row r="572" spans="1:18" x14ac:dyDescent="0.2">
      <c r="A572" s="1">
        <v>42349</v>
      </c>
      <c r="B572" s="2">
        <v>-1.53</v>
      </c>
      <c r="C572" s="3">
        <v>24.39</v>
      </c>
      <c r="D572">
        <v>8.81</v>
      </c>
      <c r="E572">
        <v>2.1269999999999998</v>
      </c>
      <c r="F572">
        <v>0.875</v>
      </c>
      <c r="G572">
        <v>0.317</v>
      </c>
      <c r="H572">
        <v>-2.9000000000000001E-2</v>
      </c>
      <c r="I572">
        <v>-88.4</v>
      </c>
      <c r="J572">
        <v>-60.75</v>
      </c>
      <c r="K572">
        <v>-52.375</v>
      </c>
      <c r="L572">
        <v>-83.4</v>
      </c>
      <c r="M572">
        <v>112.71469999999999</v>
      </c>
      <c r="N572">
        <v>37.93</v>
      </c>
      <c r="O572">
        <v>35.619999999999997</v>
      </c>
      <c r="P572">
        <v>0.21870000000000001</v>
      </c>
      <c r="Q572">
        <v>24.39</v>
      </c>
      <c r="R572">
        <v>-41.875</v>
      </c>
    </row>
    <row r="573" spans="1:18" x14ac:dyDescent="0.2">
      <c r="A573" s="1">
        <v>42356</v>
      </c>
      <c r="B573" s="2">
        <v>-1.5349999999999999</v>
      </c>
      <c r="C573" s="3">
        <v>20.7</v>
      </c>
      <c r="D573">
        <v>8.2899999999999991</v>
      </c>
      <c r="E573">
        <v>2.2040000000000002</v>
      </c>
      <c r="F573">
        <v>0.95220000000000005</v>
      </c>
      <c r="G573">
        <v>0.26500000000000001</v>
      </c>
      <c r="H573">
        <v>-5.2999999999999999E-2</v>
      </c>
      <c r="I573">
        <v>-84</v>
      </c>
      <c r="J573">
        <v>-53.5</v>
      </c>
      <c r="K573">
        <v>-49.5</v>
      </c>
      <c r="L573">
        <v>-80.875</v>
      </c>
      <c r="M573">
        <v>113.2837</v>
      </c>
      <c r="N573">
        <v>36.880000000000003</v>
      </c>
      <c r="O573">
        <v>34.729999999999997</v>
      </c>
      <c r="P573">
        <v>0.1729</v>
      </c>
      <c r="Q573">
        <v>20.7</v>
      </c>
      <c r="R573">
        <v>-39</v>
      </c>
    </row>
    <row r="574" spans="1:18" x14ac:dyDescent="0.2">
      <c r="A574" s="1">
        <v>42363</v>
      </c>
      <c r="B574" s="2">
        <v>-1.4950000000000001</v>
      </c>
      <c r="C574" s="3">
        <v>15.74</v>
      </c>
      <c r="D574">
        <v>8.2799999999999994</v>
      </c>
      <c r="E574">
        <v>2.2410000000000001</v>
      </c>
      <c r="F574">
        <v>0.99829999999999997</v>
      </c>
      <c r="G574">
        <v>0.27400000000000002</v>
      </c>
      <c r="H574">
        <v>-1.2E-2</v>
      </c>
      <c r="I574">
        <v>-82.1</v>
      </c>
      <c r="J574">
        <v>-50.25</v>
      </c>
      <c r="K574">
        <v>-51.4</v>
      </c>
      <c r="L574">
        <v>-80.599999999999994</v>
      </c>
      <c r="M574">
        <v>113.0496</v>
      </c>
      <c r="N574">
        <v>37.89</v>
      </c>
      <c r="O574">
        <v>38.1</v>
      </c>
      <c r="P574">
        <v>0.1983</v>
      </c>
      <c r="Q574">
        <v>15.74</v>
      </c>
      <c r="R574">
        <v>-40.9</v>
      </c>
    </row>
    <row r="575" spans="1:18" x14ac:dyDescent="0.2">
      <c r="A575" s="1">
        <v>42370</v>
      </c>
      <c r="B575" s="2">
        <v>-1.43</v>
      </c>
      <c r="C575" s="3">
        <v>18.21</v>
      </c>
      <c r="D575">
        <v>8.01</v>
      </c>
      <c r="E575">
        <v>2.2694000000000001</v>
      </c>
      <c r="F575">
        <v>1.0477000000000001</v>
      </c>
      <c r="G575">
        <v>0.26</v>
      </c>
      <c r="H575">
        <v>-1.4E-2</v>
      </c>
      <c r="I575">
        <v>-82.6</v>
      </c>
      <c r="J575">
        <v>-55.875</v>
      </c>
      <c r="K575">
        <v>-49.8</v>
      </c>
      <c r="L575">
        <v>-79.099999999999994</v>
      </c>
      <c r="M575">
        <v>113.3429</v>
      </c>
      <c r="N575">
        <v>37.28</v>
      </c>
      <c r="O575">
        <v>37.04</v>
      </c>
      <c r="P575">
        <v>0.16270000000000001</v>
      </c>
      <c r="Q575">
        <v>18.21</v>
      </c>
      <c r="R575">
        <v>-40.1</v>
      </c>
    </row>
    <row r="576" spans="1:18" x14ac:dyDescent="0.2">
      <c r="A576" s="1">
        <v>42377</v>
      </c>
      <c r="B576" s="2">
        <v>-2.09</v>
      </c>
      <c r="C576" s="3">
        <v>27.01</v>
      </c>
      <c r="D576">
        <v>9.6</v>
      </c>
      <c r="E576">
        <v>2.1156000000000001</v>
      </c>
      <c r="F576">
        <v>0.93179999999999996</v>
      </c>
      <c r="G576">
        <v>0.221</v>
      </c>
      <c r="H576">
        <v>-2.5000000000000001E-2</v>
      </c>
      <c r="I576">
        <v>-82</v>
      </c>
      <c r="J576">
        <v>-53.625</v>
      </c>
      <c r="K576">
        <v>-49.5</v>
      </c>
      <c r="L576">
        <v>-78.25</v>
      </c>
      <c r="M576">
        <v>115.0095</v>
      </c>
      <c r="N576">
        <v>33.549999999999997</v>
      </c>
      <c r="O576">
        <v>33.159999999999997</v>
      </c>
      <c r="P576">
        <v>0.1933</v>
      </c>
      <c r="Q576">
        <v>27.01</v>
      </c>
      <c r="R576">
        <v>-40</v>
      </c>
    </row>
    <row r="577" spans="1:18" x14ac:dyDescent="0.2">
      <c r="A577" s="1">
        <v>42384</v>
      </c>
      <c r="B577" s="2">
        <v>-2.2324999999999999</v>
      </c>
      <c r="C577" s="3">
        <v>27.02</v>
      </c>
      <c r="D577">
        <v>10.3375</v>
      </c>
      <c r="E577">
        <v>2.0347</v>
      </c>
      <c r="F577">
        <v>0.85</v>
      </c>
      <c r="G577">
        <v>0.214</v>
      </c>
      <c r="H577">
        <v>-3.4000000000000002E-2</v>
      </c>
      <c r="I577">
        <v>-82.625</v>
      </c>
      <c r="J577">
        <v>-52.75</v>
      </c>
      <c r="K577">
        <v>-50.25</v>
      </c>
      <c r="L577">
        <v>-78.75</v>
      </c>
      <c r="M577">
        <v>115.74039999999999</v>
      </c>
      <c r="N577">
        <v>28.94</v>
      </c>
      <c r="O577">
        <v>29.42</v>
      </c>
      <c r="P577">
        <v>0.22889999999999999</v>
      </c>
      <c r="Q577">
        <v>27.02</v>
      </c>
      <c r="R577">
        <v>-41</v>
      </c>
    </row>
    <row r="578" spans="1:18" x14ac:dyDescent="0.2">
      <c r="A578" s="1">
        <v>42391</v>
      </c>
      <c r="B578" s="2">
        <v>-2.0249999999999999</v>
      </c>
      <c r="C578" s="3">
        <v>22.34</v>
      </c>
      <c r="D578">
        <v>10</v>
      </c>
      <c r="E578">
        <v>2.0518999999999998</v>
      </c>
      <c r="F578">
        <v>0.86909999999999998</v>
      </c>
      <c r="G578">
        <v>0.23200000000000001</v>
      </c>
      <c r="H578">
        <v>-2.5000000000000001E-2</v>
      </c>
      <c r="I578">
        <v>-81</v>
      </c>
      <c r="J578">
        <v>-51</v>
      </c>
      <c r="K578">
        <v>-49.8</v>
      </c>
      <c r="L578">
        <v>-77.625</v>
      </c>
      <c r="M578">
        <v>115.9833</v>
      </c>
      <c r="N578">
        <v>32.18</v>
      </c>
      <c r="O578">
        <v>32.19</v>
      </c>
      <c r="P578">
        <v>0.29499999999999998</v>
      </c>
      <c r="Q578">
        <v>22.34</v>
      </c>
      <c r="R578">
        <v>-41</v>
      </c>
    </row>
    <row r="579" spans="1:18" x14ac:dyDescent="0.2">
      <c r="A579" s="1">
        <v>42398</v>
      </c>
      <c r="B579" s="2">
        <v>-1.98</v>
      </c>
      <c r="C579" s="3">
        <v>20.2</v>
      </c>
      <c r="D579">
        <v>9.5775000000000006</v>
      </c>
      <c r="E579">
        <v>1.9209000000000001</v>
      </c>
      <c r="F579">
        <v>0.77370000000000005</v>
      </c>
      <c r="G579">
        <v>9.5000000000000001E-2</v>
      </c>
      <c r="H579">
        <v>-0.08</v>
      </c>
      <c r="I579">
        <v>-91.75</v>
      </c>
      <c r="J579">
        <v>-59.25</v>
      </c>
      <c r="K579">
        <v>-63.5</v>
      </c>
      <c r="L579">
        <v>-89.25</v>
      </c>
      <c r="M579">
        <v>115.5731</v>
      </c>
      <c r="N579">
        <v>34.74</v>
      </c>
      <c r="O579">
        <v>33.619999999999997</v>
      </c>
      <c r="P579">
        <v>0.31030000000000002</v>
      </c>
      <c r="Q579">
        <v>20.2</v>
      </c>
      <c r="R579">
        <v>-54.5</v>
      </c>
    </row>
    <row r="580" spans="1:18" x14ac:dyDescent="0.2">
      <c r="A580" s="1">
        <v>42405</v>
      </c>
      <c r="B580" s="2">
        <v>-1.79</v>
      </c>
      <c r="C580" s="3">
        <v>23.38</v>
      </c>
      <c r="D580">
        <v>10.227499999999999</v>
      </c>
      <c r="E580">
        <v>1.8357000000000001</v>
      </c>
      <c r="F580">
        <v>0.72209999999999996</v>
      </c>
      <c r="G580">
        <v>2.1999999999999999E-2</v>
      </c>
      <c r="H580">
        <v>-0.19600000000000001</v>
      </c>
      <c r="I580">
        <v>-96.5</v>
      </c>
      <c r="J580">
        <v>-64</v>
      </c>
      <c r="K580">
        <v>-68.3</v>
      </c>
      <c r="L580">
        <v>-93.75</v>
      </c>
      <c r="M580">
        <v>114.29349999999999</v>
      </c>
      <c r="N580">
        <v>34.06</v>
      </c>
      <c r="O580">
        <v>30.89</v>
      </c>
      <c r="P580">
        <v>0.28989999999999999</v>
      </c>
      <c r="Q580">
        <v>23.38</v>
      </c>
      <c r="R580">
        <v>-59.5</v>
      </c>
    </row>
    <row r="581" spans="1:18" x14ac:dyDescent="0.2">
      <c r="A581" s="1">
        <v>42412</v>
      </c>
      <c r="B581" s="2">
        <v>-2.13</v>
      </c>
      <c r="C581" s="3">
        <v>25.4</v>
      </c>
      <c r="D581">
        <v>13.07</v>
      </c>
      <c r="E581">
        <v>1.7481</v>
      </c>
      <c r="F581">
        <v>0.7137</v>
      </c>
      <c r="G581">
        <v>0.08</v>
      </c>
      <c r="H581">
        <v>-0.16500000000000001</v>
      </c>
      <c r="I581">
        <v>-97.674999999999997</v>
      </c>
      <c r="J581">
        <v>-65</v>
      </c>
      <c r="K581">
        <v>-69.95</v>
      </c>
      <c r="L581">
        <v>-94.55</v>
      </c>
      <c r="M581">
        <v>114.2992</v>
      </c>
      <c r="N581">
        <v>33.36</v>
      </c>
      <c r="O581">
        <v>29.44</v>
      </c>
      <c r="P581">
        <v>0.27979999999999999</v>
      </c>
      <c r="Q581">
        <v>25.4</v>
      </c>
      <c r="R581">
        <v>-61.55</v>
      </c>
    </row>
    <row r="582" spans="1:18" x14ac:dyDescent="0.2">
      <c r="A582" s="1">
        <v>42419</v>
      </c>
      <c r="B582" s="2">
        <v>-2.0299999999999998</v>
      </c>
      <c r="C582" s="3">
        <v>20.53</v>
      </c>
      <c r="D582">
        <v>12.77</v>
      </c>
      <c r="E582">
        <v>1.7448999999999999</v>
      </c>
      <c r="F582">
        <v>0.74180000000000001</v>
      </c>
      <c r="G582">
        <v>6.0000000000000001E-3</v>
      </c>
      <c r="H582">
        <v>-0.2</v>
      </c>
      <c r="I582">
        <v>-97.5</v>
      </c>
      <c r="J582">
        <v>-64.5</v>
      </c>
      <c r="K582">
        <v>-68.3</v>
      </c>
      <c r="L582">
        <v>-93.25</v>
      </c>
      <c r="M582">
        <v>113.9558</v>
      </c>
      <c r="N582">
        <v>33.01</v>
      </c>
      <c r="O582">
        <v>29.64</v>
      </c>
      <c r="P582">
        <v>0.28989999999999999</v>
      </c>
      <c r="Q582">
        <v>20.53</v>
      </c>
      <c r="R582">
        <v>-59.8</v>
      </c>
    </row>
    <row r="583" spans="1:18" x14ac:dyDescent="0.2">
      <c r="A583" s="1">
        <v>42426</v>
      </c>
      <c r="B583" s="2">
        <v>-2.0649999999999999</v>
      </c>
      <c r="C583" s="3">
        <v>19.809999999999999</v>
      </c>
      <c r="D583">
        <v>12.07</v>
      </c>
      <c r="E583">
        <v>1.7623</v>
      </c>
      <c r="F583">
        <v>0.79339999999999999</v>
      </c>
      <c r="G583">
        <v>-7.3999999999999996E-2</v>
      </c>
      <c r="H583">
        <v>-0.23100000000000001</v>
      </c>
      <c r="I583">
        <v>-98.3</v>
      </c>
      <c r="J583">
        <v>-63.5</v>
      </c>
      <c r="K583">
        <v>-68</v>
      </c>
      <c r="L583">
        <v>-94</v>
      </c>
      <c r="M583">
        <v>114.3708</v>
      </c>
      <c r="N583">
        <v>35.1</v>
      </c>
      <c r="O583">
        <v>32.78</v>
      </c>
      <c r="P583">
        <v>0.31030000000000002</v>
      </c>
      <c r="Q583">
        <v>19.809999999999999</v>
      </c>
      <c r="R583">
        <v>-59.5</v>
      </c>
    </row>
    <row r="584" spans="1:18" x14ac:dyDescent="0.2">
      <c r="A584" s="1">
        <v>42433</v>
      </c>
      <c r="B584" s="2">
        <v>-1.7524999999999999</v>
      </c>
      <c r="C584" s="3">
        <v>16.86</v>
      </c>
      <c r="D584">
        <v>10.5825</v>
      </c>
      <c r="E584">
        <v>1.8741000000000001</v>
      </c>
      <c r="F584">
        <v>0.86160000000000003</v>
      </c>
      <c r="G584">
        <v>-0.05</v>
      </c>
      <c r="H584">
        <v>-0.20599999999999999</v>
      </c>
      <c r="I584">
        <v>-101.5</v>
      </c>
      <c r="J584">
        <v>-63.25</v>
      </c>
      <c r="K584">
        <v>-71.3</v>
      </c>
      <c r="L584">
        <v>-97.5</v>
      </c>
      <c r="M584">
        <v>112.6387</v>
      </c>
      <c r="N584">
        <v>38.72</v>
      </c>
      <c r="O584">
        <v>35.92</v>
      </c>
      <c r="P584">
        <v>0.26450000000000001</v>
      </c>
      <c r="Q584">
        <v>16.86</v>
      </c>
      <c r="R584">
        <v>-62.75</v>
      </c>
    </row>
    <row r="585" spans="1:18" x14ac:dyDescent="0.2">
      <c r="A585" s="1">
        <v>42440</v>
      </c>
      <c r="B585" s="2">
        <v>-1.7949999999999999</v>
      </c>
      <c r="C585" s="3">
        <v>16.5</v>
      </c>
      <c r="D585">
        <v>10.762499999999999</v>
      </c>
      <c r="E585">
        <v>1.9839</v>
      </c>
      <c r="F585">
        <v>0.95540000000000003</v>
      </c>
      <c r="G585">
        <v>-1.2999999999999999E-2</v>
      </c>
      <c r="H585">
        <v>-0.16</v>
      </c>
      <c r="I585">
        <v>-99.8</v>
      </c>
      <c r="J585">
        <v>-60.25</v>
      </c>
      <c r="K585">
        <v>-71.5</v>
      </c>
      <c r="L585">
        <v>-97</v>
      </c>
      <c r="M585">
        <v>111.741</v>
      </c>
      <c r="N585">
        <v>40.39</v>
      </c>
      <c r="O585">
        <v>38.5</v>
      </c>
      <c r="P585">
        <v>0.31540000000000001</v>
      </c>
      <c r="Q585">
        <v>16.5</v>
      </c>
      <c r="R585">
        <v>-62.5</v>
      </c>
    </row>
    <row r="586" spans="1:18" x14ac:dyDescent="0.2">
      <c r="A586" s="1">
        <v>42447</v>
      </c>
      <c r="B586" s="2">
        <v>-1.5449999999999999</v>
      </c>
      <c r="C586" s="3">
        <v>14.02</v>
      </c>
      <c r="D586">
        <v>10.195</v>
      </c>
      <c r="E586">
        <v>1.8732</v>
      </c>
      <c r="F586">
        <v>0.83530000000000004</v>
      </c>
      <c r="G586">
        <v>-9.8000000000000004E-2</v>
      </c>
      <c r="H586">
        <v>-0.23899999999999999</v>
      </c>
      <c r="I586">
        <v>-96.8</v>
      </c>
      <c r="J586">
        <v>-56.5</v>
      </c>
      <c r="K586">
        <v>-70</v>
      </c>
      <c r="L586">
        <v>-94.75</v>
      </c>
      <c r="M586">
        <v>110.4002</v>
      </c>
      <c r="N586">
        <v>41.2</v>
      </c>
      <c r="O586">
        <v>39.44</v>
      </c>
      <c r="P586">
        <v>0.28489999999999999</v>
      </c>
      <c r="Q586">
        <v>14.02</v>
      </c>
      <c r="R586">
        <v>-61.125</v>
      </c>
    </row>
    <row r="587" spans="1:18" x14ac:dyDescent="0.2">
      <c r="A587" s="1">
        <v>42454</v>
      </c>
      <c r="B587" s="2">
        <v>-1.56</v>
      </c>
      <c r="C587" s="3">
        <v>14.74</v>
      </c>
      <c r="D587">
        <v>10.505000000000001</v>
      </c>
      <c r="E587">
        <v>1.9</v>
      </c>
      <c r="F587">
        <v>0.86890000000000001</v>
      </c>
      <c r="G587">
        <v>-9.8000000000000004E-2</v>
      </c>
      <c r="H587">
        <v>-0.245</v>
      </c>
      <c r="I587">
        <v>-94.8</v>
      </c>
      <c r="J587">
        <v>-54</v>
      </c>
      <c r="K587">
        <v>-67.8</v>
      </c>
      <c r="L587">
        <v>-97</v>
      </c>
      <c r="M587">
        <v>111.7698</v>
      </c>
      <c r="N587">
        <v>40.44</v>
      </c>
      <c r="O587">
        <v>39.46</v>
      </c>
      <c r="P587">
        <v>0.27979999999999999</v>
      </c>
      <c r="Q587">
        <v>14.74</v>
      </c>
      <c r="R587">
        <v>-62.9</v>
      </c>
    </row>
    <row r="588" spans="1:18" x14ac:dyDescent="0.2">
      <c r="A588" s="1">
        <v>42461</v>
      </c>
      <c r="B588" s="2">
        <v>-1.33</v>
      </c>
      <c r="C588" s="3">
        <v>13.1</v>
      </c>
      <c r="D588">
        <v>9.93</v>
      </c>
      <c r="E588">
        <v>1.7705</v>
      </c>
      <c r="F588">
        <v>0.72240000000000004</v>
      </c>
      <c r="G588">
        <v>-6.7000000000000004E-2</v>
      </c>
      <c r="H588">
        <v>-0.22800000000000001</v>
      </c>
      <c r="I588">
        <v>-92.3</v>
      </c>
      <c r="J588">
        <v>-57</v>
      </c>
      <c r="K588">
        <v>-65</v>
      </c>
      <c r="L588">
        <v>-89.875</v>
      </c>
      <c r="M588">
        <v>110.29770000000001</v>
      </c>
      <c r="N588">
        <v>38.67</v>
      </c>
      <c r="O588">
        <v>36.79</v>
      </c>
      <c r="P588">
        <v>0.2238</v>
      </c>
      <c r="Q588">
        <v>13.1</v>
      </c>
      <c r="R588">
        <v>-56.375</v>
      </c>
    </row>
    <row r="589" spans="1:18" x14ac:dyDescent="0.2">
      <c r="A589" s="1">
        <v>42468</v>
      </c>
      <c r="B589" s="2">
        <v>-1.57</v>
      </c>
      <c r="C589" s="3">
        <v>15.36</v>
      </c>
      <c r="D589">
        <v>11.705</v>
      </c>
      <c r="E589">
        <v>1.7166999999999999</v>
      </c>
      <c r="F589">
        <v>0.69499999999999995</v>
      </c>
      <c r="G589">
        <v>-8.7999999999999995E-2</v>
      </c>
      <c r="H589">
        <v>-0.25700000000000001</v>
      </c>
      <c r="I589">
        <v>-91.5</v>
      </c>
      <c r="J589">
        <v>-58.25</v>
      </c>
      <c r="K589">
        <v>-63</v>
      </c>
      <c r="L589">
        <v>-90.1</v>
      </c>
      <c r="M589">
        <v>110.4213</v>
      </c>
      <c r="N589">
        <v>41.94</v>
      </c>
      <c r="O589">
        <v>39.72</v>
      </c>
      <c r="P589">
        <v>0.2238</v>
      </c>
      <c r="Q589">
        <v>15.36</v>
      </c>
      <c r="R589">
        <v>-54.8</v>
      </c>
    </row>
    <row r="590" spans="1:18" x14ac:dyDescent="0.2">
      <c r="A590" s="1">
        <v>42475</v>
      </c>
      <c r="B590" s="2">
        <v>-1.5</v>
      </c>
      <c r="C590" s="3">
        <v>13.62</v>
      </c>
      <c r="D590">
        <v>11.275</v>
      </c>
      <c r="E590">
        <v>1.7518</v>
      </c>
      <c r="F590">
        <v>0.73350000000000004</v>
      </c>
      <c r="G590">
        <v>-0.123</v>
      </c>
      <c r="H590">
        <v>-0.253</v>
      </c>
      <c r="I590">
        <v>-91.5</v>
      </c>
      <c r="J590">
        <v>-56.625</v>
      </c>
      <c r="K590">
        <v>-61.75</v>
      </c>
      <c r="L590">
        <v>-90.125</v>
      </c>
      <c r="M590">
        <v>110.19329999999999</v>
      </c>
      <c r="N590">
        <v>43.1</v>
      </c>
      <c r="O590">
        <v>40.36</v>
      </c>
      <c r="P590">
        <v>0.21870000000000001</v>
      </c>
      <c r="Q590">
        <v>13.62</v>
      </c>
      <c r="R590">
        <v>-53.5</v>
      </c>
    </row>
    <row r="591" spans="1:18" x14ac:dyDescent="0.2">
      <c r="A591" s="1">
        <v>42482</v>
      </c>
      <c r="B591" s="2">
        <v>-1.63</v>
      </c>
      <c r="C591" s="3">
        <v>13.22</v>
      </c>
      <c r="D591">
        <v>11.295</v>
      </c>
      <c r="E591">
        <v>1.8877999999999999</v>
      </c>
      <c r="F591">
        <v>0.81779999999999997</v>
      </c>
      <c r="G591">
        <v>-0.115</v>
      </c>
      <c r="H591">
        <v>-0.28599999999999998</v>
      </c>
      <c r="I591">
        <v>-87.75</v>
      </c>
      <c r="J591">
        <v>-56.125</v>
      </c>
      <c r="K591">
        <v>-56.25</v>
      </c>
      <c r="L591">
        <v>-87.25</v>
      </c>
      <c r="M591">
        <v>110.23309999999999</v>
      </c>
      <c r="N591">
        <v>45.11</v>
      </c>
      <c r="O591">
        <v>43.73</v>
      </c>
      <c r="P591">
        <v>0.22889999999999999</v>
      </c>
      <c r="Q591">
        <v>13.22</v>
      </c>
      <c r="R591">
        <v>-48</v>
      </c>
    </row>
    <row r="592" spans="1:18" x14ac:dyDescent="0.2">
      <c r="A592" s="1">
        <v>42489</v>
      </c>
      <c r="B592" s="2">
        <v>-1.7375</v>
      </c>
      <c r="C592" s="3">
        <v>15.7</v>
      </c>
      <c r="D592">
        <v>11.815</v>
      </c>
      <c r="E592">
        <v>1.8332999999999999</v>
      </c>
      <c r="F592">
        <v>0.78159999999999996</v>
      </c>
      <c r="G592">
        <v>-8.3000000000000004E-2</v>
      </c>
      <c r="H592">
        <v>-0.24099999999999999</v>
      </c>
      <c r="I592">
        <v>-83.75</v>
      </c>
      <c r="J592">
        <v>-53.25</v>
      </c>
      <c r="K592">
        <v>-53.75</v>
      </c>
      <c r="L592">
        <v>-83.5</v>
      </c>
      <c r="M592">
        <v>108.8274</v>
      </c>
      <c r="N592">
        <v>48.13</v>
      </c>
      <c r="O592">
        <v>45.92</v>
      </c>
      <c r="P592">
        <v>0.20849999999999999</v>
      </c>
      <c r="Q592">
        <v>15.7</v>
      </c>
      <c r="R592">
        <v>-44.5</v>
      </c>
    </row>
    <row r="593" spans="1:18" x14ac:dyDescent="0.2">
      <c r="A593" s="1">
        <v>42496</v>
      </c>
      <c r="B593" s="2">
        <v>-1.9</v>
      </c>
      <c r="C593" s="3">
        <v>14.72</v>
      </c>
      <c r="D593">
        <v>11.59</v>
      </c>
      <c r="E593">
        <v>1.7788999999999999</v>
      </c>
      <c r="F593">
        <v>0.73399999999999999</v>
      </c>
      <c r="G593">
        <v>-0.123</v>
      </c>
      <c r="H593">
        <v>-0.253</v>
      </c>
      <c r="I593">
        <v>-83.75</v>
      </c>
      <c r="J593">
        <v>-54.5</v>
      </c>
      <c r="K593">
        <v>-55.125</v>
      </c>
      <c r="L593">
        <v>-84</v>
      </c>
      <c r="M593">
        <v>110.3801</v>
      </c>
      <c r="N593">
        <v>45.37</v>
      </c>
      <c r="O593">
        <v>44.66</v>
      </c>
      <c r="P593">
        <v>0.1933</v>
      </c>
      <c r="Q593">
        <v>14.72</v>
      </c>
      <c r="R593">
        <v>-46.125</v>
      </c>
    </row>
    <row r="594" spans="1:18" x14ac:dyDescent="0.2">
      <c r="A594" s="1">
        <v>42503</v>
      </c>
      <c r="B594" s="2">
        <v>-1.9424999999999999</v>
      </c>
      <c r="C594" s="3">
        <v>15.04</v>
      </c>
      <c r="D594">
        <v>11.58</v>
      </c>
      <c r="E594">
        <v>1.7000999999999999</v>
      </c>
      <c r="F594">
        <v>0.74590000000000001</v>
      </c>
      <c r="G594">
        <v>-0.114</v>
      </c>
      <c r="H594">
        <v>-0.255</v>
      </c>
      <c r="I594">
        <v>-87.75</v>
      </c>
      <c r="J594">
        <v>-57.375</v>
      </c>
      <c r="K594">
        <v>-61.875</v>
      </c>
      <c r="L594">
        <v>-90.25</v>
      </c>
      <c r="M594">
        <v>111.2521</v>
      </c>
      <c r="N594">
        <v>47.83</v>
      </c>
      <c r="O594">
        <v>46.21</v>
      </c>
      <c r="P594">
        <v>0.26450000000000001</v>
      </c>
      <c r="Q594">
        <v>15.04</v>
      </c>
      <c r="R594">
        <v>-52.5</v>
      </c>
    </row>
    <row r="595" spans="1:18" x14ac:dyDescent="0.2">
      <c r="A595" s="1">
        <v>42510</v>
      </c>
      <c r="B595" s="2">
        <v>-1.8225</v>
      </c>
      <c r="C595" s="3">
        <v>15.2</v>
      </c>
      <c r="D595">
        <v>10.7525</v>
      </c>
      <c r="E595">
        <v>1.8384</v>
      </c>
      <c r="F595">
        <v>0.87629999999999997</v>
      </c>
      <c r="G595">
        <v>-0.11799999999999999</v>
      </c>
      <c r="H595">
        <v>-0.249</v>
      </c>
      <c r="I595">
        <v>-89.25</v>
      </c>
      <c r="J595">
        <v>-57.75</v>
      </c>
      <c r="K595">
        <v>-64.375</v>
      </c>
      <c r="L595">
        <v>-91.25</v>
      </c>
      <c r="M595">
        <v>112.18219999999999</v>
      </c>
      <c r="N595">
        <v>48.72</v>
      </c>
      <c r="O595">
        <v>47.75</v>
      </c>
      <c r="P595">
        <v>0.30520000000000003</v>
      </c>
      <c r="Q595">
        <v>15.2</v>
      </c>
      <c r="R595">
        <v>-55</v>
      </c>
    </row>
    <row r="596" spans="1:18" x14ac:dyDescent="0.2">
      <c r="A596" s="1">
        <v>42517</v>
      </c>
      <c r="B596" s="2">
        <v>-1.66</v>
      </c>
      <c r="C596" s="3">
        <v>13.12</v>
      </c>
      <c r="D596">
        <v>10.050000000000001</v>
      </c>
      <c r="E596">
        <v>1.851</v>
      </c>
      <c r="F596">
        <v>0.90859999999999996</v>
      </c>
      <c r="G596">
        <v>-0.121</v>
      </c>
      <c r="H596">
        <v>-0.24199999999999999</v>
      </c>
      <c r="I596">
        <v>-91.5</v>
      </c>
      <c r="J596">
        <v>-60.5</v>
      </c>
      <c r="K596">
        <v>-66</v>
      </c>
      <c r="L596">
        <v>-93.625</v>
      </c>
      <c r="M596">
        <v>112.0822</v>
      </c>
      <c r="N596">
        <v>49.32</v>
      </c>
      <c r="O596">
        <v>49.33</v>
      </c>
      <c r="P596">
        <v>0.31030000000000002</v>
      </c>
      <c r="Q596">
        <v>13.12</v>
      </c>
      <c r="R596">
        <v>-56.5</v>
      </c>
    </row>
    <row r="597" spans="1:18" x14ac:dyDescent="0.2">
      <c r="A597" s="1">
        <v>42524</v>
      </c>
      <c r="B597" s="2">
        <v>-1.62</v>
      </c>
      <c r="C597" s="3">
        <v>13.47</v>
      </c>
      <c r="D597">
        <v>11.035</v>
      </c>
      <c r="E597">
        <v>1.7003999999999999</v>
      </c>
      <c r="F597">
        <v>0.77159999999999995</v>
      </c>
      <c r="G597">
        <v>-0.104</v>
      </c>
      <c r="H597">
        <v>-0.245</v>
      </c>
      <c r="I597">
        <v>-90.5</v>
      </c>
      <c r="J597">
        <v>-60.875</v>
      </c>
      <c r="K597">
        <v>-65.75</v>
      </c>
      <c r="L597">
        <v>-93.25</v>
      </c>
      <c r="M597">
        <v>111.4451</v>
      </c>
      <c r="N597">
        <v>49.64</v>
      </c>
      <c r="O597">
        <v>48.62</v>
      </c>
      <c r="P597">
        <v>0.27900000000000003</v>
      </c>
      <c r="Q597">
        <v>13.47</v>
      </c>
      <c r="R597">
        <v>-56.25</v>
      </c>
    </row>
    <row r="598" spans="1:18" x14ac:dyDescent="0.2">
      <c r="A598" s="1">
        <v>42531</v>
      </c>
      <c r="B598" s="2">
        <v>-1.57</v>
      </c>
      <c r="C598" s="3">
        <v>17.03</v>
      </c>
      <c r="D598">
        <v>11.95</v>
      </c>
      <c r="E598">
        <v>1.6404000000000001</v>
      </c>
      <c r="F598">
        <v>0.72650000000000003</v>
      </c>
      <c r="G598">
        <v>-0.155</v>
      </c>
      <c r="H598">
        <v>-0.27400000000000002</v>
      </c>
      <c r="I598">
        <v>-94</v>
      </c>
      <c r="J598">
        <v>-63.75</v>
      </c>
      <c r="K598">
        <v>-70.375</v>
      </c>
      <c r="L598">
        <v>-97.625</v>
      </c>
      <c r="M598">
        <v>111.1027</v>
      </c>
      <c r="N598">
        <v>50.54</v>
      </c>
      <c r="O598">
        <v>49.07</v>
      </c>
      <c r="P598">
        <v>0.24349999999999999</v>
      </c>
      <c r="Q598">
        <v>17.03</v>
      </c>
      <c r="R598">
        <v>-60.75</v>
      </c>
    </row>
    <row r="599" spans="1:18" x14ac:dyDescent="0.2">
      <c r="A599" s="1">
        <v>42538</v>
      </c>
      <c r="B599" s="2">
        <v>-2.19</v>
      </c>
      <c r="C599" s="3">
        <v>19.41</v>
      </c>
      <c r="D599">
        <v>11.955</v>
      </c>
      <c r="E599">
        <v>1.6077999999999999</v>
      </c>
      <c r="F599">
        <v>0.69269999999999998</v>
      </c>
      <c r="G599">
        <v>-0.155</v>
      </c>
      <c r="H599">
        <v>-0.25800000000000001</v>
      </c>
      <c r="I599">
        <v>-91.75</v>
      </c>
      <c r="J599">
        <v>-64.25</v>
      </c>
      <c r="K599">
        <v>-67.875</v>
      </c>
      <c r="L599">
        <v>-94.75</v>
      </c>
      <c r="M599">
        <v>111.53319999999999</v>
      </c>
      <c r="N599">
        <v>49.17</v>
      </c>
      <c r="O599">
        <v>47.98</v>
      </c>
      <c r="P599">
        <v>0.25430000000000003</v>
      </c>
      <c r="Q599">
        <v>19.41</v>
      </c>
      <c r="R599">
        <v>-58</v>
      </c>
    </row>
    <row r="600" spans="1:18" x14ac:dyDescent="0.2">
      <c r="A600" s="1">
        <v>42545</v>
      </c>
      <c r="B600" s="2">
        <v>-2.3025000000000002</v>
      </c>
      <c r="C600" s="3">
        <v>25.76</v>
      </c>
      <c r="D600">
        <v>13.6675</v>
      </c>
      <c r="E600">
        <v>1.5599000000000001</v>
      </c>
      <c r="F600">
        <v>0.627</v>
      </c>
      <c r="G600">
        <v>-0.17799999999999999</v>
      </c>
      <c r="H600">
        <v>-0.27800000000000002</v>
      </c>
      <c r="I600">
        <v>-87.5</v>
      </c>
      <c r="J600">
        <v>-66</v>
      </c>
      <c r="K600">
        <v>-60.75</v>
      </c>
      <c r="L600">
        <v>-89</v>
      </c>
      <c r="M600">
        <v>112.13549999999999</v>
      </c>
      <c r="N600">
        <v>48.41</v>
      </c>
      <c r="O600">
        <v>47.64</v>
      </c>
      <c r="P600">
        <v>0.2485</v>
      </c>
      <c r="Q600">
        <v>25.76</v>
      </c>
      <c r="R600">
        <v>-50.125</v>
      </c>
    </row>
    <row r="601" spans="1:18" x14ac:dyDescent="0.2">
      <c r="A601" s="1">
        <v>42552</v>
      </c>
      <c r="B601" s="2">
        <v>-1.7224999999999999</v>
      </c>
      <c r="C601" s="3">
        <v>14.77</v>
      </c>
      <c r="D601">
        <v>12.225</v>
      </c>
      <c r="E601">
        <v>1.4440999999999999</v>
      </c>
      <c r="F601">
        <v>0.58930000000000005</v>
      </c>
      <c r="G601">
        <v>-0.26100000000000001</v>
      </c>
      <c r="H601">
        <v>-0.33600000000000002</v>
      </c>
      <c r="I601">
        <v>-89</v>
      </c>
      <c r="J601">
        <v>-65.75</v>
      </c>
      <c r="K601">
        <v>-57.8</v>
      </c>
      <c r="L601">
        <v>-87.875</v>
      </c>
      <c r="M601">
        <v>111.65089999999999</v>
      </c>
      <c r="N601">
        <v>50.35</v>
      </c>
      <c r="O601">
        <v>48.99</v>
      </c>
      <c r="P601">
        <v>0.25359999999999999</v>
      </c>
      <c r="Q601">
        <v>14.77</v>
      </c>
      <c r="R601">
        <v>-48.8</v>
      </c>
    </row>
    <row r="602" spans="1:18" x14ac:dyDescent="0.2">
      <c r="A602" s="1">
        <v>42559</v>
      </c>
      <c r="B602" s="2">
        <v>-1.5149999999999999</v>
      </c>
      <c r="C602" s="3">
        <v>13.2</v>
      </c>
      <c r="D602">
        <v>12.862500000000001</v>
      </c>
      <c r="E602">
        <v>1.3579000000000001</v>
      </c>
      <c r="F602">
        <v>0.60499999999999998</v>
      </c>
      <c r="G602">
        <v>-0.28699999999999998</v>
      </c>
      <c r="H602">
        <v>-0.35899999999999999</v>
      </c>
      <c r="I602">
        <v>-84.5</v>
      </c>
      <c r="J602">
        <v>-69.875</v>
      </c>
      <c r="K602">
        <v>-56.75</v>
      </c>
      <c r="L602">
        <v>-84.25</v>
      </c>
      <c r="M602">
        <v>112.3963</v>
      </c>
      <c r="N602">
        <v>46.76</v>
      </c>
      <c r="O602">
        <v>45.41</v>
      </c>
      <c r="P602">
        <v>0.27389999999999998</v>
      </c>
      <c r="Q602">
        <v>13.2</v>
      </c>
      <c r="R602">
        <v>-45.625</v>
      </c>
    </row>
    <row r="603" spans="1:18" x14ac:dyDescent="0.2">
      <c r="A603" s="1">
        <v>42566</v>
      </c>
      <c r="B603" s="2">
        <v>-1.44</v>
      </c>
      <c r="C603" s="3">
        <v>12.67</v>
      </c>
      <c r="D603">
        <v>13.205</v>
      </c>
      <c r="E603">
        <v>1.5508999999999999</v>
      </c>
      <c r="F603">
        <v>0.66739999999999999</v>
      </c>
      <c r="G603">
        <v>-0.23200000000000001</v>
      </c>
      <c r="H603">
        <v>-0.33500000000000002</v>
      </c>
      <c r="I603">
        <v>-86</v>
      </c>
      <c r="J603">
        <v>-75.25</v>
      </c>
      <c r="K603">
        <v>-59.25</v>
      </c>
      <c r="L603">
        <v>-85</v>
      </c>
      <c r="M603">
        <v>112.2833</v>
      </c>
      <c r="N603">
        <v>47.61</v>
      </c>
      <c r="O603">
        <v>45.95</v>
      </c>
      <c r="P603">
        <v>0.30009999999999998</v>
      </c>
      <c r="Q603">
        <v>12.67</v>
      </c>
      <c r="R603">
        <v>-48.5</v>
      </c>
    </row>
    <row r="604" spans="1:18" x14ac:dyDescent="0.2">
      <c r="A604" s="1">
        <v>42573</v>
      </c>
      <c r="B604" s="2">
        <v>-1.4275</v>
      </c>
      <c r="C604" s="3">
        <v>12.02</v>
      </c>
      <c r="D604">
        <v>13.32</v>
      </c>
      <c r="E604">
        <v>1.5663</v>
      </c>
      <c r="F604">
        <v>0.70250000000000001</v>
      </c>
      <c r="G604">
        <v>-0.22700000000000001</v>
      </c>
      <c r="H604">
        <v>-0.33500000000000002</v>
      </c>
      <c r="I604">
        <v>-82</v>
      </c>
      <c r="J604">
        <v>-72.25</v>
      </c>
      <c r="K604">
        <v>-55.5</v>
      </c>
      <c r="L604">
        <v>-80</v>
      </c>
      <c r="M604">
        <v>112.989</v>
      </c>
      <c r="N604">
        <v>45.69</v>
      </c>
      <c r="O604">
        <v>44.19</v>
      </c>
      <c r="P604">
        <v>0.3145</v>
      </c>
      <c r="Q604">
        <v>12.02</v>
      </c>
      <c r="R604">
        <v>-45.5</v>
      </c>
    </row>
    <row r="605" spans="1:18" x14ac:dyDescent="0.2">
      <c r="A605" s="1">
        <v>42580</v>
      </c>
      <c r="B605" s="2">
        <v>-1.3225</v>
      </c>
      <c r="C605" s="3">
        <v>11.87</v>
      </c>
      <c r="D605">
        <v>11.5</v>
      </c>
      <c r="E605">
        <v>1.4531000000000001</v>
      </c>
      <c r="F605">
        <v>0.65539999999999998</v>
      </c>
      <c r="G605">
        <v>-0.19500000000000001</v>
      </c>
      <c r="H605">
        <v>-0.26</v>
      </c>
      <c r="I605">
        <v>-83.25</v>
      </c>
      <c r="J605">
        <v>-67.25</v>
      </c>
      <c r="K605">
        <v>-59.375</v>
      </c>
      <c r="L605">
        <v>-83.375</v>
      </c>
      <c r="M605">
        <v>111.874</v>
      </c>
      <c r="N605">
        <v>42.46</v>
      </c>
      <c r="O605">
        <v>41.6</v>
      </c>
      <c r="P605">
        <v>0.25359999999999999</v>
      </c>
      <c r="Q605">
        <v>11.87</v>
      </c>
      <c r="R605">
        <v>-49.5</v>
      </c>
    </row>
    <row r="606" spans="1:18" x14ac:dyDescent="0.2">
      <c r="A606" s="1">
        <v>42587</v>
      </c>
      <c r="B606" s="2">
        <v>-1.25</v>
      </c>
      <c r="C606" s="3">
        <v>11.39</v>
      </c>
      <c r="D606">
        <v>11.56</v>
      </c>
      <c r="E606">
        <v>1.5885</v>
      </c>
      <c r="F606">
        <v>0.72209999999999996</v>
      </c>
      <c r="G606">
        <v>-9.8000000000000004E-2</v>
      </c>
      <c r="H606">
        <v>-0.19600000000000001</v>
      </c>
      <c r="I606">
        <v>-82.375</v>
      </c>
      <c r="J606">
        <v>-69.5</v>
      </c>
      <c r="K606">
        <v>-57.625</v>
      </c>
      <c r="L606">
        <v>-81.5</v>
      </c>
      <c r="M606">
        <v>112.35890000000001</v>
      </c>
      <c r="N606">
        <v>44.27</v>
      </c>
      <c r="O606">
        <v>41.8</v>
      </c>
      <c r="P606">
        <v>0.25869999999999999</v>
      </c>
      <c r="Q606">
        <v>11.39</v>
      </c>
      <c r="R606">
        <v>-47.375</v>
      </c>
    </row>
    <row r="607" spans="1:18" x14ac:dyDescent="0.2">
      <c r="A607" s="1">
        <v>42594</v>
      </c>
      <c r="B607" s="2">
        <v>-1.1725000000000001</v>
      </c>
      <c r="C607" s="3">
        <v>11.55</v>
      </c>
      <c r="D607">
        <v>11.955</v>
      </c>
      <c r="E607">
        <v>1.5135000000000001</v>
      </c>
      <c r="F607">
        <v>0.70569999999999999</v>
      </c>
      <c r="G607">
        <v>-0.11</v>
      </c>
      <c r="H607">
        <v>-0.19900000000000001</v>
      </c>
      <c r="I607">
        <v>-82</v>
      </c>
      <c r="J607">
        <v>-74</v>
      </c>
      <c r="K607">
        <v>-54.25</v>
      </c>
      <c r="L607">
        <v>-77.75</v>
      </c>
      <c r="M607">
        <v>111.17870000000001</v>
      </c>
      <c r="N607">
        <v>46.97</v>
      </c>
      <c r="O607">
        <v>44.49</v>
      </c>
      <c r="P607">
        <v>0.2747</v>
      </c>
      <c r="Q607">
        <v>11.55</v>
      </c>
      <c r="R607">
        <v>-44</v>
      </c>
    </row>
    <row r="608" spans="1:18" x14ac:dyDescent="0.2">
      <c r="A608" s="1">
        <v>42601</v>
      </c>
      <c r="B608" s="2">
        <v>-1.21</v>
      </c>
      <c r="C608" s="3">
        <v>11.34</v>
      </c>
      <c r="D608">
        <v>12.96</v>
      </c>
      <c r="E608">
        <v>1.5781000000000001</v>
      </c>
      <c r="F608">
        <v>0.74590000000000001</v>
      </c>
      <c r="G608">
        <v>-8.3000000000000004E-2</v>
      </c>
      <c r="H608">
        <v>-0.20799999999999999</v>
      </c>
      <c r="I608">
        <v>-80.75</v>
      </c>
      <c r="J608">
        <v>-71.5</v>
      </c>
      <c r="K608">
        <v>-50.25</v>
      </c>
      <c r="L608">
        <v>-74.125</v>
      </c>
      <c r="M608">
        <v>110.8163</v>
      </c>
      <c r="N608">
        <v>50.88</v>
      </c>
      <c r="O608">
        <v>48.52</v>
      </c>
      <c r="P608">
        <v>0.29930000000000001</v>
      </c>
      <c r="Q608">
        <v>11.34</v>
      </c>
      <c r="R608">
        <v>-40.25</v>
      </c>
    </row>
    <row r="609" spans="1:18" x14ac:dyDescent="0.2">
      <c r="A609" s="1">
        <v>42608</v>
      </c>
      <c r="B609" s="2">
        <v>-1.31</v>
      </c>
      <c r="C609" s="3">
        <v>13.65</v>
      </c>
      <c r="D609">
        <v>12.765000000000001</v>
      </c>
      <c r="E609">
        <v>1.6295999999999999</v>
      </c>
      <c r="F609">
        <v>0.84279999999999999</v>
      </c>
      <c r="G609">
        <v>-7.4999999999999997E-2</v>
      </c>
      <c r="H609">
        <v>-0.17899999999999999</v>
      </c>
      <c r="I609">
        <v>-76.9375</v>
      </c>
      <c r="J609">
        <v>-72.5</v>
      </c>
      <c r="K609">
        <v>-53.25</v>
      </c>
      <c r="L609">
        <v>-72.625</v>
      </c>
      <c r="M609">
        <v>111.20350000000001</v>
      </c>
      <c r="N609">
        <v>49.92</v>
      </c>
      <c r="O609">
        <v>47.64</v>
      </c>
      <c r="P609">
        <v>0.3145</v>
      </c>
      <c r="Q609">
        <v>13.65</v>
      </c>
      <c r="R609">
        <v>-44.25</v>
      </c>
    </row>
    <row r="610" spans="1:18" x14ac:dyDescent="0.2">
      <c r="A610" s="1">
        <v>42615</v>
      </c>
      <c r="B610" s="2">
        <v>-1.365</v>
      </c>
      <c r="C610" s="3">
        <v>11.98</v>
      </c>
      <c r="D610">
        <v>12.484999999999999</v>
      </c>
      <c r="E610">
        <v>1.6024</v>
      </c>
      <c r="F610">
        <v>0.78580000000000005</v>
      </c>
      <c r="G610">
        <v>-3.7999999999999999E-2</v>
      </c>
      <c r="H610">
        <v>-0.184</v>
      </c>
      <c r="I610">
        <v>-78.5625</v>
      </c>
      <c r="J610">
        <v>-74.875</v>
      </c>
      <c r="K610">
        <v>-55.375</v>
      </c>
      <c r="L610">
        <v>-73.625</v>
      </c>
      <c r="M610">
        <v>112.0009</v>
      </c>
      <c r="N610">
        <v>46.83</v>
      </c>
      <c r="O610">
        <v>44.44</v>
      </c>
      <c r="P610">
        <v>0.3196</v>
      </c>
      <c r="Q610">
        <v>11.98</v>
      </c>
      <c r="R610">
        <v>-46.75</v>
      </c>
    </row>
    <row r="611" spans="1:18" x14ac:dyDescent="0.2">
      <c r="A611" s="1">
        <v>42622</v>
      </c>
      <c r="B611" s="2">
        <v>-1.24</v>
      </c>
      <c r="C611" s="3">
        <v>17.5</v>
      </c>
      <c r="D611">
        <v>12.535</v>
      </c>
      <c r="E611">
        <v>1.6749000000000001</v>
      </c>
      <c r="F611">
        <v>0.78210000000000002</v>
      </c>
      <c r="G611">
        <v>-0.02</v>
      </c>
      <c r="H611">
        <v>-0.21</v>
      </c>
      <c r="I611">
        <v>-77.0625</v>
      </c>
      <c r="J611">
        <v>-71.5</v>
      </c>
      <c r="K611">
        <v>-55.875</v>
      </c>
      <c r="L611">
        <v>-72.375</v>
      </c>
      <c r="M611">
        <v>111.9879</v>
      </c>
      <c r="N611">
        <v>48.01</v>
      </c>
      <c r="O611">
        <v>45.88</v>
      </c>
      <c r="P611">
        <v>0.33579999999999999</v>
      </c>
      <c r="Q611">
        <v>17.5</v>
      </c>
      <c r="R611">
        <v>-47.375</v>
      </c>
    </row>
    <row r="612" spans="1:18" x14ac:dyDescent="0.2">
      <c r="A612" s="1">
        <v>42629</v>
      </c>
      <c r="B612" s="2">
        <v>-1.7024999999999999</v>
      </c>
      <c r="C612" s="3">
        <v>15.37</v>
      </c>
      <c r="D612">
        <v>12.3825</v>
      </c>
      <c r="E612">
        <v>1.6926000000000001</v>
      </c>
      <c r="F612">
        <v>0.7621</v>
      </c>
      <c r="G612">
        <v>-4.3999999999999997E-2</v>
      </c>
      <c r="H612">
        <v>-0.27</v>
      </c>
      <c r="I612">
        <v>-80.875</v>
      </c>
      <c r="J612">
        <v>-71.875</v>
      </c>
      <c r="K612">
        <v>-60.5</v>
      </c>
      <c r="L612">
        <v>-76.25</v>
      </c>
      <c r="M612">
        <v>113.1765</v>
      </c>
      <c r="N612">
        <v>45.77</v>
      </c>
      <c r="O612">
        <v>43.03</v>
      </c>
      <c r="P612">
        <v>0.27900000000000003</v>
      </c>
      <c r="Q612">
        <v>15.37</v>
      </c>
      <c r="R612">
        <v>-51.75</v>
      </c>
    </row>
    <row r="613" spans="1:18" x14ac:dyDescent="0.2">
      <c r="A613" s="1">
        <v>42636</v>
      </c>
      <c r="B613" s="2">
        <v>-1.6850000000000001</v>
      </c>
      <c r="C613" s="3">
        <v>12.29</v>
      </c>
      <c r="D613">
        <v>11.755000000000001</v>
      </c>
      <c r="E613">
        <v>1.6184000000000001</v>
      </c>
      <c r="F613">
        <v>0.754</v>
      </c>
      <c r="G613">
        <v>-0.05</v>
      </c>
      <c r="H613">
        <v>-0.224</v>
      </c>
      <c r="I613">
        <v>-79.25</v>
      </c>
      <c r="J613">
        <v>-69</v>
      </c>
      <c r="K613">
        <v>-60.375</v>
      </c>
      <c r="L613">
        <v>-75.625</v>
      </c>
      <c r="M613">
        <v>112.7166</v>
      </c>
      <c r="N613">
        <v>45.89</v>
      </c>
      <c r="O613">
        <v>44.48</v>
      </c>
      <c r="P613">
        <v>0.16739999999999999</v>
      </c>
      <c r="Q613">
        <v>12.29</v>
      </c>
      <c r="R613">
        <v>-51.625</v>
      </c>
    </row>
    <row r="614" spans="1:18" x14ac:dyDescent="0.2">
      <c r="A614" s="1">
        <v>42643</v>
      </c>
      <c r="B614" s="2">
        <v>-1.7749999999999999</v>
      </c>
      <c r="C614" s="3">
        <v>13.29</v>
      </c>
      <c r="D614">
        <v>11.99</v>
      </c>
      <c r="E614">
        <v>1.5944</v>
      </c>
      <c r="F614">
        <v>0.76190000000000002</v>
      </c>
      <c r="G614">
        <v>-9.4E-2</v>
      </c>
      <c r="H614">
        <v>-0.29199999999999998</v>
      </c>
      <c r="I614">
        <v>-77.9375</v>
      </c>
      <c r="J614">
        <v>-72.5</v>
      </c>
      <c r="K614">
        <v>-60.5</v>
      </c>
      <c r="L614">
        <v>-75</v>
      </c>
      <c r="M614">
        <v>112.2795</v>
      </c>
      <c r="N614">
        <v>49.06</v>
      </c>
      <c r="O614">
        <v>48.24</v>
      </c>
      <c r="P614">
        <v>0.27389999999999998</v>
      </c>
      <c r="Q614">
        <v>13.29</v>
      </c>
      <c r="R614">
        <v>-52</v>
      </c>
    </row>
    <row r="615" spans="1:18" x14ac:dyDescent="0.2">
      <c r="A615" s="1">
        <v>42650</v>
      </c>
      <c r="B615" s="2">
        <v>-1.9125000000000001</v>
      </c>
      <c r="C615" s="3">
        <v>13.48</v>
      </c>
      <c r="D615">
        <v>11.36</v>
      </c>
      <c r="E615">
        <v>1.7181</v>
      </c>
      <c r="F615">
        <v>0.83009999999999995</v>
      </c>
      <c r="G615">
        <v>-6.4000000000000001E-2</v>
      </c>
      <c r="H615">
        <v>-0.27800000000000002</v>
      </c>
      <c r="I615">
        <v>-79</v>
      </c>
      <c r="J615">
        <v>-69.25</v>
      </c>
      <c r="K615">
        <v>-60.625</v>
      </c>
      <c r="L615">
        <v>-75.5</v>
      </c>
      <c r="M615">
        <v>113.2915</v>
      </c>
      <c r="N615">
        <v>51.93</v>
      </c>
      <c r="O615">
        <v>49.81</v>
      </c>
      <c r="P615">
        <v>0.31540000000000001</v>
      </c>
      <c r="Q615">
        <v>13.48</v>
      </c>
      <c r="R615">
        <v>-52.125</v>
      </c>
    </row>
    <row r="616" spans="1:18" x14ac:dyDescent="0.2">
      <c r="A616" s="1">
        <v>42657</v>
      </c>
      <c r="B616" s="2">
        <v>-1.8574999999999999</v>
      </c>
      <c r="C616" s="3">
        <v>16.12</v>
      </c>
      <c r="D616">
        <v>11.16</v>
      </c>
      <c r="E616">
        <v>1.7977000000000001</v>
      </c>
      <c r="F616">
        <v>0.83479999999999999</v>
      </c>
      <c r="G616">
        <v>-5.8999999999999997E-2</v>
      </c>
      <c r="H616">
        <v>-0.27500000000000002</v>
      </c>
      <c r="I616">
        <v>-77.875</v>
      </c>
      <c r="J616">
        <v>-68.5</v>
      </c>
      <c r="K616">
        <v>-58.75</v>
      </c>
      <c r="L616">
        <v>-74</v>
      </c>
      <c r="M616">
        <v>113.7119</v>
      </c>
      <c r="N616">
        <v>51.95</v>
      </c>
      <c r="O616">
        <v>50.35</v>
      </c>
      <c r="P616">
        <v>0.28920000000000001</v>
      </c>
      <c r="Q616">
        <v>16.12</v>
      </c>
      <c r="R616">
        <v>-50</v>
      </c>
    </row>
    <row r="617" spans="1:18" x14ac:dyDescent="0.2">
      <c r="A617" s="1">
        <v>42664</v>
      </c>
      <c r="B617" s="2">
        <v>-1.6625000000000001</v>
      </c>
      <c r="C617" s="3">
        <v>13.34</v>
      </c>
      <c r="D617">
        <v>9.9824999999999999</v>
      </c>
      <c r="E617">
        <v>1.7346999999999999</v>
      </c>
      <c r="F617">
        <v>0.82340000000000002</v>
      </c>
      <c r="G617">
        <v>-6.0999999999999999E-2</v>
      </c>
      <c r="H617">
        <v>-0.255</v>
      </c>
      <c r="I617">
        <v>-74.875</v>
      </c>
      <c r="J617">
        <v>-62.125</v>
      </c>
      <c r="K617">
        <v>-55.125</v>
      </c>
      <c r="L617">
        <v>-70.125</v>
      </c>
      <c r="M617">
        <v>113.9015</v>
      </c>
      <c r="N617">
        <v>51.78</v>
      </c>
      <c r="O617">
        <v>50.85</v>
      </c>
      <c r="P617">
        <v>0.32469999999999999</v>
      </c>
      <c r="Q617">
        <v>13.34</v>
      </c>
      <c r="R617">
        <v>-47</v>
      </c>
    </row>
    <row r="618" spans="1:18" x14ac:dyDescent="0.2">
      <c r="A618" s="1">
        <v>42671</v>
      </c>
      <c r="B618" s="2">
        <v>-1.6875</v>
      </c>
      <c r="C618" s="3">
        <v>16.190000000000001</v>
      </c>
      <c r="D618">
        <v>10.5</v>
      </c>
      <c r="E618">
        <v>1.8468</v>
      </c>
      <c r="F618">
        <v>0.85260000000000002</v>
      </c>
      <c r="G618">
        <v>-5.0999999999999997E-2</v>
      </c>
      <c r="H618">
        <v>-0.24099999999999999</v>
      </c>
      <c r="I618">
        <v>-75.25</v>
      </c>
      <c r="J618">
        <v>-63</v>
      </c>
      <c r="K618">
        <v>-56.25</v>
      </c>
      <c r="L618">
        <v>-71</v>
      </c>
      <c r="M618">
        <v>114.09310000000001</v>
      </c>
      <c r="N618">
        <v>49.71</v>
      </c>
      <c r="O618">
        <v>48.7</v>
      </c>
      <c r="P618">
        <v>0.27900000000000003</v>
      </c>
      <c r="Q618">
        <v>16.190000000000001</v>
      </c>
      <c r="R618">
        <v>-48.5</v>
      </c>
    </row>
    <row r="619" spans="1:18" x14ac:dyDescent="0.2">
      <c r="A619" s="1">
        <v>42678</v>
      </c>
      <c r="B619" s="2">
        <v>-1.6975</v>
      </c>
      <c r="C619" s="3">
        <v>22.51</v>
      </c>
      <c r="D619">
        <v>11.7525</v>
      </c>
      <c r="E619">
        <v>1.7762</v>
      </c>
      <c r="F619">
        <v>0.78380000000000005</v>
      </c>
      <c r="G619">
        <v>-6.7000000000000004E-2</v>
      </c>
      <c r="H619">
        <v>-0.26700000000000002</v>
      </c>
      <c r="I619">
        <v>-75.875</v>
      </c>
      <c r="J619">
        <v>-70.25</v>
      </c>
      <c r="K619">
        <v>-55.5</v>
      </c>
      <c r="L619">
        <v>-70.5</v>
      </c>
      <c r="M619">
        <v>113.58280000000001</v>
      </c>
      <c r="N619">
        <v>45.58</v>
      </c>
      <c r="O619">
        <v>44.07</v>
      </c>
      <c r="P619">
        <v>0.36630000000000001</v>
      </c>
      <c r="Q619">
        <v>22.51</v>
      </c>
      <c r="R619">
        <v>-47.5</v>
      </c>
    </row>
    <row r="620" spans="1:18" x14ac:dyDescent="0.2">
      <c r="A620" s="1">
        <v>42685</v>
      </c>
      <c r="B620" s="2">
        <v>-1.9</v>
      </c>
      <c r="C620" s="3">
        <v>14.17</v>
      </c>
      <c r="D620">
        <v>11.9</v>
      </c>
      <c r="E620">
        <v>2.1501000000000001</v>
      </c>
      <c r="F620">
        <v>0.91510000000000002</v>
      </c>
      <c r="G620">
        <v>-3.1E-2</v>
      </c>
      <c r="H620">
        <v>-0.248</v>
      </c>
      <c r="I620">
        <v>-76.5</v>
      </c>
      <c r="J620">
        <v>-68.25</v>
      </c>
      <c r="K620">
        <v>-54.8</v>
      </c>
      <c r="L620">
        <v>-69</v>
      </c>
      <c r="M620">
        <v>115.9375</v>
      </c>
      <c r="N620">
        <v>44.75</v>
      </c>
      <c r="O620">
        <v>43.41</v>
      </c>
      <c r="P620">
        <v>0.46689999999999998</v>
      </c>
      <c r="Q620">
        <v>14.17</v>
      </c>
      <c r="R620">
        <v>-46.5</v>
      </c>
    </row>
    <row r="621" spans="1:18" x14ac:dyDescent="0.2">
      <c r="A621" s="1">
        <v>42692</v>
      </c>
      <c r="B621" s="2">
        <v>-1.7825</v>
      </c>
      <c r="C621" s="3">
        <v>12.85</v>
      </c>
      <c r="D621">
        <v>12.305</v>
      </c>
      <c r="E621">
        <v>2.3548</v>
      </c>
      <c r="F621">
        <v>1.0678000000000001</v>
      </c>
      <c r="G621">
        <v>3.2000000000000001E-2</v>
      </c>
      <c r="H621">
        <v>-0.17499999999999999</v>
      </c>
      <c r="I621">
        <v>-77.25</v>
      </c>
      <c r="J621">
        <v>-71.375</v>
      </c>
      <c r="K621">
        <v>-57</v>
      </c>
      <c r="L621">
        <v>-70.625</v>
      </c>
      <c r="M621">
        <v>117.5936</v>
      </c>
      <c r="N621">
        <v>46.86</v>
      </c>
      <c r="O621">
        <v>45.69</v>
      </c>
      <c r="P621">
        <v>0.43130000000000002</v>
      </c>
      <c r="Q621">
        <v>12.85</v>
      </c>
      <c r="R621">
        <v>-48.875</v>
      </c>
    </row>
    <row r="622" spans="1:18" x14ac:dyDescent="0.2">
      <c r="A622" s="1">
        <v>42699</v>
      </c>
      <c r="B622" s="2">
        <v>-1.7375</v>
      </c>
      <c r="C622" s="3">
        <v>12.34</v>
      </c>
      <c r="D622">
        <v>12.452500000000001</v>
      </c>
      <c r="E622">
        <v>2.3572000000000002</v>
      </c>
      <c r="F622">
        <v>1.1168</v>
      </c>
      <c r="G622">
        <v>3.5999999999999997E-2</v>
      </c>
      <c r="H622">
        <v>-0.14699999999999999</v>
      </c>
      <c r="I622">
        <v>-80.9375</v>
      </c>
      <c r="J622">
        <v>-77.125</v>
      </c>
      <c r="K622">
        <v>-59.625</v>
      </c>
      <c r="L622">
        <v>-73.5</v>
      </c>
      <c r="M622">
        <v>118.02</v>
      </c>
      <c r="N622">
        <v>47.24</v>
      </c>
      <c r="O622">
        <v>46.06</v>
      </c>
      <c r="P622">
        <v>0.49230000000000002</v>
      </c>
      <c r="Q622">
        <v>12.34</v>
      </c>
      <c r="R622">
        <v>-51.5</v>
      </c>
    </row>
    <row r="623" spans="1:18" x14ac:dyDescent="0.2">
      <c r="A623" s="1">
        <v>42706</v>
      </c>
      <c r="B623" s="2">
        <v>-1.61</v>
      </c>
      <c r="C623" s="3">
        <v>14.12</v>
      </c>
      <c r="D623">
        <v>12.5</v>
      </c>
      <c r="E623">
        <v>2.3831000000000002</v>
      </c>
      <c r="F623">
        <v>1.0956999999999999</v>
      </c>
      <c r="G623">
        <v>3.2000000000000001E-2</v>
      </c>
      <c r="H623">
        <v>-0.186</v>
      </c>
      <c r="I623">
        <v>-84</v>
      </c>
      <c r="J623">
        <v>-78.5</v>
      </c>
      <c r="K623">
        <v>-61.5</v>
      </c>
      <c r="L623">
        <v>-76.25</v>
      </c>
      <c r="M623">
        <v>117.3116</v>
      </c>
      <c r="N623">
        <v>54.46</v>
      </c>
      <c r="O623">
        <v>51.68</v>
      </c>
      <c r="P623">
        <v>0.46179999999999999</v>
      </c>
      <c r="Q623">
        <v>14.12</v>
      </c>
      <c r="R623">
        <v>-53</v>
      </c>
    </row>
    <row r="624" spans="1:18" x14ac:dyDescent="0.2">
      <c r="A624" s="1">
        <v>42713</v>
      </c>
      <c r="B624" s="2">
        <v>-1.4624999999999999</v>
      </c>
      <c r="C624" s="3">
        <v>11.75</v>
      </c>
      <c r="D624">
        <v>12.1975</v>
      </c>
      <c r="E624">
        <v>2.4674999999999998</v>
      </c>
      <c r="F624">
        <v>1.1329</v>
      </c>
      <c r="G624">
        <v>5.6000000000000001E-2</v>
      </c>
      <c r="H624">
        <v>-0.184</v>
      </c>
      <c r="I624">
        <v>-82.5</v>
      </c>
      <c r="J624">
        <v>-73.125</v>
      </c>
      <c r="K624">
        <v>-59.5</v>
      </c>
      <c r="L624">
        <v>-76.375</v>
      </c>
      <c r="M624">
        <v>117.2834</v>
      </c>
      <c r="N624">
        <v>54.33</v>
      </c>
      <c r="O624">
        <v>51.5</v>
      </c>
      <c r="P624">
        <v>0.53300000000000003</v>
      </c>
      <c r="Q624">
        <v>11.75</v>
      </c>
      <c r="R624">
        <v>-51.125</v>
      </c>
    </row>
    <row r="625" spans="1:18" x14ac:dyDescent="0.2">
      <c r="A625" s="1">
        <v>42720</v>
      </c>
      <c r="B625" s="2">
        <v>-1.4924999999999999</v>
      </c>
      <c r="C625" s="3">
        <v>12.2</v>
      </c>
      <c r="D625">
        <v>12.772500000000001</v>
      </c>
      <c r="E625">
        <v>2.5916000000000001</v>
      </c>
      <c r="F625">
        <v>1.2524</v>
      </c>
      <c r="G625">
        <v>7.4999999999999997E-2</v>
      </c>
      <c r="H625">
        <v>-0.182</v>
      </c>
      <c r="I625">
        <v>-84.25</v>
      </c>
      <c r="J625">
        <v>-71.25</v>
      </c>
      <c r="K625">
        <v>-64.5</v>
      </c>
      <c r="L625">
        <v>-78.75</v>
      </c>
      <c r="M625">
        <v>118.3584</v>
      </c>
      <c r="N625">
        <v>55.21</v>
      </c>
      <c r="O625">
        <v>51.9</v>
      </c>
      <c r="P625">
        <v>0.49230000000000002</v>
      </c>
      <c r="Q625">
        <v>12.2</v>
      </c>
      <c r="R625">
        <v>-55.75</v>
      </c>
    </row>
    <row r="626" spans="1:18" x14ac:dyDescent="0.2">
      <c r="A626" s="1">
        <v>42727</v>
      </c>
      <c r="B626" s="2">
        <v>-1.67</v>
      </c>
      <c r="C626" s="3">
        <v>11.44</v>
      </c>
      <c r="D626">
        <v>12.414999999999999</v>
      </c>
      <c r="E626">
        <v>2.5373000000000001</v>
      </c>
      <c r="F626">
        <v>1.2016</v>
      </c>
      <c r="G626">
        <v>5.0999999999999997E-2</v>
      </c>
      <c r="H626">
        <v>-0.17899999999999999</v>
      </c>
      <c r="I626">
        <v>-81.5</v>
      </c>
      <c r="J626">
        <v>-69</v>
      </c>
      <c r="K626">
        <v>-63.5</v>
      </c>
      <c r="L626">
        <v>-77.625</v>
      </c>
      <c r="M626">
        <v>118.7856</v>
      </c>
      <c r="N626">
        <v>55.16</v>
      </c>
      <c r="O626">
        <v>53.02</v>
      </c>
      <c r="P626">
        <v>0.50760000000000005</v>
      </c>
      <c r="Q626">
        <v>11.44</v>
      </c>
      <c r="R626">
        <v>-54.375</v>
      </c>
    </row>
    <row r="627" spans="1:18" x14ac:dyDescent="0.2">
      <c r="A627" s="1">
        <v>42734</v>
      </c>
      <c r="B627" s="2">
        <v>-1.6975</v>
      </c>
      <c r="C627" s="3">
        <v>14.04</v>
      </c>
      <c r="D627">
        <v>12.865</v>
      </c>
      <c r="E627">
        <v>2.4443000000000001</v>
      </c>
      <c r="F627">
        <v>1.1882999999999999</v>
      </c>
      <c r="G627">
        <v>4.1000000000000002E-2</v>
      </c>
      <c r="H627">
        <v>-0.185</v>
      </c>
      <c r="I627">
        <v>-84.625</v>
      </c>
      <c r="J627">
        <v>-79.625</v>
      </c>
      <c r="K627">
        <v>-65.625</v>
      </c>
      <c r="L627">
        <v>-79.875</v>
      </c>
      <c r="M627">
        <v>118.3466</v>
      </c>
      <c r="N627">
        <v>56.82</v>
      </c>
      <c r="O627">
        <v>53.72</v>
      </c>
      <c r="P627">
        <v>0.49740000000000001</v>
      </c>
      <c r="Q627">
        <v>14.04</v>
      </c>
      <c r="R627">
        <v>-55.625</v>
      </c>
    </row>
    <row r="628" spans="1:18" x14ac:dyDescent="0.2">
      <c r="A628" s="1">
        <v>42741</v>
      </c>
      <c r="B628" s="2">
        <v>-1.5575000000000001</v>
      </c>
      <c r="C628" s="3">
        <v>11.32</v>
      </c>
      <c r="D628">
        <v>12.475</v>
      </c>
      <c r="E628">
        <v>2.4192999999999998</v>
      </c>
      <c r="F628">
        <v>1.2098</v>
      </c>
      <c r="G628">
        <v>5.2999999999999999E-2</v>
      </c>
      <c r="H628">
        <v>-0.21299999999999999</v>
      </c>
      <c r="I628">
        <v>-85.0625</v>
      </c>
      <c r="J628">
        <v>-75.5</v>
      </c>
      <c r="K628">
        <v>-65.25</v>
      </c>
      <c r="L628">
        <v>-79.5</v>
      </c>
      <c r="M628">
        <v>118.34950000000001</v>
      </c>
      <c r="N628">
        <v>57.1</v>
      </c>
      <c r="O628">
        <v>53.99</v>
      </c>
      <c r="P628">
        <v>0.51259999999999994</v>
      </c>
      <c r="Q628">
        <v>11.32</v>
      </c>
      <c r="R628">
        <v>-55.375</v>
      </c>
    </row>
    <row r="629" spans="1:18" x14ac:dyDescent="0.2">
      <c r="A629" s="1">
        <v>42748</v>
      </c>
      <c r="B629" s="2">
        <v>-1.415</v>
      </c>
      <c r="C629" s="3">
        <v>11.23</v>
      </c>
      <c r="D629">
        <v>12.705</v>
      </c>
      <c r="E629">
        <v>2.3963999999999999</v>
      </c>
      <c r="F629">
        <v>1.1931</v>
      </c>
      <c r="G629">
        <v>4.4999999999999998E-2</v>
      </c>
      <c r="H629">
        <v>-0.22700000000000001</v>
      </c>
      <c r="I629">
        <v>-89.4375</v>
      </c>
      <c r="J629">
        <v>-77</v>
      </c>
      <c r="K629">
        <v>-68.875</v>
      </c>
      <c r="L629">
        <v>-83</v>
      </c>
      <c r="M629">
        <v>117.9884</v>
      </c>
      <c r="N629">
        <v>55.45</v>
      </c>
      <c r="O629">
        <v>52.37</v>
      </c>
      <c r="P629">
        <v>0.52280000000000004</v>
      </c>
      <c r="Q629">
        <v>11.23</v>
      </c>
      <c r="R629">
        <v>-58.75</v>
      </c>
    </row>
    <row r="630" spans="1:18" x14ac:dyDescent="0.2">
      <c r="A630" s="1">
        <v>42755</v>
      </c>
      <c r="B630" s="2">
        <v>-1.3574999999999999</v>
      </c>
      <c r="C630" s="3">
        <v>11.54</v>
      </c>
      <c r="D630">
        <v>12.3225</v>
      </c>
      <c r="E630">
        <v>2.4668000000000001</v>
      </c>
      <c r="F630">
        <v>1.1884999999999999</v>
      </c>
      <c r="G630">
        <v>5.8999999999999997E-2</v>
      </c>
      <c r="H630">
        <v>-0.24099999999999999</v>
      </c>
      <c r="I630">
        <v>-88.75</v>
      </c>
      <c r="J630">
        <v>-72.875</v>
      </c>
      <c r="K630">
        <v>-69</v>
      </c>
      <c r="L630">
        <v>-84</v>
      </c>
      <c r="M630">
        <v>118.3182</v>
      </c>
      <c r="N630">
        <v>55.49</v>
      </c>
      <c r="O630">
        <v>52.42</v>
      </c>
      <c r="P630">
        <v>0.49740000000000001</v>
      </c>
      <c r="Q630">
        <v>11.54</v>
      </c>
      <c r="R630">
        <v>-58.875</v>
      </c>
    </row>
    <row r="631" spans="1:18" x14ac:dyDescent="0.2">
      <c r="A631" s="1">
        <v>42762</v>
      </c>
      <c r="B631" s="2">
        <v>-1.27</v>
      </c>
      <c r="C631" s="3">
        <v>10.58</v>
      </c>
      <c r="D631">
        <v>12.21</v>
      </c>
      <c r="E631">
        <v>2.4843000000000002</v>
      </c>
      <c r="F631">
        <v>1.2181999999999999</v>
      </c>
      <c r="G631">
        <v>7.6999999999999999E-2</v>
      </c>
      <c r="H631">
        <v>-0.20300000000000001</v>
      </c>
      <c r="I631">
        <v>-90.0625</v>
      </c>
      <c r="J631">
        <v>-71.75</v>
      </c>
      <c r="K631">
        <v>-71.25</v>
      </c>
      <c r="L631">
        <v>-85.375</v>
      </c>
      <c r="M631">
        <v>117.0735</v>
      </c>
      <c r="N631">
        <v>55.52</v>
      </c>
      <c r="O631">
        <v>53.17</v>
      </c>
      <c r="P631">
        <v>0.50760000000000005</v>
      </c>
      <c r="Q631">
        <v>10.58</v>
      </c>
      <c r="R631">
        <v>-60.875</v>
      </c>
    </row>
    <row r="632" spans="1:18" x14ac:dyDescent="0.2">
      <c r="A632" s="1">
        <v>42769</v>
      </c>
      <c r="B632" s="2">
        <v>-1.1850000000000001</v>
      </c>
      <c r="C632" s="3">
        <v>10.97</v>
      </c>
      <c r="D632">
        <v>11.907500000000001</v>
      </c>
      <c r="E632">
        <v>2.4647999999999999</v>
      </c>
      <c r="F632">
        <v>1.1969000000000001</v>
      </c>
      <c r="G632">
        <v>9.5000000000000001E-2</v>
      </c>
      <c r="H632">
        <v>-0.23</v>
      </c>
      <c r="I632">
        <v>-82.75</v>
      </c>
      <c r="J632">
        <v>-64.125</v>
      </c>
      <c r="K632">
        <v>-67.625</v>
      </c>
      <c r="L632">
        <v>-82</v>
      </c>
      <c r="M632">
        <v>115.6259</v>
      </c>
      <c r="N632">
        <v>56.81</v>
      </c>
      <c r="O632">
        <v>53.83</v>
      </c>
      <c r="P632">
        <v>0.49740000000000001</v>
      </c>
      <c r="Q632">
        <v>10.97</v>
      </c>
      <c r="R632">
        <v>-57.25</v>
      </c>
    </row>
    <row r="633" spans="1:18" x14ac:dyDescent="0.2">
      <c r="A633" s="1">
        <v>42776</v>
      </c>
      <c r="B633" s="2">
        <v>-1.2</v>
      </c>
      <c r="C633" s="3">
        <v>10.85</v>
      </c>
      <c r="D633">
        <v>12.33</v>
      </c>
      <c r="E633">
        <v>2.4073000000000002</v>
      </c>
      <c r="F633">
        <v>1.1895</v>
      </c>
      <c r="G633">
        <v>8.4000000000000005E-2</v>
      </c>
      <c r="H633">
        <v>-0.21199999999999999</v>
      </c>
      <c r="I633">
        <v>-79.25</v>
      </c>
      <c r="J633">
        <v>-64.5</v>
      </c>
      <c r="K633">
        <v>-64.25</v>
      </c>
      <c r="L633">
        <v>-78.25</v>
      </c>
      <c r="M633">
        <v>116.148</v>
      </c>
      <c r="N633">
        <v>56.7</v>
      </c>
      <c r="O633">
        <v>53.86</v>
      </c>
      <c r="P633">
        <v>0.53300000000000003</v>
      </c>
      <c r="Q633">
        <v>10.85</v>
      </c>
      <c r="R633">
        <v>-54</v>
      </c>
    </row>
    <row r="634" spans="1:18" x14ac:dyDescent="0.2">
      <c r="A634" s="1">
        <v>42783</v>
      </c>
      <c r="B634" s="2">
        <v>-1.2424999999999999</v>
      </c>
      <c r="C634" s="3">
        <v>11.49</v>
      </c>
      <c r="D634">
        <v>11.355</v>
      </c>
      <c r="E634">
        <v>2.4146999999999998</v>
      </c>
      <c r="F634">
        <v>1.1881999999999999</v>
      </c>
      <c r="G634">
        <v>8.6999999999999994E-2</v>
      </c>
      <c r="H634">
        <v>-0.245</v>
      </c>
      <c r="I634">
        <v>-80.3125</v>
      </c>
      <c r="J634">
        <v>-62.75</v>
      </c>
      <c r="K634">
        <v>-64.375</v>
      </c>
      <c r="L634">
        <v>-79.125</v>
      </c>
      <c r="M634">
        <v>116.40349999999999</v>
      </c>
      <c r="N634">
        <v>55.81</v>
      </c>
      <c r="O634">
        <v>53.4</v>
      </c>
      <c r="P634">
        <v>0.51259999999999994</v>
      </c>
      <c r="Q634">
        <v>11.49</v>
      </c>
      <c r="R634">
        <v>-54.125</v>
      </c>
    </row>
    <row r="635" spans="1:18" x14ac:dyDescent="0.2">
      <c r="A635" s="1">
        <v>42790</v>
      </c>
      <c r="B635" s="2">
        <v>-1.425</v>
      </c>
      <c r="C635" s="3">
        <v>11.47</v>
      </c>
      <c r="D635">
        <v>11.445</v>
      </c>
      <c r="E635">
        <v>2.3117000000000001</v>
      </c>
      <c r="F635">
        <v>1.1428</v>
      </c>
      <c r="G635">
        <v>6.3E-2</v>
      </c>
      <c r="H635">
        <v>-0.27</v>
      </c>
      <c r="I635">
        <v>-82.875</v>
      </c>
      <c r="J635">
        <v>-63.25</v>
      </c>
      <c r="K635">
        <v>-65.75</v>
      </c>
      <c r="L635">
        <v>-81.25</v>
      </c>
      <c r="M635">
        <v>115.8143</v>
      </c>
      <c r="N635">
        <v>55.99</v>
      </c>
      <c r="O635">
        <v>53.99</v>
      </c>
      <c r="P635">
        <v>0.50249999999999995</v>
      </c>
      <c r="Q635">
        <v>11.47</v>
      </c>
      <c r="R635">
        <v>-55.25</v>
      </c>
    </row>
    <row r="636" spans="1:18" x14ac:dyDescent="0.2">
      <c r="A636" s="1">
        <v>42797</v>
      </c>
      <c r="B636" s="2">
        <v>-1.655</v>
      </c>
      <c r="C636" s="3">
        <v>10.96</v>
      </c>
      <c r="D636">
        <v>10.897500000000001</v>
      </c>
      <c r="E636">
        <v>2.4780000000000002</v>
      </c>
      <c r="F636">
        <v>1.3050999999999999</v>
      </c>
      <c r="G636">
        <v>7.2999999999999995E-2</v>
      </c>
      <c r="H636">
        <v>-0.28899999999999998</v>
      </c>
      <c r="I636">
        <v>-78.5625</v>
      </c>
      <c r="J636">
        <v>-58.5</v>
      </c>
      <c r="K636">
        <v>-61.625</v>
      </c>
      <c r="L636">
        <v>-76.875</v>
      </c>
      <c r="M636">
        <v>116.6438</v>
      </c>
      <c r="N636">
        <v>55.9</v>
      </c>
      <c r="O636">
        <v>53.33</v>
      </c>
      <c r="P636">
        <v>0.69569999999999999</v>
      </c>
      <c r="Q636">
        <v>10.96</v>
      </c>
      <c r="R636">
        <v>-51.125</v>
      </c>
    </row>
    <row r="637" spans="1:18" x14ac:dyDescent="0.2">
      <c r="A637" s="1">
        <v>42804</v>
      </c>
      <c r="B637" s="2">
        <v>-1.625</v>
      </c>
      <c r="C637" s="3">
        <v>11.66</v>
      </c>
      <c r="D637">
        <v>10.385</v>
      </c>
      <c r="E637">
        <v>2.5745</v>
      </c>
      <c r="F637">
        <v>1.3533999999999999</v>
      </c>
      <c r="G637">
        <v>8.4000000000000005E-2</v>
      </c>
      <c r="H637">
        <v>-0.26600000000000001</v>
      </c>
      <c r="I637">
        <v>-78.375</v>
      </c>
      <c r="J637">
        <v>-59.625</v>
      </c>
      <c r="K637">
        <v>-59</v>
      </c>
      <c r="L637">
        <v>-74.5</v>
      </c>
      <c r="M637">
        <v>116.616</v>
      </c>
      <c r="N637">
        <v>51.37</v>
      </c>
      <c r="O637">
        <v>48.49</v>
      </c>
      <c r="P637">
        <v>0.74139999999999995</v>
      </c>
      <c r="Q637">
        <v>11.66</v>
      </c>
      <c r="R637">
        <v>-49</v>
      </c>
    </row>
    <row r="638" spans="1:18" x14ac:dyDescent="0.2">
      <c r="A638" s="1">
        <v>42811</v>
      </c>
      <c r="B638" s="2">
        <v>-1.345</v>
      </c>
      <c r="C638" s="3">
        <v>11.28</v>
      </c>
      <c r="D638">
        <v>9.4749999999999996</v>
      </c>
      <c r="E638">
        <v>2.5005000000000002</v>
      </c>
      <c r="F638">
        <v>1.3146</v>
      </c>
      <c r="G638">
        <v>7.0000000000000007E-2</v>
      </c>
      <c r="H638">
        <v>-0.26</v>
      </c>
      <c r="I638">
        <v>-75.625</v>
      </c>
      <c r="J638">
        <v>-57.5</v>
      </c>
      <c r="K638">
        <v>-54.25</v>
      </c>
      <c r="L638">
        <v>-71.375</v>
      </c>
      <c r="M638">
        <v>115.2783</v>
      </c>
      <c r="N638">
        <v>51.76</v>
      </c>
      <c r="O638">
        <v>48.78</v>
      </c>
      <c r="P638">
        <v>0.72619999999999996</v>
      </c>
      <c r="Q638">
        <v>11.28</v>
      </c>
      <c r="R638">
        <v>-43.75</v>
      </c>
    </row>
    <row r="639" spans="1:18" x14ac:dyDescent="0.2">
      <c r="A639" s="1">
        <v>42818</v>
      </c>
      <c r="B639" s="2">
        <v>-1.5575000000000001</v>
      </c>
      <c r="C639" s="3">
        <v>12.96</v>
      </c>
      <c r="D639">
        <v>9.84</v>
      </c>
      <c r="E639">
        <v>2.4123000000000001</v>
      </c>
      <c r="F639">
        <v>1.2565999999999999</v>
      </c>
      <c r="G639">
        <v>0.06</v>
      </c>
      <c r="H639">
        <v>-0.26400000000000001</v>
      </c>
      <c r="I639">
        <v>-70.25</v>
      </c>
      <c r="J639">
        <v>-47.75</v>
      </c>
      <c r="K639">
        <v>-52</v>
      </c>
      <c r="L639">
        <v>-69.5</v>
      </c>
      <c r="M639">
        <v>114.63720000000001</v>
      </c>
      <c r="N639">
        <v>50.8</v>
      </c>
      <c r="O639">
        <v>47.97</v>
      </c>
      <c r="P639">
        <v>0.76180000000000003</v>
      </c>
      <c r="Q639">
        <v>12.96</v>
      </c>
      <c r="R639">
        <v>-37.25</v>
      </c>
    </row>
    <row r="640" spans="1:18" x14ac:dyDescent="0.2">
      <c r="A640" s="1">
        <v>42825</v>
      </c>
      <c r="B640" s="2">
        <v>-1.38</v>
      </c>
      <c r="C640" s="3">
        <v>12.37</v>
      </c>
      <c r="D640">
        <v>9.58</v>
      </c>
      <c r="E640">
        <v>2.3874</v>
      </c>
      <c r="F640">
        <v>1.254</v>
      </c>
      <c r="G640">
        <v>6.5000000000000002E-2</v>
      </c>
      <c r="H640">
        <v>-0.19500000000000001</v>
      </c>
      <c r="I640">
        <v>-69.25</v>
      </c>
      <c r="J640">
        <v>-46.5</v>
      </c>
      <c r="K640">
        <v>-51.875</v>
      </c>
      <c r="L640">
        <v>-67.25</v>
      </c>
      <c r="M640">
        <v>114.7938</v>
      </c>
      <c r="N640">
        <v>52.83</v>
      </c>
      <c r="O640">
        <v>50.6</v>
      </c>
      <c r="P640">
        <v>0.75160000000000005</v>
      </c>
      <c r="Q640">
        <v>12.37</v>
      </c>
      <c r="R640">
        <v>-42.625</v>
      </c>
    </row>
    <row r="641" spans="1:18" x14ac:dyDescent="0.2">
      <c r="A641" s="1">
        <v>42832</v>
      </c>
      <c r="B641" s="2">
        <v>-1.4975000000000001</v>
      </c>
      <c r="C641" s="3">
        <v>12.87</v>
      </c>
      <c r="D641">
        <v>9.7799999999999994</v>
      </c>
      <c r="E641">
        <v>2.3822000000000001</v>
      </c>
      <c r="F641">
        <v>1.2862</v>
      </c>
      <c r="G641">
        <v>5.6000000000000001E-2</v>
      </c>
      <c r="H641">
        <v>-0.214</v>
      </c>
      <c r="I641">
        <v>-71</v>
      </c>
      <c r="J641">
        <v>-46.4375</v>
      </c>
      <c r="K641">
        <v>-55.75</v>
      </c>
      <c r="L641">
        <v>-70</v>
      </c>
      <c r="M641">
        <v>115.0547</v>
      </c>
      <c r="N641">
        <v>55.24</v>
      </c>
      <c r="O641">
        <v>52.24</v>
      </c>
      <c r="P641">
        <v>0.81269999999999998</v>
      </c>
      <c r="Q641">
        <v>12.87</v>
      </c>
      <c r="R641">
        <v>-46.75</v>
      </c>
    </row>
    <row r="642" spans="1:18" x14ac:dyDescent="0.2">
      <c r="A642" s="1">
        <v>42839</v>
      </c>
      <c r="B642" s="2">
        <v>-1.31</v>
      </c>
      <c r="C642" s="3">
        <v>15.96</v>
      </c>
      <c r="D642">
        <v>10.185</v>
      </c>
      <c r="E642">
        <v>2.2374000000000001</v>
      </c>
      <c r="F642">
        <v>1.2053</v>
      </c>
      <c r="G642">
        <v>3.0000000000000001E-3</v>
      </c>
      <c r="H642">
        <v>-0.23</v>
      </c>
      <c r="I642">
        <v>-71.8125</v>
      </c>
      <c r="J642">
        <v>-48.25</v>
      </c>
      <c r="K642">
        <v>-56</v>
      </c>
      <c r="L642">
        <v>-72</v>
      </c>
      <c r="M642">
        <v>114.5368</v>
      </c>
      <c r="N642">
        <v>55.89</v>
      </c>
      <c r="O642">
        <v>53.18</v>
      </c>
      <c r="P642">
        <v>0.80249999999999999</v>
      </c>
      <c r="Q642">
        <v>15.96</v>
      </c>
      <c r="R642">
        <v>-46</v>
      </c>
    </row>
    <row r="643" spans="1:18" x14ac:dyDescent="0.2">
      <c r="A643" s="1">
        <v>42846</v>
      </c>
      <c r="B643" s="2">
        <v>-1.325</v>
      </c>
      <c r="C643" s="3">
        <v>14.63</v>
      </c>
      <c r="D643">
        <v>9.8249999999999993</v>
      </c>
      <c r="E643">
        <v>2.2480000000000002</v>
      </c>
      <c r="F643">
        <v>1.1801999999999999</v>
      </c>
      <c r="G643">
        <v>1.0999999999999999E-2</v>
      </c>
      <c r="H643">
        <v>-0.22500000000000001</v>
      </c>
      <c r="I643">
        <v>-72.875</v>
      </c>
      <c r="J643">
        <v>-49</v>
      </c>
      <c r="K643">
        <v>-58.25</v>
      </c>
      <c r="L643">
        <v>-73.5</v>
      </c>
      <c r="M643">
        <v>114.8128</v>
      </c>
      <c r="N643">
        <v>51.96</v>
      </c>
      <c r="O643">
        <v>49.62</v>
      </c>
      <c r="P643">
        <v>0.77200000000000002</v>
      </c>
      <c r="Q643">
        <v>14.63</v>
      </c>
      <c r="R643">
        <v>-48.375</v>
      </c>
    </row>
    <row r="644" spans="1:18" x14ac:dyDescent="0.2">
      <c r="A644" s="1">
        <v>42853</v>
      </c>
      <c r="B644" s="2">
        <v>-1.2</v>
      </c>
      <c r="C644" s="3">
        <v>10.82</v>
      </c>
      <c r="D644">
        <v>9.0500000000000007</v>
      </c>
      <c r="E644">
        <v>2.2801999999999998</v>
      </c>
      <c r="F644">
        <v>1.2619</v>
      </c>
      <c r="G644">
        <v>0.01</v>
      </c>
      <c r="H644">
        <v>-0.214</v>
      </c>
      <c r="I644">
        <v>-73.6875</v>
      </c>
      <c r="J644">
        <v>-48.625</v>
      </c>
      <c r="K644">
        <v>-58.5</v>
      </c>
      <c r="L644">
        <v>-74.5</v>
      </c>
      <c r="M644">
        <v>114.7877</v>
      </c>
      <c r="N644">
        <v>51.73</v>
      </c>
      <c r="O644">
        <v>49.33</v>
      </c>
      <c r="P644">
        <v>0.7923</v>
      </c>
      <c r="Q644">
        <v>10.82</v>
      </c>
      <c r="R644">
        <v>-49</v>
      </c>
    </row>
    <row r="645" spans="1:18" x14ac:dyDescent="0.2">
      <c r="A645" s="1">
        <v>42860</v>
      </c>
      <c r="B645" s="2">
        <v>-1.27</v>
      </c>
      <c r="C645" s="3">
        <v>10.57</v>
      </c>
      <c r="D645">
        <v>8.83</v>
      </c>
      <c r="E645">
        <v>2.3487</v>
      </c>
      <c r="F645">
        <v>1.3102</v>
      </c>
      <c r="G645">
        <v>1.6E-2</v>
      </c>
      <c r="H645">
        <v>-0.20499999999999999</v>
      </c>
      <c r="I645">
        <v>-74.25</v>
      </c>
      <c r="J645">
        <v>-49.5</v>
      </c>
      <c r="K645">
        <v>-59.125</v>
      </c>
      <c r="L645">
        <v>-75.25</v>
      </c>
      <c r="M645">
        <v>114.77249999999999</v>
      </c>
      <c r="N645">
        <v>49.1</v>
      </c>
      <c r="O645">
        <v>46.22</v>
      </c>
      <c r="P645">
        <v>0.88390000000000002</v>
      </c>
      <c r="Q645">
        <v>10.57</v>
      </c>
      <c r="R645">
        <v>-49.5</v>
      </c>
    </row>
    <row r="646" spans="1:18" x14ac:dyDescent="0.2">
      <c r="A646" s="1">
        <v>42867</v>
      </c>
      <c r="B646" s="2">
        <v>-1.095</v>
      </c>
      <c r="C646" s="3">
        <v>10.4</v>
      </c>
      <c r="D646">
        <v>8.4600000000000009</v>
      </c>
      <c r="E646">
        <v>2.3256999999999999</v>
      </c>
      <c r="F646">
        <v>1.2904</v>
      </c>
      <c r="G646">
        <v>3.9E-2</v>
      </c>
      <c r="H646">
        <v>-0.18099999999999999</v>
      </c>
      <c r="I646">
        <v>-69.5625</v>
      </c>
      <c r="J646">
        <v>-47.25</v>
      </c>
      <c r="K646">
        <v>-56</v>
      </c>
      <c r="L646">
        <v>-71.3125</v>
      </c>
      <c r="M646">
        <v>114.7479</v>
      </c>
      <c r="N646">
        <v>50.84</v>
      </c>
      <c r="O646">
        <v>47.84</v>
      </c>
      <c r="P646">
        <v>0.86870000000000003</v>
      </c>
      <c r="Q646">
        <v>10.4</v>
      </c>
      <c r="R646">
        <v>-45.125</v>
      </c>
    </row>
    <row r="647" spans="1:18" x14ac:dyDescent="0.2">
      <c r="A647" s="1">
        <v>42874</v>
      </c>
      <c r="B647" s="2">
        <v>-1.0049999999999999</v>
      </c>
      <c r="C647" s="3">
        <v>12.04</v>
      </c>
      <c r="D647">
        <v>9.1050000000000004</v>
      </c>
      <c r="E647">
        <v>2.2345999999999999</v>
      </c>
      <c r="F647">
        <v>1.2703</v>
      </c>
      <c r="G647">
        <v>3.5000000000000003E-2</v>
      </c>
      <c r="H647">
        <v>-0.16400000000000001</v>
      </c>
      <c r="I647">
        <v>-71.875</v>
      </c>
      <c r="J647">
        <v>-47.5</v>
      </c>
      <c r="K647">
        <v>-57.75</v>
      </c>
      <c r="L647">
        <v>-73.25</v>
      </c>
      <c r="M647">
        <v>113.70010000000001</v>
      </c>
      <c r="N647">
        <v>53.61</v>
      </c>
      <c r="O647">
        <v>50.33</v>
      </c>
      <c r="P647">
        <v>0.90429999999999999</v>
      </c>
      <c r="Q647">
        <v>12.04</v>
      </c>
      <c r="R647">
        <v>-48.75</v>
      </c>
    </row>
    <row r="648" spans="1:18" x14ac:dyDescent="0.2">
      <c r="A648" s="1">
        <v>42881</v>
      </c>
      <c r="B648" s="2">
        <v>-0.91500000000000004</v>
      </c>
      <c r="C648" s="3">
        <v>9.81</v>
      </c>
      <c r="D648">
        <v>8.5449999999999999</v>
      </c>
      <c r="E648">
        <v>2.2465000000000002</v>
      </c>
      <c r="F648">
        <v>1.2937000000000001</v>
      </c>
      <c r="G648">
        <v>3.6999999999999998E-2</v>
      </c>
      <c r="H648">
        <v>-0.16800000000000001</v>
      </c>
      <c r="I648">
        <v>-71</v>
      </c>
      <c r="J648">
        <v>-48.875</v>
      </c>
      <c r="K648">
        <v>-58.25</v>
      </c>
      <c r="L648">
        <v>-73</v>
      </c>
      <c r="M648">
        <v>113.48390000000001</v>
      </c>
      <c r="N648">
        <v>52.15</v>
      </c>
      <c r="O648">
        <v>49.8</v>
      </c>
      <c r="P648">
        <v>0.92459999999999998</v>
      </c>
      <c r="Q648">
        <v>9.81</v>
      </c>
      <c r="R648">
        <v>-49</v>
      </c>
    </row>
    <row r="649" spans="1:18" x14ac:dyDescent="0.2">
      <c r="A649" s="1">
        <v>42888</v>
      </c>
      <c r="B649" s="2">
        <v>-0.94</v>
      </c>
      <c r="C649" s="3">
        <v>9.75</v>
      </c>
      <c r="D649">
        <v>8.4700000000000006</v>
      </c>
      <c r="E649">
        <v>2.1591</v>
      </c>
      <c r="F649">
        <v>1.2879</v>
      </c>
      <c r="G649">
        <v>4.7E-2</v>
      </c>
      <c r="H649">
        <v>-0.16200000000000001</v>
      </c>
      <c r="I649">
        <v>-71</v>
      </c>
      <c r="J649">
        <v>-47</v>
      </c>
      <c r="K649">
        <v>-62</v>
      </c>
      <c r="L649">
        <v>-75.25</v>
      </c>
      <c r="M649">
        <v>113.1908</v>
      </c>
      <c r="N649">
        <v>49.95</v>
      </c>
      <c r="O649">
        <v>47.66</v>
      </c>
      <c r="P649">
        <v>0.97050000000000003</v>
      </c>
      <c r="Q649">
        <v>9.75</v>
      </c>
      <c r="R649">
        <v>-52.875</v>
      </c>
    </row>
    <row r="650" spans="1:18" x14ac:dyDescent="0.2">
      <c r="A650" s="1">
        <v>42895</v>
      </c>
      <c r="B650" s="2">
        <v>-0.91749999999999998</v>
      </c>
      <c r="C650" s="3">
        <v>10.7</v>
      </c>
      <c r="D650">
        <v>8.1</v>
      </c>
      <c r="E650">
        <v>2.2004999999999999</v>
      </c>
      <c r="F650">
        <v>1.3347</v>
      </c>
      <c r="G650">
        <v>5.0999999999999997E-2</v>
      </c>
      <c r="H650">
        <v>-0.109</v>
      </c>
      <c r="I650">
        <v>-67.1875</v>
      </c>
      <c r="J650">
        <v>-46.25</v>
      </c>
      <c r="K650">
        <v>-60</v>
      </c>
      <c r="L650">
        <v>-71.5</v>
      </c>
      <c r="M650">
        <v>112.9562</v>
      </c>
      <c r="N650">
        <v>48.15</v>
      </c>
      <c r="O650">
        <v>45.83</v>
      </c>
      <c r="P650">
        <v>0.996</v>
      </c>
      <c r="Q650">
        <v>10.7</v>
      </c>
      <c r="R650">
        <v>-51.5</v>
      </c>
    </row>
    <row r="651" spans="1:18" x14ac:dyDescent="0.2">
      <c r="A651" s="1">
        <v>42902</v>
      </c>
      <c r="B651" s="2">
        <v>-0.77</v>
      </c>
      <c r="C651" s="3">
        <v>10.38</v>
      </c>
      <c r="D651">
        <v>8.11</v>
      </c>
      <c r="E651">
        <v>2.1514000000000002</v>
      </c>
      <c r="F651">
        <v>1.3150999999999999</v>
      </c>
      <c r="G651">
        <v>5.0999999999999997E-2</v>
      </c>
      <c r="H651">
        <v>-0.11899999999999999</v>
      </c>
      <c r="I651">
        <v>-59</v>
      </c>
      <c r="J651">
        <v>-42.5</v>
      </c>
      <c r="K651">
        <v>-54.125</v>
      </c>
      <c r="L651">
        <v>-65.25</v>
      </c>
      <c r="M651">
        <v>112.6155</v>
      </c>
      <c r="N651">
        <v>47.37</v>
      </c>
      <c r="O651">
        <v>44.74</v>
      </c>
      <c r="P651">
        <v>1.0011000000000001</v>
      </c>
      <c r="Q651">
        <v>10.38</v>
      </c>
      <c r="R651">
        <v>-46.625</v>
      </c>
    </row>
    <row r="652" spans="1:18" x14ac:dyDescent="0.2">
      <c r="A652" s="1">
        <v>42909</v>
      </c>
      <c r="B652" s="2">
        <v>-0.9375</v>
      </c>
      <c r="C652" s="3">
        <v>10.02</v>
      </c>
      <c r="D652">
        <v>8.125</v>
      </c>
      <c r="E652">
        <v>2.1423000000000001</v>
      </c>
      <c r="F652">
        <v>1.3404</v>
      </c>
      <c r="G652">
        <v>5.1999999999999998E-2</v>
      </c>
      <c r="H652">
        <v>-0.10299999999999999</v>
      </c>
      <c r="I652">
        <v>-59.0625</v>
      </c>
      <c r="J652">
        <v>-40</v>
      </c>
      <c r="K652">
        <v>-52.5</v>
      </c>
      <c r="L652">
        <v>-62</v>
      </c>
      <c r="M652">
        <v>112.8665</v>
      </c>
      <c r="N652">
        <v>45.54</v>
      </c>
      <c r="O652">
        <v>43.01</v>
      </c>
      <c r="P652">
        <v>0.95009999999999994</v>
      </c>
      <c r="Q652">
        <v>10.02</v>
      </c>
      <c r="R652">
        <v>-45.5</v>
      </c>
    </row>
    <row r="653" spans="1:18" x14ac:dyDescent="0.2">
      <c r="A653" s="1">
        <v>42916</v>
      </c>
      <c r="B653" s="2">
        <v>-0.82499999999999996</v>
      </c>
      <c r="C653" s="3">
        <v>11.18</v>
      </c>
      <c r="D653">
        <v>8.4250000000000007</v>
      </c>
      <c r="E653">
        <v>2.3037000000000001</v>
      </c>
      <c r="F653">
        <v>1.3816999999999999</v>
      </c>
      <c r="G653">
        <v>7.9000000000000001E-2</v>
      </c>
      <c r="H653">
        <v>-0.125</v>
      </c>
      <c r="I653">
        <v>-57.8125</v>
      </c>
      <c r="J653">
        <v>-40.25</v>
      </c>
      <c r="K653">
        <v>-54</v>
      </c>
      <c r="L653">
        <v>-60.75</v>
      </c>
      <c r="M653">
        <v>111.9896</v>
      </c>
      <c r="N653">
        <v>47.92</v>
      </c>
      <c r="O653">
        <v>46.04</v>
      </c>
      <c r="P653">
        <v>1.0113000000000001</v>
      </c>
      <c r="Q653">
        <v>11.18</v>
      </c>
      <c r="R653">
        <v>-46.5</v>
      </c>
    </row>
    <row r="654" spans="1:18" x14ac:dyDescent="0.2">
      <c r="A654" s="1">
        <v>42923</v>
      </c>
      <c r="B654" s="2">
        <v>-0.96750000000000003</v>
      </c>
      <c r="C654" s="3">
        <v>11.19</v>
      </c>
      <c r="D654">
        <v>8.6300000000000008</v>
      </c>
      <c r="E654">
        <v>2.3856000000000002</v>
      </c>
      <c r="F654">
        <v>1.399</v>
      </c>
      <c r="G654">
        <v>8.2000000000000003E-2</v>
      </c>
      <c r="H654">
        <v>-0.108</v>
      </c>
      <c r="I654">
        <v>-61.25</v>
      </c>
      <c r="J654">
        <v>-41.5</v>
      </c>
      <c r="K654">
        <v>-56.25</v>
      </c>
      <c r="L654">
        <v>-63.5</v>
      </c>
      <c r="M654">
        <v>112.3137</v>
      </c>
      <c r="N654">
        <v>46.71</v>
      </c>
      <c r="O654">
        <v>44.23</v>
      </c>
      <c r="P654">
        <v>1.0265</v>
      </c>
      <c r="Q654">
        <v>11.19</v>
      </c>
      <c r="R654">
        <v>-49.375</v>
      </c>
    </row>
    <row r="655" spans="1:18" x14ac:dyDescent="0.2">
      <c r="A655" s="1">
        <v>42930</v>
      </c>
      <c r="B655" s="2">
        <v>-0.71750000000000003</v>
      </c>
      <c r="C655" s="3">
        <v>9.51</v>
      </c>
      <c r="D655">
        <v>8.2200000000000006</v>
      </c>
      <c r="E655">
        <v>2.3319000000000001</v>
      </c>
      <c r="F655">
        <v>1.3555999999999999</v>
      </c>
      <c r="G655">
        <v>7.4999999999999997E-2</v>
      </c>
      <c r="H655">
        <v>-0.112</v>
      </c>
      <c r="I655">
        <v>-63.5</v>
      </c>
      <c r="J655">
        <v>-44</v>
      </c>
      <c r="K655">
        <v>-56.5</v>
      </c>
      <c r="L655">
        <v>-64.25</v>
      </c>
      <c r="M655">
        <v>110.9075</v>
      </c>
      <c r="N655">
        <v>48.91</v>
      </c>
      <c r="O655">
        <v>46.54</v>
      </c>
      <c r="P655">
        <v>1.0316000000000001</v>
      </c>
      <c r="Q655">
        <v>9.51</v>
      </c>
      <c r="R655">
        <v>-49.0625</v>
      </c>
    </row>
    <row r="656" spans="1:18" x14ac:dyDescent="0.2">
      <c r="A656" s="1">
        <v>42937</v>
      </c>
      <c r="B656" s="2">
        <v>-0.69750000000000001</v>
      </c>
      <c r="C656" s="3">
        <v>9.36</v>
      </c>
      <c r="D656">
        <v>8.5549999999999997</v>
      </c>
      <c r="E656">
        <v>2.2374999999999998</v>
      </c>
      <c r="F656">
        <v>1.3402000000000001</v>
      </c>
      <c r="G656">
        <v>6.2E-2</v>
      </c>
      <c r="H656">
        <v>-0.123</v>
      </c>
      <c r="I656">
        <v>-62.9375</v>
      </c>
      <c r="J656">
        <v>-42.75</v>
      </c>
      <c r="K656">
        <v>-55.75</v>
      </c>
      <c r="L656">
        <v>-64.125</v>
      </c>
      <c r="M656">
        <v>110.191</v>
      </c>
      <c r="N656">
        <v>48.06</v>
      </c>
      <c r="O656">
        <v>45.77</v>
      </c>
      <c r="P656">
        <v>1.159</v>
      </c>
      <c r="Q656">
        <v>9.36</v>
      </c>
      <c r="R656">
        <v>-49.25</v>
      </c>
    </row>
    <row r="657" spans="1:18" x14ac:dyDescent="0.2">
      <c r="A657" s="1">
        <v>42944</v>
      </c>
      <c r="B657" s="2">
        <v>-0.56000000000000005</v>
      </c>
      <c r="C657" s="3">
        <v>10.29</v>
      </c>
      <c r="D657">
        <v>8.7799999999999994</v>
      </c>
      <c r="E657">
        <v>2.2888999999999999</v>
      </c>
      <c r="F657">
        <v>1.3472</v>
      </c>
      <c r="G657">
        <v>7.0999999999999994E-2</v>
      </c>
      <c r="H657">
        <v>-0.12</v>
      </c>
      <c r="I657">
        <v>-63.5625</v>
      </c>
      <c r="J657">
        <v>-44.375</v>
      </c>
      <c r="K657">
        <v>-57.125</v>
      </c>
      <c r="L657">
        <v>-65.5</v>
      </c>
      <c r="M657">
        <v>109.92</v>
      </c>
      <c r="N657">
        <v>52.52</v>
      </c>
      <c r="O657">
        <v>49.71</v>
      </c>
      <c r="P657">
        <v>1.0774999999999999</v>
      </c>
      <c r="Q657">
        <v>10.29</v>
      </c>
      <c r="R657">
        <v>-50.375</v>
      </c>
    </row>
    <row r="658" spans="1:18" x14ac:dyDescent="0.2">
      <c r="A658" s="1">
        <v>42951</v>
      </c>
      <c r="B658" s="2">
        <v>-0.66749999999999998</v>
      </c>
      <c r="C658" s="3">
        <v>10.029999999999999</v>
      </c>
      <c r="D658">
        <v>8.8249999999999993</v>
      </c>
      <c r="E658">
        <v>2.262</v>
      </c>
      <c r="F658">
        <v>1.3509</v>
      </c>
      <c r="G658">
        <v>0.06</v>
      </c>
      <c r="H658">
        <v>-0.115</v>
      </c>
      <c r="I658">
        <v>-62.75</v>
      </c>
      <c r="J658">
        <v>-45.25</v>
      </c>
      <c r="K658">
        <v>-57.875</v>
      </c>
      <c r="L658">
        <v>-64.25</v>
      </c>
      <c r="M658">
        <v>110.2808</v>
      </c>
      <c r="N658">
        <v>52.42</v>
      </c>
      <c r="O658">
        <v>49.58</v>
      </c>
      <c r="P658">
        <v>1.0698000000000001</v>
      </c>
      <c r="Q658">
        <v>10.029999999999999</v>
      </c>
      <c r="R658">
        <v>-51.5</v>
      </c>
    </row>
    <row r="659" spans="1:18" x14ac:dyDescent="0.2">
      <c r="A659" s="1">
        <v>42958</v>
      </c>
      <c r="B659" s="2">
        <v>-1.2250000000000001</v>
      </c>
      <c r="C659" s="3">
        <v>15.51</v>
      </c>
      <c r="D659">
        <v>9.6199999999999992</v>
      </c>
      <c r="E659">
        <v>2.1888000000000001</v>
      </c>
      <c r="F659">
        <v>1.294</v>
      </c>
      <c r="G659">
        <v>5.5E-2</v>
      </c>
      <c r="H659">
        <v>-0.115</v>
      </c>
      <c r="I659">
        <v>-62.625</v>
      </c>
      <c r="J659">
        <v>-46.75</v>
      </c>
      <c r="K659">
        <v>-57.875</v>
      </c>
      <c r="L659">
        <v>-63.75</v>
      </c>
      <c r="M659">
        <v>110.04219999999999</v>
      </c>
      <c r="N659">
        <v>52.1</v>
      </c>
      <c r="O659">
        <v>48.82</v>
      </c>
      <c r="P659">
        <v>1.0316000000000001</v>
      </c>
      <c r="Q659">
        <v>15.51</v>
      </c>
      <c r="R659">
        <v>-51.875</v>
      </c>
    </row>
    <row r="660" spans="1:18" x14ac:dyDescent="0.2">
      <c r="A660" s="1">
        <v>42965</v>
      </c>
      <c r="B660" s="2">
        <v>-0.94499999999999995</v>
      </c>
      <c r="C660" s="3">
        <v>14.26</v>
      </c>
      <c r="D660">
        <v>9.2050000000000001</v>
      </c>
      <c r="E660">
        <v>2.1939000000000002</v>
      </c>
      <c r="F660">
        <v>1.3053999999999999</v>
      </c>
      <c r="G660">
        <v>2.8000000000000001E-2</v>
      </c>
      <c r="H660">
        <v>-0.14199999999999999</v>
      </c>
      <c r="I660">
        <v>-63.5625</v>
      </c>
      <c r="J660">
        <v>-50.75</v>
      </c>
      <c r="K660">
        <v>-60</v>
      </c>
      <c r="L660">
        <v>-65.0625</v>
      </c>
      <c r="M660">
        <v>110.041</v>
      </c>
      <c r="N660">
        <v>52.72</v>
      </c>
      <c r="O660">
        <v>48.51</v>
      </c>
      <c r="P660">
        <v>1.0011000000000001</v>
      </c>
      <c r="Q660">
        <v>14.26</v>
      </c>
      <c r="R660">
        <v>-55.625</v>
      </c>
    </row>
    <row r="661" spans="1:18" x14ac:dyDescent="0.2">
      <c r="A661" s="1">
        <v>42972</v>
      </c>
      <c r="B661" s="2">
        <v>-0.875</v>
      </c>
      <c r="C661" s="3">
        <v>11.28</v>
      </c>
      <c r="D661">
        <v>8.5399999999999991</v>
      </c>
      <c r="E661">
        <v>2.1659000000000002</v>
      </c>
      <c r="F661">
        <v>1.3314999999999999</v>
      </c>
      <c r="G661">
        <v>1.0999999999999999E-2</v>
      </c>
      <c r="H661">
        <v>-0.161</v>
      </c>
      <c r="I661">
        <v>-64.125</v>
      </c>
      <c r="J661">
        <v>-52.375</v>
      </c>
      <c r="K661">
        <v>-56</v>
      </c>
      <c r="L661">
        <v>-61.75</v>
      </c>
      <c r="M661">
        <v>109.3415</v>
      </c>
      <c r="N661">
        <v>52.41</v>
      </c>
      <c r="O661">
        <v>47.87</v>
      </c>
      <c r="P661">
        <v>1.0036</v>
      </c>
      <c r="Q661">
        <v>11.28</v>
      </c>
      <c r="R661">
        <v>-52</v>
      </c>
    </row>
    <row r="662" spans="1:18" x14ac:dyDescent="0.2">
      <c r="A662" s="1">
        <v>42979</v>
      </c>
      <c r="B662" s="2">
        <v>-0.89749999999999996</v>
      </c>
      <c r="C662" s="3">
        <v>10.130000000000001</v>
      </c>
      <c r="D662">
        <v>8.7475000000000005</v>
      </c>
      <c r="E662">
        <v>2.1657000000000002</v>
      </c>
      <c r="F662">
        <v>1.3420000000000001</v>
      </c>
      <c r="G662">
        <v>-8.9999999999999993E-3</v>
      </c>
      <c r="H662">
        <v>-0.17199999999999999</v>
      </c>
      <c r="I662">
        <v>-63</v>
      </c>
      <c r="J662">
        <v>-51.5</v>
      </c>
      <c r="K662">
        <v>-54.625</v>
      </c>
      <c r="L662">
        <v>-60.5</v>
      </c>
      <c r="M662">
        <v>109.0504</v>
      </c>
      <c r="N662">
        <v>52.75</v>
      </c>
      <c r="O662">
        <v>47.29</v>
      </c>
      <c r="P662">
        <v>0.99980000000000002</v>
      </c>
      <c r="Q662">
        <v>10.130000000000001</v>
      </c>
      <c r="R662">
        <v>-50.75</v>
      </c>
    </row>
    <row r="663" spans="1:18" x14ac:dyDescent="0.2">
      <c r="A663" s="1">
        <v>42986</v>
      </c>
      <c r="B663" s="2">
        <v>-0.72499999999999998</v>
      </c>
      <c r="C663" s="3">
        <v>12.12</v>
      </c>
      <c r="D663">
        <v>9.7475000000000005</v>
      </c>
      <c r="E663">
        <v>2.0507</v>
      </c>
      <c r="F663">
        <v>1.262</v>
      </c>
      <c r="G663">
        <v>-5.0000000000000001E-3</v>
      </c>
      <c r="H663">
        <v>-0.16400000000000001</v>
      </c>
      <c r="I663">
        <v>-58.875</v>
      </c>
      <c r="J663">
        <v>-46.75</v>
      </c>
      <c r="K663">
        <v>-51.125</v>
      </c>
      <c r="L663">
        <v>-55.375</v>
      </c>
      <c r="M663">
        <v>107.80800000000001</v>
      </c>
      <c r="N663">
        <v>53.78</v>
      </c>
      <c r="O663">
        <v>47.48</v>
      </c>
      <c r="P663">
        <v>1.0367</v>
      </c>
      <c r="Q663">
        <v>12.12</v>
      </c>
      <c r="R663">
        <v>-48.375</v>
      </c>
    </row>
    <row r="664" spans="1:18" x14ac:dyDescent="0.2">
      <c r="A664" s="1">
        <v>42993</v>
      </c>
      <c r="B664" s="2">
        <v>-0.75</v>
      </c>
      <c r="C664" s="3">
        <v>10.17</v>
      </c>
      <c r="D664">
        <v>9.4049999999999994</v>
      </c>
      <c r="E664">
        <v>2.2023000000000001</v>
      </c>
      <c r="F664">
        <v>1.3803000000000001</v>
      </c>
      <c r="G664">
        <v>0.02</v>
      </c>
      <c r="H664">
        <v>-0.14899999999999999</v>
      </c>
      <c r="I664">
        <v>-58.75</v>
      </c>
      <c r="J664">
        <v>-44.3125</v>
      </c>
      <c r="K664">
        <v>-52.9375</v>
      </c>
      <c r="L664">
        <v>-56.75</v>
      </c>
      <c r="M664">
        <v>108.3147</v>
      </c>
      <c r="N664">
        <v>55.62</v>
      </c>
      <c r="O664">
        <v>49.89</v>
      </c>
      <c r="P664">
        <v>1.0265</v>
      </c>
      <c r="Q664">
        <v>10.17</v>
      </c>
      <c r="R664">
        <v>-51.25</v>
      </c>
    </row>
    <row r="665" spans="1:18" x14ac:dyDescent="0.2">
      <c r="A665" s="1">
        <v>43000</v>
      </c>
      <c r="B665" s="2">
        <v>-0.745</v>
      </c>
      <c r="C665" s="3">
        <v>9.59</v>
      </c>
      <c r="D665">
        <v>9.85</v>
      </c>
      <c r="E665">
        <v>2.2498999999999998</v>
      </c>
      <c r="F665">
        <v>1.431</v>
      </c>
      <c r="G665">
        <v>1.9E-2</v>
      </c>
      <c r="H665">
        <v>-0.14000000000000001</v>
      </c>
      <c r="I665">
        <v>-60.625</v>
      </c>
      <c r="J665">
        <v>-45</v>
      </c>
      <c r="K665">
        <v>-54.5</v>
      </c>
      <c r="L665">
        <v>-59</v>
      </c>
      <c r="M665">
        <v>108.7542</v>
      </c>
      <c r="N665">
        <v>56.86</v>
      </c>
      <c r="O665">
        <v>50.66</v>
      </c>
      <c r="P665">
        <v>1.0202</v>
      </c>
      <c r="Q665">
        <v>9.59</v>
      </c>
      <c r="R665">
        <v>-52.75</v>
      </c>
    </row>
    <row r="666" spans="1:18" x14ac:dyDescent="0.2">
      <c r="A666" s="1">
        <v>43007</v>
      </c>
      <c r="B666" s="2">
        <v>-0.74750000000000005</v>
      </c>
      <c r="C666" s="3">
        <v>9.51</v>
      </c>
      <c r="D666">
        <v>9.8000000000000007</v>
      </c>
      <c r="E666">
        <v>2.3336000000000001</v>
      </c>
      <c r="F666">
        <v>1.4826999999999999</v>
      </c>
      <c r="G666">
        <v>0.06</v>
      </c>
      <c r="H666">
        <v>-0.126</v>
      </c>
      <c r="I666">
        <v>-61.25</v>
      </c>
      <c r="J666">
        <v>-46</v>
      </c>
      <c r="K666">
        <v>-55.125</v>
      </c>
      <c r="L666">
        <v>-60.375</v>
      </c>
      <c r="M666">
        <v>110.08669999999999</v>
      </c>
      <c r="N666">
        <v>57.54</v>
      </c>
      <c r="O666">
        <v>51.67</v>
      </c>
      <c r="P666">
        <v>1.0405</v>
      </c>
      <c r="Q666">
        <v>9.51</v>
      </c>
      <c r="R666">
        <v>-52.5</v>
      </c>
    </row>
    <row r="667" spans="1:18" x14ac:dyDescent="0.2">
      <c r="A667" s="1">
        <v>43014</v>
      </c>
      <c r="B667" s="2">
        <v>-0.73750000000000004</v>
      </c>
      <c r="C667" s="3">
        <v>9.65</v>
      </c>
      <c r="D667">
        <v>8.81</v>
      </c>
      <c r="E667">
        <v>2.3589000000000002</v>
      </c>
      <c r="F667">
        <v>1.504</v>
      </c>
      <c r="G667">
        <v>5.0999999999999997E-2</v>
      </c>
      <c r="H667">
        <v>-0.14199999999999999</v>
      </c>
      <c r="I667">
        <v>-61.375</v>
      </c>
      <c r="J667">
        <v>-47.25</v>
      </c>
      <c r="K667">
        <v>-55.25</v>
      </c>
      <c r="L667">
        <v>-60.875</v>
      </c>
      <c r="M667">
        <v>110.7841</v>
      </c>
      <c r="N667">
        <v>55.62</v>
      </c>
      <c r="O667">
        <v>49.29</v>
      </c>
      <c r="P667">
        <v>1.0622</v>
      </c>
      <c r="Q667">
        <v>9.65</v>
      </c>
      <c r="R667">
        <v>-53.5</v>
      </c>
    </row>
    <row r="668" spans="1:18" x14ac:dyDescent="0.2">
      <c r="A668" s="1">
        <v>43021</v>
      </c>
      <c r="B668" s="2">
        <v>-0.69499999999999995</v>
      </c>
      <c r="C668" s="3">
        <v>9.61</v>
      </c>
      <c r="D668">
        <v>8.5649999999999995</v>
      </c>
      <c r="E668">
        <v>2.2730000000000001</v>
      </c>
      <c r="F668">
        <v>1.4928999999999999</v>
      </c>
      <c r="G668">
        <v>5.8999999999999997E-2</v>
      </c>
      <c r="H668">
        <v>-0.14599999999999999</v>
      </c>
      <c r="I668">
        <v>-61.375</v>
      </c>
      <c r="J668">
        <v>-47.875</v>
      </c>
      <c r="K668">
        <v>-54.25</v>
      </c>
      <c r="L668">
        <v>-60.125</v>
      </c>
      <c r="M668">
        <v>110.26690000000001</v>
      </c>
      <c r="N668">
        <v>57.17</v>
      </c>
      <c r="O668">
        <v>51.45</v>
      </c>
      <c r="P668">
        <v>1.0672999999999999</v>
      </c>
      <c r="Q668">
        <v>9.61</v>
      </c>
      <c r="R668">
        <v>-52.25</v>
      </c>
    </row>
    <row r="669" spans="1:18" x14ac:dyDescent="0.2">
      <c r="A669" s="1">
        <v>43028</v>
      </c>
      <c r="B669" s="2">
        <v>-0.6925</v>
      </c>
      <c r="C669" s="3">
        <v>9.9700000000000006</v>
      </c>
      <c r="D669">
        <v>8.6449999999999996</v>
      </c>
      <c r="E669">
        <v>2.3845000000000001</v>
      </c>
      <c r="F669">
        <v>1.5763</v>
      </c>
      <c r="G669">
        <v>7.0000000000000007E-2</v>
      </c>
      <c r="H669">
        <v>-0.13900000000000001</v>
      </c>
      <c r="I669">
        <v>-62.9375</v>
      </c>
      <c r="J669">
        <v>-48.5</v>
      </c>
      <c r="K669">
        <v>-55.5</v>
      </c>
      <c r="L669">
        <v>-61.375</v>
      </c>
      <c r="M669">
        <v>111.03749999999999</v>
      </c>
      <c r="N669">
        <v>57.75</v>
      </c>
      <c r="O669">
        <v>51.47</v>
      </c>
      <c r="P669">
        <v>1.103</v>
      </c>
      <c r="Q669">
        <v>9.9700000000000006</v>
      </c>
      <c r="R669">
        <v>-53.5</v>
      </c>
    </row>
    <row r="670" spans="1:18" x14ac:dyDescent="0.2">
      <c r="A670" s="1">
        <v>43035</v>
      </c>
      <c r="B670" s="2">
        <v>-0.74</v>
      </c>
      <c r="C670" s="3">
        <v>9.8000000000000007</v>
      </c>
      <c r="D670">
        <v>8.48</v>
      </c>
      <c r="E670">
        <v>2.4064000000000001</v>
      </c>
      <c r="F670">
        <v>1.5874999999999999</v>
      </c>
      <c r="G670">
        <v>6.8000000000000005E-2</v>
      </c>
      <c r="H670">
        <v>-0.154</v>
      </c>
      <c r="I670">
        <v>-63.5</v>
      </c>
      <c r="J670">
        <v>-48.375</v>
      </c>
      <c r="K670">
        <v>-57</v>
      </c>
      <c r="L670">
        <v>-62.75</v>
      </c>
      <c r="M670">
        <v>112.1495</v>
      </c>
      <c r="N670">
        <v>60.44</v>
      </c>
      <c r="O670">
        <v>53.9</v>
      </c>
      <c r="P670">
        <v>1.0928</v>
      </c>
      <c r="Q670">
        <v>9.8000000000000007</v>
      </c>
      <c r="R670">
        <v>-55.125</v>
      </c>
    </row>
    <row r="671" spans="1:18" x14ac:dyDescent="0.2">
      <c r="A671" s="1">
        <v>43042</v>
      </c>
      <c r="B671" s="2">
        <v>-0.64749999999999996</v>
      </c>
      <c r="C671" s="3">
        <v>9.14</v>
      </c>
      <c r="D671">
        <v>7.9550000000000001</v>
      </c>
      <c r="E671">
        <v>2.3325</v>
      </c>
      <c r="F671">
        <v>1.6145</v>
      </c>
      <c r="G671">
        <v>0.05</v>
      </c>
      <c r="H671">
        <v>-0.16900000000000001</v>
      </c>
      <c r="I671">
        <v>-63.5</v>
      </c>
      <c r="J671">
        <v>-50.125</v>
      </c>
      <c r="K671">
        <v>-59.25</v>
      </c>
      <c r="L671">
        <v>-62.75</v>
      </c>
      <c r="M671">
        <v>111.9383</v>
      </c>
      <c r="N671">
        <v>62.07</v>
      </c>
      <c r="O671">
        <v>55.64</v>
      </c>
      <c r="P671">
        <v>1.1692</v>
      </c>
      <c r="Q671">
        <v>9.14</v>
      </c>
      <c r="R671">
        <v>-57</v>
      </c>
    </row>
    <row r="672" spans="1:18" x14ac:dyDescent="0.2">
      <c r="A672" s="1">
        <v>43049</v>
      </c>
      <c r="B672" s="2">
        <v>-0.625</v>
      </c>
      <c r="C672" s="3">
        <v>11.29</v>
      </c>
      <c r="D672">
        <v>8.18</v>
      </c>
      <c r="E672">
        <v>2.3984000000000001</v>
      </c>
      <c r="F672">
        <v>1.6540999999999999</v>
      </c>
      <c r="G672">
        <v>3.7999999999999999E-2</v>
      </c>
      <c r="H672">
        <v>-0.183</v>
      </c>
      <c r="I672">
        <v>-63.5</v>
      </c>
      <c r="J672">
        <v>-49.75</v>
      </c>
      <c r="K672">
        <v>-59.25</v>
      </c>
      <c r="L672">
        <v>-63.5</v>
      </c>
      <c r="M672">
        <v>111.5626</v>
      </c>
      <c r="N672">
        <v>63.52</v>
      </c>
      <c r="O672">
        <v>56.74</v>
      </c>
      <c r="P672">
        <v>1.2202</v>
      </c>
      <c r="Q672">
        <v>11.29</v>
      </c>
      <c r="R672">
        <v>-57.25</v>
      </c>
    </row>
    <row r="673" spans="1:18" x14ac:dyDescent="0.2">
      <c r="A673" s="1">
        <v>43056</v>
      </c>
      <c r="B673" s="2">
        <v>-0.73750000000000004</v>
      </c>
      <c r="C673" s="3">
        <v>11.43</v>
      </c>
      <c r="D673">
        <v>8.32</v>
      </c>
      <c r="E673">
        <v>2.3435000000000001</v>
      </c>
      <c r="F673">
        <v>1.7213000000000001</v>
      </c>
      <c r="G673">
        <v>2.9000000000000001E-2</v>
      </c>
      <c r="H673">
        <v>-0.20200000000000001</v>
      </c>
      <c r="I673">
        <v>-63.0625</v>
      </c>
      <c r="J673">
        <v>-47.75</v>
      </c>
      <c r="K673">
        <v>-57.625</v>
      </c>
      <c r="L673">
        <v>-62.25</v>
      </c>
      <c r="M673">
        <v>111.0016</v>
      </c>
      <c r="N673">
        <v>62.72</v>
      </c>
      <c r="O673">
        <v>56.55</v>
      </c>
      <c r="P673">
        <v>1.2585</v>
      </c>
      <c r="Q673">
        <v>11.43</v>
      </c>
      <c r="R673">
        <v>-56</v>
      </c>
    </row>
    <row r="674" spans="1:18" x14ac:dyDescent="0.2">
      <c r="A674" s="1">
        <v>43063</v>
      </c>
      <c r="B674" s="2">
        <v>-0.68500000000000005</v>
      </c>
      <c r="C674" s="3">
        <v>9.67</v>
      </c>
      <c r="D674">
        <v>7.97</v>
      </c>
      <c r="E674">
        <v>2.3418000000000001</v>
      </c>
      <c r="F674">
        <v>1.7443</v>
      </c>
      <c r="G674">
        <v>2.4E-2</v>
      </c>
      <c r="H674">
        <v>-0.187</v>
      </c>
      <c r="I674">
        <v>-61.875</v>
      </c>
      <c r="J674">
        <v>-46.25</v>
      </c>
      <c r="K674">
        <v>-56.625</v>
      </c>
      <c r="L674">
        <v>-61.75</v>
      </c>
      <c r="M674">
        <v>110.0253</v>
      </c>
      <c r="N674">
        <v>63.86</v>
      </c>
      <c r="O674">
        <v>58.95</v>
      </c>
      <c r="P674">
        <v>1.2609999999999999</v>
      </c>
      <c r="Q674">
        <v>9.67</v>
      </c>
      <c r="R674">
        <v>-55</v>
      </c>
    </row>
    <row r="675" spans="1:18" x14ac:dyDescent="0.2">
      <c r="A675" s="1">
        <v>43070</v>
      </c>
      <c r="B675" s="2">
        <v>-0.66</v>
      </c>
      <c r="C675" s="3">
        <v>11.43</v>
      </c>
      <c r="D675">
        <v>8.5749999999999993</v>
      </c>
      <c r="E675">
        <v>2.3614999999999999</v>
      </c>
      <c r="F675">
        <v>1.772</v>
      </c>
      <c r="G675">
        <v>0.03</v>
      </c>
      <c r="H675">
        <v>-0.16</v>
      </c>
      <c r="I675">
        <v>-60.625</v>
      </c>
      <c r="J675">
        <v>-45.625</v>
      </c>
      <c r="K675">
        <v>-56.75</v>
      </c>
      <c r="L675">
        <v>-61</v>
      </c>
      <c r="M675">
        <v>110.1413</v>
      </c>
      <c r="N675">
        <v>63.73</v>
      </c>
      <c r="O675">
        <v>58.36</v>
      </c>
      <c r="P675">
        <v>1.2585</v>
      </c>
      <c r="Q675">
        <v>11.43</v>
      </c>
      <c r="R675">
        <v>-54.875</v>
      </c>
    </row>
    <row r="676" spans="1:18" x14ac:dyDescent="0.2">
      <c r="A676" s="1">
        <v>43077</v>
      </c>
      <c r="B676" s="2">
        <v>-0.625</v>
      </c>
      <c r="C676" s="3">
        <v>9.58</v>
      </c>
      <c r="D676">
        <v>8.1325000000000003</v>
      </c>
      <c r="E676">
        <v>2.3759999999999999</v>
      </c>
      <c r="F676">
        <v>1.7945</v>
      </c>
      <c r="G676">
        <v>4.4999999999999998E-2</v>
      </c>
      <c r="H676">
        <v>-0.155</v>
      </c>
      <c r="I676">
        <v>-62.375</v>
      </c>
      <c r="J676">
        <v>-48</v>
      </c>
      <c r="K676">
        <v>-57.25</v>
      </c>
      <c r="L676">
        <v>-62</v>
      </c>
      <c r="M676">
        <v>111.2273</v>
      </c>
      <c r="N676">
        <v>63.4</v>
      </c>
      <c r="O676">
        <v>57.36</v>
      </c>
      <c r="P676">
        <v>1.2712000000000001</v>
      </c>
      <c r="Q676">
        <v>9.58</v>
      </c>
      <c r="R676">
        <v>-55.25</v>
      </c>
    </row>
    <row r="677" spans="1:18" x14ac:dyDescent="0.2">
      <c r="A677" s="1">
        <v>43084</v>
      </c>
      <c r="B677" s="2">
        <v>-0.46750000000000003</v>
      </c>
      <c r="C677" s="3">
        <v>9.42</v>
      </c>
      <c r="D677">
        <v>7.4850000000000003</v>
      </c>
      <c r="E677">
        <v>2.3530000000000002</v>
      </c>
      <c r="F677">
        <v>1.8358000000000001</v>
      </c>
      <c r="G677">
        <v>0.04</v>
      </c>
      <c r="H677">
        <v>-0.156</v>
      </c>
      <c r="I677">
        <v>-58.875</v>
      </c>
      <c r="J677">
        <v>-51.5</v>
      </c>
      <c r="K677">
        <v>-54.5</v>
      </c>
      <c r="L677">
        <v>-58.5</v>
      </c>
      <c r="M677">
        <v>111.12860000000001</v>
      </c>
      <c r="N677">
        <v>63.23</v>
      </c>
      <c r="O677">
        <v>57.3</v>
      </c>
      <c r="P677">
        <v>1.3120000000000001</v>
      </c>
      <c r="Q677">
        <v>9.42</v>
      </c>
      <c r="R677">
        <v>-52.5</v>
      </c>
    </row>
    <row r="678" spans="1:18" x14ac:dyDescent="0.2">
      <c r="A678" s="1">
        <v>43091</v>
      </c>
      <c r="B678" s="2">
        <v>-0.47499999999999998</v>
      </c>
      <c r="C678" s="3">
        <v>9.9</v>
      </c>
      <c r="D678">
        <v>7.48</v>
      </c>
      <c r="E678">
        <v>2.4809999999999999</v>
      </c>
      <c r="F678">
        <v>1.8906000000000001</v>
      </c>
      <c r="G678">
        <v>4.2999999999999997E-2</v>
      </c>
      <c r="H678">
        <v>-0.15</v>
      </c>
      <c r="I678">
        <v>-55.5</v>
      </c>
      <c r="J678">
        <v>-43.5</v>
      </c>
      <c r="K678">
        <v>-52.875</v>
      </c>
      <c r="L678">
        <v>-55.5</v>
      </c>
      <c r="M678">
        <v>111.0997</v>
      </c>
      <c r="N678">
        <v>65.25</v>
      </c>
      <c r="O678">
        <v>58.47</v>
      </c>
      <c r="P678">
        <v>1.3222</v>
      </c>
      <c r="Q678">
        <v>9.9</v>
      </c>
      <c r="R678">
        <v>-51</v>
      </c>
    </row>
    <row r="679" spans="1:18" x14ac:dyDescent="0.2">
      <c r="A679" s="1">
        <v>43098</v>
      </c>
      <c r="B679" s="2">
        <v>-0.42</v>
      </c>
      <c r="C679" s="3">
        <v>11.04</v>
      </c>
      <c r="D679">
        <v>7.4249999999999998</v>
      </c>
      <c r="E679">
        <v>2.4054000000000002</v>
      </c>
      <c r="F679">
        <v>1.883</v>
      </c>
      <c r="G679">
        <v>4.2999999999999997E-2</v>
      </c>
      <c r="H679">
        <v>-0.14099999999999999</v>
      </c>
      <c r="I679">
        <v>-53.375</v>
      </c>
      <c r="J679">
        <v>-40.25</v>
      </c>
      <c r="K679">
        <v>-54.0625</v>
      </c>
      <c r="L679">
        <v>-56.5</v>
      </c>
      <c r="M679">
        <v>110.0783</v>
      </c>
      <c r="N679">
        <v>66.87</v>
      </c>
      <c r="O679">
        <v>60.42</v>
      </c>
      <c r="P679">
        <v>1.3756999999999999</v>
      </c>
      <c r="Q679">
        <v>11.04</v>
      </c>
      <c r="R679">
        <v>-51.25</v>
      </c>
    </row>
    <row r="680" spans="1:18" x14ac:dyDescent="0.2">
      <c r="A680" s="1">
        <v>43105</v>
      </c>
      <c r="B680" s="2">
        <v>-0.38</v>
      </c>
      <c r="C680" s="3">
        <v>9.2200000000000006</v>
      </c>
      <c r="D680">
        <v>7.0650000000000004</v>
      </c>
      <c r="E680">
        <v>2.4763000000000002</v>
      </c>
      <c r="F680">
        <v>1.9599</v>
      </c>
      <c r="G680">
        <v>5.5E-2</v>
      </c>
      <c r="H680">
        <v>-0.14000000000000001</v>
      </c>
      <c r="I680">
        <v>-54.125</v>
      </c>
      <c r="J680">
        <v>-41.75</v>
      </c>
      <c r="K680">
        <v>-53</v>
      </c>
      <c r="L680">
        <v>-55.25</v>
      </c>
      <c r="M680">
        <v>109.3496</v>
      </c>
      <c r="N680">
        <v>67.62</v>
      </c>
      <c r="O680">
        <v>61.44</v>
      </c>
      <c r="P680">
        <v>1.3935999999999999</v>
      </c>
      <c r="Q680">
        <v>9.2200000000000006</v>
      </c>
      <c r="R680">
        <v>-50.75</v>
      </c>
    </row>
    <row r="681" spans="1:18" x14ac:dyDescent="0.2">
      <c r="A681" s="1">
        <v>43112</v>
      </c>
      <c r="B681" s="2">
        <v>-0.4975</v>
      </c>
      <c r="C681" s="3">
        <v>10.16</v>
      </c>
      <c r="D681">
        <v>7.4749999999999996</v>
      </c>
      <c r="E681">
        <v>2.5461999999999998</v>
      </c>
      <c r="F681">
        <v>1.9976</v>
      </c>
      <c r="G681">
        <v>7.2999999999999995E-2</v>
      </c>
      <c r="H681">
        <v>-0.13900000000000001</v>
      </c>
      <c r="I681">
        <v>-52.625</v>
      </c>
      <c r="J681">
        <v>-40.25</v>
      </c>
      <c r="K681">
        <v>-51.375</v>
      </c>
      <c r="L681">
        <v>-53.625</v>
      </c>
      <c r="M681">
        <v>108.9011</v>
      </c>
      <c r="N681">
        <v>69.87</v>
      </c>
      <c r="O681">
        <v>64.3</v>
      </c>
      <c r="P681">
        <v>1.4370000000000001</v>
      </c>
      <c r="Q681">
        <v>10.16</v>
      </c>
      <c r="R681">
        <v>-49.125</v>
      </c>
    </row>
    <row r="682" spans="1:18" x14ac:dyDescent="0.2">
      <c r="A682" s="1">
        <v>43119</v>
      </c>
      <c r="B682" s="2">
        <v>-0.28249999999999997</v>
      </c>
      <c r="C682" s="3">
        <v>11.27</v>
      </c>
      <c r="D682">
        <v>7.81</v>
      </c>
      <c r="E682">
        <v>2.6591999999999998</v>
      </c>
      <c r="F682">
        <v>2.0647000000000002</v>
      </c>
      <c r="G682">
        <v>7.9000000000000001E-2</v>
      </c>
      <c r="H682">
        <v>-0.13900000000000001</v>
      </c>
      <c r="I682">
        <v>-53.5</v>
      </c>
      <c r="J682">
        <v>-41.5</v>
      </c>
      <c r="K682">
        <v>-51.75</v>
      </c>
      <c r="L682">
        <v>-54.25</v>
      </c>
      <c r="M682">
        <v>107.94540000000001</v>
      </c>
      <c r="N682">
        <v>68.61</v>
      </c>
      <c r="O682">
        <v>63.37</v>
      </c>
      <c r="P682">
        <v>1.4268000000000001</v>
      </c>
      <c r="Q682">
        <v>11.27</v>
      </c>
      <c r="R682">
        <v>-49.375</v>
      </c>
    </row>
    <row r="683" spans="1:18" x14ac:dyDescent="0.2">
      <c r="A683" s="1">
        <v>43126</v>
      </c>
      <c r="B683" s="2">
        <v>-0.23499999999999999</v>
      </c>
      <c r="C683" s="3">
        <v>11.08</v>
      </c>
      <c r="D683">
        <v>8.5050000000000008</v>
      </c>
      <c r="E683">
        <v>2.6598999999999999</v>
      </c>
      <c r="F683">
        <v>2.1162999999999998</v>
      </c>
      <c r="G683">
        <v>7.1999999999999995E-2</v>
      </c>
      <c r="H683">
        <v>-0.13100000000000001</v>
      </c>
      <c r="I683">
        <v>-53.1875</v>
      </c>
      <c r="J683">
        <v>-42</v>
      </c>
      <c r="K683">
        <v>-51.875</v>
      </c>
      <c r="L683">
        <v>-54.125</v>
      </c>
      <c r="M683">
        <v>106.6909</v>
      </c>
      <c r="N683">
        <v>70.52</v>
      </c>
      <c r="O683">
        <v>66.14</v>
      </c>
      <c r="P683">
        <v>1.4115</v>
      </c>
      <c r="Q683">
        <v>11.08</v>
      </c>
      <c r="R683">
        <v>-49.75</v>
      </c>
    </row>
    <row r="684" spans="1:18" x14ac:dyDescent="0.2">
      <c r="A684" s="1">
        <v>43133</v>
      </c>
      <c r="B684" s="2">
        <v>-0.62</v>
      </c>
      <c r="C684" s="3">
        <v>17.309999999999999</v>
      </c>
      <c r="D684">
        <v>8.3025000000000002</v>
      </c>
      <c r="E684">
        <v>2.8411</v>
      </c>
      <c r="F684">
        <v>2.1413000000000002</v>
      </c>
      <c r="G684">
        <v>0.08</v>
      </c>
      <c r="H684">
        <v>-0.13300000000000001</v>
      </c>
      <c r="I684">
        <v>-55.125</v>
      </c>
      <c r="J684">
        <v>-45.25</v>
      </c>
      <c r="K684">
        <v>-52.375</v>
      </c>
      <c r="L684">
        <v>-55.375</v>
      </c>
      <c r="M684">
        <v>107.11539999999999</v>
      </c>
      <c r="N684">
        <v>68.58</v>
      </c>
      <c r="O684">
        <v>65.45</v>
      </c>
      <c r="P684">
        <v>1.4728000000000001</v>
      </c>
      <c r="Q684">
        <v>17.309999999999999</v>
      </c>
      <c r="R684">
        <v>-50.25</v>
      </c>
    </row>
    <row r="685" spans="1:18" x14ac:dyDescent="0.2">
      <c r="A685" s="1">
        <v>43140</v>
      </c>
      <c r="B685" s="2">
        <v>-1.1074999999999999</v>
      </c>
      <c r="C685" s="3">
        <v>29.06</v>
      </c>
      <c r="D685">
        <v>9.875</v>
      </c>
      <c r="E685">
        <v>2.8512</v>
      </c>
      <c r="F685">
        <v>2.0731999999999999</v>
      </c>
      <c r="G685">
        <v>6.0999999999999999E-2</v>
      </c>
      <c r="H685">
        <v>-0.153</v>
      </c>
      <c r="I685">
        <v>-58.375</v>
      </c>
      <c r="J685">
        <v>-51.75</v>
      </c>
      <c r="K685">
        <v>-53.5</v>
      </c>
      <c r="L685">
        <v>-57.5</v>
      </c>
      <c r="M685">
        <v>108.25790000000001</v>
      </c>
      <c r="N685">
        <v>62.79</v>
      </c>
      <c r="O685">
        <v>59.2</v>
      </c>
      <c r="P685">
        <v>1.5545</v>
      </c>
      <c r="Q685">
        <v>29.06</v>
      </c>
      <c r="R685">
        <v>-51</v>
      </c>
    </row>
    <row r="686" spans="1:18" x14ac:dyDescent="0.2">
      <c r="A686" s="1">
        <v>43147</v>
      </c>
      <c r="B686" s="2">
        <v>-0.9</v>
      </c>
      <c r="C686" s="3">
        <v>19.46</v>
      </c>
      <c r="D686">
        <v>9.4124999999999996</v>
      </c>
      <c r="E686">
        <v>2.8748999999999998</v>
      </c>
      <c r="F686">
        <v>2.1894999999999998</v>
      </c>
      <c r="G686">
        <v>5.3999999999999999E-2</v>
      </c>
      <c r="H686">
        <v>-0.16</v>
      </c>
      <c r="I686">
        <v>-58.25</v>
      </c>
      <c r="J686">
        <v>-49.25</v>
      </c>
      <c r="K686">
        <v>-53</v>
      </c>
      <c r="L686">
        <v>-57.125</v>
      </c>
      <c r="M686">
        <v>107.0359</v>
      </c>
      <c r="N686">
        <v>64.84</v>
      </c>
      <c r="O686">
        <v>61.68</v>
      </c>
      <c r="P686">
        <v>1.5901000000000001</v>
      </c>
      <c r="Q686">
        <v>19.46</v>
      </c>
      <c r="R686">
        <v>-51</v>
      </c>
    </row>
    <row r="687" spans="1:18" x14ac:dyDescent="0.2">
      <c r="A687" s="1">
        <v>43154</v>
      </c>
      <c r="B687" s="2">
        <v>-0.82</v>
      </c>
      <c r="C687" s="3">
        <v>16.489999999999998</v>
      </c>
      <c r="D687">
        <v>8.5950000000000006</v>
      </c>
      <c r="E687">
        <v>2.8660000000000001</v>
      </c>
      <c r="F687">
        <v>2.238</v>
      </c>
      <c r="G687">
        <v>4.8000000000000001E-2</v>
      </c>
      <c r="H687">
        <v>-0.155</v>
      </c>
      <c r="I687">
        <v>-59</v>
      </c>
      <c r="J687">
        <v>-48.75</v>
      </c>
      <c r="K687">
        <v>-54.25</v>
      </c>
      <c r="L687">
        <v>-58.25</v>
      </c>
      <c r="M687">
        <v>107.6802</v>
      </c>
      <c r="N687">
        <v>67.31</v>
      </c>
      <c r="O687">
        <v>63.55</v>
      </c>
      <c r="P687">
        <v>1.6387</v>
      </c>
      <c r="Q687">
        <v>16.489999999999998</v>
      </c>
      <c r="R687">
        <v>-52.125</v>
      </c>
    </row>
    <row r="688" spans="1:18" x14ac:dyDescent="0.2">
      <c r="A688" s="1">
        <v>43161</v>
      </c>
      <c r="B688" s="2">
        <v>-0.79249999999999998</v>
      </c>
      <c r="C688" s="3">
        <v>19.59</v>
      </c>
      <c r="D688">
        <v>9.07</v>
      </c>
      <c r="E688">
        <v>2.8643000000000001</v>
      </c>
      <c r="F688">
        <v>2.2418</v>
      </c>
      <c r="G688">
        <v>6.3E-2</v>
      </c>
      <c r="H688">
        <v>-0.16200000000000001</v>
      </c>
      <c r="I688">
        <v>-56.125</v>
      </c>
      <c r="J688">
        <v>-48</v>
      </c>
      <c r="K688">
        <v>-52</v>
      </c>
      <c r="L688">
        <v>-55.125</v>
      </c>
      <c r="M688">
        <v>108.53570000000001</v>
      </c>
      <c r="N688">
        <v>64.37</v>
      </c>
      <c r="O688">
        <v>61.25</v>
      </c>
      <c r="P688">
        <v>1.6387</v>
      </c>
      <c r="Q688">
        <v>19.59</v>
      </c>
      <c r="R688">
        <v>-49.875</v>
      </c>
    </row>
    <row r="689" spans="1:18" x14ac:dyDescent="0.2">
      <c r="A689" s="1">
        <v>43168</v>
      </c>
      <c r="B689" s="2">
        <v>-0.71499999999999997</v>
      </c>
      <c r="C689" s="3">
        <v>14.64</v>
      </c>
      <c r="D689">
        <v>7.9249999999999998</v>
      </c>
      <c r="E689">
        <v>2.8938000000000001</v>
      </c>
      <c r="F689">
        <v>2.258</v>
      </c>
      <c r="G689">
        <v>4.8000000000000001E-2</v>
      </c>
      <c r="H689">
        <v>-0.158</v>
      </c>
      <c r="I689">
        <v>-54.25</v>
      </c>
      <c r="J689">
        <v>-44.1875</v>
      </c>
      <c r="K689">
        <v>-50.625</v>
      </c>
      <c r="L689">
        <v>-53.25</v>
      </c>
      <c r="M689">
        <v>107.92310000000001</v>
      </c>
      <c r="N689">
        <v>65.489999999999995</v>
      </c>
      <c r="O689">
        <v>62.04</v>
      </c>
      <c r="P689">
        <v>1.6592</v>
      </c>
      <c r="Q689">
        <v>14.64</v>
      </c>
      <c r="R689">
        <v>-49.125</v>
      </c>
    </row>
    <row r="690" spans="1:18" x14ac:dyDescent="0.2">
      <c r="A690" s="1">
        <v>43175</v>
      </c>
      <c r="B690" s="2">
        <v>-0.78749999999999998</v>
      </c>
      <c r="C690" s="3">
        <v>15.8</v>
      </c>
      <c r="D690">
        <v>8.4</v>
      </c>
      <c r="E690">
        <v>2.8445</v>
      </c>
      <c r="F690">
        <v>2.2909000000000002</v>
      </c>
      <c r="G690">
        <v>3.3000000000000002E-2</v>
      </c>
      <c r="H690">
        <v>-0.14899999999999999</v>
      </c>
      <c r="I690">
        <v>-51.5</v>
      </c>
      <c r="J690">
        <v>-41.5</v>
      </c>
      <c r="K690">
        <v>-47.75</v>
      </c>
      <c r="L690">
        <v>-50.5</v>
      </c>
      <c r="M690">
        <v>108.4333</v>
      </c>
      <c r="N690">
        <v>66.209999999999994</v>
      </c>
      <c r="O690">
        <v>62.34</v>
      </c>
      <c r="P690">
        <v>1.7690999999999999</v>
      </c>
      <c r="Q690">
        <v>15.8</v>
      </c>
      <c r="R690">
        <v>-46.25</v>
      </c>
    </row>
    <row r="691" spans="1:18" x14ac:dyDescent="0.2">
      <c r="A691" s="1">
        <v>43182</v>
      </c>
      <c r="B691" s="2">
        <v>-0.89749999999999996</v>
      </c>
      <c r="C691" s="3">
        <v>24.87</v>
      </c>
      <c r="D691">
        <v>8.5950000000000006</v>
      </c>
      <c r="E691">
        <v>2.8134999999999999</v>
      </c>
      <c r="F691">
        <v>2.2538</v>
      </c>
      <c r="G691">
        <v>1.7999999999999999E-2</v>
      </c>
      <c r="H691">
        <v>-0.16</v>
      </c>
      <c r="I691">
        <v>-50.0625</v>
      </c>
      <c r="J691">
        <v>-36.875</v>
      </c>
      <c r="K691">
        <v>-48.625</v>
      </c>
      <c r="L691">
        <v>-50.625</v>
      </c>
      <c r="M691">
        <v>107.7495</v>
      </c>
      <c r="N691">
        <v>70.45</v>
      </c>
      <c r="O691">
        <v>65.88</v>
      </c>
      <c r="P691">
        <v>1.7154</v>
      </c>
      <c r="Q691">
        <v>24.87</v>
      </c>
      <c r="R691">
        <v>-47.375</v>
      </c>
    </row>
    <row r="692" spans="1:18" x14ac:dyDescent="0.2">
      <c r="A692" s="1">
        <v>43189</v>
      </c>
      <c r="B692" s="2">
        <v>-0.8175</v>
      </c>
      <c r="C692" s="3">
        <v>19.97</v>
      </c>
      <c r="D692">
        <v>8.06</v>
      </c>
      <c r="E692">
        <v>2.7389000000000001</v>
      </c>
      <c r="F692">
        <v>2.2660999999999998</v>
      </c>
      <c r="G692">
        <v>4.3999999999999997E-2</v>
      </c>
      <c r="H692">
        <v>-0.13800000000000001</v>
      </c>
      <c r="I692">
        <v>-47.4375</v>
      </c>
      <c r="J692">
        <v>-33.75</v>
      </c>
      <c r="K692">
        <v>-47.25</v>
      </c>
      <c r="L692">
        <v>-49</v>
      </c>
      <c r="M692">
        <v>107.4783</v>
      </c>
      <c r="N692">
        <v>70.27</v>
      </c>
      <c r="O692">
        <v>64.94</v>
      </c>
      <c r="P692">
        <v>1.7000999999999999</v>
      </c>
      <c r="Q692">
        <v>19.97</v>
      </c>
      <c r="R692">
        <v>-46.125</v>
      </c>
    </row>
    <row r="693" spans="1:18" x14ac:dyDescent="0.2">
      <c r="A693" s="1">
        <v>43196</v>
      </c>
      <c r="B693" s="2">
        <v>-0.74250000000000005</v>
      </c>
      <c r="C693" s="3">
        <v>21.49</v>
      </c>
      <c r="D693">
        <v>7.7525000000000004</v>
      </c>
      <c r="E693">
        <v>2.7734999999999999</v>
      </c>
      <c r="F693">
        <v>2.2660999999999998</v>
      </c>
      <c r="G693">
        <v>4.1000000000000002E-2</v>
      </c>
      <c r="H693">
        <v>-0.14499999999999999</v>
      </c>
      <c r="I693">
        <v>-48.875</v>
      </c>
      <c r="J693">
        <v>-34.75</v>
      </c>
      <c r="K693">
        <v>-48.4375</v>
      </c>
      <c r="L693">
        <v>-49.8125</v>
      </c>
      <c r="M693">
        <v>107.7884</v>
      </c>
      <c r="N693">
        <v>67.11</v>
      </c>
      <c r="O693">
        <v>62.06</v>
      </c>
      <c r="P693">
        <v>1.7077</v>
      </c>
      <c r="Q693">
        <v>21.49</v>
      </c>
      <c r="R693">
        <v>-47.9375</v>
      </c>
    </row>
    <row r="694" spans="1:18" x14ac:dyDescent="0.2">
      <c r="A694" s="1">
        <v>43203</v>
      </c>
      <c r="B694" s="2">
        <v>-0.625</v>
      </c>
      <c r="C694" s="3">
        <v>17.41</v>
      </c>
      <c r="D694">
        <v>7.4474999999999998</v>
      </c>
      <c r="E694">
        <v>2.8267000000000002</v>
      </c>
      <c r="F694">
        <v>2.3565999999999998</v>
      </c>
      <c r="G694">
        <v>3.3000000000000002E-2</v>
      </c>
      <c r="H694">
        <v>-0.158</v>
      </c>
      <c r="I694">
        <v>-49.5625</v>
      </c>
      <c r="J694">
        <v>-36</v>
      </c>
      <c r="K694">
        <v>-48.5</v>
      </c>
      <c r="L694">
        <v>-49.75</v>
      </c>
      <c r="M694">
        <v>107.2359</v>
      </c>
      <c r="N694">
        <v>72.58</v>
      </c>
      <c r="O694">
        <v>67.39</v>
      </c>
      <c r="P694">
        <v>1.7485999999999999</v>
      </c>
      <c r="Q694">
        <v>17.41</v>
      </c>
      <c r="R694">
        <v>-48.125</v>
      </c>
    </row>
    <row r="695" spans="1:18" x14ac:dyDescent="0.2">
      <c r="A695" s="1">
        <v>43210</v>
      </c>
      <c r="B695" s="2">
        <v>-0.69</v>
      </c>
      <c r="C695" s="3">
        <v>16.88</v>
      </c>
      <c r="D695">
        <v>7.3449999999999998</v>
      </c>
      <c r="E695">
        <v>2.9601999999999999</v>
      </c>
      <c r="F695">
        <v>2.4573</v>
      </c>
      <c r="G695">
        <v>5.5E-2</v>
      </c>
      <c r="H695">
        <v>-0.13300000000000001</v>
      </c>
      <c r="I695">
        <v>-47.5</v>
      </c>
      <c r="J695">
        <v>-33.375</v>
      </c>
      <c r="K695">
        <v>-48.5</v>
      </c>
      <c r="L695">
        <v>-49.375</v>
      </c>
      <c r="M695">
        <v>108.1782</v>
      </c>
      <c r="N695">
        <v>74.06</v>
      </c>
      <c r="O695">
        <v>68.38</v>
      </c>
      <c r="P695">
        <v>1.7997000000000001</v>
      </c>
      <c r="Q695">
        <v>16.88</v>
      </c>
      <c r="R695">
        <v>-48.375</v>
      </c>
    </row>
    <row r="696" spans="1:18" x14ac:dyDescent="0.2">
      <c r="A696" s="1">
        <v>43217</v>
      </c>
      <c r="B696" s="2">
        <v>-0.76249999999999996</v>
      </c>
      <c r="C696" s="3">
        <v>15.41</v>
      </c>
      <c r="D696">
        <v>7.2350000000000003</v>
      </c>
      <c r="E696">
        <v>2.9567999999999999</v>
      </c>
      <c r="F696">
        <v>2.4838</v>
      </c>
      <c r="G696">
        <v>0.05</v>
      </c>
      <c r="H696">
        <v>-0.14000000000000001</v>
      </c>
      <c r="I696">
        <v>-48.875</v>
      </c>
      <c r="J696">
        <v>-35</v>
      </c>
      <c r="K696">
        <v>-50.375</v>
      </c>
      <c r="L696">
        <v>-51.375</v>
      </c>
      <c r="M696">
        <v>109.1729</v>
      </c>
      <c r="N696">
        <v>74.64</v>
      </c>
      <c r="O696">
        <v>68.099999999999994</v>
      </c>
      <c r="P696">
        <v>1.8023</v>
      </c>
      <c r="Q696">
        <v>15.41</v>
      </c>
      <c r="R696">
        <v>-50.125</v>
      </c>
    </row>
    <row r="697" spans="1:18" x14ac:dyDescent="0.2">
      <c r="A697" s="1">
        <v>43224</v>
      </c>
      <c r="B697" s="2">
        <v>-0.72750000000000004</v>
      </c>
      <c r="C697" s="3">
        <v>14.77</v>
      </c>
      <c r="D697">
        <v>7.43</v>
      </c>
      <c r="E697">
        <v>2.9497</v>
      </c>
      <c r="F697">
        <v>2.4969000000000001</v>
      </c>
      <c r="G697">
        <v>0.04</v>
      </c>
      <c r="H697">
        <v>-0.13800000000000001</v>
      </c>
      <c r="I697">
        <v>-48.25</v>
      </c>
      <c r="J697">
        <v>-33.5</v>
      </c>
      <c r="K697">
        <v>-50</v>
      </c>
      <c r="L697">
        <v>-50.75</v>
      </c>
      <c r="M697">
        <v>110.2492</v>
      </c>
      <c r="N697">
        <v>74.87</v>
      </c>
      <c r="O697">
        <v>69.72</v>
      </c>
      <c r="P697">
        <v>1.8252999999999999</v>
      </c>
      <c r="Q697">
        <v>14.77</v>
      </c>
      <c r="R697">
        <v>-49.75</v>
      </c>
    </row>
    <row r="698" spans="1:18" x14ac:dyDescent="0.2">
      <c r="A698" s="1">
        <v>43231</v>
      </c>
      <c r="B698" s="2">
        <v>-0.70499999999999996</v>
      </c>
      <c r="C698" s="3">
        <v>12.65</v>
      </c>
      <c r="D698">
        <v>7.1</v>
      </c>
      <c r="E698">
        <v>2.9695</v>
      </c>
      <c r="F698">
        <v>2.5348999999999999</v>
      </c>
      <c r="G698">
        <v>0.04</v>
      </c>
      <c r="H698">
        <v>-0.13900000000000001</v>
      </c>
      <c r="I698">
        <v>-47.125</v>
      </c>
      <c r="J698">
        <v>-31</v>
      </c>
      <c r="K698">
        <v>-49</v>
      </c>
      <c r="L698">
        <v>-50.125</v>
      </c>
      <c r="M698">
        <v>110.2839</v>
      </c>
      <c r="N698">
        <v>77.12</v>
      </c>
      <c r="O698">
        <v>70.7</v>
      </c>
      <c r="P698">
        <v>1.8995</v>
      </c>
      <c r="Q698">
        <v>12.65</v>
      </c>
      <c r="R698">
        <v>-48.875</v>
      </c>
    </row>
    <row r="699" spans="1:18" x14ac:dyDescent="0.2">
      <c r="A699" s="1">
        <v>43238</v>
      </c>
      <c r="B699" s="2">
        <v>-0.65749999999999997</v>
      </c>
      <c r="C699" s="3">
        <v>13.42</v>
      </c>
      <c r="D699">
        <v>7.09</v>
      </c>
      <c r="E699">
        <v>3.0558999999999998</v>
      </c>
      <c r="F699">
        <v>2.5467</v>
      </c>
      <c r="G699">
        <v>5.6000000000000001E-2</v>
      </c>
      <c r="H699">
        <v>-0.14000000000000001</v>
      </c>
      <c r="I699">
        <v>-46.625</v>
      </c>
      <c r="J699">
        <v>-31.375</v>
      </c>
      <c r="K699">
        <v>-48.125</v>
      </c>
      <c r="L699">
        <v>-49.875</v>
      </c>
      <c r="M699">
        <v>111.7161</v>
      </c>
      <c r="N699">
        <v>78.510000000000005</v>
      </c>
      <c r="O699">
        <v>71.28</v>
      </c>
      <c r="P699">
        <v>1.8815999999999999</v>
      </c>
      <c r="Q699">
        <v>13.42</v>
      </c>
      <c r="R699">
        <v>-47.75</v>
      </c>
    </row>
    <row r="700" spans="1:18" x14ac:dyDescent="0.2">
      <c r="A700" s="1">
        <v>43245</v>
      </c>
      <c r="B700" s="2">
        <v>-0.64</v>
      </c>
      <c r="C700" s="3">
        <v>13.22</v>
      </c>
      <c r="D700">
        <v>7.3650000000000002</v>
      </c>
      <c r="E700">
        <v>2.9312999999999998</v>
      </c>
      <c r="F700">
        <v>2.4758</v>
      </c>
      <c r="G700">
        <v>3.5000000000000003E-2</v>
      </c>
      <c r="H700">
        <v>-0.14399999999999999</v>
      </c>
      <c r="I700">
        <v>-49.25</v>
      </c>
      <c r="J700">
        <v>-36.625</v>
      </c>
      <c r="K700">
        <v>-49.375</v>
      </c>
      <c r="L700">
        <v>-51.25</v>
      </c>
      <c r="M700">
        <v>111.58280000000001</v>
      </c>
      <c r="N700">
        <v>76.44</v>
      </c>
      <c r="O700">
        <v>67.88</v>
      </c>
      <c r="P700">
        <v>1.8891</v>
      </c>
      <c r="Q700">
        <v>13.22</v>
      </c>
      <c r="R700">
        <v>-48.875</v>
      </c>
    </row>
    <row r="701" spans="1:18" x14ac:dyDescent="0.2">
      <c r="A701" s="1">
        <v>43252</v>
      </c>
      <c r="B701" s="2">
        <v>-0.76</v>
      </c>
      <c r="C701" s="3">
        <v>13.46</v>
      </c>
      <c r="D701">
        <v>7.4249999999999998</v>
      </c>
      <c r="E701">
        <v>2.9022000000000001</v>
      </c>
      <c r="F701">
        <v>2.4716</v>
      </c>
      <c r="G701">
        <v>4.2999999999999997E-2</v>
      </c>
      <c r="H701">
        <v>-0.14199999999999999</v>
      </c>
      <c r="I701">
        <v>-49.625</v>
      </c>
      <c r="J701">
        <v>-34.75</v>
      </c>
      <c r="K701">
        <v>-49.75</v>
      </c>
      <c r="L701">
        <v>-51.75</v>
      </c>
      <c r="M701">
        <v>111.8253</v>
      </c>
      <c r="N701">
        <v>76.790000000000006</v>
      </c>
      <c r="O701">
        <v>65.81</v>
      </c>
      <c r="P701">
        <v>1.9046000000000001</v>
      </c>
      <c r="Q701">
        <v>13.46</v>
      </c>
      <c r="R701">
        <v>-49</v>
      </c>
    </row>
    <row r="702" spans="1:18" x14ac:dyDescent="0.2">
      <c r="A702" s="1">
        <v>43259</v>
      </c>
      <c r="B702" s="2">
        <v>-0.68</v>
      </c>
      <c r="C702" s="3">
        <v>12.18</v>
      </c>
      <c r="D702">
        <v>7.5049999999999999</v>
      </c>
      <c r="E702">
        <v>2.9460999999999999</v>
      </c>
      <c r="F702">
        <v>2.4977</v>
      </c>
      <c r="G702">
        <v>0.04</v>
      </c>
      <c r="H702">
        <v>-0.13</v>
      </c>
      <c r="I702">
        <v>-49</v>
      </c>
      <c r="J702">
        <v>-33.0625</v>
      </c>
      <c r="K702">
        <v>-49</v>
      </c>
      <c r="L702">
        <v>-51.75</v>
      </c>
      <c r="M702">
        <v>112.1057</v>
      </c>
      <c r="N702">
        <v>76.459999999999994</v>
      </c>
      <c r="O702">
        <v>65.739999999999995</v>
      </c>
      <c r="P702">
        <v>1.9071</v>
      </c>
      <c r="Q702">
        <v>12.18</v>
      </c>
      <c r="R702">
        <v>-48.1875</v>
      </c>
    </row>
    <row r="703" spans="1:18" x14ac:dyDescent="0.2">
      <c r="A703" s="1">
        <v>43266</v>
      </c>
      <c r="B703" s="2">
        <v>-0.7</v>
      </c>
      <c r="C703" s="3">
        <v>11.98</v>
      </c>
      <c r="D703">
        <v>7.11</v>
      </c>
      <c r="E703">
        <v>2.9205000000000001</v>
      </c>
      <c r="F703">
        <v>2.5470999999999999</v>
      </c>
      <c r="G703">
        <v>0.03</v>
      </c>
      <c r="H703">
        <v>-0.14000000000000001</v>
      </c>
      <c r="I703">
        <v>-47.25</v>
      </c>
      <c r="J703">
        <v>-31.5</v>
      </c>
      <c r="K703">
        <v>-45</v>
      </c>
      <c r="L703">
        <v>-49.25</v>
      </c>
      <c r="M703">
        <v>113.3369</v>
      </c>
      <c r="N703">
        <v>73.44</v>
      </c>
      <c r="O703">
        <v>65.06</v>
      </c>
      <c r="P703">
        <v>1.9174</v>
      </c>
      <c r="Q703">
        <v>11.98</v>
      </c>
      <c r="R703">
        <v>-43.5</v>
      </c>
    </row>
    <row r="704" spans="1:18" x14ac:dyDescent="0.2">
      <c r="A704" s="1">
        <v>43273</v>
      </c>
      <c r="B704" s="2">
        <v>-0.86</v>
      </c>
      <c r="C704" s="3">
        <v>13.77</v>
      </c>
      <c r="D704">
        <v>7.3775000000000004</v>
      </c>
      <c r="E704">
        <v>2.8948999999999998</v>
      </c>
      <c r="F704">
        <v>2.5411999999999999</v>
      </c>
      <c r="G704">
        <v>2.9000000000000001E-2</v>
      </c>
      <c r="H704">
        <v>-0.13900000000000001</v>
      </c>
      <c r="I704">
        <v>-46.5</v>
      </c>
      <c r="J704">
        <v>-32.25</v>
      </c>
      <c r="K704">
        <v>-43.375</v>
      </c>
      <c r="L704">
        <v>-48.5</v>
      </c>
      <c r="M704">
        <v>113.3039</v>
      </c>
      <c r="N704">
        <v>75.55</v>
      </c>
      <c r="O704">
        <v>68.58</v>
      </c>
      <c r="P704">
        <v>1.9071</v>
      </c>
      <c r="Q704">
        <v>13.77</v>
      </c>
      <c r="R704">
        <v>-41.5</v>
      </c>
    </row>
    <row r="705" spans="1:18" x14ac:dyDescent="0.2">
      <c r="A705" s="1">
        <v>43280</v>
      </c>
      <c r="B705" s="2">
        <v>-0.89749999999999996</v>
      </c>
      <c r="C705" s="3">
        <v>16.09</v>
      </c>
      <c r="D705">
        <v>7.5</v>
      </c>
      <c r="E705">
        <v>2.8601000000000001</v>
      </c>
      <c r="F705">
        <v>2.5282</v>
      </c>
      <c r="G705">
        <v>2.9000000000000001E-2</v>
      </c>
      <c r="H705">
        <v>-0.128</v>
      </c>
      <c r="I705">
        <v>-43.875</v>
      </c>
      <c r="J705">
        <v>-28.25</v>
      </c>
      <c r="K705">
        <v>-42</v>
      </c>
      <c r="L705">
        <v>-46.3125</v>
      </c>
      <c r="M705">
        <v>113.25830000000001</v>
      </c>
      <c r="N705">
        <v>79.44</v>
      </c>
      <c r="O705">
        <v>74.150000000000006</v>
      </c>
      <c r="P705">
        <v>1.9123000000000001</v>
      </c>
      <c r="Q705">
        <v>16.09</v>
      </c>
      <c r="R705">
        <v>-40.5</v>
      </c>
    </row>
    <row r="706" spans="1:18" x14ac:dyDescent="0.2">
      <c r="A706" s="1">
        <v>43287</v>
      </c>
      <c r="B706" s="2">
        <v>-0.82499999999999996</v>
      </c>
      <c r="C706" s="3">
        <v>13.37</v>
      </c>
      <c r="D706">
        <v>6.9950000000000001</v>
      </c>
      <c r="E706">
        <v>2.8216999999999999</v>
      </c>
      <c r="F706">
        <v>2.5365000000000002</v>
      </c>
      <c r="G706">
        <v>2.5999999999999999E-2</v>
      </c>
      <c r="H706">
        <v>-0.13400000000000001</v>
      </c>
      <c r="I706">
        <v>-41.5</v>
      </c>
      <c r="J706">
        <v>-27.625</v>
      </c>
      <c r="K706">
        <v>-41.5</v>
      </c>
      <c r="L706">
        <v>-45</v>
      </c>
      <c r="M706">
        <v>112.6426</v>
      </c>
      <c r="N706">
        <v>77.11</v>
      </c>
      <c r="O706">
        <v>73.8</v>
      </c>
      <c r="P706">
        <v>1.9403999999999999</v>
      </c>
      <c r="Q706">
        <v>13.37</v>
      </c>
      <c r="R706">
        <v>-39.5</v>
      </c>
    </row>
    <row r="707" spans="1:18" x14ac:dyDescent="0.2">
      <c r="A707" s="1">
        <v>43294</v>
      </c>
      <c r="B707" s="2">
        <v>-0.87749999999999995</v>
      </c>
      <c r="C707" s="3">
        <v>12.18</v>
      </c>
      <c r="D707">
        <v>7.23</v>
      </c>
      <c r="E707">
        <v>2.8271000000000002</v>
      </c>
      <c r="F707">
        <v>2.5779999999999998</v>
      </c>
      <c r="G707">
        <v>3.5000000000000003E-2</v>
      </c>
      <c r="H707">
        <v>-0.13500000000000001</v>
      </c>
      <c r="I707">
        <v>-42</v>
      </c>
      <c r="J707">
        <v>-25.875</v>
      </c>
      <c r="K707">
        <v>-42.25</v>
      </c>
      <c r="L707">
        <v>-45.375</v>
      </c>
      <c r="M707">
        <v>113.0705</v>
      </c>
      <c r="N707">
        <v>75.33</v>
      </c>
      <c r="O707">
        <v>71.010000000000005</v>
      </c>
      <c r="P707">
        <v>1.966</v>
      </c>
      <c r="Q707">
        <v>12.18</v>
      </c>
      <c r="R707">
        <v>-40.375</v>
      </c>
    </row>
    <row r="708" spans="1:18" x14ac:dyDescent="0.2">
      <c r="A708" s="1">
        <v>43301</v>
      </c>
      <c r="B708" s="2">
        <v>-1.01</v>
      </c>
      <c r="C708" s="3">
        <v>12.86</v>
      </c>
      <c r="D708">
        <v>7.6550000000000002</v>
      </c>
      <c r="E708">
        <v>2.8931</v>
      </c>
      <c r="F708">
        <v>2.5931000000000002</v>
      </c>
      <c r="G708">
        <v>0.03</v>
      </c>
      <c r="H708">
        <v>-0.13</v>
      </c>
      <c r="I708">
        <v>-42.75</v>
      </c>
      <c r="J708">
        <v>-25.5</v>
      </c>
      <c r="K708">
        <v>-43.375</v>
      </c>
      <c r="L708">
        <v>-46.375</v>
      </c>
      <c r="M708">
        <v>113.3214</v>
      </c>
      <c r="N708">
        <v>73.069999999999993</v>
      </c>
      <c r="O708">
        <v>70.459999999999994</v>
      </c>
      <c r="P708">
        <v>1.9684999999999999</v>
      </c>
      <c r="Q708">
        <v>12.86</v>
      </c>
      <c r="R708">
        <v>-41.625</v>
      </c>
    </row>
    <row r="709" spans="1:18" x14ac:dyDescent="0.2">
      <c r="A709" s="1">
        <v>43308</v>
      </c>
      <c r="B709" s="2">
        <v>-0.83250000000000002</v>
      </c>
      <c r="C709" s="3">
        <v>13.03</v>
      </c>
      <c r="D709">
        <v>7.58</v>
      </c>
      <c r="E709">
        <v>2.9542000000000002</v>
      </c>
      <c r="F709">
        <v>2.6694</v>
      </c>
      <c r="G709">
        <v>9.9000000000000005E-2</v>
      </c>
      <c r="H709">
        <v>-0.11799999999999999</v>
      </c>
      <c r="I709">
        <v>-43.75</v>
      </c>
      <c r="J709">
        <v>-26.25</v>
      </c>
      <c r="K709">
        <v>-44.875</v>
      </c>
      <c r="L709">
        <v>-47.75</v>
      </c>
      <c r="M709">
        <v>112.8122</v>
      </c>
      <c r="N709">
        <v>74.290000000000006</v>
      </c>
      <c r="O709">
        <v>68.69</v>
      </c>
      <c r="P709">
        <v>1.9813000000000001</v>
      </c>
      <c r="Q709">
        <v>13.03</v>
      </c>
      <c r="R709">
        <v>-43</v>
      </c>
    </row>
    <row r="710" spans="1:18" x14ac:dyDescent="0.2">
      <c r="A710" s="1">
        <v>43315</v>
      </c>
      <c r="B710" s="2">
        <v>-0.83</v>
      </c>
      <c r="C710" s="3">
        <v>11.64</v>
      </c>
      <c r="D710">
        <v>7.2350000000000003</v>
      </c>
      <c r="E710">
        <v>2.9487999999999999</v>
      </c>
      <c r="F710">
        <v>2.6432000000000002</v>
      </c>
      <c r="G710">
        <v>0.10199999999999999</v>
      </c>
      <c r="H710">
        <v>-0.12</v>
      </c>
      <c r="I710">
        <v>-45.125</v>
      </c>
      <c r="J710">
        <v>-27.125</v>
      </c>
      <c r="K710">
        <v>-46.75</v>
      </c>
      <c r="L710">
        <v>-49.5</v>
      </c>
      <c r="M710">
        <v>113.01139999999999</v>
      </c>
      <c r="N710">
        <v>73.209999999999994</v>
      </c>
      <c r="O710">
        <v>68.489999999999995</v>
      </c>
      <c r="P710">
        <v>2.0017999999999998</v>
      </c>
      <c r="Q710">
        <v>11.64</v>
      </c>
      <c r="R710">
        <v>-44.75</v>
      </c>
    </row>
    <row r="711" spans="1:18" x14ac:dyDescent="0.2">
      <c r="A711" s="1">
        <v>43322</v>
      </c>
      <c r="B711" s="2">
        <v>-0.995</v>
      </c>
      <c r="C711" s="3">
        <v>13.16</v>
      </c>
      <c r="D711">
        <v>7.7975000000000003</v>
      </c>
      <c r="E711">
        <v>2.8732000000000002</v>
      </c>
      <c r="F711">
        <v>2.6042000000000001</v>
      </c>
      <c r="G711">
        <v>9.6000000000000002E-2</v>
      </c>
      <c r="H711">
        <v>-0.121</v>
      </c>
      <c r="I711">
        <v>-46.375</v>
      </c>
      <c r="J711">
        <v>-30.5</v>
      </c>
      <c r="K711">
        <v>-49.25</v>
      </c>
      <c r="L711">
        <v>-51.125</v>
      </c>
      <c r="M711">
        <v>114.2992</v>
      </c>
      <c r="N711">
        <v>72.81</v>
      </c>
      <c r="O711">
        <v>67.63</v>
      </c>
      <c r="P711">
        <v>2.0427</v>
      </c>
      <c r="Q711">
        <v>13.16</v>
      </c>
      <c r="R711">
        <v>-47.625</v>
      </c>
    </row>
    <row r="712" spans="1:18" x14ac:dyDescent="0.2">
      <c r="A712" s="1">
        <v>43329</v>
      </c>
      <c r="B712" s="2">
        <v>-1.2050000000000001</v>
      </c>
      <c r="C712" s="3">
        <v>12.64</v>
      </c>
      <c r="D712">
        <v>7.77</v>
      </c>
      <c r="E712">
        <v>2.8605</v>
      </c>
      <c r="F712">
        <v>2.6059000000000001</v>
      </c>
      <c r="G712">
        <v>9.2999999999999999E-2</v>
      </c>
      <c r="H712">
        <v>-0.13400000000000001</v>
      </c>
      <c r="I712">
        <v>-46</v>
      </c>
      <c r="J712">
        <v>-30.375</v>
      </c>
      <c r="K712">
        <v>-48.75</v>
      </c>
      <c r="L712">
        <v>-51.125</v>
      </c>
      <c r="M712">
        <v>114.53270000000001</v>
      </c>
      <c r="N712">
        <v>71.83</v>
      </c>
      <c r="O712">
        <v>65.91</v>
      </c>
      <c r="P712">
        <v>2.0325000000000002</v>
      </c>
      <c r="Q712">
        <v>12.64</v>
      </c>
      <c r="R712">
        <v>-46.5</v>
      </c>
    </row>
    <row r="713" spans="1:18" x14ac:dyDescent="0.2">
      <c r="A713" s="1">
        <v>43336</v>
      </c>
      <c r="B713" s="2">
        <v>-1.1675</v>
      </c>
      <c r="C713" s="3">
        <v>11.99</v>
      </c>
      <c r="D713">
        <v>7.3049999999999997</v>
      </c>
      <c r="E713">
        <v>2.8098000000000001</v>
      </c>
      <c r="F713">
        <v>2.6202000000000001</v>
      </c>
      <c r="G713">
        <v>9.5000000000000001E-2</v>
      </c>
      <c r="H713">
        <v>-0.121</v>
      </c>
      <c r="I713">
        <v>-46.75</v>
      </c>
      <c r="J713">
        <v>-30.875</v>
      </c>
      <c r="K713">
        <v>-49</v>
      </c>
      <c r="L713">
        <v>-51.5</v>
      </c>
      <c r="M713">
        <v>113.598</v>
      </c>
      <c r="N713">
        <v>75.819999999999993</v>
      </c>
      <c r="O713">
        <v>68.72</v>
      </c>
      <c r="P713">
        <v>2.0863999999999998</v>
      </c>
      <c r="Q713">
        <v>11.99</v>
      </c>
      <c r="R713">
        <v>-46.875</v>
      </c>
    </row>
    <row r="714" spans="1:18" x14ac:dyDescent="0.2">
      <c r="A714" s="1">
        <v>43343</v>
      </c>
      <c r="B714" s="2">
        <v>-1.2175</v>
      </c>
      <c r="C714" s="3">
        <v>12.86</v>
      </c>
      <c r="D714">
        <v>7.36</v>
      </c>
      <c r="E714">
        <v>2.8603999999999998</v>
      </c>
      <c r="F714">
        <v>2.6269</v>
      </c>
      <c r="G714">
        <v>0.10100000000000001</v>
      </c>
      <c r="H714">
        <v>-0.12</v>
      </c>
      <c r="I714">
        <v>-48.875</v>
      </c>
      <c r="J714">
        <v>-31.625</v>
      </c>
      <c r="K714">
        <v>-51.25</v>
      </c>
      <c r="L714">
        <v>-53.875</v>
      </c>
      <c r="M714">
        <v>114.27500000000001</v>
      </c>
      <c r="N714">
        <v>77.42</v>
      </c>
      <c r="O714">
        <v>69.8</v>
      </c>
      <c r="P714">
        <v>2.0937999999999999</v>
      </c>
      <c r="Q714">
        <v>12.86</v>
      </c>
      <c r="R714">
        <v>-49.875</v>
      </c>
    </row>
    <row r="715" spans="1:18" x14ac:dyDescent="0.2">
      <c r="A715" s="1">
        <v>43350</v>
      </c>
      <c r="B715" s="2">
        <v>-1.56</v>
      </c>
      <c r="C715" s="3">
        <v>14.88</v>
      </c>
      <c r="D715">
        <v>7.4824999999999999</v>
      </c>
      <c r="E715">
        <v>2.9388000000000001</v>
      </c>
      <c r="F715">
        <v>2.7025000000000001</v>
      </c>
      <c r="G715">
        <v>0.106</v>
      </c>
      <c r="H715">
        <v>-0.11</v>
      </c>
      <c r="I715">
        <v>-49.875</v>
      </c>
      <c r="J715">
        <v>-33.25</v>
      </c>
      <c r="K715">
        <v>-52.5</v>
      </c>
      <c r="L715">
        <v>-55</v>
      </c>
      <c r="M715">
        <v>114.58069999999999</v>
      </c>
      <c r="N715">
        <v>76.83</v>
      </c>
      <c r="O715">
        <v>67.75</v>
      </c>
      <c r="P715">
        <v>2.1297999999999999</v>
      </c>
      <c r="Q715">
        <v>14.88</v>
      </c>
      <c r="R715">
        <v>-51.125</v>
      </c>
    </row>
    <row r="716" spans="1:18" x14ac:dyDescent="0.2">
      <c r="A716" s="1">
        <v>43357</v>
      </c>
      <c r="B716" s="2">
        <v>-1.3174999999999999</v>
      </c>
      <c r="C716" s="3">
        <v>12.07</v>
      </c>
      <c r="D716">
        <v>7.2</v>
      </c>
      <c r="E716">
        <v>2.9958999999999998</v>
      </c>
      <c r="F716">
        <v>2.7776999999999998</v>
      </c>
      <c r="G716">
        <v>0.113</v>
      </c>
      <c r="H716">
        <v>-0.111</v>
      </c>
      <c r="I716">
        <v>-48</v>
      </c>
      <c r="J716">
        <v>-32.5</v>
      </c>
      <c r="K716">
        <v>-50.875</v>
      </c>
      <c r="L716">
        <v>-53.5</v>
      </c>
      <c r="M716">
        <v>114.0654</v>
      </c>
      <c r="N716">
        <v>78.09</v>
      </c>
      <c r="O716">
        <v>68.989999999999995</v>
      </c>
      <c r="P716">
        <v>2.1425999999999998</v>
      </c>
      <c r="Q716">
        <v>12.07</v>
      </c>
      <c r="R716">
        <v>-49.5</v>
      </c>
    </row>
    <row r="717" spans="1:18" x14ac:dyDescent="0.2">
      <c r="A717" s="1">
        <v>43364</v>
      </c>
      <c r="B717" s="2">
        <v>-1.1475</v>
      </c>
      <c r="C717" s="3">
        <v>11.68</v>
      </c>
      <c r="D717">
        <v>7.2350000000000003</v>
      </c>
      <c r="E717">
        <v>3.0628000000000002</v>
      </c>
      <c r="F717">
        <v>2.7999000000000001</v>
      </c>
      <c r="G717">
        <v>0.126</v>
      </c>
      <c r="H717">
        <v>-0.113</v>
      </c>
      <c r="I717">
        <v>-45.75</v>
      </c>
      <c r="J717">
        <v>-30.25</v>
      </c>
      <c r="K717">
        <v>-47.25</v>
      </c>
      <c r="L717">
        <v>-50.25</v>
      </c>
      <c r="M717">
        <v>113.5097</v>
      </c>
      <c r="N717">
        <v>78.8</v>
      </c>
      <c r="O717">
        <v>70.78</v>
      </c>
      <c r="P717">
        <v>2.1631</v>
      </c>
      <c r="Q717">
        <v>11.68</v>
      </c>
      <c r="R717">
        <v>-45.75</v>
      </c>
    </row>
    <row r="718" spans="1:18" x14ac:dyDescent="0.2">
      <c r="A718" s="1">
        <v>43371</v>
      </c>
      <c r="B718" s="2">
        <v>-1.0325</v>
      </c>
      <c r="C718" s="3">
        <v>12.12</v>
      </c>
      <c r="D718">
        <v>6.92</v>
      </c>
      <c r="E718">
        <v>3.0611999999999999</v>
      </c>
      <c r="F718">
        <v>2.8188</v>
      </c>
      <c r="G718">
        <v>0.124</v>
      </c>
      <c r="H718">
        <v>-0.12</v>
      </c>
      <c r="I718">
        <v>-46.25</v>
      </c>
      <c r="J718">
        <v>-33.5</v>
      </c>
      <c r="K718">
        <v>-47.125</v>
      </c>
      <c r="L718">
        <v>-50.375</v>
      </c>
      <c r="M718">
        <v>113.80719999999999</v>
      </c>
      <c r="N718">
        <v>82.72</v>
      </c>
      <c r="O718">
        <v>73.25</v>
      </c>
      <c r="P718">
        <v>2.1964000000000001</v>
      </c>
      <c r="Q718">
        <v>12.12</v>
      </c>
      <c r="R718">
        <v>-45.875</v>
      </c>
    </row>
    <row r="719" spans="1:18" x14ac:dyDescent="0.2">
      <c r="A719" s="1">
        <v>43378</v>
      </c>
      <c r="B719" s="2">
        <v>-1.335</v>
      </c>
      <c r="C719" s="3">
        <v>14.82</v>
      </c>
      <c r="D719">
        <v>7.13</v>
      </c>
      <c r="E719">
        <v>3.2328000000000001</v>
      </c>
      <c r="F719">
        <v>2.8849999999999998</v>
      </c>
      <c r="G719">
        <v>0.15</v>
      </c>
      <c r="H719">
        <v>-0.124</v>
      </c>
      <c r="I719">
        <v>-46.125</v>
      </c>
      <c r="J719">
        <v>-32.5625</v>
      </c>
      <c r="K719">
        <v>-46.25</v>
      </c>
      <c r="L719">
        <v>-50.125</v>
      </c>
      <c r="M719">
        <v>114.5599</v>
      </c>
      <c r="N719">
        <v>84.16</v>
      </c>
      <c r="O719">
        <v>74.34</v>
      </c>
      <c r="P719">
        <v>2.2090000000000001</v>
      </c>
      <c r="Q719">
        <v>14.82</v>
      </c>
      <c r="R719">
        <v>-44.875</v>
      </c>
    </row>
    <row r="720" spans="1:18" x14ac:dyDescent="0.2">
      <c r="A720" s="1">
        <v>43385</v>
      </c>
      <c r="B720" s="2">
        <v>-1.1725000000000001</v>
      </c>
      <c r="C720" s="3">
        <v>21.31</v>
      </c>
      <c r="D720">
        <v>7.2350000000000003</v>
      </c>
      <c r="E720">
        <v>3.1613000000000002</v>
      </c>
      <c r="F720">
        <v>2.8527999999999998</v>
      </c>
      <c r="G720">
        <v>0.14499999999999999</v>
      </c>
      <c r="H720">
        <v>-0.11799999999999999</v>
      </c>
      <c r="I720">
        <v>-48.75</v>
      </c>
      <c r="J720">
        <v>-36.625</v>
      </c>
      <c r="K720">
        <v>-47.875</v>
      </c>
      <c r="L720">
        <v>-52.875</v>
      </c>
      <c r="M720">
        <v>114.36799999999999</v>
      </c>
      <c r="N720">
        <v>80.430000000000007</v>
      </c>
      <c r="O720">
        <v>71.34</v>
      </c>
      <c r="P720">
        <v>2.2629999999999999</v>
      </c>
      <c r="Q720">
        <v>21.31</v>
      </c>
      <c r="R720">
        <v>-46.375</v>
      </c>
    </row>
    <row r="721" spans="1:18" x14ac:dyDescent="0.2">
      <c r="A721" s="1">
        <v>43392</v>
      </c>
      <c r="B721" s="2">
        <v>-1.0974999999999999</v>
      </c>
      <c r="C721" s="3">
        <v>19.89</v>
      </c>
      <c r="D721">
        <v>6.88</v>
      </c>
      <c r="E721">
        <v>3.1920999999999999</v>
      </c>
      <c r="F721">
        <v>2.9037999999999999</v>
      </c>
      <c r="G721">
        <v>0.14399999999999999</v>
      </c>
      <c r="H721">
        <v>-0.12</v>
      </c>
      <c r="I721">
        <v>-48.75</v>
      </c>
      <c r="J721">
        <v>-34.5</v>
      </c>
      <c r="K721">
        <v>-44.75</v>
      </c>
      <c r="L721">
        <v>-52</v>
      </c>
      <c r="M721">
        <v>114.8557</v>
      </c>
      <c r="N721">
        <v>79.78</v>
      </c>
      <c r="O721">
        <v>69.12</v>
      </c>
      <c r="P721">
        <v>2.3039999999999998</v>
      </c>
      <c r="Q721">
        <v>19.89</v>
      </c>
      <c r="R721">
        <v>-41.5</v>
      </c>
    </row>
    <row r="722" spans="1:18" x14ac:dyDescent="0.2">
      <c r="A722" s="1">
        <v>43399</v>
      </c>
      <c r="B722" s="2">
        <v>-1.2250000000000001</v>
      </c>
      <c r="C722" s="3">
        <v>24.16</v>
      </c>
      <c r="D722">
        <v>7.57</v>
      </c>
      <c r="E722">
        <v>3.0754999999999999</v>
      </c>
      <c r="F722">
        <v>2.8062</v>
      </c>
      <c r="G722">
        <v>0.106</v>
      </c>
      <c r="H722">
        <v>-0.124</v>
      </c>
      <c r="I722">
        <v>-47.5</v>
      </c>
      <c r="J722">
        <v>-33.375</v>
      </c>
      <c r="K722">
        <v>-43</v>
      </c>
      <c r="L722">
        <v>-50.75</v>
      </c>
      <c r="M722">
        <v>115.4717</v>
      </c>
      <c r="N722">
        <v>77.62</v>
      </c>
      <c r="O722">
        <v>67.59</v>
      </c>
      <c r="P722">
        <v>2.3193000000000001</v>
      </c>
      <c r="Q722">
        <v>24.16</v>
      </c>
      <c r="R722">
        <v>-39.75</v>
      </c>
    </row>
    <row r="723" spans="1:18" x14ac:dyDescent="0.2">
      <c r="A723" s="1">
        <v>43406</v>
      </c>
      <c r="B723" s="2">
        <v>-0.95750000000000002</v>
      </c>
      <c r="C723" s="3">
        <v>19.510000000000002</v>
      </c>
      <c r="D723">
        <v>7.15</v>
      </c>
      <c r="E723">
        <v>3.2121</v>
      </c>
      <c r="F723">
        <v>2.9034</v>
      </c>
      <c r="G723">
        <v>0.122</v>
      </c>
      <c r="H723">
        <v>-0.13200000000000001</v>
      </c>
      <c r="I723">
        <v>-47.75</v>
      </c>
      <c r="J723">
        <v>-32.125</v>
      </c>
      <c r="K723">
        <v>-43</v>
      </c>
      <c r="L723">
        <v>-51.25</v>
      </c>
      <c r="M723">
        <v>115.64149999999999</v>
      </c>
      <c r="N723">
        <v>72.83</v>
      </c>
      <c r="O723">
        <v>63.14</v>
      </c>
      <c r="P723">
        <v>2.3142</v>
      </c>
      <c r="Q723">
        <v>19.510000000000002</v>
      </c>
      <c r="R723">
        <v>-39.875</v>
      </c>
    </row>
    <row r="724" spans="1:18" x14ac:dyDescent="0.2">
      <c r="A724" s="1">
        <v>43413</v>
      </c>
      <c r="B724" s="2">
        <v>-0.9375</v>
      </c>
      <c r="C724" s="3">
        <v>17.36</v>
      </c>
      <c r="D724">
        <v>7.02</v>
      </c>
      <c r="E724">
        <v>3.1819000000000002</v>
      </c>
      <c r="F724">
        <v>2.9241000000000001</v>
      </c>
      <c r="G724">
        <v>0.11600000000000001</v>
      </c>
      <c r="H724">
        <v>-0.14000000000000001</v>
      </c>
      <c r="I724">
        <v>-49</v>
      </c>
      <c r="J724">
        <v>-34.25</v>
      </c>
      <c r="K724">
        <v>-44</v>
      </c>
      <c r="L724">
        <v>-52</v>
      </c>
      <c r="M724">
        <v>116.47620000000001</v>
      </c>
      <c r="N724">
        <v>70.180000000000007</v>
      </c>
      <c r="O724">
        <v>60.19</v>
      </c>
      <c r="P724">
        <v>2.3448000000000002</v>
      </c>
      <c r="Q724">
        <v>17.36</v>
      </c>
      <c r="R724">
        <v>-40.75</v>
      </c>
    </row>
    <row r="725" spans="1:18" x14ac:dyDescent="0.2">
      <c r="A725" s="1">
        <v>43420</v>
      </c>
      <c r="B725" s="2">
        <v>-1</v>
      </c>
      <c r="C725" s="3">
        <v>18.14</v>
      </c>
      <c r="D725">
        <v>7.335</v>
      </c>
      <c r="E725">
        <v>3.0628000000000002</v>
      </c>
      <c r="F725">
        <v>2.7997999999999998</v>
      </c>
      <c r="G725">
        <v>9.8000000000000004E-2</v>
      </c>
      <c r="H725">
        <v>-0.14499999999999999</v>
      </c>
      <c r="I725">
        <v>-49.5</v>
      </c>
      <c r="J725">
        <v>-32</v>
      </c>
      <c r="K725">
        <v>-44.5</v>
      </c>
      <c r="L725">
        <v>-53</v>
      </c>
      <c r="M725">
        <v>115.9246</v>
      </c>
      <c r="N725">
        <v>66.760000000000005</v>
      </c>
      <c r="O725">
        <v>56.46</v>
      </c>
      <c r="P725">
        <v>2.3424</v>
      </c>
      <c r="Q725">
        <v>18.14</v>
      </c>
      <c r="R725">
        <v>-41.5</v>
      </c>
    </row>
    <row r="726" spans="1:18" x14ac:dyDescent="0.2">
      <c r="A726" s="1">
        <v>43427</v>
      </c>
      <c r="B726" s="2">
        <v>-0.95</v>
      </c>
      <c r="C726" s="3">
        <v>21.52</v>
      </c>
      <c r="D726">
        <v>6.9725000000000001</v>
      </c>
      <c r="E726">
        <v>3.0390000000000001</v>
      </c>
      <c r="F726">
        <v>2.8094000000000001</v>
      </c>
      <c r="G726">
        <v>9.2999999999999999E-2</v>
      </c>
      <c r="H726">
        <v>-0.14399999999999999</v>
      </c>
      <c r="I726">
        <v>-48.375</v>
      </c>
      <c r="J726">
        <v>-31.875</v>
      </c>
      <c r="K726">
        <v>-42.875</v>
      </c>
      <c r="L726">
        <v>-51.625</v>
      </c>
      <c r="M726">
        <v>116.47029999999999</v>
      </c>
      <c r="N726">
        <v>58.8</v>
      </c>
      <c r="O726">
        <v>50.42</v>
      </c>
      <c r="P726">
        <v>2.3961999999999999</v>
      </c>
      <c r="Q726">
        <v>21.52</v>
      </c>
      <c r="R726">
        <v>-39.375</v>
      </c>
    </row>
    <row r="727" spans="1:18" x14ac:dyDescent="0.2">
      <c r="A727" s="1">
        <v>43434</v>
      </c>
      <c r="B727" s="2">
        <v>-0.77249999999999996</v>
      </c>
      <c r="C727" s="3">
        <v>18.07</v>
      </c>
      <c r="D727">
        <v>6.84</v>
      </c>
      <c r="E727">
        <v>2.9878999999999998</v>
      </c>
      <c r="F727">
        <v>2.7865000000000002</v>
      </c>
      <c r="G727">
        <v>8.6999999999999994E-2</v>
      </c>
      <c r="H727">
        <v>-0.13300000000000001</v>
      </c>
      <c r="I727">
        <v>-47.125</v>
      </c>
      <c r="J727">
        <v>-29</v>
      </c>
      <c r="K727">
        <v>-42.25</v>
      </c>
      <c r="L727">
        <v>-51.5</v>
      </c>
      <c r="M727">
        <v>116.4121</v>
      </c>
      <c r="N727">
        <v>58.71</v>
      </c>
      <c r="O727">
        <v>50.93</v>
      </c>
      <c r="P727">
        <v>2.3424</v>
      </c>
      <c r="Q727">
        <v>18.07</v>
      </c>
      <c r="R727">
        <v>-37.375</v>
      </c>
    </row>
    <row r="728" spans="1:18" x14ac:dyDescent="0.2">
      <c r="A728" s="1">
        <v>43441</v>
      </c>
      <c r="B728" s="2">
        <v>-0.95750000000000002</v>
      </c>
      <c r="C728" s="3">
        <v>23.23</v>
      </c>
      <c r="D728">
        <v>6.91</v>
      </c>
      <c r="E728">
        <v>2.8450000000000002</v>
      </c>
      <c r="F728">
        <v>2.7109000000000001</v>
      </c>
      <c r="G728">
        <v>5.2999999999999999E-2</v>
      </c>
      <c r="H728">
        <v>-0.14599999999999999</v>
      </c>
      <c r="I728">
        <v>-47</v>
      </c>
      <c r="J728">
        <v>-26.5</v>
      </c>
      <c r="K728">
        <v>-41.5</v>
      </c>
      <c r="L728">
        <v>-52.875</v>
      </c>
      <c r="M728">
        <v>116.0839</v>
      </c>
      <c r="N728">
        <v>61.67</v>
      </c>
      <c r="O728">
        <v>52.61</v>
      </c>
      <c r="P728">
        <v>2.3860000000000001</v>
      </c>
      <c r="Q728">
        <v>23.23</v>
      </c>
      <c r="R728">
        <v>-36.625</v>
      </c>
    </row>
    <row r="729" spans="1:18" x14ac:dyDescent="0.2">
      <c r="A729" s="1">
        <v>43448</v>
      </c>
      <c r="B729" s="2">
        <v>-0.92</v>
      </c>
      <c r="C729" s="3">
        <v>21.63</v>
      </c>
      <c r="D729">
        <v>6.61</v>
      </c>
      <c r="E729">
        <v>2.8895</v>
      </c>
      <c r="F729">
        <v>2.7330000000000001</v>
      </c>
      <c r="G729">
        <v>2.7E-2</v>
      </c>
      <c r="H729">
        <v>-0.159</v>
      </c>
      <c r="I729">
        <v>-45.5</v>
      </c>
      <c r="J729">
        <v>-24.625</v>
      </c>
      <c r="K729">
        <v>-39.5</v>
      </c>
      <c r="L729">
        <v>-50.375</v>
      </c>
      <c r="M729">
        <v>116.7891</v>
      </c>
      <c r="N729">
        <v>60.28</v>
      </c>
      <c r="O729">
        <v>51.2</v>
      </c>
      <c r="P729">
        <v>2.4091</v>
      </c>
      <c r="Q729">
        <v>21.63</v>
      </c>
      <c r="R729">
        <v>-34</v>
      </c>
    </row>
    <row r="730" spans="1:18" x14ac:dyDescent="0.2">
      <c r="A730" s="1">
        <v>43455</v>
      </c>
      <c r="B730" s="2">
        <v>-0.97</v>
      </c>
      <c r="C730" s="3">
        <v>30.11</v>
      </c>
      <c r="D730">
        <v>7.98</v>
      </c>
      <c r="E730">
        <v>2.7902</v>
      </c>
      <c r="F730">
        <v>2.6389</v>
      </c>
      <c r="G730">
        <v>4.1000000000000002E-2</v>
      </c>
      <c r="H730">
        <v>-0.14399999999999999</v>
      </c>
      <c r="I730">
        <v>-45.5625</v>
      </c>
      <c r="J730">
        <v>-23.5</v>
      </c>
      <c r="K730">
        <v>-39.25</v>
      </c>
      <c r="L730">
        <v>-50.5625</v>
      </c>
      <c r="M730">
        <v>116.2221</v>
      </c>
      <c r="N730">
        <v>53.82</v>
      </c>
      <c r="O730">
        <v>45.59</v>
      </c>
      <c r="P730">
        <v>2.3757000000000001</v>
      </c>
      <c r="Q730">
        <v>30.11</v>
      </c>
      <c r="R730">
        <v>-31.75</v>
      </c>
    </row>
    <row r="731" spans="1:18" x14ac:dyDescent="0.2">
      <c r="A731" s="1">
        <v>43462</v>
      </c>
      <c r="B731" s="2">
        <v>-0.97750000000000004</v>
      </c>
      <c r="C731" s="3">
        <v>28.34</v>
      </c>
      <c r="D731">
        <v>8.5250000000000004</v>
      </c>
      <c r="E731">
        <v>2.7181999999999999</v>
      </c>
      <c r="F731">
        <v>2.5160999999999998</v>
      </c>
      <c r="G731">
        <v>-5.0000000000000001E-3</v>
      </c>
      <c r="H731">
        <v>-0.14699999999999999</v>
      </c>
      <c r="I731">
        <v>-46.75</v>
      </c>
      <c r="J731">
        <v>-29.1875</v>
      </c>
      <c r="K731">
        <v>-38.75</v>
      </c>
      <c r="L731">
        <v>-50.4375</v>
      </c>
      <c r="M731">
        <v>115.7226</v>
      </c>
      <c r="N731">
        <v>52.2</v>
      </c>
      <c r="O731">
        <v>45.33</v>
      </c>
      <c r="P731">
        <v>2.3706</v>
      </c>
      <c r="Q731">
        <v>28.34</v>
      </c>
      <c r="R731">
        <v>-30.25</v>
      </c>
    </row>
    <row r="732" spans="1:18" x14ac:dyDescent="0.2">
      <c r="A732" s="1">
        <v>43469</v>
      </c>
      <c r="B732" s="2">
        <v>-1.175</v>
      </c>
      <c r="C732" s="3">
        <v>21.38</v>
      </c>
      <c r="D732">
        <v>8.6724999999999994</v>
      </c>
      <c r="E732">
        <v>2.6677</v>
      </c>
      <c r="F732">
        <v>2.4937</v>
      </c>
      <c r="G732">
        <v>-4.4999999999999998E-2</v>
      </c>
      <c r="H732">
        <v>-0.184</v>
      </c>
      <c r="I732">
        <v>-45.75</v>
      </c>
      <c r="J732">
        <v>-28.25</v>
      </c>
      <c r="K732">
        <v>-38.875</v>
      </c>
      <c r="L732">
        <v>-50.75</v>
      </c>
      <c r="M732">
        <v>114.9813</v>
      </c>
      <c r="N732">
        <v>57.06</v>
      </c>
      <c r="O732">
        <v>47.96</v>
      </c>
      <c r="P732">
        <v>2.4064999999999999</v>
      </c>
      <c r="Q732">
        <v>21.38</v>
      </c>
      <c r="R732">
        <v>-29.875</v>
      </c>
    </row>
    <row r="733" spans="1:18" x14ac:dyDescent="0.2">
      <c r="A733" s="1">
        <v>43476</v>
      </c>
      <c r="B733" s="2">
        <v>-0.97499999999999998</v>
      </c>
      <c r="C733" s="3">
        <v>18.190000000000001</v>
      </c>
      <c r="D733">
        <v>8.125</v>
      </c>
      <c r="E733">
        <v>2.7006999999999999</v>
      </c>
      <c r="F733">
        <v>2.5407999999999999</v>
      </c>
      <c r="G733">
        <v>1.0999999999999999E-2</v>
      </c>
      <c r="H733">
        <v>-0.154</v>
      </c>
      <c r="I733">
        <v>-46.375</v>
      </c>
      <c r="J733">
        <v>-28.375</v>
      </c>
      <c r="K733">
        <v>-39.375</v>
      </c>
      <c r="L733">
        <v>-51.375</v>
      </c>
      <c r="M733">
        <v>114.03830000000001</v>
      </c>
      <c r="N733">
        <v>60.48</v>
      </c>
      <c r="O733">
        <v>51.59</v>
      </c>
      <c r="P733">
        <v>2.4142000000000001</v>
      </c>
      <c r="Q733">
        <v>18.190000000000001</v>
      </c>
      <c r="R733">
        <v>-31.375</v>
      </c>
    </row>
    <row r="734" spans="1:18" x14ac:dyDescent="0.2">
      <c r="A734" s="1">
        <v>43483</v>
      </c>
      <c r="B734" s="2">
        <v>-1.0225</v>
      </c>
      <c r="C734" s="3">
        <v>17.8</v>
      </c>
      <c r="D734">
        <v>7.5549999999999997</v>
      </c>
      <c r="E734">
        <v>2.7841999999999998</v>
      </c>
      <c r="F734">
        <v>2.6139000000000001</v>
      </c>
      <c r="G734">
        <v>8.9999999999999993E-3</v>
      </c>
      <c r="H734">
        <v>-0.17</v>
      </c>
      <c r="I734">
        <v>-47.75</v>
      </c>
      <c r="J734">
        <v>-28.625</v>
      </c>
      <c r="K734">
        <v>-41.25</v>
      </c>
      <c r="L734">
        <v>-53.125</v>
      </c>
      <c r="M734">
        <v>114.55549999999999</v>
      </c>
      <c r="N734">
        <v>62.7</v>
      </c>
      <c r="O734">
        <v>53.8</v>
      </c>
      <c r="P734">
        <v>2.3935</v>
      </c>
      <c r="Q734">
        <v>17.8</v>
      </c>
      <c r="R734">
        <v>-33.25</v>
      </c>
    </row>
    <row r="735" spans="1:18" x14ac:dyDescent="0.2">
      <c r="A735" s="1">
        <v>43490</v>
      </c>
      <c r="B735" s="2">
        <v>-1.0024999999999999</v>
      </c>
      <c r="C735" s="3">
        <v>17.420000000000002</v>
      </c>
      <c r="D735">
        <v>7.0750000000000002</v>
      </c>
      <c r="E735">
        <v>2.7585000000000002</v>
      </c>
      <c r="F735">
        <v>2.6063000000000001</v>
      </c>
      <c r="G735">
        <v>-7.0000000000000001E-3</v>
      </c>
      <c r="H735">
        <v>-0.17199999999999999</v>
      </c>
      <c r="I735">
        <v>-48.75</v>
      </c>
      <c r="J735">
        <v>-27.25</v>
      </c>
      <c r="K735">
        <v>-45.625</v>
      </c>
      <c r="L735">
        <v>-56</v>
      </c>
      <c r="M735">
        <v>114.0168</v>
      </c>
      <c r="N735">
        <v>61.64</v>
      </c>
      <c r="O735">
        <v>53.69</v>
      </c>
      <c r="P735">
        <v>2.3732000000000002</v>
      </c>
      <c r="Q735">
        <v>17.420000000000002</v>
      </c>
      <c r="R735">
        <v>-38</v>
      </c>
    </row>
    <row r="736" spans="1:18" x14ac:dyDescent="0.2">
      <c r="A736" s="1">
        <v>43497</v>
      </c>
      <c r="B736" s="2">
        <v>-0.91249999999999998</v>
      </c>
      <c r="C736" s="3">
        <v>16.14</v>
      </c>
      <c r="D736">
        <v>6.9450000000000003</v>
      </c>
      <c r="E736">
        <v>2.6842000000000001</v>
      </c>
      <c r="F736">
        <v>2.5019</v>
      </c>
      <c r="G736">
        <v>-2.1999999999999999E-2</v>
      </c>
      <c r="H736">
        <v>-0.17799999999999999</v>
      </c>
      <c r="I736">
        <v>-48</v>
      </c>
      <c r="J736">
        <v>-27.75</v>
      </c>
      <c r="K736">
        <v>-46.875</v>
      </c>
      <c r="L736">
        <v>-55.75</v>
      </c>
      <c r="M736">
        <v>113.75239999999999</v>
      </c>
      <c r="N736">
        <v>62.75</v>
      </c>
      <c r="O736">
        <v>55.26</v>
      </c>
      <c r="P736">
        <v>2.3860000000000001</v>
      </c>
      <c r="Q736">
        <v>16.14</v>
      </c>
      <c r="R736">
        <v>-39.25</v>
      </c>
    </row>
    <row r="737" spans="1:18" x14ac:dyDescent="0.2">
      <c r="A737" s="1">
        <v>43504</v>
      </c>
      <c r="B737" s="2">
        <v>-0.92</v>
      </c>
      <c r="C737" s="3">
        <v>15.72</v>
      </c>
      <c r="D737">
        <v>6.9175000000000004</v>
      </c>
      <c r="E737">
        <v>2.6339000000000001</v>
      </c>
      <c r="F737">
        <v>2.4649999999999999</v>
      </c>
      <c r="G737">
        <v>-3.4000000000000002E-2</v>
      </c>
      <c r="H737">
        <v>-0.16900000000000001</v>
      </c>
      <c r="I737">
        <v>-48.875</v>
      </c>
      <c r="J737">
        <v>-29.25</v>
      </c>
      <c r="K737">
        <v>-49.625</v>
      </c>
      <c r="L737">
        <v>-56.5</v>
      </c>
      <c r="M737">
        <v>114.4975</v>
      </c>
      <c r="N737">
        <v>62.1</v>
      </c>
      <c r="O737">
        <v>52.72</v>
      </c>
      <c r="P737">
        <v>2.4116</v>
      </c>
      <c r="Q737">
        <v>15.72</v>
      </c>
      <c r="R737">
        <v>-42.75</v>
      </c>
    </row>
    <row r="738" spans="1:18" x14ac:dyDescent="0.2">
      <c r="A738" s="1">
        <v>43511</v>
      </c>
      <c r="B738" s="2">
        <v>-0.90249999999999997</v>
      </c>
      <c r="C738" s="3">
        <v>14.91</v>
      </c>
      <c r="D738">
        <v>6.7750000000000004</v>
      </c>
      <c r="E738">
        <v>2.6625999999999999</v>
      </c>
      <c r="F738">
        <v>2.5141</v>
      </c>
      <c r="G738">
        <v>-2.7E-2</v>
      </c>
      <c r="H738">
        <v>-0.17399999999999999</v>
      </c>
      <c r="I738">
        <v>-48.25</v>
      </c>
      <c r="J738">
        <v>-29.25</v>
      </c>
      <c r="K738">
        <v>-50.125</v>
      </c>
      <c r="L738">
        <v>-56.75</v>
      </c>
      <c r="M738">
        <v>114.98990000000001</v>
      </c>
      <c r="N738">
        <v>66.25</v>
      </c>
      <c r="O738">
        <v>55.59</v>
      </c>
      <c r="P738">
        <v>2.4192</v>
      </c>
      <c r="Q738">
        <v>14.91</v>
      </c>
      <c r="R738">
        <v>-43.25</v>
      </c>
    </row>
    <row r="739" spans="1:18" x14ac:dyDescent="0.2">
      <c r="A739" s="1">
        <v>43518</v>
      </c>
      <c r="B739" s="2">
        <v>-0.89749999999999996</v>
      </c>
      <c r="C739" s="3">
        <v>13.51</v>
      </c>
      <c r="D739">
        <v>6.1174999999999997</v>
      </c>
      <c r="E739">
        <v>2.6518000000000002</v>
      </c>
      <c r="F739">
        <v>2.4933000000000001</v>
      </c>
      <c r="G739">
        <v>-4.3999999999999997E-2</v>
      </c>
      <c r="H739">
        <v>-0.17899999999999999</v>
      </c>
      <c r="I739">
        <v>-47.625</v>
      </c>
      <c r="J739">
        <v>-27</v>
      </c>
      <c r="K739">
        <v>-52</v>
      </c>
      <c r="L739">
        <v>-57.25</v>
      </c>
      <c r="M739">
        <v>114.2692</v>
      </c>
      <c r="N739">
        <v>67.12</v>
      </c>
      <c r="O739">
        <v>57.26</v>
      </c>
      <c r="P739">
        <v>2.4424000000000001</v>
      </c>
      <c r="Q739">
        <v>13.51</v>
      </c>
      <c r="R739">
        <v>-45.875</v>
      </c>
    </row>
    <row r="740" spans="1:18" x14ac:dyDescent="0.2">
      <c r="A740" s="1">
        <v>43525</v>
      </c>
      <c r="B740" s="2">
        <v>-0.85250000000000004</v>
      </c>
      <c r="C740" s="3">
        <v>13.57</v>
      </c>
      <c r="D740">
        <v>6.06</v>
      </c>
      <c r="E740">
        <v>2.7530999999999999</v>
      </c>
      <c r="F740">
        <v>2.5526</v>
      </c>
      <c r="G740">
        <v>-1.2999999999999999E-2</v>
      </c>
      <c r="H740">
        <v>-0.14799999999999999</v>
      </c>
      <c r="I740">
        <v>-46.125</v>
      </c>
      <c r="J740">
        <v>-24.75</v>
      </c>
      <c r="K740">
        <v>-50.75</v>
      </c>
      <c r="L740">
        <v>-55.875</v>
      </c>
      <c r="M740">
        <v>114.535</v>
      </c>
      <c r="N740">
        <v>65.069999999999993</v>
      </c>
      <c r="O740">
        <v>55.8</v>
      </c>
      <c r="P740">
        <v>2.4296000000000002</v>
      </c>
      <c r="Q740">
        <v>13.57</v>
      </c>
      <c r="R740">
        <v>-45.375</v>
      </c>
    </row>
    <row r="741" spans="1:18" x14ac:dyDescent="0.2">
      <c r="A741" s="1">
        <v>43532</v>
      </c>
      <c r="B741" s="2">
        <v>-0.88500000000000001</v>
      </c>
      <c r="C741" s="3">
        <v>16.05</v>
      </c>
      <c r="D741">
        <v>6.1050000000000004</v>
      </c>
      <c r="E741">
        <v>2.6284999999999998</v>
      </c>
      <c r="F741">
        <v>2.4609999999999999</v>
      </c>
      <c r="G741">
        <v>-3.9E-2</v>
      </c>
      <c r="H741">
        <v>-0.151</v>
      </c>
      <c r="I741">
        <v>-44.375</v>
      </c>
      <c r="J741">
        <v>-24.125</v>
      </c>
      <c r="K741">
        <v>-48.75</v>
      </c>
      <c r="L741">
        <v>-54.25</v>
      </c>
      <c r="M741">
        <v>115.35850000000001</v>
      </c>
      <c r="N741">
        <v>65.739999999999995</v>
      </c>
      <c r="O741">
        <v>56.07</v>
      </c>
      <c r="P741">
        <v>2.4398</v>
      </c>
      <c r="Q741">
        <v>16.05</v>
      </c>
      <c r="R741">
        <v>-43.25</v>
      </c>
    </row>
    <row r="742" spans="1:18" x14ac:dyDescent="0.2">
      <c r="A742" s="1">
        <v>43539</v>
      </c>
      <c r="B742" s="2">
        <v>-0.8</v>
      </c>
      <c r="C742" s="3">
        <v>12.88</v>
      </c>
      <c r="D742">
        <v>5.665</v>
      </c>
      <c r="E742">
        <v>2.5871</v>
      </c>
      <c r="F742">
        <v>2.4378000000000002</v>
      </c>
      <c r="G742">
        <v>-4.1000000000000002E-2</v>
      </c>
      <c r="H742">
        <v>-0.161</v>
      </c>
      <c r="I742">
        <v>-43.75</v>
      </c>
      <c r="J742">
        <v>-23.125</v>
      </c>
      <c r="K742">
        <v>-48.5</v>
      </c>
      <c r="L742">
        <v>-53.625</v>
      </c>
      <c r="M742">
        <v>114.5808</v>
      </c>
      <c r="N742">
        <v>67.16</v>
      </c>
      <c r="O742">
        <v>58.52</v>
      </c>
      <c r="P742">
        <v>2.4346999999999999</v>
      </c>
      <c r="Q742">
        <v>12.88</v>
      </c>
      <c r="R742">
        <v>-42.875</v>
      </c>
    </row>
    <row r="743" spans="1:18" x14ac:dyDescent="0.2">
      <c r="A743" s="1">
        <v>43546</v>
      </c>
      <c r="B743" s="2">
        <v>-0.73499999999999999</v>
      </c>
      <c r="C743" s="3">
        <v>16.48</v>
      </c>
      <c r="D743">
        <v>6.4950000000000001</v>
      </c>
      <c r="E743">
        <v>2.4390000000000001</v>
      </c>
      <c r="F743">
        <v>2.3166000000000002</v>
      </c>
      <c r="G743">
        <v>-7.4999999999999997E-2</v>
      </c>
      <c r="H743">
        <v>-0.17899999999999999</v>
      </c>
      <c r="I743">
        <v>-40.25</v>
      </c>
      <c r="J743">
        <v>-22.25</v>
      </c>
      <c r="K743">
        <v>-44.5</v>
      </c>
      <c r="L743">
        <v>-50</v>
      </c>
      <c r="M743">
        <v>114.6845</v>
      </c>
      <c r="N743">
        <v>67.03</v>
      </c>
      <c r="O743">
        <v>59.04</v>
      </c>
      <c r="P743">
        <v>2.4424000000000001</v>
      </c>
      <c r="Q743">
        <v>16.48</v>
      </c>
      <c r="R743">
        <v>-39.25</v>
      </c>
    </row>
    <row r="744" spans="1:18" x14ac:dyDescent="0.2">
      <c r="A744" s="1">
        <v>43553</v>
      </c>
      <c r="B744" s="2">
        <v>-0.83</v>
      </c>
      <c r="C744" s="3">
        <v>13.71</v>
      </c>
      <c r="D744">
        <v>6.3724999999999996</v>
      </c>
      <c r="E744">
        <v>2.4049999999999998</v>
      </c>
      <c r="F744">
        <v>2.2599999999999998</v>
      </c>
      <c r="G744">
        <v>-9.0999999999999998E-2</v>
      </c>
      <c r="H744">
        <v>-0.18</v>
      </c>
      <c r="I744">
        <v>-41.5</v>
      </c>
      <c r="J744">
        <v>-23.4375</v>
      </c>
      <c r="K744">
        <v>-42.75</v>
      </c>
      <c r="L744">
        <v>-48.1875</v>
      </c>
      <c r="M744">
        <v>115.13639999999999</v>
      </c>
      <c r="N744">
        <v>68.39</v>
      </c>
      <c r="O744">
        <v>60.14</v>
      </c>
      <c r="P744">
        <v>2.3809</v>
      </c>
      <c r="Q744">
        <v>13.71</v>
      </c>
      <c r="R744">
        <v>-37.375</v>
      </c>
    </row>
    <row r="745" spans="1:18" x14ac:dyDescent="0.2">
      <c r="A745" s="1">
        <v>43560</v>
      </c>
      <c r="B745" s="2">
        <v>-0.73</v>
      </c>
      <c r="C745" s="3">
        <v>12.82</v>
      </c>
      <c r="D745">
        <v>5.55</v>
      </c>
      <c r="E745">
        <v>2.4954000000000001</v>
      </c>
      <c r="F745">
        <v>2.3393000000000002</v>
      </c>
      <c r="G745">
        <v>-3.5000000000000003E-2</v>
      </c>
      <c r="H745">
        <v>-0.157</v>
      </c>
      <c r="I745">
        <v>-43.625</v>
      </c>
      <c r="J745">
        <v>-24</v>
      </c>
      <c r="K745">
        <v>-46.125</v>
      </c>
      <c r="L745">
        <v>-51.75</v>
      </c>
      <c r="M745">
        <v>114.9714</v>
      </c>
      <c r="N745">
        <v>70.34</v>
      </c>
      <c r="O745">
        <v>63.08</v>
      </c>
      <c r="P745">
        <v>2.4220000000000002</v>
      </c>
      <c r="Q745">
        <v>12.82</v>
      </c>
      <c r="R745">
        <v>-40.875</v>
      </c>
    </row>
    <row r="746" spans="1:18" x14ac:dyDescent="0.2">
      <c r="A746" s="1">
        <v>43567</v>
      </c>
      <c r="B746" s="2">
        <v>-0.69750000000000001</v>
      </c>
      <c r="C746" s="3">
        <v>12.01</v>
      </c>
      <c r="D746">
        <v>5.4024999999999999</v>
      </c>
      <c r="E746">
        <v>2.5651000000000002</v>
      </c>
      <c r="F746">
        <v>2.3914</v>
      </c>
      <c r="G746">
        <v>-5.8000000000000003E-2</v>
      </c>
      <c r="H746">
        <v>-0.16900000000000001</v>
      </c>
      <c r="I746">
        <v>-42.125</v>
      </c>
      <c r="J746">
        <v>-25.625</v>
      </c>
      <c r="K746">
        <v>-45.25</v>
      </c>
      <c r="L746">
        <v>-50.25</v>
      </c>
      <c r="M746">
        <v>114.35169999999999</v>
      </c>
      <c r="N746">
        <v>71.55</v>
      </c>
      <c r="O746">
        <v>63.89</v>
      </c>
      <c r="P746">
        <v>2.4218999999999999</v>
      </c>
      <c r="Q746">
        <v>12.01</v>
      </c>
      <c r="R746">
        <v>-40</v>
      </c>
    </row>
    <row r="747" spans="1:18" x14ac:dyDescent="0.2">
      <c r="A747" s="1">
        <v>43574</v>
      </c>
      <c r="B747" s="2">
        <v>-0.65500000000000003</v>
      </c>
      <c r="C747" s="3">
        <v>12.09</v>
      </c>
      <c r="D747">
        <v>5.165</v>
      </c>
      <c r="E747">
        <v>2.5596000000000001</v>
      </c>
      <c r="F747">
        <v>2.3801999999999999</v>
      </c>
      <c r="G747">
        <v>-3.5000000000000003E-2</v>
      </c>
      <c r="H747">
        <v>-0.157</v>
      </c>
      <c r="I747">
        <v>-42.75</v>
      </c>
      <c r="J747">
        <v>-26.875</v>
      </c>
      <c r="K747">
        <v>-46.125</v>
      </c>
      <c r="L747">
        <v>-51.25</v>
      </c>
      <c r="M747">
        <v>114.6961</v>
      </c>
      <c r="N747">
        <v>71.97</v>
      </c>
      <c r="O747">
        <v>64</v>
      </c>
      <c r="P747">
        <v>2.4116</v>
      </c>
      <c r="Q747">
        <v>12.09</v>
      </c>
      <c r="R747">
        <v>-41</v>
      </c>
    </row>
    <row r="748" spans="1:18" x14ac:dyDescent="0.2">
      <c r="A748" s="1">
        <v>43581</v>
      </c>
      <c r="B748" s="2">
        <v>-0.85250000000000004</v>
      </c>
      <c r="C748" s="3">
        <v>12.73</v>
      </c>
      <c r="D748">
        <v>5.7175000000000002</v>
      </c>
      <c r="E748">
        <v>2.4982000000000002</v>
      </c>
      <c r="F748">
        <v>2.2820999999999998</v>
      </c>
      <c r="G748">
        <v>-4.8000000000000001E-2</v>
      </c>
      <c r="H748">
        <v>-0.155</v>
      </c>
      <c r="I748">
        <v>-42.375</v>
      </c>
      <c r="J748">
        <v>-27.75</v>
      </c>
      <c r="K748">
        <v>-46.375</v>
      </c>
      <c r="L748">
        <v>-51.125</v>
      </c>
      <c r="M748">
        <v>115.47490000000001</v>
      </c>
      <c r="N748">
        <v>72.150000000000006</v>
      </c>
      <c r="O748">
        <v>63.3</v>
      </c>
      <c r="P748">
        <v>2.4091</v>
      </c>
      <c r="Q748">
        <v>12.73</v>
      </c>
      <c r="R748">
        <v>-41.25</v>
      </c>
    </row>
    <row r="749" spans="1:18" x14ac:dyDescent="0.2">
      <c r="A749" s="1">
        <v>43588</v>
      </c>
      <c r="B749" s="2">
        <v>-0.85750000000000004</v>
      </c>
      <c r="C749" s="3">
        <v>12.87</v>
      </c>
      <c r="D749">
        <v>5.5875000000000004</v>
      </c>
      <c r="E749">
        <v>2.5249999999999999</v>
      </c>
      <c r="F749">
        <v>2.3330000000000002</v>
      </c>
      <c r="G749">
        <v>-4.8000000000000001E-2</v>
      </c>
      <c r="H749">
        <v>-0.155</v>
      </c>
      <c r="I749">
        <v>-42.375</v>
      </c>
      <c r="J749">
        <v>-27.75</v>
      </c>
      <c r="K749">
        <v>-46.5</v>
      </c>
      <c r="L749">
        <v>-51.25</v>
      </c>
      <c r="M749">
        <v>115.26349999999999</v>
      </c>
      <c r="N749">
        <v>70.849999999999994</v>
      </c>
      <c r="O749">
        <v>61.94</v>
      </c>
      <c r="P749">
        <v>2.4167999999999998</v>
      </c>
      <c r="Q749">
        <v>12.87</v>
      </c>
      <c r="R749">
        <v>-41.375</v>
      </c>
    </row>
    <row r="750" spans="1:18" x14ac:dyDescent="0.2">
      <c r="A750" s="1">
        <v>43595</v>
      </c>
      <c r="B750" s="2">
        <v>-1.115</v>
      </c>
      <c r="C750" s="3">
        <v>16.04</v>
      </c>
      <c r="D750">
        <v>6.5425000000000004</v>
      </c>
      <c r="E750">
        <v>2.4672000000000001</v>
      </c>
      <c r="F750">
        <v>2.2660999999999998</v>
      </c>
      <c r="G750">
        <v>-5.5E-2</v>
      </c>
      <c r="H750">
        <v>-0.16300000000000001</v>
      </c>
      <c r="I750">
        <v>-42.5</v>
      </c>
      <c r="J750">
        <v>-28</v>
      </c>
      <c r="K750">
        <v>-46.875</v>
      </c>
      <c r="L750">
        <v>-51.6875</v>
      </c>
      <c r="M750">
        <v>115.53270000000001</v>
      </c>
      <c r="N750">
        <v>70.62</v>
      </c>
      <c r="O750">
        <v>61.66</v>
      </c>
      <c r="P750">
        <v>2.4167999999999998</v>
      </c>
      <c r="Q750">
        <v>16.04</v>
      </c>
      <c r="R750">
        <v>-41.5</v>
      </c>
    </row>
    <row r="751" spans="1:18" x14ac:dyDescent="0.2">
      <c r="A751" s="1">
        <v>43602</v>
      </c>
      <c r="B751" s="2">
        <v>-1.2450000000000001</v>
      </c>
      <c r="C751" s="3">
        <v>15.96</v>
      </c>
      <c r="D751">
        <v>6.5250000000000004</v>
      </c>
      <c r="E751">
        <v>2.3908999999999998</v>
      </c>
      <c r="F751">
        <v>2.1981000000000002</v>
      </c>
      <c r="G751">
        <v>-5.8999999999999997E-2</v>
      </c>
      <c r="H751">
        <v>-0.16400000000000001</v>
      </c>
      <c r="I751">
        <v>-44.625</v>
      </c>
      <c r="J751">
        <v>-29.625</v>
      </c>
      <c r="K751">
        <v>-49.625</v>
      </c>
      <c r="L751">
        <v>-53.875</v>
      </c>
      <c r="M751">
        <v>116.4481</v>
      </c>
      <c r="N751">
        <v>72.209999999999994</v>
      </c>
      <c r="O751">
        <v>62.76</v>
      </c>
      <c r="P751">
        <v>2.3732000000000002</v>
      </c>
      <c r="Q751">
        <v>15.96</v>
      </c>
      <c r="R751">
        <v>-44.625</v>
      </c>
    </row>
    <row r="752" spans="1:18" x14ac:dyDescent="0.2">
      <c r="A752" s="1">
        <v>43609</v>
      </c>
      <c r="B752" s="2">
        <v>-1.0974999999999999</v>
      </c>
      <c r="C752" s="3">
        <v>15.85</v>
      </c>
      <c r="D752">
        <v>6.585</v>
      </c>
      <c r="E752">
        <v>2.3201999999999998</v>
      </c>
      <c r="F752">
        <v>2.1640999999999999</v>
      </c>
      <c r="G752">
        <v>-7.8E-2</v>
      </c>
      <c r="H752">
        <v>-0.16</v>
      </c>
      <c r="I752">
        <v>-45.625</v>
      </c>
      <c r="J752">
        <v>-30.625</v>
      </c>
      <c r="K752">
        <v>-50.75</v>
      </c>
      <c r="L752">
        <v>-55</v>
      </c>
      <c r="M752">
        <v>116.0809</v>
      </c>
      <c r="N752">
        <v>68.69</v>
      </c>
      <c r="O752">
        <v>58.63</v>
      </c>
      <c r="P752">
        <v>2.3371</v>
      </c>
      <c r="Q752">
        <v>15.85</v>
      </c>
      <c r="R752">
        <v>-45.5</v>
      </c>
    </row>
    <row r="753" spans="1:18" x14ac:dyDescent="0.2">
      <c r="A753" s="1">
        <v>43616</v>
      </c>
      <c r="B753" s="2">
        <v>-0.9</v>
      </c>
      <c r="C753" s="3">
        <v>18.71</v>
      </c>
      <c r="D753">
        <v>6.7949999999999999</v>
      </c>
      <c r="E753">
        <v>2.1246</v>
      </c>
      <c r="F753">
        <v>1.9220999999999999</v>
      </c>
      <c r="G753">
        <v>-0.1</v>
      </c>
      <c r="H753">
        <v>-0.17799999999999999</v>
      </c>
      <c r="I753">
        <v>-44.5</v>
      </c>
      <c r="J753">
        <v>-29.375</v>
      </c>
      <c r="K753">
        <v>-49.5</v>
      </c>
      <c r="L753">
        <v>-53.5</v>
      </c>
      <c r="M753">
        <v>116.72790000000001</v>
      </c>
      <c r="N753">
        <v>64.489999999999995</v>
      </c>
      <c r="O753">
        <v>53.5</v>
      </c>
      <c r="P753">
        <v>2.3399000000000001</v>
      </c>
      <c r="Q753">
        <v>18.71</v>
      </c>
      <c r="R753">
        <v>-44.5</v>
      </c>
    </row>
    <row r="754" spans="1:18" x14ac:dyDescent="0.2">
      <c r="A754" s="1">
        <v>43623</v>
      </c>
      <c r="B754" s="2">
        <v>-0.71750000000000003</v>
      </c>
      <c r="C754" s="3">
        <v>16.3</v>
      </c>
      <c r="D754">
        <v>6.71</v>
      </c>
      <c r="E754">
        <v>2.0809000000000002</v>
      </c>
      <c r="F754">
        <v>1.8493999999999999</v>
      </c>
      <c r="G754">
        <v>-0.125</v>
      </c>
      <c r="H754">
        <v>-0.20200000000000001</v>
      </c>
      <c r="I754">
        <v>-43.25</v>
      </c>
      <c r="J754">
        <v>-29.125</v>
      </c>
      <c r="K754">
        <v>-48.125</v>
      </c>
      <c r="L754">
        <v>-52.25</v>
      </c>
      <c r="M754">
        <v>115.73860000000001</v>
      </c>
      <c r="N754">
        <v>63.29</v>
      </c>
      <c r="O754">
        <v>53.99</v>
      </c>
      <c r="P754">
        <v>2.2665999999999999</v>
      </c>
      <c r="Q754">
        <v>16.3</v>
      </c>
      <c r="R754">
        <v>-43.25</v>
      </c>
    </row>
    <row r="755" spans="1:18" x14ac:dyDescent="0.2">
      <c r="A755" s="1">
        <v>43630</v>
      </c>
      <c r="B755" s="2">
        <v>-0.8125</v>
      </c>
      <c r="C755" s="3">
        <v>15.28</v>
      </c>
      <c r="D755">
        <v>6.44</v>
      </c>
      <c r="E755">
        <v>2.0804</v>
      </c>
      <c r="F755">
        <v>1.8405</v>
      </c>
      <c r="G755">
        <v>-0.13400000000000001</v>
      </c>
      <c r="H755">
        <v>-0.20799999999999999</v>
      </c>
      <c r="I755">
        <v>-44.875</v>
      </c>
      <c r="J755">
        <v>-30.375</v>
      </c>
      <c r="K755">
        <v>-50.125</v>
      </c>
      <c r="L755">
        <v>-54.375</v>
      </c>
      <c r="M755">
        <v>115.9059</v>
      </c>
      <c r="N755">
        <v>62.01</v>
      </c>
      <c r="O755">
        <v>52.51</v>
      </c>
      <c r="P755">
        <v>2.1682000000000001</v>
      </c>
      <c r="Q755">
        <v>15.28</v>
      </c>
      <c r="R755">
        <v>-45.125</v>
      </c>
    </row>
    <row r="756" spans="1:18" x14ac:dyDescent="0.2">
      <c r="A756" s="1">
        <v>43637</v>
      </c>
      <c r="B756" s="2">
        <v>-0.79500000000000004</v>
      </c>
      <c r="C756" s="3">
        <v>15.4</v>
      </c>
      <c r="D756">
        <v>6.5549999999999997</v>
      </c>
      <c r="E756">
        <v>2.0539999999999998</v>
      </c>
      <c r="F756">
        <v>1.7678</v>
      </c>
      <c r="G756">
        <v>-0.16200000000000001</v>
      </c>
      <c r="H756">
        <v>-0.23599999999999999</v>
      </c>
      <c r="I756">
        <v>-44.125</v>
      </c>
      <c r="J756">
        <v>-30.125</v>
      </c>
      <c r="K756">
        <v>-49.875</v>
      </c>
      <c r="L756">
        <v>-53.75</v>
      </c>
      <c r="M756">
        <v>114.8378</v>
      </c>
      <c r="N756">
        <v>65.2</v>
      </c>
      <c r="O756">
        <v>57.43</v>
      </c>
      <c r="P756">
        <v>2.0996999999999999</v>
      </c>
      <c r="Q756">
        <v>15.4</v>
      </c>
      <c r="R756">
        <v>-45.125</v>
      </c>
    </row>
    <row r="757" spans="1:18" x14ac:dyDescent="0.2">
      <c r="A757" s="1">
        <v>43644</v>
      </c>
      <c r="B757" s="2">
        <v>-0.74750000000000005</v>
      </c>
      <c r="C757" s="3">
        <v>15.08</v>
      </c>
      <c r="D757">
        <v>6.5925000000000002</v>
      </c>
      <c r="E757">
        <v>2.0051000000000001</v>
      </c>
      <c r="F757">
        <v>1.7548999999999999</v>
      </c>
      <c r="G757">
        <v>-0.16400000000000001</v>
      </c>
      <c r="H757">
        <v>-0.224</v>
      </c>
      <c r="I757">
        <v>-43</v>
      </c>
      <c r="J757">
        <v>-31.875399999999999</v>
      </c>
      <c r="K757">
        <v>-49.25</v>
      </c>
      <c r="L757">
        <v>-52.125</v>
      </c>
      <c r="M757">
        <v>114.5834</v>
      </c>
      <c r="N757">
        <v>66.55</v>
      </c>
      <c r="O757">
        <v>58.47</v>
      </c>
      <c r="P757">
        <v>2.0868000000000002</v>
      </c>
      <c r="Q757">
        <v>15.08</v>
      </c>
      <c r="R757">
        <v>-44.75</v>
      </c>
    </row>
    <row r="758" spans="1:18" x14ac:dyDescent="0.2">
      <c r="A758" s="1">
        <v>43651</v>
      </c>
      <c r="B758" s="2">
        <v>-0.6925</v>
      </c>
      <c r="C758" s="3">
        <v>13.28</v>
      </c>
      <c r="D758">
        <v>5.7949999999999999</v>
      </c>
      <c r="E758">
        <v>2.0337999999999998</v>
      </c>
      <c r="F758">
        <v>1.8593</v>
      </c>
      <c r="G758">
        <v>-0.16300000000000001</v>
      </c>
      <c r="H758">
        <v>-0.217</v>
      </c>
      <c r="I758">
        <v>-44.875</v>
      </c>
      <c r="J758">
        <v>-34.5</v>
      </c>
      <c r="K758">
        <v>-51</v>
      </c>
      <c r="L758">
        <v>-54.125</v>
      </c>
      <c r="M758">
        <v>115.1143</v>
      </c>
      <c r="N758">
        <v>64.23</v>
      </c>
      <c r="O758">
        <v>57.51</v>
      </c>
      <c r="P758">
        <v>2.2151999999999998</v>
      </c>
      <c r="Q758">
        <v>13.28</v>
      </c>
      <c r="R758">
        <v>-46.25</v>
      </c>
    </row>
    <row r="759" spans="1:18" x14ac:dyDescent="0.2">
      <c r="A759" s="1">
        <v>43658</v>
      </c>
      <c r="B759" s="2">
        <v>-0.53749999999999998</v>
      </c>
      <c r="C759" s="3">
        <v>12.39</v>
      </c>
      <c r="D759">
        <v>5.8049999999999997</v>
      </c>
      <c r="E759">
        <v>2.1219000000000001</v>
      </c>
      <c r="F759">
        <v>1.8471</v>
      </c>
      <c r="G759">
        <v>-0.121</v>
      </c>
      <c r="H759">
        <v>-0.186</v>
      </c>
      <c r="I759">
        <v>-45</v>
      </c>
      <c r="J759">
        <v>-36</v>
      </c>
      <c r="K759">
        <v>-50</v>
      </c>
      <c r="L759">
        <v>-53.75</v>
      </c>
      <c r="M759">
        <v>114.7696</v>
      </c>
      <c r="N759">
        <v>66.72</v>
      </c>
      <c r="O759">
        <v>60.21</v>
      </c>
      <c r="P759">
        <v>2.1297999999999999</v>
      </c>
      <c r="Q759">
        <v>12.39</v>
      </c>
      <c r="R759">
        <v>-45.5</v>
      </c>
    </row>
    <row r="760" spans="1:18" x14ac:dyDescent="0.2">
      <c r="A760" s="1">
        <v>43665</v>
      </c>
      <c r="B760" s="2">
        <v>-0.48</v>
      </c>
      <c r="C760" s="3">
        <v>14.45</v>
      </c>
      <c r="D760">
        <v>6.29</v>
      </c>
      <c r="E760">
        <v>2.0552000000000001</v>
      </c>
      <c r="F760">
        <v>1.8183</v>
      </c>
      <c r="G760">
        <v>-0.13800000000000001</v>
      </c>
      <c r="H760">
        <v>-0.20499999999999999</v>
      </c>
      <c r="I760">
        <v>-44</v>
      </c>
      <c r="J760">
        <v>-35.5</v>
      </c>
      <c r="K760">
        <v>-49.75</v>
      </c>
      <c r="L760">
        <v>-53.25</v>
      </c>
      <c r="M760">
        <v>114.8702</v>
      </c>
      <c r="N760">
        <v>62.47</v>
      </c>
      <c r="O760">
        <v>55.63</v>
      </c>
      <c r="P760">
        <v>2.0636999999999999</v>
      </c>
      <c r="Q760">
        <v>14.45</v>
      </c>
      <c r="R760">
        <v>-45.625</v>
      </c>
    </row>
    <row r="761" spans="1:18" x14ac:dyDescent="0.2">
      <c r="A761" s="1">
        <v>43672</v>
      </c>
      <c r="B761" s="2">
        <v>-0.48249999999999998</v>
      </c>
      <c r="C761" s="3">
        <v>12.16</v>
      </c>
      <c r="D761">
        <v>5.76</v>
      </c>
      <c r="E761">
        <v>2.0703</v>
      </c>
      <c r="F761">
        <v>1.8519000000000001</v>
      </c>
      <c r="G761">
        <v>-0.154</v>
      </c>
      <c r="H761">
        <v>-0.215</v>
      </c>
      <c r="I761">
        <v>-49.125</v>
      </c>
      <c r="J761">
        <v>-38.75</v>
      </c>
      <c r="K761">
        <v>-55.375</v>
      </c>
      <c r="L761">
        <v>-59</v>
      </c>
      <c r="M761">
        <v>115.5454</v>
      </c>
      <c r="N761">
        <v>63.46</v>
      </c>
      <c r="O761">
        <v>56.2</v>
      </c>
      <c r="P761">
        <v>2.1124999999999998</v>
      </c>
      <c r="Q761">
        <v>12.16</v>
      </c>
      <c r="R761">
        <v>-50.625</v>
      </c>
    </row>
    <row r="762" spans="1:18" x14ac:dyDescent="0.2">
      <c r="A762" s="1">
        <v>43679</v>
      </c>
      <c r="B762" s="2">
        <v>-0.86250000000000004</v>
      </c>
      <c r="C762" s="3">
        <v>17.61</v>
      </c>
      <c r="D762">
        <v>7.21</v>
      </c>
      <c r="E762">
        <v>1.8452</v>
      </c>
      <c r="F762">
        <v>1.7118</v>
      </c>
      <c r="G762">
        <v>-0.17</v>
      </c>
      <c r="H762">
        <v>-0.20899999999999999</v>
      </c>
      <c r="I762">
        <v>-50.375</v>
      </c>
      <c r="J762">
        <v>-37.5</v>
      </c>
      <c r="K762">
        <v>-56.625</v>
      </c>
      <c r="L762">
        <v>-59.5</v>
      </c>
      <c r="M762">
        <v>116.1874</v>
      </c>
      <c r="N762">
        <v>61.89</v>
      </c>
      <c r="O762">
        <v>55.66</v>
      </c>
      <c r="P762">
        <v>2.0482999999999998</v>
      </c>
      <c r="Q762">
        <v>17.61</v>
      </c>
      <c r="R762">
        <v>-51.875</v>
      </c>
    </row>
    <row r="763" spans="1:18" x14ac:dyDescent="0.2">
      <c r="A763" s="1">
        <v>43686</v>
      </c>
      <c r="B763" s="2">
        <v>-1.0049999999999999</v>
      </c>
      <c r="C763" s="3">
        <v>17.97</v>
      </c>
      <c r="D763">
        <v>8.06</v>
      </c>
      <c r="E763">
        <v>1.7446999999999999</v>
      </c>
      <c r="F763">
        <v>1.6466000000000001</v>
      </c>
      <c r="G763">
        <v>-0.222</v>
      </c>
      <c r="H763">
        <v>-0.27300000000000002</v>
      </c>
      <c r="I763">
        <v>-50.5625</v>
      </c>
      <c r="J763">
        <v>-36.375</v>
      </c>
      <c r="K763">
        <v>-56.5</v>
      </c>
      <c r="L763">
        <v>-59.375</v>
      </c>
      <c r="M763">
        <v>116.4432</v>
      </c>
      <c r="N763">
        <v>58.53</v>
      </c>
      <c r="O763">
        <v>54.5</v>
      </c>
      <c r="P763">
        <v>1.9863999999999999</v>
      </c>
      <c r="Q763">
        <v>17.97</v>
      </c>
      <c r="R763">
        <v>-51.75</v>
      </c>
    </row>
    <row r="764" spans="1:18" x14ac:dyDescent="0.2">
      <c r="A764" s="1">
        <v>43693</v>
      </c>
      <c r="B764" s="2">
        <v>-1.1375</v>
      </c>
      <c r="C764" s="3">
        <v>18.47</v>
      </c>
      <c r="D764">
        <v>7.9649999999999999</v>
      </c>
      <c r="E764">
        <v>1.5538000000000001</v>
      </c>
      <c r="F764">
        <v>1.4762999999999999</v>
      </c>
      <c r="G764">
        <v>-0.23499999999999999</v>
      </c>
      <c r="H764">
        <v>-0.27900000000000003</v>
      </c>
      <c r="I764">
        <v>-50.125</v>
      </c>
      <c r="J764">
        <v>-35.375</v>
      </c>
      <c r="K764">
        <v>-57.25</v>
      </c>
      <c r="L764">
        <v>-59</v>
      </c>
      <c r="M764">
        <v>117.0796</v>
      </c>
      <c r="N764">
        <v>58.64</v>
      </c>
      <c r="O764">
        <v>54.87</v>
      </c>
      <c r="P764">
        <v>1.8585</v>
      </c>
      <c r="Q764">
        <v>18.47</v>
      </c>
      <c r="R764">
        <v>-53.75</v>
      </c>
    </row>
    <row r="765" spans="1:18" x14ac:dyDescent="0.2">
      <c r="A765" s="1">
        <v>43700</v>
      </c>
      <c r="B765" s="2">
        <v>-0.96750000000000003</v>
      </c>
      <c r="C765" s="3">
        <v>19.87</v>
      </c>
      <c r="D765">
        <v>8.0850000000000009</v>
      </c>
      <c r="E765">
        <v>1.5350999999999999</v>
      </c>
      <c r="F765">
        <v>1.5331999999999999</v>
      </c>
      <c r="G765">
        <v>-0.23799999999999999</v>
      </c>
      <c r="H765">
        <v>-0.29899999999999999</v>
      </c>
      <c r="I765">
        <v>-49.875</v>
      </c>
      <c r="J765">
        <v>-36</v>
      </c>
      <c r="K765">
        <v>-56.625</v>
      </c>
      <c r="L765">
        <v>-58.625</v>
      </c>
      <c r="M765">
        <v>117.3027</v>
      </c>
      <c r="N765">
        <v>59.34</v>
      </c>
      <c r="O765">
        <v>54.17</v>
      </c>
      <c r="P765">
        <v>1.9534</v>
      </c>
      <c r="Q765">
        <v>19.87</v>
      </c>
      <c r="R765">
        <v>-53.125</v>
      </c>
    </row>
    <row r="766" spans="1:18" x14ac:dyDescent="0.2">
      <c r="A766" s="1">
        <v>43707</v>
      </c>
      <c r="B766" s="2">
        <v>-1.07</v>
      </c>
      <c r="C766" s="3">
        <v>18.98</v>
      </c>
      <c r="D766">
        <v>7.8925000000000001</v>
      </c>
      <c r="E766">
        <v>1.4961</v>
      </c>
      <c r="F766">
        <v>1.504</v>
      </c>
      <c r="G766">
        <v>-0.27600000000000002</v>
      </c>
      <c r="H766">
        <v>-0.308</v>
      </c>
      <c r="I766">
        <v>-48.75</v>
      </c>
      <c r="J766">
        <v>-37.25</v>
      </c>
      <c r="K766">
        <v>-55.5</v>
      </c>
      <c r="L766">
        <v>-57.125</v>
      </c>
      <c r="M766">
        <v>118.16</v>
      </c>
      <c r="N766">
        <v>60.43</v>
      </c>
      <c r="O766">
        <v>55.1</v>
      </c>
      <c r="P766">
        <v>1.9764999999999999</v>
      </c>
      <c r="Q766">
        <v>18.98</v>
      </c>
      <c r="R766">
        <v>-52.125</v>
      </c>
    </row>
    <row r="767" spans="1:18" x14ac:dyDescent="0.2">
      <c r="A767" s="1">
        <v>43714</v>
      </c>
      <c r="B767" s="2">
        <v>-0.875</v>
      </c>
      <c r="C767" s="3">
        <v>15</v>
      </c>
      <c r="D767">
        <v>6.8574999999999999</v>
      </c>
      <c r="E767">
        <v>1.5602</v>
      </c>
      <c r="F767">
        <v>1.5402</v>
      </c>
      <c r="G767">
        <v>-0.247</v>
      </c>
      <c r="H767">
        <v>-0.30299999999999999</v>
      </c>
      <c r="I767">
        <v>-48.625</v>
      </c>
      <c r="J767">
        <v>-36.75</v>
      </c>
      <c r="K767">
        <v>-54.5</v>
      </c>
      <c r="L767">
        <v>-56.125</v>
      </c>
      <c r="M767">
        <v>117.1305</v>
      </c>
      <c r="N767">
        <v>61.54</v>
      </c>
      <c r="O767">
        <v>56.52</v>
      </c>
      <c r="P767">
        <v>1.9480999999999999</v>
      </c>
      <c r="Q767">
        <v>15</v>
      </c>
      <c r="R767">
        <v>-51.125</v>
      </c>
    </row>
    <row r="768" spans="1:18" x14ac:dyDescent="0.2">
      <c r="A768" s="1">
        <v>43721</v>
      </c>
      <c r="B768" s="2">
        <v>-0.77749999999999997</v>
      </c>
      <c r="C768" s="3">
        <v>13.74</v>
      </c>
      <c r="D768">
        <v>6.4524999999999997</v>
      </c>
      <c r="E768">
        <v>1.8957999999999999</v>
      </c>
      <c r="F768">
        <v>1.7999000000000001</v>
      </c>
      <c r="G768">
        <v>-0.161</v>
      </c>
      <c r="H768">
        <v>-0.249</v>
      </c>
      <c r="I768">
        <v>-47.625</v>
      </c>
      <c r="J768">
        <v>-35.75</v>
      </c>
      <c r="K768">
        <v>-53</v>
      </c>
      <c r="L768">
        <v>-53.4375</v>
      </c>
      <c r="M768">
        <v>116.76900000000001</v>
      </c>
      <c r="N768">
        <v>60.22</v>
      </c>
      <c r="O768">
        <v>54.85</v>
      </c>
      <c r="P768">
        <v>1.956</v>
      </c>
      <c r="Q768">
        <v>13.74</v>
      </c>
      <c r="R768">
        <v>-49.875</v>
      </c>
    </row>
    <row r="769" spans="1:18" x14ac:dyDescent="0.2">
      <c r="A769" s="1">
        <v>43728</v>
      </c>
      <c r="B769" s="2">
        <v>-0.89749999999999996</v>
      </c>
      <c r="C769" s="3">
        <v>15.32</v>
      </c>
      <c r="D769">
        <v>6.3174999999999999</v>
      </c>
      <c r="E769">
        <v>1.7215</v>
      </c>
      <c r="F769">
        <v>1.6830000000000001</v>
      </c>
      <c r="G769">
        <v>-0.214</v>
      </c>
      <c r="H769">
        <v>-0.30299999999999999</v>
      </c>
      <c r="I769">
        <v>-46.5625</v>
      </c>
      <c r="J769">
        <v>-33.75</v>
      </c>
      <c r="K769">
        <v>-52.5</v>
      </c>
      <c r="L769">
        <v>-52.625</v>
      </c>
      <c r="M769">
        <v>117.1835</v>
      </c>
      <c r="N769">
        <v>64.28</v>
      </c>
      <c r="O769">
        <v>58.09</v>
      </c>
      <c r="P769">
        <v>1.897</v>
      </c>
      <c r="Q769">
        <v>15.32</v>
      </c>
      <c r="R769">
        <v>-49</v>
      </c>
    </row>
    <row r="770" spans="1:18" x14ac:dyDescent="0.2">
      <c r="A770" s="1">
        <v>43735</v>
      </c>
      <c r="B770" s="2">
        <v>-0.87250000000000005</v>
      </c>
      <c r="C770" s="3">
        <v>17.22</v>
      </c>
      <c r="D770">
        <v>6.59</v>
      </c>
      <c r="E770">
        <v>1.6800999999999999</v>
      </c>
      <c r="F770">
        <v>1.6315</v>
      </c>
      <c r="G770">
        <v>-0.24199999999999999</v>
      </c>
      <c r="H770">
        <v>-0.32500000000000001</v>
      </c>
      <c r="I770">
        <v>-44.375</v>
      </c>
      <c r="J770">
        <v>-33.125</v>
      </c>
      <c r="K770">
        <v>-51</v>
      </c>
      <c r="L770">
        <v>-51</v>
      </c>
      <c r="M770">
        <v>117.7246</v>
      </c>
      <c r="N770">
        <v>61.91</v>
      </c>
      <c r="O770">
        <v>55.91</v>
      </c>
      <c r="P770">
        <v>1.7789999999999999</v>
      </c>
      <c r="Q770">
        <v>17.22</v>
      </c>
      <c r="R770">
        <v>-47.625</v>
      </c>
    </row>
    <row r="771" spans="1:18" x14ac:dyDescent="0.2">
      <c r="A771" s="1">
        <v>43742</v>
      </c>
      <c r="B771" s="2">
        <v>-0.85499999999999998</v>
      </c>
      <c r="C771" s="3">
        <v>17.04</v>
      </c>
      <c r="D771">
        <v>6.66</v>
      </c>
      <c r="E771">
        <v>1.5289999999999999</v>
      </c>
      <c r="F771">
        <v>1.4036</v>
      </c>
      <c r="G771">
        <v>-0.218</v>
      </c>
      <c r="H771">
        <v>-0.33700000000000002</v>
      </c>
      <c r="I771">
        <v>-45.75</v>
      </c>
      <c r="J771">
        <v>-33.5625</v>
      </c>
      <c r="K771">
        <v>-52.75</v>
      </c>
      <c r="L771">
        <v>-52.75</v>
      </c>
      <c r="M771">
        <v>117.53060000000001</v>
      </c>
      <c r="N771">
        <v>58.37</v>
      </c>
      <c r="O771">
        <v>52.81</v>
      </c>
      <c r="P771">
        <v>1.6873</v>
      </c>
      <c r="Q771">
        <v>17.04</v>
      </c>
      <c r="R771">
        <v>-49.125</v>
      </c>
    </row>
    <row r="772" spans="1:18" x14ac:dyDescent="0.2">
      <c r="A772" s="1">
        <v>43749</v>
      </c>
      <c r="B772" s="2">
        <v>-0.84</v>
      </c>
      <c r="C772" s="3">
        <v>15.58</v>
      </c>
      <c r="D772">
        <v>6.34</v>
      </c>
      <c r="E772">
        <v>1.7290000000000001</v>
      </c>
      <c r="F772">
        <v>1.5913999999999999</v>
      </c>
      <c r="G772">
        <v>-0.186</v>
      </c>
      <c r="H772">
        <v>-0.29899999999999999</v>
      </c>
      <c r="I772">
        <v>-45.75</v>
      </c>
      <c r="J772">
        <v>-32.3125</v>
      </c>
      <c r="K772">
        <v>-52.5</v>
      </c>
      <c r="L772">
        <v>-52.4375</v>
      </c>
      <c r="M772">
        <v>116.8257</v>
      </c>
      <c r="N772">
        <v>60.51</v>
      </c>
      <c r="O772">
        <v>54.7</v>
      </c>
      <c r="P772">
        <v>1.6611</v>
      </c>
      <c r="Q772">
        <v>15.58</v>
      </c>
      <c r="R772">
        <v>-48.875</v>
      </c>
    </row>
    <row r="773" spans="1:18" x14ac:dyDescent="0.2">
      <c r="A773" s="1">
        <v>43756</v>
      </c>
      <c r="B773" s="2">
        <v>-0.73750000000000004</v>
      </c>
      <c r="C773" s="3">
        <v>14.25</v>
      </c>
      <c r="D773">
        <v>5.88</v>
      </c>
      <c r="E773">
        <v>1.7536</v>
      </c>
      <c r="F773">
        <v>1.5736000000000001</v>
      </c>
      <c r="G773">
        <v>-0.14299999999999999</v>
      </c>
      <c r="H773">
        <v>-0.24099999999999999</v>
      </c>
      <c r="I773">
        <v>-46.125</v>
      </c>
      <c r="J773">
        <v>-32</v>
      </c>
      <c r="K773">
        <v>-53.75</v>
      </c>
      <c r="L773">
        <v>-53.625</v>
      </c>
      <c r="M773">
        <v>116.13590000000001</v>
      </c>
      <c r="N773">
        <v>59.42</v>
      </c>
      <c r="O773">
        <v>53.78</v>
      </c>
      <c r="P773">
        <v>1.6559999999999999</v>
      </c>
      <c r="Q773">
        <v>14.25</v>
      </c>
      <c r="R773">
        <v>-50.375</v>
      </c>
    </row>
    <row r="774" spans="1:18" x14ac:dyDescent="0.2">
      <c r="A774" s="1">
        <v>43763</v>
      </c>
      <c r="B774" s="2">
        <v>-0.7</v>
      </c>
      <c r="C774" s="3">
        <v>12.65</v>
      </c>
      <c r="D774">
        <v>5.59</v>
      </c>
      <c r="E774">
        <v>1.7943</v>
      </c>
      <c r="F774">
        <v>1.6175999999999999</v>
      </c>
      <c r="G774">
        <v>-0.14499999999999999</v>
      </c>
      <c r="H774">
        <v>-0.23699999999999999</v>
      </c>
      <c r="I774">
        <v>-44.625</v>
      </c>
      <c r="J774">
        <v>-29.375</v>
      </c>
      <c r="K774">
        <v>-53</v>
      </c>
      <c r="L774">
        <v>-52.25</v>
      </c>
      <c r="M774">
        <v>116.0788</v>
      </c>
      <c r="N774">
        <v>62.02</v>
      </c>
      <c r="O774">
        <v>56.66</v>
      </c>
      <c r="P774">
        <v>1.6612</v>
      </c>
      <c r="Q774">
        <v>12.65</v>
      </c>
      <c r="R774">
        <v>-49.625</v>
      </c>
    </row>
    <row r="775" spans="1:18" x14ac:dyDescent="0.2">
      <c r="A775" s="1">
        <v>43770</v>
      </c>
      <c r="B775" s="2">
        <v>-0.60750000000000004</v>
      </c>
      <c r="C775" s="3">
        <v>12.3</v>
      </c>
      <c r="D775">
        <v>5.82</v>
      </c>
      <c r="E775">
        <v>1.7102999999999999</v>
      </c>
      <c r="F775">
        <v>1.552</v>
      </c>
      <c r="G775">
        <v>-0.185</v>
      </c>
      <c r="H775">
        <v>-0.27</v>
      </c>
      <c r="I775">
        <v>-44.6875</v>
      </c>
      <c r="J775">
        <v>-30.625</v>
      </c>
      <c r="K775">
        <v>-54</v>
      </c>
      <c r="L775">
        <v>-52.75</v>
      </c>
      <c r="M775">
        <v>115.7324</v>
      </c>
      <c r="N775">
        <v>61.69</v>
      </c>
      <c r="O775">
        <v>56.2</v>
      </c>
      <c r="P775">
        <v>1.5136000000000001</v>
      </c>
      <c r="Q775">
        <v>12.3</v>
      </c>
      <c r="R775">
        <v>-51</v>
      </c>
    </row>
    <row r="776" spans="1:18" x14ac:dyDescent="0.2">
      <c r="A776" s="1">
        <v>43777</v>
      </c>
      <c r="B776" s="2">
        <v>-0.54749999999999999</v>
      </c>
      <c r="C776" s="3">
        <v>12.07</v>
      </c>
      <c r="D776">
        <v>5.8</v>
      </c>
      <c r="E776">
        <v>1.9417</v>
      </c>
      <c r="F776">
        <v>1.6741999999999999</v>
      </c>
      <c r="G776">
        <v>-6.0999999999999999E-2</v>
      </c>
      <c r="H776">
        <v>-0.17399999999999999</v>
      </c>
      <c r="I776">
        <v>-44.5</v>
      </c>
      <c r="J776">
        <v>-30.125</v>
      </c>
      <c r="K776">
        <v>-54.875</v>
      </c>
      <c r="L776">
        <v>-53.25</v>
      </c>
      <c r="M776">
        <v>116.34399999999999</v>
      </c>
      <c r="N776">
        <v>62.51</v>
      </c>
      <c r="O776">
        <v>57.24</v>
      </c>
      <c r="P776">
        <v>1.5432999999999999</v>
      </c>
      <c r="Q776">
        <v>12.07</v>
      </c>
      <c r="R776">
        <v>-51.875</v>
      </c>
    </row>
    <row r="777" spans="1:18" x14ac:dyDescent="0.2">
      <c r="A777" s="1">
        <v>43784</v>
      </c>
      <c r="B777" s="2">
        <v>-0.54500000000000004</v>
      </c>
      <c r="C777" s="3">
        <v>12.05</v>
      </c>
      <c r="D777">
        <v>5.835</v>
      </c>
      <c r="E777">
        <v>1.8308</v>
      </c>
      <c r="F777">
        <v>1.6101000000000001</v>
      </c>
      <c r="G777">
        <v>-7.8E-2</v>
      </c>
      <c r="H777">
        <v>-0.20100000000000001</v>
      </c>
      <c r="I777">
        <v>-43.125</v>
      </c>
      <c r="J777">
        <v>-30.125</v>
      </c>
      <c r="K777">
        <v>-54.375</v>
      </c>
      <c r="L777">
        <v>-52.125</v>
      </c>
      <c r="M777">
        <v>116.4409</v>
      </c>
      <c r="N777">
        <v>63.3</v>
      </c>
      <c r="O777">
        <v>57.72</v>
      </c>
      <c r="P777">
        <v>1.5612999999999999</v>
      </c>
      <c r="Q777">
        <v>12.05</v>
      </c>
      <c r="R777">
        <v>-52.25</v>
      </c>
    </row>
    <row r="778" spans="1:18" x14ac:dyDescent="0.2">
      <c r="A778" s="1">
        <v>43791</v>
      </c>
      <c r="B778" s="2">
        <v>-0.59499999999999997</v>
      </c>
      <c r="C778" s="3">
        <v>12.34</v>
      </c>
      <c r="D778">
        <v>5.7050000000000001</v>
      </c>
      <c r="E778">
        <v>1.7706</v>
      </c>
      <c r="F778">
        <v>1.6276999999999999</v>
      </c>
      <c r="G778">
        <v>-8.4000000000000005E-2</v>
      </c>
      <c r="H778">
        <v>-0.189</v>
      </c>
      <c r="I778">
        <v>-41.875</v>
      </c>
      <c r="J778">
        <v>-29.3125</v>
      </c>
      <c r="K778">
        <v>-51.125</v>
      </c>
      <c r="L778">
        <v>-50</v>
      </c>
      <c r="M778">
        <v>116.9148</v>
      </c>
      <c r="N778">
        <v>63.39</v>
      </c>
      <c r="O778">
        <v>57.77</v>
      </c>
      <c r="P778">
        <v>1.5766</v>
      </c>
      <c r="Q778">
        <v>12.34</v>
      </c>
      <c r="R778">
        <v>-49</v>
      </c>
    </row>
    <row r="779" spans="1:18" x14ac:dyDescent="0.2">
      <c r="A779" s="1">
        <v>43798</v>
      </c>
      <c r="B779" s="2">
        <v>-0.54500000000000004</v>
      </c>
      <c r="C779" s="3">
        <v>12.62</v>
      </c>
      <c r="D779">
        <v>5.1849999999999996</v>
      </c>
      <c r="E779">
        <v>1.7758</v>
      </c>
      <c r="F779">
        <v>1.6119000000000001</v>
      </c>
      <c r="G779">
        <v>-8.2000000000000003E-2</v>
      </c>
      <c r="H779">
        <v>-0.17699999999999999</v>
      </c>
      <c r="I779">
        <v>-41.375</v>
      </c>
      <c r="J779">
        <v>-30.375</v>
      </c>
      <c r="K779">
        <v>-50</v>
      </c>
      <c r="L779">
        <v>-49</v>
      </c>
      <c r="M779">
        <v>117.12179999999999</v>
      </c>
      <c r="N779">
        <v>62.43</v>
      </c>
      <c r="O779">
        <v>55.17</v>
      </c>
      <c r="P779">
        <v>1.5671999999999999</v>
      </c>
      <c r="Q779">
        <v>12.62</v>
      </c>
      <c r="R779">
        <v>-47.25</v>
      </c>
    </row>
    <row r="780" spans="1:18" x14ac:dyDescent="0.2">
      <c r="A780" s="1">
        <v>43805</v>
      </c>
      <c r="B780" s="2">
        <v>-0.59499999999999997</v>
      </c>
      <c r="C780" s="3">
        <v>13.62</v>
      </c>
      <c r="D780">
        <v>5.6124999999999998</v>
      </c>
      <c r="E780">
        <v>1.8363</v>
      </c>
      <c r="F780">
        <v>1.6149</v>
      </c>
      <c r="G780">
        <v>-1.4E-2</v>
      </c>
      <c r="H780">
        <v>-0.14199999999999999</v>
      </c>
      <c r="I780">
        <v>-41.625</v>
      </c>
      <c r="J780">
        <v>-29</v>
      </c>
      <c r="K780">
        <v>-48.8125</v>
      </c>
      <c r="L780">
        <v>-47.9375</v>
      </c>
      <c r="M780">
        <v>116.5394</v>
      </c>
      <c r="N780">
        <v>64.39</v>
      </c>
      <c r="O780">
        <v>59.2</v>
      </c>
      <c r="P780">
        <v>1.5048999999999999</v>
      </c>
      <c r="Q780">
        <v>13.62</v>
      </c>
      <c r="R780">
        <v>-46.625</v>
      </c>
    </row>
    <row r="781" spans="1:18" x14ac:dyDescent="0.2">
      <c r="A781" s="1">
        <v>43812</v>
      </c>
      <c r="B781" s="2">
        <v>-0.62250000000000005</v>
      </c>
      <c r="C781" s="3">
        <v>12.63</v>
      </c>
      <c r="D781">
        <v>5.43</v>
      </c>
      <c r="E781">
        <v>1.8226</v>
      </c>
      <c r="F781">
        <v>1.6036999999999999</v>
      </c>
      <c r="G781">
        <v>-2.5999999999999999E-2</v>
      </c>
      <c r="H781">
        <v>-0.13400000000000001</v>
      </c>
      <c r="I781">
        <v>-41.875</v>
      </c>
      <c r="J781">
        <v>-28.25</v>
      </c>
      <c r="K781">
        <v>-49.125</v>
      </c>
      <c r="L781">
        <v>-48.375</v>
      </c>
      <c r="M781">
        <v>115.69759999999999</v>
      </c>
      <c r="N781">
        <v>65.22</v>
      </c>
      <c r="O781">
        <v>60.07</v>
      </c>
      <c r="P781">
        <v>1.5562</v>
      </c>
      <c r="Q781">
        <v>12.63</v>
      </c>
      <c r="R781">
        <v>-46.75</v>
      </c>
    </row>
    <row r="782" spans="1:18" x14ac:dyDescent="0.2">
      <c r="A782" s="1">
        <v>43819</v>
      </c>
      <c r="B782" s="2">
        <v>-0.59499999999999997</v>
      </c>
      <c r="C782" s="3">
        <v>12.51</v>
      </c>
      <c r="D782">
        <v>5.0475000000000003</v>
      </c>
      <c r="E782">
        <v>1.9171</v>
      </c>
      <c r="F782">
        <v>1.6294</v>
      </c>
      <c r="G782">
        <v>7.0000000000000001E-3</v>
      </c>
      <c r="H782">
        <v>-0.10299999999999999</v>
      </c>
      <c r="I782">
        <v>-38.125</v>
      </c>
      <c r="J782">
        <v>-23.5</v>
      </c>
      <c r="K782">
        <v>-44.75</v>
      </c>
      <c r="L782">
        <v>-44.5</v>
      </c>
      <c r="M782">
        <v>115.7604</v>
      </c>
      <c r="N782">
        <v>66.14</v>
      </c>
      <c r="O782">
        <v>60.44</v>
      </c>
      <c r="P782">
        <v>1.5612999999999999</v>
      </c>
      <c r="Q782">
        <v>12.51</v>
      </c>
      <c r="R782">
        <v>-42.25</v>
      </c>
    </row>
    <row r="783" spans="1:18" x14ac:dyDescent="0.2">
      <c r="A783" s="1">
        <v>43826</v>
      </c>
      <c r="B783" s="2">
        <v>-0.59499999999999997</v>
      </c>
      <c r="C783" s="3">
        <v>13.43</v>
      </c>
      <c r="D783">
        <v>5.17</v>
      </c>
      <c r="E783">
        <v>1.8752</v>
      </c>
      <c r="F783">
        <v>1.5811999999999999</v>
      </c>
      <c r="G783">
        <v>-8.9999999999999993E-3</v>
      </c>
      <c r="H783">
        <v>-0.128</v>
      </c>
      <c r="I783">
        <v>-38.5</v>
      </c>
      <c r="J783">
        <v>-24.375</v>
      </c>
      <c r="K783">
        <v>-44.4375</v>
      </c>
      <c r="L783">
        <v>-44.9375</v>
      </c>
      <c r="M783">
        <v>115.22069999999999</v>
      </c>
      <c r="N783">
        <v>68.16</v>
      </c>
      <c r="O783">
        <v>61.72</v>
      </c>
      <c r="P783">
        <v>1.5509999999999999</v>
      </c>
      <c r="Q783">
        <v>13.43</v>
      </c>
      <c r="R783">
        <v>-41.8125</v>
      </c>
    </row>
    <row r="784" spans="1:18" x14ac:dyDescent="0.2">
      <c r="A784" s="1">
        <v>43833</v>
      </c>
      <c r="B784" s="2">
        <v>-0.62250000000000005</v>
      </c>
      <c r="C784" s="3">
        <v>14.02</v>
      </c>
      <c r="D784">
        <v>5.7649999999999997</v>
      </c>
      <c r="E784">
        <v>1.7881</v>
      </c>
      <c r="F784">
        <v>1.5246</v>
      </c>
      <c r="G784">
        <v>-0.02</v>
      </c>
      <c r="H784">
        <v>-0.13400000000000001</v>
      </c>
      <c r="I784">
        <v>-39.375</v>
      </c>
      <c r="J784">
        <v>-25.625</v>
      </c>
      <c r="K784">
        <v>-45.125</v>
      </c>
      <c r="L784">
        <v>-45.5</v>
      </c>
      <c r="M784">
        <v>114.9862</v>
      </c>
      <c r="N784">
        <v>68.599999999999994</v>
      </c>
      <c r="O784">
        <v>63.05</v>
      </c>
      <c r="P784">
        <v>1.5075000000000001</v>
      </c>
      <c r="Q784">
        <v>14.02</v>
      </c>
      <c r="R784">
        <v>-42.5</v>
      </c>
    </row>
    <row r="785" spans="1:18" x14ac:dyDescent="0.2">
      <c r="A785" s="1">
        <v>43840</v>
      </c>
      <c r="B785" s="2">
        <v>-0.58250000000000002</v>
      </c>
      <c r="C785" s="3">
        <v>12.56</v>
      </c>
      <c r="D785">
        <v>5.1849999999999996</v>
      </c>
      <c r="E785">
        <v>1.8196000000000001</v>
      </c>
      <c r="F785">
        <v>1.5702</v>
      </c>
      <c r="G785">
        <v>-5.0000000000000001E-3</v>
      </c>
      <c r="H785">
        <v>-0.14099999999999999</v>
      </c>
      <c r="I785">
        <v>-40.5</v>
      </c>
      <c r="J785">
        <v>-26</v>
      </c>
      <c r="K785">
        <v>-50.125</v>
      </c>
      <c r="L785">
        <v>-49</v>
      </c>
      <c r="M785">
        <v>115.0671</v>
      </c>
      <c r="N785">
        <v>64.98</v>
      </c>
      <c r="O785">
        <v>59.04</v>
      </c>
      <c r="P785">
        <v>1.5305</v>
      </c>
      <c r="Q785">
        <v>12.56</v>
      </c>
      <c r="R785">
        <v>-47.75</v>
      </c>
    </row>
    <row r="786" spans="1:18" x14ac:dyDescent="0.2">
      <c r="A786" s="1">
        <v>43847</v>
      </c>
      <c r="B786" s="2">
        <v>-0.47249999999999998</v>
      </c>
      <c r="C786" s="3">
        <v>12.1</v>
      </c>
      <c r="D786">
        <v>4.8650000000000002</v>
      </c>
      <c r="E786">
        <v>1.8214999999999999</v>
      </c>
      <c r="F786">
        <v>1.5591999999999999</v>
      </c>
      <c r="G786">
        <v>-3.0000000000000001E-3</v>
      </c>
      <c r="H786">
        <v>-0.13600000000000001</v>
      </c>
      <c r="I786">
        <v>-39.625</v>
      </c>
      <c r="J786">
        <v>-23.75</v>
      </c>
      <c r="K786">
        <v>-51.625</v>
      </c>
      <c r="L786">
        <v>-49.75</v>
      </c>
      <c r="M786">
        <v>115.0642</v>
      </c>
      <c r="N786">
        <v>64.849999999999994</v>
      </c>
      <c r="O786">
        <v>58.54</v>
      </c>
      <c r="P786">
        <v>1.5535000000000001</v>
      </c>
      <c r="Q786">
        <v>12.1</v>
      </c>
      <c r="R786">
        <v>-49.625</v>
      </c>
    </row>
    <row r="787" spans="1:18" x14ac:dyDescent="0.2">
      <c r="A787" s="1">
        <v>43854</v>
      </c>
      <c r="B787" s="2">
        <v>-0.58750000000000002</v>
      </c>
      <c r="C787" s="3">
        <v>14.56</v>
      </c>
      <c r="D787">
        <v>5.22</v>
      </c>
      <c r="E787">
        <v>1.6839</v>
      </c>
      <c r="F787">
        <v>1.4946999999999999</v>
      </c>
      <c r="G787">
        <v>-2.7E-2</v>
      </c>
      <c r="H787">
        <v>-0.13200000000000001</v>
      </c>
      <c r="I787">
        <v>-40.375</v>
      </c>
      <c r="J787">
        <v>-25.125</v>
      </c>
      <c r="K787">
        <v>-53.625</v>
      </c>
      <c r="L787">
        <v>-50.125</v>
      </c>
      <c r="M787">
        <v>115.5545</v>
      </c>
      <c r="N787">
        <v>60.69</v>
      </c>
      <c r="O787">
        <v>54.19</v>
      </c>
      <c r="P787">
        <v>1.5254000000000001</v>
      </c>
      <c r="Q787">
        <v>14.56</v>
      </c>
      <c r="R787">
        <v>-52.5</v>
      </c>
    </row>
    <row r="788" spans="1:18" x14ac:dyDescent="0.2">
      <c r="A788" s="1">
        <v>43861</v>
      </c>
      <c r="B788" s="2">
        <v>-0.9325</v>
      </c>
      <c r="C788" s="3">
        <v>18.84</v>
      </c>
      <c r="D788">
        <v>5.84</v>
      </c>
      <c r="E788">
        <v>1.5067999999999999</v>
      </c>
      <c r="F788">
        <v>1.3131999999999999</v>
      </c>
      <c r="G788">
        <v>-7.1999999999999995E-2</v>
      </c>
      <c r="H788">
        <v>-0.156</v>
      </c>
      <c r="I788">
        <v>-39.75</v>
      </c>
      <c r="J788">
        <v>-25.25</v>
      </c>
      <c r="K788">
        <v>-51.875</v>
      </c>
      <c r="L788">
        <v>-48.375</v>
      </c>
      <c r="M788">
        <v>115.7342</v>
      </c>
      <c r="N788">
        <v>58.16</v>
      </c>
      <c r="O788">
        <v>51.56</v>
      </c>
      <c r="P788">
        <v>1.5382</v>
      </c>
      <c r="Q788">
        <v>18.84</v>
      </c>
      <c r="R788">
        <v>-50.5</v>
      </c>
    </row>
    <row r="789" spans="1:18" x14ac:dyDescent="0.2">
      <c r="A789" s="1">
        <v>43868</v>
      </c>
      <c r="B789" s="2">
        <v>-0.92249999999999999</v>
      </c>
      <c r="C789" s="3">
        <v>15.47</v>
      </c>
      <c r="D789">
        <v>5.16</v>
      </c>
      <c r="E789">
        <v>1.5833999999999999</v>
      </c>
      <c r="F789">
        <v>1.4011</v>
      </c>
      <c r="G789">
        <v>-4.2999999999999997E-2</v>
      </c>
      <c r="H789">
        <v>-0.151</v>
      </c>
      <c r="I789">
        <v>-39.375</v>
      </c>
      <c r="J789">
        <v>-25</v>
      </c>
      <c r="K789">
        <v>-51</v>
      </c>
      <c r="L789">
        <v>-48.125</v>
      </c>
      <c r="M789">
        <v>116.50749999999999</v>
      </c>
      <c r="N789">
        <v>54.47</v>
      </c>
      <c r="O789">
        <v>50.32</v>
      </c>
      <c r="P789">
        <v>1.5357000000000001</v>
      </c>
      <c r="Q789">
        <v>15.47</v>
      </c>
      <c r="R789">
        <v>-49.75</v>
      </c>
    </row>
    <row r="790" spans="1:18" x14ac:dyDescent="0.2">
      <c r="A790" s="1">
        <v>43875</v>
      </c>
      <c r="B790" s="2">
        <v>-0.83250000000000002</v>
      </c>
      <c r="C790" s="3">
        <v>13.68</v>
      </c>
      <c r="D790">
        <v>4.9850000000000003</v>
      </c>
      <c r="E790">
        <v>1.5848</v>
      </c>
      <c r="F790">
        <v>1.4278999999999999</v>
      </c>
      <c r="G790">
        <v>-3.2000000000000001E-2</v>
      </c>
      <c r="H790">
        <v>-0.14000000000000001</v>
      </c>
      <c r="I790">
        <v>-39.5</v>
      </c>
      <c r="J790">
        <v>-26.25</v>
      </c>
      <c r="K790">
        <v>-50.125</v>
      </c>
      <c r="L790">
        <v>-48</v>
      </c>
      <c r="M790">
        <v>116.42</v>
      </c>
      <c r="N790">
        <v>57.32</v>
      </c>
      <c r="O790">
        <v>52.05</v>
      </c>
      <c r="P790">
        <v>1.5689</v>
      </c>
      <c r="Q790">
        <v>13.68</v>
      </c>
      <c r="R790">
        <v>-49.1875</v>
      </c>
    </row>
    <row r="791" spans="1:18" x14ac:dyDescent="0.2">
      <c r="A791" s="1">
        <v>43882</v>
      </c>
      <c r="B791" s="2">
        <v>-0.995</v>
      </c>
      <c r="C791" s="3">
        <v>17.079999999999998</v>
      </c>
      <c r="D791">
        <v>5.7149999999999999</v>
      </c>
      <c r="E791">
        <v>1.4713000000000001</v>
      </c>
      <c r="F791">
        <v>1.3543000000000001</v>
      </c>
      <c r="G791">
        <v>-0.06</v>
      </c>
      <c r="H791">
        <v>-0.16700000000000001</v>
      </c>
      <c r="I791">
        <v>-40.75</v>
      </c>
      <c r="J791">
        <v>-28.75</v>
      </c>
      <c r="K791">
        <v>-52</v>
      </c>
      <c r="L791">
        <v>-49.375</v>
      </c>
      <c r="M791">
        <v>117.04559999999999</v>
      </c>
      <c r="N791">
        <v>58.5</v>
      </c>
      <c r="O791">
        <v>53.38</v>
      </c>
      <c r="P791">
        <v>1.5459000000000001</v>
      </c>
      <c r="Q791">
        <v>17.079999999999998</v>
      </c>
      <c r="R791">
        <v>-51.875</v>
      </c>
    </row>
    <row r="792" spans="1:18" x14ac:dyDescent="0.2">
      <c r="A792" s="1">
        <v>43889</v>
      </c>
      <c r="B792" s="2">
        <v>-1.325</v>
      </c>
      <c r="C792" s="3">
        <v>40.11</v>
      </c>
      <c r="D792">
        <v>7.9325000000000001</v>
      </c>
      <c r="E792">
        <v>1.1486000000000001</v>
      </c>
      <c r="F792">
        <v>0.91300000000000003</v>
      </c>
      <c r="G792">
        <v>-0.159</v>
      </c>
      <c r="H792">
        <v>-0.25900000000000001</v>
      </c>
      <c r="I792">
        <v>-46.5</v>
      </c>
      <c r="J792">
        <v>-34.5</v>
      </c>
      <c r="K792">
        <v>-56.5</v>
      </c>
      <c r="L792">
        <v>-54.625</v>
      </c>
      <c r="M792">
        <v>117.65730000000001</v>
      </c>
      <c r="N792">
        <v>50.52</v>
      </c>
      <c r="O792">
        <v>44.76</v>
      </c>
      <c r="P792">
        <v>1.2669999999999999</v>
      </c>
      <c r="Q792">
        <v>40.11</v>
      </c>
      <c r="R792">
        <v>-55.5</v>
      </c>
    </row>
    <row r="793" spans="1:18" x14ac:dyDescent="0.2">
      <c r="A793" s="1">
        <v>43896</v>
      </c>
      <c r="B793" s="2">
        <v>-1.2575000000000001</v>
      </c>
      <c r="C793" s="3">
        <v>41.94</v>
      </c>
      <c r="D793">
        <v>10.130000000000001</v>
      </c>
      <c r="E793">
        <v>0.76229999999999998</v>
      </c>
      <c r="F793">
        <v>0.50619999999999998</v>
      </c>
      <c r="G793">
        <v>-0.13600000000000001</v>
      </c>
      <c r="H793">
        <v>-0.28899999999999998</v>
      </c>
      <c r="I793">
        <v>-53.75</v>
      </c>
      <c r="J793">
        <v>-42.75</v>
      </c>
      <c r="K793">
        <v>-58.8125</v>
      </c>
      <c r="L793">
        <v>-60</v>
      </c>
      <c r="M793">
        <v>116.7132</v>
      </c>
      <c r="N793">
        <v>45.27</v>
      </c>
      <c r="O793">
        <v>41.28</v>
      </c>
      <c r="P793">
        <v>0.45040000000000002</v>
      </c>
      <c r="Q793">
        <v>41.94</v>
      </c>
      <c r="R793">
        <v>-57.1875</v>
      </c>
    </row>
    <row r="794" spans="1:18" x14ac:dyDescent="0.2">
      <c r="A794" s="1">
        <v>43903</v>
      </c>
      <c r="B794" s="2">
        <v>-3.86</v>
      </c>
      <c r="C794" s="3">
        <v>57.83</v>
      </c>
      <c r="D794">
        <v>13.297499999999999</v>
      </c>
      <c r="E794">
        <v>0.96030000000000004</v>
      </c>
      <c r="F794">
        <v>0.49030000000000001</v>
      </c>
      <c r="G794">
        <v>0.02</v>
      </c>
      <c r="H794">
        <v>-0.21099999999999999</v>
      </c>
      <c r="I794">
        <v>-72.375</v>
      </c>
      <c r="J794">
        <v>-62.875</v>
      </c>
      <c r="K794">
        <v>-74.875</v>
      </c>
      <c r="L794">
        <v>-77.3125</v>
      </c>
      <c r="M794">
        <v>120.4439</v>
      </c>
      <c r="N794">
        <v>33.85</v>
      </c>
      <c r="O794">
        <v>31.73</v>
      </c>
      <c r="P794">
        <v>0.24410000000000001</v>
      </c>
      <c r="Q794">
        <v>57.83</v>
      </c>
      <c r="R794">
        <v>-69.875</v>
      </c>
    </row>
    <row r="795" spans="1:18" x14ac:dyDescent="0.2">
      <c r="A795" s="1">
        <v>43910</v>
      </c>
      <c r="B795" s="2">
        <v>-7.3274999999999997</v>
      </c>
      <c r="C795" s="3">
        <v>66.040000000000006</v>
      </c>
      <c r="D795">
        <v>13.1425</v>
      </c>
      <c r="E795">
        <v>0.84540000000000004</v>
      </c>
      <c r="F795">
        <v>0.31340000000000001</v>
      </c>
      <c r="G795">
        <v>6.4000000000000001E-2</v>
      </c>
      <c r="H795">
        <v>-0.186</v>
      </c>
      <c r="I795">
        <v>-48.125</v>
      </c>
      <c r="J795">
        <v>-53.875</v>
      </c>
      <c r="K795">
        <v>-47.25</v>
      </c>
      <c r="L795">
        <v>-47</v>
      </c>
      <c r="M795">
        <v>124.9425</v>
      </c>
      <c r="N795">
        <v>26.98</v>
      </c>
      <c r="O795">
        <v>22.43</v>
      </c>
      <c r="P795">
        <v>-3.3000000000000002E-2</v>
      </c>
      <c r="Q795">
        <v>66.040000000000006</v>
      </c>
      <c r="R795">
        <v>-47</v>
      </c>
    </row>
    <row r="796" spans="1:18" x14ac:dyDescent="0.2">
      <c r="A796" s="1">
        <v>43917</v>
      </c>
      <c r="B796" s="2">
        <v>-7.125</v>
      </c>
      <c r="C796" s="3">
        <v>65.540000000000006</v>
      </c>
      <c r="D796">
        <v>12.425000000000001</v>
      </c>
      <c r="E796">
        <v>0.67459999999999998</v>
      </c>
      <c r="F796">
        <v>0.24179999999999999</v>
      </c>
      <c r="G796">
        <v>6.0000000000000001E-3</v>
      </c>
      <c r="H796">
        <v>-0.17899999999999999</v>
      </c>
      <c r="I796">
        <v>-60.375</v>
      </c>
      <c r="J796">
        <v>-58.125</v>
      </c>
      <c r="K796">
        <v>-63.25</v>
      </c>
      <c r="L796">
        <v>-63</v>
      </c>
      <c r="M796">
        <v>122.4097</v>
      </c>
      <c r="N796">
        <v>24.93</v>
      </c>
      <c r="O796">
        <v>21.51</v>
      </c>
      <c r="P796">
        <v>-3.8100000000000002E-2</v>
      </c>
      <c r="Q796">
        <v>65.540000000000006</v>
      </c>
      <c r="R796">
        <v>-62.5</v>
      </c>
    </row>
    <row r="797" spans="1:18" x14ac:dyDescent="0.2">
      <c r="A797" s="1">
        <v>43924</v>
      </c>
      <c r="B797" s="2">
        <v>-4.625</v>
      </c>
      <c r="C797" s="3">
        <v>46.8</v>
      </c>
      <c r="D797">
        <v>10.435</v>
      </c>
      <c r="E797">
        <v>0.5948</v>
      </c>
      <c r="F797">
        <v>0.22889999999999999</v>
      </c>
      <c r="G797">
        <v>-1.6E-2</v>
      </c>
      <c r="H797">
        <v>-0.14099999999999999</v>
      </c>
      <c r="I797">
        <v>-54.5</v>
      </c>
      <c r="J797">
        <v>-34</v>
      </c>
      <c r="K797">
        <v>-66.625</v>
      </c>
      <c r="L797">
        <v>-64.125</v>
      </c>
      <c r="M797">
        <v>124.4237</v>
      </c>
      <c r="N797">
        <v>34.11</v>
      </c>
      <c r="O797">
        <v>28.34</v>
      </c>
      <c r="P797">
        <v>5.8500000000000003E-2</v>
      </c>
      <c r="Q797">
        <v>46.8</v>
      </c>
      <c r="R797">
        <v>-67.375</v>
      </c>
    </row>
    <row r="798" spans="1:18" x14ac:dyDescent="0.2">
      <c r="A798" s="1">
        <v>43931</v>
      </c>
      <c r="B798" s="2">
        <v>-3.2675000000000001</v>
      </c>
      <c r="C798" s="3">
        <v>41.67</v>
      </c>
      <c r="D798">
        <v>8.5399999999999991</v>
      </c>
      <c r="E798">
        <v>0.71909999999999996</v>
      </c>
      <c r="F798">
        <v>0.22539999999999999</v>
      </c>
      <c r="G798">
        <v>0</v>
      </c>
      <c r="H798">
        <v>-0.18099999999999999</v>
      </c>
      <c r="I798">
        <v>-61.625</v>
      </c>
      <c r="J798">
        <v>-41.625</v>
      </c>
      <c r="K798">
        <v>-71.125</v>
      </c>
      <c r="L798">
        <v>-69</v>
      </c>
      <c r="M798">
        <v>122.16679999999999</v>
      </c>
      <c r="N798">
        <v>31.48</v>
      </c>
      <c r="O798">
        <v>22.76</v>
      </c>
      <c r="P798">
        <v>0.1933</v>
      </c>
      <c r="Q798">
        <v>41.67</v>
      </c>
      <c r="R798">
        <v>-72.375</v>
      </c>
    </row>
    <row r="799" spans="1:18" x14ac:dyDescent="0.2">
      <c r="A799" s="1">
        <v>43938</v>
      </c>
      <c r="B799" s="2">
        <v>-3.7625000000000002</v>
      </c>
      <c r="C799" s="3">
        <v>38.15</v>
      </c>
      <c r="D799">
        <v>8.6174999999999997</v>
      </c>
      <c r="E799">
        <v>0.64170000000000005</v>
      </c>
      <c r="F799">
        <v>0.2019</v>
      </c>
      <c r="G799">
        <v>1.7000000000000001E-2</v>
      </c>
      <c r="H799">
        <v>-0.14299999999999999</v>
      </c>
      <c r="I799">
        <v>-59.625</v>
      </c>
      <c r="J799">
        <v>-37</v>
      </c>
      <c r="K799">
        <v>-70</v>
      </c>
      <c r="L799">
        <v>-67.875</v>
      </c>
      <c r="M799">
        <v>122.87909999999999</v>
      </c>
      <c r="N799">
        <v>28.08</v>
      </c>
      <c r="O799">
        <v>18.27</v>
      </c>
      <c r="P799">
        <v>8.6400000000000005E-2</v>
      </c>
      <c r="Q799">
        <v>38.15</v>
      </c>
      <c r="R799">
        <v>-70.6875</v>
      </c>
    </row>
    <row r="800" spans="1:18" x14ac:dyDescent="0.2">
      <c r="A800" s="1">
        <v>43945</v>
      </c>
      <c r="B800" s="2">
        <v>-3.88</v>
      </c>
      <c r="C800" s="3">
        <v>35.93</v>
      </c>
      <c r="D800">
        <v>8.3550000000000004</v>
      </c>
      <c r="E800">
        <v>0.6008</v>
      </c>
      <c r="F800">
        <v>0.22450000000000001</v>
      </c>
      <c r="G800">
        <v>-2.5000000000000001E-2</v>
      </c>
      <c r="H800">
        <v>-0.161</v>
      </c>
      <c r="I800">
        <v>-53.875</v>
      </c>
      <c r="J800">
        <v>-26.125</v>
      </c>
      <c r="K800">
        <v>-67.75</v>
      </c>
      <c r="L800">
        <v>-66.25</v>
      </c>
      <c r="M800">
        <v>124.172</v>
      </c>
      <c r="N800">
        <v>21.44</v>
      </c>
      <c r="O800">
        <v>16.940000000000001</v>
      </c>
      <c r="P800">
        <v>9.9099999999999994E-2</v>
      </c>
      <c r="Q800">
        <v>35.93</v>
      </c>
      <c r="R800">
        <v>-68.375</v>
      </c>
    </row>
    <row r="801" spans="1:18" x14ac:dyDescent="0.2">
      <c r="A801" s="1">
        <v>43952</v>
      </c>
      <c r="B801" s="2">
        <v>-3.6524999999999999</v>
      </c>
      <c r="C801" s="3">
        <v>37.19</v>
      </c>
      <c r="D801">
        <v>8.1</v>
      </c>
      <c r="E801">
        <v>0.61180000000000001</v>
      </c>
      <c r="F801">
        <v>0.19</v>
      </c>
      <c r="G801">
        <v>-3.1E-2</v>
      </c>
      <c r="H801">
        <v>-0.16300000000000001</v>
      </c>
      <c r="I801">
        <v>-57.25</v>
      </c>
      <c r="J801">
        <v>-34</v>
      </c>
      <c r="K801">
        <v>-68.625</v>
      </c>
      <c r="L801">
        <v>-67.5</v>
      </c>
      <c r="M801">
        <v>123.1615</v>
      </c>
      <c r="N801">
        <v>26.44</v>
      </c>
      <c r="O801">
        <v>19.78</v>
      </c>
      <c r="P801">
        <v>9.9099999999999994E-2</v>
      </c>
      <c r="Q801">
        <v>37.19</v>
      </c>
      <c r="R801">
        <v>-68.5</v>
      </c>
    </row>
    <row r="802" spans="1:18" x14ac:dyDescent="0.2">
      <c r="A802" s="1">
        <v>43959</v>
      </c>
      <c r="B802" s="2">
        <v>-3.13</v>
      </c>
      <c r="C802" s="3">
        <v>27.98</v>
      </c>
      <c r="D802">
        <v>7.8250000000000002</v>
      </c>
      <c r="E802">
        <v>0.68310000000000004</v>
      </c>
      <c r="F802">
        <v>0.15679999999999999</v>
      </c>
      <c r="G802">
        <v>-8.0000000000000002E-3</v>
      </c>
      <c r="H802">
        <v>-0.17299999999999999</v>
      </c>
      <c r="I802">
        <v>-57.625</v>
      </c>
      <c r="J802">
        <v>-38.75</v>
      </c>
      <c r="K802">
        <v>-68.875</v>
      </c>
      <c r="L802">
        <v>-68.125</v>
      </c>
      <c r="M802">
        <v>122.54649999999999</v>
      </c>
      <c r="N802">
        <v>30.97</v>
      </c>
      <c r="O802">
        <v>24.74</v>
      </c>
      <c r="P802">
        <v>9.4100000000000003E-2</v>
      </c>
      <c r="Q802">
        <v>27.98</v>
      </c>
      <c r="R802">
        <v>-69</v>
      </c>
    </row>
    <row r="803" spans="1:18" x14ac:dyDescent="0.2">
      <c r="A803" s="1">
        <v>43966</v>
      </c>
      <c r="B803" s="2">
        <v>-3.08</v>
      </c>
      <c r="C803" s="3">
        <v>31.89</v>
      </c>
      <c r="D803">
        <v>7.17</v>
      </c>
      <c r="E803">
        <v>0.64280000000000004</v>
      </c>
      <c r="F803">
        <v>0.14510000000000001</v>
      </c>
      <c r="G803">
        <v>-8.0000000000000002E-3</v>
      </c>
      <c r="H803">
        <v>-0.16400000000000001</v>
      </c>
      <c r="I803">
        <v>-57.375</v>
      </c>
      <c r="J803">
        <v>-35.25</v>
      </c>
      <c r="K803">
        <v>-73.125</v>
      </c>
      <c r="L803">
        <v>-68.625</v>
      </c>
      <c r="M803">
        <v>123.608</v>
      </c>
      <c r="N803">
        <v>32.5</v>
      </c>
      <c r="O803">
        <v>29.43</v>
      </c>
      <c r="P803">
        <v>9.9099999999999994E-2</v>
      </c>
      <c r="Q803">
        <v>31.89</v>
      </c>
      <c r="R803">
        <v>-73.375</v>
      </c>
    </row>
    <row r="804" spans="1:18" x14ac:dyDescent="0.2">
      <c r="A804" s="1">
        <v>43973</v>
      </c>
      <c r="B804" s="2">
        <v>-2.4674999999999998</v>
      </c>
      <c r="C804" s="3">
        <v>28.16</v>
      </c>
      <c r="D804">
        <v>6.3150000000000004</v>
      </c>
      <c r="E804">
        <v>0.65910000000000002</v>
      </c>
      <c r="F804">
        <v>0.1676</v>
      </c>
      <c r="G804">
        <v>-8.9999999999999993E-3</v>
      </c>
      <c r="H804">
        <v>-0.183</v>
      </c>
      <c r="I804">
        <v>-55.5</v>
      </c>
      <c r="J804">
        <v>-33.75</v>
      </c>
      <c r="K804">
        <v>-73.375</v>
      </c>
      <c r="L804">
        <v>-67.75</v>
      </c>
      <c r="M804">
        <v>122.3278</v>
      </c>
      <c r="N804">
        <v>35.130000000000003</v>
      </c>
      <c r="O804">
        <v>33.25</v>
      </c>
      <c r="P804">
        <v>0.1144</v>
      </c>
      <c r="Q804">
        <v>28.16</v>
      </c>
      <c r="R804">
        <v>-74</v>
      </c>
    </row>
    <row r="805" spans="1:18" x14ac:dyDescent="0.2">
      <c r="A805" s="1">
        <v>43980</v>
      </c>
      <c r="B805" s="2">
        <v>-2.2425000000000002</v>
      </c>
      <c r="C805" s="3">
        <v>27.51</v>
      </c>
      <c r="D805">
        <v>5.87</v>
      </c>
      <c r="E805">
        <v>0.65259999999999996</v>
      </c>
      <c r="F805">
        <v>0.1603</v>
      </c>
      <c r="G805">
        <v>-3.0000000000000001E-3</v>
      </c>
      <c r="H805">
        <v>-0.16300000000000001</v>
      </c>
      <c r="I805">
        <v>-56.75</v>
      </c>
      <c r="J805">
        <v>-34</v>
      </c>
      <c r="K805">
        <v>-75</v>
      </c>
      <c r="L805">
        <v>-68.5</v>
      </c>
      <c r="M805">
        <v>120.953</v>
      </c>
      <c r="N805">
        <v>35.33</v>
      </c>
      <c r="O805">
        <v>35.49</v>
      </c>
      <c r="P805">
        <v>0.1246</v>
      </c>
      <c r="Q805">
        <v>27.51</v>
      </c>
      <c r="R805">
        <v>-74.75</v>
      </c>
    </row>
    <row r="806" spans="1:18" x14ac:dyDescent="0.2">
      <c r="A806" s="1">
        <v>43987</v>
      </c>
      <c r="B806" s="2">
        <v>-1.835</v>
      </c>
      <c r="C806" s="3">
        <v>24.52</v>
      </c>
      <c r="D806">
        <v>5.81</v>
      </c>
      <c r="E806">
        <v>0.89510000000000001</v>
      </c>
      <c r="F806">
        <v>0.20619999999999999</v>
      </c>
      <c r="G806">
        <v>4.3999999999999997E-2</v>
      </c>
      <c r="H806">
        <v>-0.14399999999999999</v>
      </c>
      <c r="I806">
        <v>-55</v>
      </c>
      <c r="J806">
        <v>-34.75</v>
      </c>
      <c r="K806">
        <v>-70.5</v>
      </c>
      <c r="L806">
        <v>-65.375</v>
      </c>
      <c r="M806">
        <v>118.8202</v>
      </c>
      <c r="N806">
        <v>42.3</v>
      </c>
      <c r="O806">
        <v>39.549999999999997</v>
      </c>
      <c r="P806">
        <v>0.14710000000000001</v>
      </c>
      <c r="Q806">
        <v>24.52</v>
      </c>
      <c r="R806">
        <v>-70</v>
      </c>
    </row>
    <row r="807" spans="1:18" x14ac:dyDescent="0.2">
      <c r="A807" s="1">
        <v>43994</v>
      </c>
      <c r="B807" s="2">
        <v>-2.85</v>
      </c>
      <c r="C807" s="3">
        <v>36.090000000000003</v>
      </c>
      <c r="D807">
        <v>7.13</v>
      </c>
      <c r="E807">
        <v>0.70340000000000003</v>
      </c>
      <c r="F807">
        <v>0.193</v>
      </c>
      <c r="G807">
        <v>7.0000000000000001E-3</v>
      </c>
      <c r="H807">
        <v>-0.156</v>
      </c>
      <c r="I807">
        <v>-54.125</v>
      </c>
      <c r="J807">
        <v>-36.5625</v>
      </c>
      <c r="K807">
        <v>-66.5</v>
      </c>
      <c r="L807">
        <v>-62.625</v>
      </c>
      <c r="M807">
        <v>119.67189999999999</v>
      </c>
      <c r="N807">
        <v>38.729999999999997</v>
      </c>
      <c r="O807">
        <v>36.26</v>
      </c>
      <c r="P807">
        <v>0.15</v>
      </c>
      <c r="Q807">
        <v>36.090000000000003</v>
      </c>
      <c r="R807">
        <v>-67.25</v>
      </c>
    </row>
    <row r="808" spans="1:18" x14ac:dyDescent="0.2">
      <c r="A808" s="1">
        <v>44001</v>
      </c>
      <c r="B808" s="2">
        <v>-2.5449999999999999</v>
      </c>
      <c r="C808" s="3">
        <v>35.119999999999997</v>
      </c>
      <c r="D808">
        <v>6.8</v>
      </c>
      <c r="E808">
        <v>0.69369999999999998</v>
      </c>
      <c r="F808">
        <v>0.1855</v>
      </c>
      <c r="G808">
        <v>0.01</v>
      </c>
      <c r="H808">
        <v>-0.159</v>
      </c>
      <c r="I808">
        <v>-52.25</v>
      </c>
      <c r="J808">
        <v>-34.25</v>
      </c>
      <c r="K808">
        <v>-64</v>
      </c>
      <c r="L808">
        <v>-60.625</v>
      </c>
      <c r="M808">
        <v>120.226</v>
      </c>
      <c r="N808">
        <v>42.19</v>
      </c>
      <c r="O808">
        <v>39.75</v>
      </c>
      <c r="P808">
        <v>0.14710000000000001</v>
      </c>
      <c r="Q808">
        <v>35.119999999999997</v>
      </c>
      <c r="R808">
        <v>-65</v>
      </c>
    </row>
    <row r="809" spans="1:18" x14ac:dyDescent="0.2">
      <c r="A809" s="1">
        <v>44008</v>
      </c>
      <c r="B809" s="2">
        <v>-2.38</v>
      </c>
      <c r="C809" s="3">
        <v>34.729999999999997</v>
      </c>
      <c r="D809">
        <v>6.4749999999999996</v>
      </c>
      <c r="E809">
        <v>0.64129999999999998</v>
      </c>
      <c r="F809">
        <v>0.1661</v>
      </c>
      <c r="G809">
        <v>6.0000000000000001E-3</v>
      </c>
      <c r="H809">
        <v>-0.14599999999999999</v>
      </c>
      <c r="I809">
        <v>-52.125</v>
      </c>
      <c r="J809">
        <v>-33.875</v>
      </c>
      <c r="K809">
        <v>-64.625</v>
      </c>
      <c r="L809">
        <v>-60</v>
      </c>
      <c r="M809">
        <v>120.5425</v>
      </c>
      <c r="N809">
        <v>41.02</v>
      </c>
      <c r="O809">
        <v>38.49</v>
      </c>
      <c r="P809">
        <v>0.13689999999999999</v>
      </c>
      <c r="Q809">
        <v>34.729999999999997</v>
      </c>
      <c r="R809">
        <v>-65.5</v>
      </c>
    </row>
    <row r="810" spans="1:18" x14ac:dyDescent="0.2">
      <c r="A810" s="1">
        <v>44015</v>
      </c>
      <c r="B810" s="2">
        <v>-1.86</v>
      </c>
      <c r="C810" s="3">
        <v>27.68</v>
      </c>
      <c r="D810">
        <v>5.95</v>
      </c>
      <c r="E810">
        <v>0.66930000000000001</v>
      </c>
      <c r="F810">
        <v>0.15260000000000001</v>
      </c>
      <c r="G810">
        <v>2.1999999999999999E-2</v>
      </c>
      <c r="H810">
        <v>-0.14399999999999999</v>
      </c>
      <c r="I810">
        <v>-49.875</v>
      </c>
      <c r="J810">
        <v>-31</v>
      </c>
      <c r="K810">
        <v>-64.125</v>
      </c>
      <c r="L810">
        <v>-58.875</v>
      </c>
      <c r="M810">
        <v>119.8648</v>
      </c>
      <c r="N810">
        <v>42.8</v>
      </c>
      <c r="O810">
        <v>40.65</v>
      </c>
      <c r="P810">
        <v>0.13689999999999999</v>
      </c>
      <c r="Q810">
        <v>27.68</v>
      </c>
      <c r="R810">
        <v>-65</v>
      </c>
    </row>
    <row r="811" spans="1:18" x14ac:dyDescent="0.2">
      <c r="A811" s="1">
        <v>44022</v>
      </c>
      <c r="B811" s="2">
        <v>-1.73</v>
      </c>
      <c r="C811" s="3">
        <v>27.29</v>
      </c>
      <c r="D811">
        <v>6.1</v>
      </c>
      <c r="E811">
        <v>0.64470000000000005</v>
      </c>
      <c r="F811">
        <v>0.15290000000000001</v>
      </c>
      <c r="G811">
        <v>1.2999999999999999E-2</v>
      </c>
      <c r="H811">
        <v>-0.13700000000000001</v>
      </c>
      <c r="I811">
        <v>-49.75</v>
      </c>
      <c r="J811">
        <v>-31.9375</v>
      </c>
      <c r="K811">
        <v>-66</v>
      </c>
      <c r="L811">
        <v>-60.25</v>
      </c>
      <c r="M811">
        <v>119.3601</v>
      </c>
      <c r="N811">
        <v>43.24</v>
      </c>
      <c r="O811">
        <v>40.549999999999997</v>
      </c>
      <c r="P811">
        <v>0.1246</v>
      </c>
      <c r="Q811">
        <v>27.29</v>
      </c>
      <c r="R811">
        <v>-67</v>
      </c>
    </row>
    <row r="812" spans="1:18" x14ac:dyDescent="0.2">
      <c r="A812" s="1">
        <v>44029</v>
      </c>
      <c r="B812" s="2">
        <v>-1.7075</v>
      </c>
      <c r="C812" s="3">
        <v>25.68</v>
      </c>
      <c r="D812">
        <v>5.83</v>
      </c>
      <c r="E812">
        <v>0.62660000000000005</v>
      </c>
      <c r="F812">
        <v>0.14510000000000001</v>
      </c>
      <c r="G812">
        <v>1.0999999999999999E-2</v>
      </c>
      <c r="H812">
        <v>-0.14899999999999999</v>
      </c>
      <c r="I812">
        <v>-48.125</v>
      </c>
      <c r="J812">
        <v>-29.375</v>
      </c>
      <c r="K812">
        <v>-65</v>
      </c>
      <c r="L812">
        <v>-59</v>
      </c>
      <c r="M812">
        <v>119.134</v>
      </c>
      <c r="N812">
        <v>43.14</v>
      </c>
      <c r="O812">
        <v>40.590000000000003</v>
      </c>
      <c r="P812">
        <v>0.10390000000000001</v>
      </c>
      <c r="Q812">
        <v>25.68</v>
      </c>
      <c r="R812">
        <v>-65.875</v>
      </c>
    </row>
    <row r="813" spans="1:18" x14ac:dyDescent="0.2">
      <c r="A813" s="1">
        <v>44036</v>
      </c>
      <c r="B813" s="2">
        <v>-1.585</v>
      </c>
      <c r="C813" s="3">
        <v>25.84</v>
      </c>
      <c r="D813">
        <v>6.7450000000000001</v>
      </c>
      <c r="E813">
        <v>0.58879999999999999</v>
      </c>
      <c r="F813">
        <v>0.14729999999999999</v>
      </c>
      <c r="G813">
        <v>1.2E-2</v>
      </c>
      <c r="H813">
        <v>-0.13900000000000001</v>
      </c>
      <c r="I813">
        <v>-46.875</v>
      </c>
      <c r="J813">
        <v>-28.25</v>
      </c>
      <c r="K813">
        <v>-63.125</v>
      </c>
      <c r="L813">
        <v>-57.5</v>
      </c>
      <c r="M813">
        <v>118.14449999999999</v>
      </c>
      <c r="N813">
        <v>43.34</v>
      </c>
      <c r="O813">
        <v>41.29</v>
      </c>
      <c r="P813">
        <v>0.10390000000000001</v>
      </c>
      <c r="Q813">
        <v>25.84</v>
      </c>
      <c r="R813">
        <v>-64.25</v>
      </c>
    </row>
    <row r="814" spans="1:18" x14ac:dyDescent="0.2">
      <c r="A814" s="1">
        <v>44043</v>
      </c>
      <c r="B814" s="2">
        <v>-1.3474999999999999</v>
      </c>
      <c r="C814" s="3">
        <v>24.46</v>
      </c>
      <c r="D814">
        <v>7.42</v>
      </c>
      <c r="E814">
        <v>0.5282</v>
      </c>
      <c r="F814">
        <v>0.10539999999999999</v>
      </c>
      <c r="G814">
        <v>1.4E-2</v>
      </c>
      <c r="H814">
        <v>-0.14099999999999999</v>
      </c>
      <c r="I814">
        <v>-45.5</v>
      </c>
      <c r="J814">
        <v>-26.75</v>
      </c>
      <c r="K814">
        <v>-60.625</v>
      </c>
      <c r="L814">
        <v>-55.875</v>
      </c>
      <c r="M814">
        <v>117.2208</v>
      </c>
      <c r="N814">
        <v>43.3</v>
      </c>
      <c r="O814">
        <v>40.270000000000003</v>
      </c>
      <c r="P814">
        <v>8.3699999999999997E-2</v>
      </c>
      <c r="Q814">
        <v>24.46</v>
      </c>
      <c r="R814">
        <v>-61.375</v>
      </c>
    </row>
    <row r="815" spans="1:18" x14ac:dyDescent="0.2">
      <c r="A815" s="1">
        <v>44050</v>
      </c>
      <c r="B815" s="2">
        <v>-1.3125</v>
      </c>
      <c r="C815" s="3">
        <v>22.21</v>
      </c>
      <c r="D815">
        <v>8.14</v>
      </c>
      <c r="E815">
        <v>0.56399999999999995</v>
      </c>
      <c r="F815">
        <v>0.129</v>
      </c>
      <c r="G815">
        <v>6.0000000000000001E-3</v>
      </c>
      <c r="H815">
        <v>-0.14000000000000001</v>
      </c>
      <c r="I815">
        <v>-45.1875</v>
      </c>
      <c r="J815">
        <v>-26.625</v>
      </c>
      <c r="K815">
        <v>-57.625</v>
      </c>
      <c r="L815">
        <v>-54.75</v>
      </c>
      <c r="M815">
        <v>117.6365</v>
      </c>
      <c r="N815">
        <v>44.4</v>
      </c>
      <c r="O815">
        <v>41.22</v>
      </c>
      <c r="P815">
        <v>8.8999999999999996E-2</v>
      </c>
      <c r="Q815">
        <v>22.21</v>
      </c>
      <c r="R815">
        <v>-58.375</v>
      </c>
    </row>
    <row r="816" spans="1:18" x14ac:dyDescent="0.2">
      <c r="A816" s="1">
        <v>44057</v>
      </c>
      <c r="B816" s="2">
        <v>-1.2949999999999999</v>
      </c>
      <c r="C816" s="3">
        <v>22.05</v>
      </c>
      <c r="D816">
        <v>7.8125</v>
      </c>
      <c r="E816">
        <v>0.70940000000000003</v>
      </c>
      <c r="F816">
        <v>0.14499999999999999</v>
      </c>
      <c r="G816">
        <v>4.4999999999999998E-2</v>
      </c>
      <c r="H816">
        <v>-0.13</v>
      </c>
      <c r="I816">
        <v>-47.125</v>
      </c>
      <c r="J816">
        <v>-29.125</v>
      </c>
      <c r="K816">
        <v>-59.125</v>
      </c>
      <c r="L816">
        <v>-57</v>
      </c>
      <c r="M816">
        <v>116.9512</v>
      </c>
      <c r="N816">
        <v>44.8</v>
      </c>
      <c r="O816">
        <v>42.01</v>
      </c>
      <c r="P816">
        <v>8.8700000000000001E-2</v>
      </c>
      <c r="Q816">
        <v>22.05</v>
      </c>
      <c r="R816">
        <v>-59.75</v>
      </c>
    </row>
    <row r="817" spans="1:18" x14ac:dyDescent="0.2">
      <c r="A817" s="1">
        <v>44064</v>
      </c>
      <c r="B817" s="2">
        <v>-1.1100000000000001</v>
      </c>
      <c r="C817" s="3">
        <v>22.54</v>
      </c>
      <c r="D817">
        <v>8.0175000000000001</v>
      </c>
      <c r="E817">
        <v>0.62819999999999998</v>
      </c>
      <c r="F817">
        <v>0.14319999999999999</v>
      </c>
      <c r="G817">
        <v>2.8000000000000001E-2</v>
      </c>
      <c r="H817">
        <v>-0.11799999999999999</v>
      </c>
      <c r="I817">
        <v>-45.75</v>
      </c>
      <c r="J817">
        <v>-26</v>
      </c>
      <c r="K817">
        <v>-56.125</v>
      </c>
      <c r="L817">
        <v>-54.5</v>
      </c>
      <c r="M817">
        <v>117.0682</v>
      </c>
      <c r="N817">
        <v>44.35</v>
      </c>
      <c r="O817">
        <v>42.34</v>
      </c>
      <c r="P817">
        <v>8.8700000000000001E-2</v>
      </c>
      <c r="Q817">
        <v>22.54</v>
      </c>
      <c r="R817">
        <v>-56.5</v>
      </c>
    </row>
    <row r="818" spans="1:18" x14ac:dyDescent="0.2">
      <c r="A818" s="1">
        <v>44071</v>
      </c>
      <c r="B818" s="2">
        <v>-0.85250000000000004</v>
      </c>
      <c r="C818" s="3">
        <v>22.96</v>
      </c>
      <c r="D818">
        <v>8.6050000000000004</v>
      </c>
      <c r="E818">
        <v>0.72109999999999996</v>
      </c>
      <c r="F818">
        <v>0.127</v>
      </c>
      <c r="G818">
        <v>5.3999999999999999E-2</v>
      </c>
      <c r="H818">
        <v>-0.113</v>
      </c>
      <c r="I818">
        <v>-44</v>
      </c>
      <c r="J818">
        <v>-26.25</v>
      </c>
      <c r="K818">
        <v>-54</v>
      </c>
      <c r="L818">
        <v>-52.5</v>
      </c>
      <c r="M818">
        <v>115.95059999999999</v>
      </c>
      <c r="N818">
        <v>45.05</v>
      </c>
      <c r="O818">
        <v>42.97</v>
      </c>
      <c r="P818">
        <v>9.6299999999999997E-2</v>
      </c>
      <c r="Q818">
        <v>22.96</v>
      </c>
      <c r="R818">
        <v>-54.375</v>
      </c>
    </row>
    <row r="819" spans="1:18" x14ac:dyDescent="0.2">
      <c r="A819" s="1">
        <v>44078</v>
      </c>
      <c r="B819" s="2">
        <v>-1.0874999999999999</v>
      </c>
      <c r="C819" s="3">
        <v>30.75</v>
      </c>
      <c r="D819">
        <v>8.2949999999999999</v>
      </c>
      <c r="E819">
        <v>0.71799999999999997</v>
      </c>
      <c r="F819">
        <v>0.14280000000000001</v>
      </c>
      <c r="G819">
        <v>3.5999999999999997E-2</v>
      </c>
      <c r="H819">
        <v>-0.13</v>
      </c>
      <c r="I819">
        <v>-45.375</v>
      </c>
      <c r="J819">
        <v>-28.25</v>
      </c>
      <c r="K819">
        <v>-53.375</v>
      </c>
      <c r="L819">
        <v>-52.5</v>
      </c>
      <c r="M819">
        <v>116.0457</v>
      </c>
      <c r="N819">
        <v>42.66</v>
      </c>
      <c r="O819">
        <v>39.770000000000003</v>
      </c>
      <c r="P819">
        <v>9.9099999999999994E-2</v>
      </c>
      <c r="Q819">
        <v>30.75</v>
      </c>
      <c r="R819">
        <v>-53.125</v>
      </c>
    </row>
    <row r="820" spans="1:18" x14ac:dyDescent="0.2">
      <c r="A820" s="1">
        <v>44085</v>
      </c>
      <c r="B820" s="2">
        <v>-1.3174999999999999</v>
      </c>
      <c r="C820" s="3">
        <v>26.87</v>
      </c>
      <c r="D820">
        <v>8.1300000000000008</v>
      </c>
      <c r="E820">
        <v>0.66579999999999995</v>
      </c>
      <c r="F820">
        <v>0.127</v>
      </c>
      <c r="G820">
        <v>2.1999999999999999E-2</v>
      </c>
      <c r="H820">
        <v>-0.14000000000000001</v>
      </c>
      <c r="I820">
        <v>-45</v>
      </c>
      <c r="J820">
        <v>-27.75</v>
      </c>
      <c r="K820">
        <v>-54.625</v>
      </c>
      <c r="L820">
        <v>-53.25</v>
      </c>
      <c r="M820">
        <v>116.0963</v>
      </c>
      <c r="N820">
        <v>39.83</v>
      </c>
      <c r="O820">
        <v>37.33</v>
      </c>
      <c r="P820">
        <v>0.109</v>
      </c>
      <c r="Q820">
        <v>26.87</v>
      </c>
      <c r="R820">
        <v>-55.125</v>
      </c>
    </row>
    <row r="821" spans="1:18" x14ac:dyDescent="0.2">
      <c r="A821" s="1">
        <v>44092</v>
      </c>
      <c r="B821" s="2">
        <v>-1.2825</v>
      </c>
      <c r="C821" s="3">
        <v>25.83</v>
      </c>
      <c r="D821">
        <v>8.625</v>
      </c>
      <c r="E821">
        <v>0.69369999999999998</v>
      </c>
      <c r="F821">
        <v>0.1391</v>
      </c>
      <c r="G821">
        <v>8.9999999999999993E-3</v>
      </c>
      <c r="H821">
        <v>-0.14699999999999999</v>
      </c>
      <c r="I821">
        <v>-42.75</v>
      </c>
      <c r="J821">
        <v>-26</v>
      </c>
      <c r="K821">
        <v>-52.125</v>
      </c>
      <c r="L821">
        <v>-50.625</v>
      </c>
      <c r="M821">
        <v>115.248</v>
      </c>
      <c r="N821">
        <v>43.15</v>
      </c>
      <c r="O821">
        <v>41.11</v>
      </c>
      <c r="P821">
        <v>8.1100000000000005E-2</v>
      </c>
      <c r="Q821">
        <v>25.83</v>
      </c>
      <c r="R821">
        <v>-51.625</v>
      </c>
    </row>
    <row r="822" spans="1:18" x14ac:dyDescent="0.2">
      <c r="A822" s="1">
        <v>44099</v>
      </c>
      <c r="B822" s="2">
        <v>-1.7124999999999999</v>
      </c>
      <c r="C822" s="3">
        <v>26.38</v>
      </c>
      <c r="D822">
        <v>8.59</v>
      </c>
      <c r="E822">
        <v>0.65439999999999998</v>
      </c>
      <c r="F822">
        <v>0.12889999999999999</v>
      </c>
      <c r="G822">
        <v>6.0000000000000001E-3</v>
      </c>
      <c r="H822">
        <v>-0.157</v>
      </c>
      <c r="I822">
        <v>-41.625</v>
      </c>
      <c r="J822">
        <v>-21.375</v>
      </c>
      <c r="K822">
        <v>-51.125</v>
      </c>
      <c r="L822">
        <v>-49.625</v>
      </c>
      <c r="M822">
        <v>117.87860000000001</v>
      </c>
      <c r="N822">
        <v>41.92</v>
      </c>
      <c r="O822">
        <v>40.25</v>
      </c>
      <c r="P822">
        <v>9.1300000000000006E-2</v>
      </c>
      <c r="Q822">
        <v>26.38</v>
      </c>
      <c r="R822">
        <v>-50.625</v>
      </c>
    </row>
    <row r="823" spans="1:18" x14ac:dyDescent="0.2">
      <c r="A823" s="1">
        <v>44106</v>
      </c>
      <c r="B823" s="2">
        <v>-1.4350000000000001</v>
      </c>
      <c r="C823" s="3">
        <v>27.63</v>
      </c>
      <c r="D823">
        <v>7.7450000000000001</v>
      </c>
      <c r="E823">
        <v>0.70050000000000001</v>
      </c>
      <c r="F823">
        <v>0.12889999999999999</v>
      </c>
      <c r="G823">
        <v>1.7000000000000001E-2</v>
      </c>
      <c r="H823">
        <v>-0.13500000000000001</v>
      </c>
      <c r="I823">
        <v>-41.125</v>
      </c>
      <c r="J823">
        <v>-21</v>
      </c>
      <c r="K823">
        <v>-50.5</v>
      </c>
      <c r="L823">
        <v>-48.875</v>
      </c>
      <c r="M823">
        <v>116.7424</v>
      </c>
      <c r="N823">
        <v>39.270000000000003</v>
      </c>
      <c r="O823">
        <v>37.049999999999997</v>
      </c>
      <c r="P823">
        <v>8.6400000000000005E-2</v>
      </c>
      <c r="Q823">
        <v>27.63</v>
      </c>
      <c r="R823">
        <v>-50.5</v>
      </c>
    </row>
    <row r="824" spans="1:18" x14ac:dyDescent="0.2">
      <c r="A824" s="1">
        <v>44113</v>
      </c>
      <c r="B824" s="2">
        <v>-1.2524999999999999</v>
      </c>
      <c r="C824" s="3">
        <v>25</v>
      </c>
      <c r="D824">
        <v>7.1174999999999997</v>
      </c>
      <c r="E824">
        <v>0.77370000000000005</v>
      </c>
      <c r="F824">
        <v>0.15290000000000001</v>
      </c>
      <c r="G824">
        <v>0.03</v>
      </c>
      <c r="H824">
        <v>-0.129</v>
      </c>
      <c r="I824">
        <v>-40.5</v>
      </c>
      <c r="J824">
        <v>-21</v>
      </c>
      <c r="K824">
        <v>-51.25</v>
      </c>
      <c r="L824">
        <v>-49.5</v>
      </c>
      <c r="M824">
        <v>115.2843</v>
      </c>
      <c r="N824">
        <v>42.85</v>
      </c>
      <c r="O824">
        <v>40.6</v>
      </c>
      <c r="P824">
        <v>9.3799999999999994E-2</v>
      </c>
      <c r="Q824">
        <v>25</v>
      </c>
      <c r="R824">
        <v>-51.125</v>
      </c>
    </row>
    <row r="825" spans="1:18" x14ac:dyDescent="0.2">
      <c r="A825" s="1">
        <v>44120</v>
      </c>
      <c r="B825" s="2">
        <v>-1.3674999999999999</v>
      </c>
      <c r="C825" s="3">
        <v>27.41</v>
      </c>
      <c r="D825">
        <v>6.9050000000000002</v>
      </c>
      <c r="E825">
        <v>0.74560000000000004</v>
      </c>
      <c r="F825">
        <v>0.1431</v>
      </c>
      <c r="G825">
        <v>1.7000000000000001E-2</v>
      </c>
      <c r="H825">
        <v>-0.14099999999999999</v>
      </c>
      <c r="I825">
        <v>-40.625</v>
      </c>
      <c r="J825">
        <v>-22</v>
      </c>
      <c r="K825">
        <v>-49.625</v>
      </c>
      <c r="L825">
        <v>-49.125</v>
      </c>
      <c r="M825">
        <v>115.7754</v>
      </c>
      <c r="N825">
        <v>42.93</v>
      </c>
      <c r="O825">
        <v>40.880000000000003</v>
      </c>
      <c r="P825">
        <v>9.1300000000000006E-2</v>
      </c>
      <c r="Q825">
        <v>27.41</v>
      </c>
      <c r="R825">
        <v>-49.25</v>
      </c>
    </row>
    <row r="826" spans="1:18" x14ac:dyDescent="0.2">
      <c r="A826" s="1">
        <v>44127</v>
      </c>
      <c r="B826" s="2">
        <v>-1.29</v>
      </c>
      <c r="C826" s="3">
        <v>27.55</v>
      </c>
      <c r="D826">
        <v>7.0875000000000004</v>
      </c>
      <c r="E826">
        <v>0.84289999999999998</v>
      </c>
      <c r="F826">
        <v>0.15540000000000001</v>
      </c>
      <c r="G826">
        <v>3.5999999999999997E-2</v>
      </c>
      <c r="H826">
        <v>-0.13300000000000001</v>
      </c>
      <c r="I826">
        <v>-38.5</v>
      </c>
      <c r="J826">
        <v>-22</v>
      </c>
      <c r="K826">
        <v>-47.25</v>
      </c>
      <c r="L826">
        <v>-46.875</v>
      </c>
      <c r="M826">
        <v>115.0198</v>
      </c>
      <c r="N826">
        <v>41.77</v>
      </c>
      <c r="O826">
        <v>39.85</v>
      </c>
      <c r="P826">
        <v>8.6199999999999999E-2</v>
      </c>
      <c r="Q826">
        <v>27.55</v>
      </c>
      <c r="R826">
        <v>-46.5</v>
      </c>
    </row>
    <row r="827" spans="1:18" x14ac:dyDescent="0.2">
      <c r="A827" s="1">
        <v>44134</v>
      </c>
      <c r="B827" s="2">
        <v>-1.74</v>
      </c>
      <c r="C827" s="3">
        <v>38.020000000000003</v>
      </c>
      <c r="D827">
        <v>7.44</v>
      </c>
      <c r="E827">
        <v>0.87370000000000003</v>
      </c>
      <c r="F827">
        <v>0.1525</v>
      </c>
      <c r="G827">
        <v>3.6999999999999998E-2</v>
      </c>
      <c r="H827">
        <v>-0.127</v>
      </c>
      <c r="I827">
        <v>-37.875</v>
      </c>
      <c r="J827">
        <v>-22.625</v>
      </c>
      <c r="K827">
        <v>-48.125</v>
      </c>
      <c r="L827">
        <v>-47.25</v>
      </c>
      <c r="M827">
        <v>116.1417</v>
      </c>
      <c r="N827">
        <v>37.46</v>
      </c>
      <c r="O827">
        <v>35.79</v>
      </c>
      <c r="P827">
        <v>8.6400000000000005E-2</v>
      </c>
      <c r="Q827">
        <v>38.020000000000003</v>
      </c>
      <c r="R827">
        <v>-47.5</v>
      </c>
    </row>
    <row r="828" spans="1:18" x14ac:dyDescent="0.2">
      <c r="A828" s="1">
        <v>44141</v>
      </c>
      <c r="B828" s="2">
        <v>-1.1599999999999999</v>
      </c>
      <c r="C828" s="3">
        <v>24.86</v>
      </c>
      <c r="D828">
        <v>6.8025000000000002</v>
      </c>
      <c r="E828">
        <v>0.81850000000000001</v>
      </c>
      <c r="F828">
        <v>0.1527</v>
      </c>
      <c r="G828">
        <v>1.6E-2</v>
      </c>
      <c r="H828">
        <v>-0.14799999999999999</v>
      </c>
      <c r="I828">
        <v>-37</v>
      </c>
      <c r="J828">
        <v>-21.375</v>
      </c>
      <c r="K828">
        <v>-48.125</v>
      </c>
      <c r="L828">
        <v>-47</v>
      </c>
      <c r="M828">
        <v>113.99769999999999</v>
      </c>
      <c r="N828">
        <v>39.450000000000003</v>
      </c>
      <c r="O828">
        <v>37.14</v>
      </c>
      <c r="P828">
        <v>8.6199999999999999E-2</v>
      </c>
      <c r="Q828">
        <v>24.86</v>
      </c>
      <c r="R828">
        <v>-47.875</v>
      </c>
    </row>
    <row r="829" spans="1:18" x14ac:dyDescent="0.2">
      <c r="A829" s="1">
        <v>44148</v>
      </c>
      <c r="B829" s="2">
        <v>-1.1100000000000001</v>
      </c>
      <c r="C829" s="3">
        <v>23.1</v>
      </c>
      <c r="D829">
        <v>6.5374999999999996</v>
      </c>
      <c r="E829">
        <v>0.89629999999999999</v>
      </c>
      <c r="F829">
        <v>0.17899999999999999</v>
      </c>
      <c r="G829">
        <v>0.02</v>
      </c>
      <c r="H829">
        <v>-0.14599999999999999</v>
      </c>
      <c r="I829">
        <v>-37</v>
      </c>
      <c r="J829">
        <v>-21.75</v>
      </c>
      <c r="K829">
        <v>-52.125</v>
      </c>
      <c r="L829">
        <v>-47.875</v>
      </c>
      <c r="M829">
        <v>114.2445</v>
      </c>
      <c r="N829">
        <v>42.78</v>
      </c>
      <c r="O829">
        <v>40.130000000000003</v>
      </c>
      <c r="P829">
        <v>8.3699999999999997E-2</v>
      </c>
      <c r="Q829">
        <v>23.1</v>
      </c>
      <c r="R829">
        <v>-52.625</v>
      </c>
    </row>
    <row r="830" spans="1:18" x14ac:dyDescent="0.2">
      <c r="A830" s="1">
        <v>44155</v>
      </c>
      <c r="B830" s="2">
        <v>-1.1950000000000001</v>
      </c>
      <c r="C830" s="3">
        <v>23.7</v>
      </c>
      <c r="D830">
        <v>6.3525</v>
      </c>
      <c r="E830">
        <v>0.82430000000000003</v>
      </c>
      <c r="F830">
        <v>0.1573</v>
      </c>
      <c r="G830">
        <v>8.0000000000000002E-3</v>
      </c>
      <c r="H830">
        <v>-0.152</v>
      </c>
      <c r="I830">
        <v>-36.875</v>
      </c>
      <c r="J830">
        <v>-22.5</v>
      </c>
      <c r="K830">
        <v>-51</v>
      </c>
      <c r="L830">
        <v>-47</v>
      </c>
      <c r="M830">
        <v>113.4932</v>
      </c>
      <c r="N830">
        <v>44.96</v>
      </c>
      <c r="O830">
        <v>42.15</v>
      </c>
      <c r="P830">
        <v>6.3399999999999998E-2</v>
      </c>
      <c r="Q830">
        <v>23.7</v>
      </c>
      <c r="R830">
        <v>-51.25</v>
      </c>
    </row>
    <row r="831" spans="1:18" x14ac:dyDescent="0.2">
      <c r="A831" s="1">
        <v>44162</v>
      </c>
      <c r="B831" s="2">
        <v>-1.0024999999999999</v>
      </c>
      <c r="C831" s="3">
        <v>20.84</v>
      </c>
      <c r="D831">
        <v>6.2474999999999996</v>
      </c>
      <c r="E831">
        <v>0.83730000000000004</v>
      </c>
      <c r="F831">
        <v>0.15240000000000001</v>
      </c>
      <c r="G831">
        <v>2.5999999999999999E-2</v>
      </c>
      <c r="H831">
        <v>-0.14599999999999999</v>
      </c>
      <c r="I831">
        <v>-35.125</v>
      </c>
      <c r="J831">
        <v>-22.5</v>
      </c>
      <c r="K831">
        <v>-48.875</v>
      </c>
      <c r="L831">
        <v>-44.75</v>
      </c>
      <c r="M831">
        <v>113.1871</v>
      </c>
      <c r="N831">
        <v>48.18</v>
      </c>
      <c r="O831">
        <v>45.53</v>
      </c>
      <c r="P831">
        <v>7.3700000000000002E-2</v>
      </c>
      <c r="Q831">
        <v>20.84</v>
      </c>
      <c r="R831">
        <v>-49</v>
      </c>
    </row>
    <row r="832" spans="1:18" x14ac:dyDescent="0.2">
      <c r="A832" s="1">
        <v>44169</v>
      </c>
      <c r="B832" s="2">
        <v>-0.99</v>
      </c>
      <c r="C832" s="3">
        <v>20.79</v>
      </c>
      <c r="D832">
        <v>6.4225000000000003</v>
      </c>
      <c r="E832">
        <v>0.96589999999999998</v>
      </c>
      <c r="F832">
        <v>0.1507</v>
      </c>
      <c r="G832">
        <v>1.9E-2</v>
      </c>
      <c r="H832">
        <v>-0.13600000000000001</v>
      </c>
      <c r="I832">
        <v>-36.75</v>
      </c>
      <c r="J832">
        <v>-22.375</v>
      </c>
      <c r="K832">
        <v>-50.625</v>
      </c>
      <c r="L832">
        <v>-46.375</v>
      </c>
      <c r="M832">
        <v>111.7826</v>
      </c>
      <c r="N832">
        <v>49.25</v>
      </c>
      <c r="O832">
        <v>46.26</v>
      </c>
      <c r="P832">
        <v>7.3499999999999996E-2</v>
      </c>
      <c r="Q832">
        <v>20.79</v>
      </c>
      <c r="R832">
        <v>-50.875</v>
      </c>
    </row>
    <row r="833" spans="1:18" x14ac:dyDescent="0.2">
      <c r="A833" s="1">
        <v>44176</v>
      </c>
      <c r="B833" s="2">
        <v>-1.02</v>
      </c>
      <c r="C833" s="3">
        <v>23.31</v>
      </c>
      <c r="D833">
        <v>6.5049999999999999</v>
      </c>
      <c r="E833">
        <v>0.89639999999999997</v>
      </c>
      <c r="F833">
        <v>0.115</v>
      </c>
      <c r="G833">
        <v>0.01</v>
      </c>
      <c r="H833">
        <v>-0.14499999999999999</v>
      </c>
      <c r="I833">
        <v>-36.5</v>
      </c>
      <c r="J833">
        <v>-23.25</v>
      </c>
      <c r="K833">
        <v>-49.75</v>
      </c>
      <c r="L833">
        <v>-45.75</v>
      </c>
      <c r="M833">
        <v>112.1469</v>
      </c>
      <c r="N833">
        <v>49.97</v>
      </c>
      <c r="O833">
        <v>46.57</v>
      </c>
      <c r="P833">
        <v>6.3399999999999998E-2</v>
      </c>
      <c r="Q833">
        <v>23.31</v>
      </c>
      <c r="R833">
        <v>-49.375</v>
      </c>
    </row>
    <row r="834" spans="1:18" x14ac:dyDescent="0.2">
      <c r="A834" s="1">
        <v>44183</v>
      </c>
      <c r="B834" s="2">
        <v>-0.99250000000000005</v>
      </c>
      <c r="C834" s="3">
        <v>21.57</v>
      </c>
      <c r="D834">
        <v>6.7424999999999997</v>
      </c>
      <c r="E834">
        <v>0.94620000000000004</v>
      </c>
      <c r="F834">
        <v>0.121</v>
      </c>
      <c r="G834">
        <v>7.0000000000000001E-3</v>
      </c>
      <c r="H834">
        <v>-0.14000000000000001</v>
      </c>
      <c r="I834">
        <v>-37.25</v>
      </c>
      <c r="J834">
        <v>-23.625</v>
      </c>
      <c r="K834">
        <v>-51.125</v>
      </c>
      <c r="L834">
        <v>-47.5</v>
      </c>
      <c r="M834">
        <v>111.61360000000001</v>
      </c>
      <c r="N834">
        <v>52.26</v>
      </c>
      <c r="O834">
        <v>49.1</v>
      </c>
      <c r="P834">
        <v>8.1100000000000005E-2</v>
      </c>
      <c r="Q834">
        <v>21.57</v>
      </c>
      <c r="R834">
        <v>-50.75</v>
      </c>
    </row>
    <row r="835" spans="1:18" x14ac:dyDescent="0.2">
      <c r="A835" s="1">
        <v>44190</v>
      </c>
      <c r="B835" s="2">
        <v>-1.2424999999999999</v>
      </c>
      <c r="C835" s="3">
        <v>21.53</v>
      </c>
      <c r="D835">
        <v>6.48</v>
      </c>
      <c r="E835">
        <v>0.92310000000000003</v>
      </c>
      <c r="F835">
        <v>0.11890000000000001</v>
      </c>
      <c r="G835">
        <v>1.7000000000000001E-2</v>
      </c>
      <c r="H835">
        <v>-0.13300000000000001</v>
      </c>
      <c r="I835">
        <v>-36</v>
      </c>
      <c r="J835">
        <v>-23.5</v>
      </c>
      <c r="K835">
        <v>-49.25</v>
      </c>
      <c r="L835">
        <v>-45.625</v>
      </c>
      <c r="M835">
        <v>111.9873</v>
      </c>
      <c r="N835">
        <v>51.29</v>
      </c>
      <c r="O835">
        <v>48.23</v>
      </c>
      <c r="P835">
        <v>8.1100000000000005E-2</v>
      </c>
      <c r="Q835">
        <v>21.53</v>
      </c>
      <c r="R835">
        <v>-48</v>
      </c>
    </row>
    <row r="836" spans="1:18" x14ac:dyDescent="0.2">
      <c r="A836" s="1">
        <v>44197</v>
      </c>
      <c r="B836" s="2">
        <v>-1.1000000000000001</v>
      </c>
      <c r="C836" s="3">
        <v>22.75</v>
      </c>
      <c r="D836">
        <v>6.54</v>
      </c>
      <c r="E836">
        <v>0.91320000000000001</v>
      </c>
      <c r="F836">
        <v>0.1211</v>
      </c>
      <c r="G836">
        <v>1.7000000000000001E-2</v>
      </c>
      <c r="H836">
        <v>-0.13100000000000001</v>
      </c>
      <c r="I836">
        <v>-35.5</v>
      </c>
      <c r="J836">
        <v>-22</v>
      </c>
      <c r="K836">
        <v>-47.875</v>
      </c>
      <c r="L836">
        <v>-44.625</v>
      </c>
      <c r="M836">
        <v>111.324</v>
      </c>
      <c r="N836">
        <v>51.8</v>
      </c>
      <c r="O836">
        <v>48.52</v>
      </c>
      <c r="P836">
        <v>5.8299999999999998E-2</v>
      </c>
      <c r="Q836">
        <v>22.75</v>
      </c>
      <c r="R836">
        <v>-46.625</v>
      </c>
    </row>
    <row r="837" spans="1:18" x14ac:dyDescent="0.2">
      <c r="A837" s="1">
        <v>44204</v>
      </c>
      <c r="B837" s="2">
        <v>-1.2</v>
      </c>
      <c r="C837" s="3">
        <v>21.56</v>
      </c>
      <c r="D837">
        <v>6.2874999999999996</v>
      </c>
      <c r="E837">
        <v>1.1153</v>
      </c>
      <c r="F837">
        <v>0.13289999999999999</v>
      </c>
      <c r="G837">
        <v>3.2000000000000001E-2</v>
      </c>
      <c r="H837">
        <v>-0.127</v>
      </c>
      <c r="I837">
        <v>-35.125</v>
      </c>
      <c r="J837">
        <v>-21.375</v>
      </c>
      <c r="K837">
        <v>-46.75</v>
      </c>
      <c r="L837">
        <v>-43.25</v>
      </c>
      <c r="M837">
        <v>111.29300000000001</v>
      </c>
      <c r="N837">
        <v>55.99</v>
      </c>
      <c r="O837">
        <v>52.24</v>
      </c>
      <c r="P837">
        <v>7.0999999999999994E-2</v>
      </c>
      <c r="Q837">
        <v>21.56</v>
      </c>
      <c r="R837">
        <v>-47.25</v>
      </c>
    </row>
    <row r="838" spans="1:18" x14ac:dyDescent="0.2">
      <c r="A838" s="1">
        <v>44211</v>
      </c>
      <c r="B838" s="2">
        <v>-1.28</v>
      </c>
      <c r="C838" s="3">
        <v>24.34</v>
      </c>
      <c r="D838">
        <v>6.1425000000000001</v>
      </c>
      <c r="E838">
        <v>1.0834999999999999</v>
      </c>
      <c r="F838">
        <v>0.13300000000000001</v>
      </c>
      <c r="G838">
        <v>3.1E-2</v>
      </c>
      <c r="H838">
        <v>-0.126</v>
      </c>
      <c r="I838">
        <v>-33.75</v>
      </c>
      <c r="J838">
        <v>-21.25</v>
      </c>
      <c r="K838">
        <v>-46.875</v>
      </c>
      <c r="L838">
        <v>-41.625</v>
      </c>
      <c r="M838">
        <v>111.5168</v>
      </c>
      <c r="N838">
        <v>55.1</v>
      </c>
      <c r="O838">
        <v>52.36</v>
      </c>
      <c r="P838">
        <v>7.6100000000000001E-2</v>
      </c>
      <c r="Q838">
        <v>24.34</v>
      </c>
      <c r="R838">
        <v>-47.125</v>
      </c>
    </row>
    <row r="839" spans="1:18" x14ac:dyDescent="0.2">
      <c r="A839" s="1">
        <v>44218</v>
      </c>
      <c r="B839" s="2">
        <v>-1.1950000000000001</v>
      </c>
      <c r="C839" s="3">
        <v>21.91</v>
      </c>
      <c r="D839">
        <v>5.8425000000000002</v>
      </c>
      <c r="E839">
        <v>1.0854999999999999</v>
      </c>
      <c r="F839">
        <v>0.12089999999999999</v>
      </c>
      <c r="G839">
        <v>3.5999999999999997E-2</v>
      </c>
      <c r="H839">
        <v>-0.13900000000000001</v>
      </c>
      <c r="I839">
        <v>-33.25</v>
      </c>
      <c r="J839">
        <v>-21.625</v>
      </c>
      <c r="K839">
        <v>-48.125</v>
      </c>
      <c r="L839">
        <v>-41.75</v>
      </c>
      <c r="M839">
        <v>111.56019999999999</v>
      </c>
      <c r="N839">
        <v>55.41</v>
      </c>
      <c r="O839">
        <v>52.27</v>
      </c>
      <c r="P839">
        <v>7.0999999999999994E-2</v>
      </c>
      <c r="Q839">
        <v>21.91</v>
      </c>
      <c r="R839">
        <v>-49.125</v>
      </c>
    </row>
    <row r="840" spans="1:18" x14ac:dyDescent="0.2">
      <c r="A840" s="1">
        <v>44225</v>
      </c>
      <c r="B840" s="2">
        <v>-1.665</v>
      </c>
      <c r="C840" s="3">
        <v>33.090000000000003</v>
      </c>
      <c r="D840">
        <v>5.8425000000000002</v>
      </c>
      <c r="E840">
        <v>1.0654999999999999</v>
      </c>
      <c r="F840">
        <v>0.10929999999999999</v>
      </c>
      <c r="G840">
        <v>4.9000000000000002E-2</v>
      </c>
      <c r="H840">
        <v>-0.129</v>
      </c>
      <c r="I840">
        <v>-32.75</v>
      </c>
      <c r="J840">
        <v>-20.5</v>
      </c>
      <c r="K840">
        <v>-47.25</v>
      </c>
      <c r="L840">
        <v>-40.875</v>
      </c>
      <c r="M840">
        <v>111.96040000000001</v>
      </c>
      <c r="N840">
        <v>55.88</v>
      </c>
      <c r="O840">
        <v>52.2</v>
      </c>
      <c r="P840">
        <v>4.82E-2</v>
      </c>
      <c r="Q840">
        <v>33.090000000000003</v>
      </c>
      <c r="R840">
        <v>-47.75</v>
      </c>
    </row>
    <row r="841" spans="1:18" x14ac:dyDescent="0.2">
      <c r="A841" s="1">
        <v>44232</v>
      </c>
      <c r="B841" s="2">
        <v>-1.2975000000000001</v>
      </c>
      <c r="C841" s="3">
        <v>20.87</v>
      </c>
      <c r="D841">
        <v>5.7024999999999997</v>
      </c>
      <c r="E841">
        <v>1.1635</v>
      </c>
      <c r="F841">
        <v>0.1013</v>
      </c>
      <c r="G841">
        <v>5.3999999999999999E-2</v>
      </c>
      <c r="H841">
        <v>-0.13300000000000001</v>
      </c>
      <c r="I841">
        <v>-30.5</v>
      </c>
      <c r="J841">
        <v>-19.75</v>
      </c>
      <c r="K841">
        <v>-42.625</v>
      </c>
      <c r="L841">
        <v>-36.5</v>
      </c>
      <c r="M841">
        <v>112.24630000000001</v>
      </c>
      <c r="N841">
        <v>59.34</v>
      </c>
      <c r="O841">
        <v>56.85</v>
      </c>
      <c r="P841">
        <v>2.0299999999999999E-2</v>
      </c>
      <c r="Q841">
        <v>20.87</v>
      </c>
      <c r="R841">
        <v>-42.625</v>
      </c>
    </row>
    <row r="842" spans="1:18" x14ac:dyDescent="0.2">
      <c r="A842" s="1">
        <v>44239</v>
      </c>
      <c r="B842" s="2">
        <v>-1.1875</v>
      </c>
      <c r="C842" s="3">
        <v>19.97</v>
      </c>
      <c r="D842">
        <v>5.7125000000000004</v>
      </c>
      <c r="E842">
        <v>1.2081999999999999</v>
      </c>
      <c r="F842">
        <v>0.109</v>
      </c>
      <c r="G842">
        <v>6.4000000000000001E-2</v>
      </c>
      <c r="H842">
        <v>-0.13400000000000001</v>
      </c>
      <c r="I842">
        <v>-27.75</v>
      </c>
      <c r="J842">
        <v>-19.5</v>
      </c>
      <c r="K842">
        <v>-41.25</v>
      </c>
      <c r="L842">
        <v>-34.25</v>
      </c>
      <c r="M842">
        <v>111.49809999999999</v>
      </c>
      <c r="N842">
        <v>62.43</v>
      </c>
      <c r="O842">
        <v>59.47</v>
      </c>
      <c r="P842">
        <v>3.5499999999999997E-2</v>
      </c>
      <c r="Q842">
        <v>19.97</v>
      </c>
      <c r="R842">
        <v>-42.25</v>
      </c>
    </row>
    <row r="843" spans="1:18" x14ac:dyDescent="0.2">
      <c r="A843" s="1">
        <v>44246</v>
      </c>
      <c r="B843" s="2">
        <v>-1.2649999999999999</v>
      </c>
      <c r="C843" s="3">
        <v>22.05</v>
      </c>
      <c r="D843">
        <v>6.0425000000000004</v>
      </c>
      <c r="E843">
        <v>1.3364</v>
      </c>
      <c r="F843">
        <v>0.1048</v>
      </c>
      <c r="G843">
        <v>0.105</v>
      </c>
      <c r="H843">
        <v>-0.12</v>
      </c>
      <c r="I843">
        <v>-30.125</v>
      </c>
      <c r="J843">
        <v>-20</v>
      </c>
      <c r="K843">
        <v>-44.375</v>
      </c>
      <c r="L843">
        <v>-37.25</v>
      </c>
      <c r="M843">
        <v>111.7179</v>
      </c>
      <c r="N843">
        <v>62.91</v>
      </c>
      <c r="O843">
        <v>59.24</v>
      </c>
      <c r="P843">
        <v>2.7900000000000001E-2</v>
      </c>
      <c r="Q843">
        <v>22.05</v>
      </c>
      <c r="R843">
        <v>-45.375</v>
      </c>
    </row>
    <row r="844" spans="1:18" x14ac:dyDescent="0.2">
      <c r="A844" s="1">
        <v>44253</v>
      </c>
      <c r="B844" s="2">
        <v>-2.145</v>
      </c>
      <c r="C844" s="3">
        <v>27.95</v>
      </c>
      <c r="D844">
        <v>6.9574999999999996</v>
      </c>
      <c r="E844">
        <v>1.4049</v>
      </c>
      <c r="F844">
        <v>0.127</v>
      </c>
      <c r="G844">
        <v>0.156</v>
      </c>
      <c r="H844">
        <v>-0.123</v>
      </c>
      <c r="I844">
        <v>-34.25</v>
      </c>
      <c r="J844">
        <v>-21.75</v>
      </c>
      <c r="K844">
        <v>-46.875</v>
      </c>
      <c r="L844">
        <v>-40.25</v>
      </c>
      <c r="M844">
        <v>112.8433</v>
      </c>
      <c r="N844">
        <v>66.13</v>
      </c>
      <c r="O844">
        <v>61.5</v>
      </c>
      <c r="P844">
        <v>3.3000000000000002E-2</v>
      </c>
      <c r="Q844">
        <v>27.95</v>
      </c>
      <c r="R844">
        <v>-48.375</v>
      </c>
    </row>
    <row r="845" spans="1:18" x14ac:dyDescent="0.2">
      <c r="A845" s="1">
        <v>44260</v>
      </c>
      <c r="B845" s="2">
        <v>-1.8225</v>
      </c>
      <c r="C845" s="3">
        <v>24.66</v>
      </c>
      <c r="D845">
        <v>6.4574999999999996</v>
      </c>
      <c r="E845">
        <v>1.5661</v>
      </c>
      <c r="F845">
        <v>0.13689999999999999</v>
      </c>
      <c r="G845">
        <v>8.7999999999999995E-2</v>
      </c>
      <c r="H845">
        <v>-0.13400000000000001</v>
      </c>
      <c r="I845">
        <v>-34.875</v>
      </c>
      <c r="J845">
        <v>-22.625</v>
      </c>
      <c r="K845">
        <v>-44.125</v>
      </c>
      <c r="L845">
        <v>-39.875</v>
      </c>
      <c r="M845">
        <v>113.76260000000001</v>
      </c>
      <c r="N845">
        <v>69.36</v>
      </c>
      <c r="O845">
        <v>66.09</v>
      </c>
      <c r="P845">
        <v>2.53E-2</v>
      </c>
      <c r="Q845">
        <v>24.66</v>
      </c>
      <c r="R845">
        <v>-45.5</v>
      </c>
    </row>
    <row r="846" spans="1:18" x14ac:dyDescent="0.2">
      <c r="A846" s="1">
        <v>44267</v>
      </c>
      <c r="B846" s="2">
        <v>-1.7575000000000001</v>
      </c>
      <c r="C846" s="3">
        <v>20.69</v>
      </c>
      <c r="D846">
        <v>6.56</v>
      </c>
      <c r="E846">
        <v>1.6247</v>
      </c>
      <c r="F846">
        <v>0.14699999999999999</v>
      </c>
      <c r="G846">
        <v>0.11799999999999999</v>
      </c>
      <c r="H846">
        <v>-0.13</v>
      </c>
      <c r="I846">
        <v>-37.5</v>
      </c>
      <c r="J846">
        <v>-21</v>
      </c>
      <c r="K846">
        <v>-50.125</v>
      </c>
      <c r="L846">
        <v>-44.875</v>
      </c>
      <c r="M846">
        <v>113.0403</v>
      </c>
      <c r="N846">
        <v>69.22</v>
      </c>
      <c r="O846">
        <v>65.61</v>
      </c>
      <c r="P846">
        <v>2.0299999999999999E-2</v>
      </c>
      <c r="Q846">
        <v>20.69</v>
      </c>
      <c r="R846">
        <v>-50.875</v>
      </c>
    </row>
    <row r="847" spans="1:18" x14ac:dyDescent="0.2">
      <c r="A847" s="1">
        <v>44274</v>
      </c>
      <c r="B847" s="2">
        <v>-1.6625000000000001</v>
      </c>
      <c r="C847" s="3">
        <v>20.95</v>
      </c>
      <c r="D847">
        <v>6.2549999999999999</v>
      </c>
      <c r="E847">
        <v>1.7210000000000001</v>
      </c>
      <c r="F847">
        <v>0.1492</v>
      </c>
      <c r="G847">
        <v>0.107</v>
      </c>
      <c r="H847">
        <v>-0.14199999999999999</v>
      </c>
      <c r="I847">
        <v>-34.75</v>
      </c>
      <c r="J847">
        <v>-19.125</v>
      </c>
      <c r="K847">
        <v>-48</v>
      </c>
      <c r="L847">
        <v>-43.125</v>
      </c>
      <c r="M847">
        <v>112.9877</v>
      </c>
      <c r="N847">
        <v>64.53</v>
      </c>
      <c r="O847">
        <v>61.42</v>
      </c>
      <c r="P847">
        <v>-2.5000000000000001E-3</v>
      </c>
      <c r="Q847">
        <v>20.95</v>
      </c>
      <c r="R847">
        <v>-48.875</v>
      </c>
    </row>
    <row r="848" spans="1:18" x14ac:dyDescent="0.2">
      <c r="A848" s="1">
        <v>44281</v>
      </c>
      <c r="B848" s="2">
        <v>-1.65</v>
      </c>
      <c r="C848" s="3">
        <v>18.86</v>
      </c>
      <c r="D848">
        <v>6.2050000000000001</v>
      </c>
      <c r="E848">
        <v>1.6759999999999999</v>
      </c>
      <c r="F848">
        <v>0.13869999999999999</v>
      </c>
      <c r="G848">
        <v>7.8E-2</v>
      </c>
      <c r="H848">
        <v>-0.13900000000000001</v>
      </c>
      <c r="I848">
        <v>-33.875</v>
      </c>
      <c r="J848">
        <v>-19.875</v>
      </c>
      <c r="K848">
        <v>-49.375</v>
      </c>
      <c r="L848">
        <v>-42.875</v>
      </c>
      <c r="M848">
        <v>113.75320000000001</v>
      </c>
      <c r="N848">
        <v>64.569999999999993</v>
      </c>
      <c r="O848">
        <v>60.97</v>
      </c>
      <c r="P848">
        <v>1.52E-2</v>
      </c>
      <c r="Q848">
        <v>18.86</v>
      </c>
      <c r="R848">
        <v>-50.75</v>
      </c>
    </row>
    <row r="849" spans="1:18" x14ac:dyDescent="0.2">
      <c r="A849" s="1">
        <v>44288</v>
      </c>
      <c r="B849" s="2">
        <v>-1.6174999999999999</v>
      </c>
      <c r="C849" s="3">
        <v>17.329999999999998</v>
      </c>
      <c r="D849">
        <v>6.27</v>
      </c>
      <c r="E849">
        <v>1.7216</v>
      </c>
      <c r="F849">
        <v>0.1862</v>
      </c>
      <c r="G849">
        <v>0.121</v>
      </c>
      <c r="H849">
        <v>-0.12</v>
      </c>
      <c r="I849">
        <v>-34.375</v>
      </c>
      <c r="J849">
        <v>-21</v>
      </c>
      <c r="K849">
        <v>-48.25</v>
      </c>
      <c r="L849">
        <v>-42.75</v>
      </c>
      <c r="M849">
        <v>113.74290000000001</v>
      </c>
      <c r="N849">
        <v>64.86</v>
      </c>
      <c r="O849">
        <v>61.45</v>
      </c>
      <c r="P849">
        <v>1.2699999999999999E-2</v>
      </c>
      <c r="Q849">
        <v>17.329999999999998</v>
      </c>
      <c r="R849">
        <v>-49.25</v>
      </c>
    </row>
    <row r="850" spans="1:18" x14ac:dyDescent="0.2">
      <c r="A850" s="1">
        <v>44295</v>
      </c>
      <c r="B850" s="2">
        <v>-1.3875</v>
      </c>
      <c r="C850" s="3">
        <v>16.690000000000001</v>
      </c>
      <c r="D850">
        <v>6.17</v>
      </c>
      <c r="E850">
        <v>1.6585000000000001</v>
      </c>
      <c r="F850">
        <v>0.15479999999999999</v>
      </c>
      <c r="G850">
        <v>0.104</v>
      </c>
      <c r="H850">
        <v>-0.127</v>
      </c>
      <c r="I850">
        <v>-31.125</v>
      </c>
      <c r="J850">
        <v>-20</v>
      </c>
      <c r="K850">
        <v>-44</v>
      </c>
      <c r="L850">
        <v>-38.125</v>
      </c>
      <c r="M850">
        <v>113.2132</v>
      </c>
      <c r="N850">
        <v>62.95</v>
      </c>
      <c r="O850">
        <v>59.32</v>
      </c>
      <c r="P850">
        <v>7.6E-3</v>
      </c>
      <c r="Q850">
        <v>16.690000000000001</v>
      </c>
      <c r="R850">
        <v>-44.625</v>
      </c>
    </row>
    <row r="851" spans="1:18" x14ac:dyDescent="0.2">
      <c r="A851" s="1">
        <v>44302</v>
      </c>
      <c r="B851" s="2">
        <v>-1.0575000000000001</v>
      </c>
      <c r="C851" s="3">
        <v>16.25</v>
      </c>
      <c r="D851">
        <v>5.78</v>
      </c>
      <c r="E851">
        <v>1.5798000000000001</v>
      </c>
      <c r="F851">
        <v>0.16120000000000001</v>
      </c>
      <c r="G851">
        <v>8.6999999999999994E-2</v>
      </c>
      <c r="H851">
        <v>-0.13600000000000001</v>
      </c>
      <c r="I851">
        <v>-31</v>
      </c>
      <c r="J851">
        <v>-19.75</v>
      </c>
      <c r="K851">
        <v>-43.25</v>
      </c>
      <c r="L851">
        <v>-37.375</v>
      </c>
      <c r="M851">
        <v>112.4913</v>
      </c>
      <c r="N851">
        <v>66.77</v>
      </c>
      <c r="O851">
        <v>63.13</v>
      </c>
      <c r="P851">
        <v>1.01E-2</v>
      </c>
      <c r="Q851">
        <v>16.25</v>
      </c>
      <c r="R851">
        <v>-44.125</v>
      </c>
    </row>
    <row r="852" spans="1:18" x14ac:dyDescent="0.2">
      <c r="A852" s="1">
        <v>44309</v>
      </c>
      <c r="B852" s="2">
        <v>-1.19</v>
      </c>
      <c r="C852" s="3">
        <v>17.329999999999998</v>
      </c>
      <c r="D852">
        <v>5.83</v>
      </c>
      <c r="E852">
        <v>1.5577000000000001</v>
      </c>
      <c r="F852">
        <v>0.1575</v>
      </c>
      <c r="G852">
        <v>6.5000000000000002E-2</v>
      </c>
      <c r="H852">
        <v>-0.13300000000000001</v>
      </c>
      <c r="I852">
        <v>-31.375</v>
      </c>
      <c r="J852">
        <v>-18.625</v>
      </c>
      <c r="K852">
        <v>-44.5</v>
      </c>
      <c r="L852">
        <v>-39.25</v>
      </c>
      <c r="M852">
        <v>112.0981</v>
      </c>
      <c r="N852">
        <v>66.11</v>
      </c>
      <c r="O852">
        <v>62.14</v>
      </c>
      <c r="P852">
        <v>1.52E-2</v>
      </c>
      <c r="Q852">
        <v>17.329999999999998</v>
      </c>
      <c r="R852">
        <v>-45.5</v>
      </c>
    </row>
    <row r="853" spans="1:18" x14ac:dyDescent="0.2">
      <c r="A853" s="1">
        <v>44316</v>
      </c>
      <c r="B853" s="2">
        <v>-1.0974999999999999</v>
      </c>
      <c r="C853" s="3">
        <v>18.61</v>
      </c>
      <c r="D853">
        <v>5.93</v>
      </c>
      <c r="E853">
        <v>1.6258999999999999</v>
      </c>
      <c r="F853">
        <v>0.15840000000000001</v>
      </c>
      <c r="G853">
        <v>9.0999999999999998E-2</v>
      </c>
      <c r="H853">
        <v>-0.128</v>
      </c>
      <c r="I853">
        <v>-31.875</v>
      </c>
      <c r="J853">
        <v>-18.5</v>
      </c>
      <c r="K853">
        <v>-45</v>
      </c>
      <c r="L853">
        <v>-39.75</v>
      </c>
      <c r="M853">
        <v>112.0959</v>
      </c>
      <c r="N853">
        <v>67.25</v>
      </c>
      <c r="O853">
        <v>63.58</v>
      </c>
      <c r="P853">
        <v>2.5000000000000001E-3</v>
      </c>
      <c r="Q853">
        <v>18.61</v>
      </c>
      <c r="R853">
        <v>-46</v>
      </c>
    </row>
    <row r="854" spans="1:18" x14ac:dyDescent="0.2">
      <c r="A854" s="1">
        <v>44323</v>
      </c>
      <c r="B854" s="2">
        <v>-1.1025</v>
      </c>
      <c r="C854" s="3">
        <v>16.690000000000001</v>
      </c>
      <c r="D854">
        <v>6.0549999999999997</v>
      </c>
      <c r="E854">
        <v>1.5770999999999999</v>
      </c>
      <c r="F854">
        <v>0.14480000000000001</v>
      </c>
      <c r="G854">
        <v>8.2000000000000003E-2</v>
      </c>
      <c r="H854">
        <v>-0.13400000000000001</v>
      </c>
      <c r="I854">
        <v>-27.75</v>
      </c>
      <c r="J854">
        <v>-15.75</v>
      </c>
      <c r="K854">
        <v>-41.125</v>
      </c>
      <c r="L854">
        <v>-35.625</v>
      </c>
      <c r="M854">
        <v>111.0372</v>
      </c>
      <c r="N854">
        <v>68.28</v>
      </c>
      <c r="O854">
        <v>64.900000000000006</v>
      </c>
      <c r="P854">
        <v>5.1000000000000004E-3</v>
      </c>
      <c r="Q854">
        <v>16.690000000000001</v>
      </c>
      <c r="R854">
        <v>-41.625</v>
      </c>
    </row>
    <row r="855" spans="1:18" x14ac:dyDescent="0.2">
      <c r="A855" s="1">
        <v>44330</v>
      </c>
      <c r="B855" s="2">
        <v>-1.3</v>
      </c>
      <c r="C855" s="3">
        <v>18.809999999999999</v>
      </c>
      <c r="D855">
        <v>5.86</v>
      </c>
      <c r="E855">
        <v>1.6284000000000001</v>
      </c>
      <c r="F855">
        <v>0.14699999999999999</v>
      </c>
      <c r="G855">
        <v>8.2000000000000003E-2</v>
      </c>
      <c r="H855">
        <v>-0.13200000000000001</v>
      </c>
      <c r="I855">
        <v>-28.625</v>
      </c>
      <c r="J855">
        <v>-16.25</v>
      </c>
      <c r="K855">
        <v>-42.875</v>
      </c>
      <c r="L855">
        <v>-36.625</v>
      </c>
      <c r="M855">
        <v>111.1476</v>
      </c>
      <c r="N855">
        <v>68.709999999999994</v>
      </c>
      <c r="O855">
        <v>65.37</v>
      </c>
      <c r="P855">
        <v>-2.5000000000000001E-3</v>
      </c>
      <c r="Q855">
        <v>18.809999999999999</v>
      </c>
      <c r="R855">
        <v>-43.375</v>
      </c>
    </row>
    <row r="856" spans="1:18" x14ac:dyDescent="0.2">
      <c r="A856" s="1">
        <v>44337</v>
      </c>
      <c r="B856" s="2">
        <v>-1.1924999999999999</v>
      </c>
      <c r="C856" s="3">
        <v>20.149999999999999</v>
      </c>
      <c r="D856">
        <v>5.7949999999999999</v>
      </c>
      <c r="E856">
        <v>1.6215999999999999</v>
      </c>
      <c r="F856">
        <v>0.15329999999999999</v>
      </c>
      <c r="G856">
        <v>7.8E-2</v>
      </c>
      <c r="H856">
        <v>-0.129</v>
      </c>
      <c r="I856">
        <v>-27.625</v>
      </c>
      <c r="J856">
        <v>-16</v>
      </c>
      <c r="K856">
        <v>-43.25</v>
      </c>
      <c r="L856">
        <v>-36.75</v>
      </c>
      <c r="M856">
        <v>111.0714</v>
      </c>
      <c r="N856">
        <v>66.44</v>
      </c>
      <c r="O856">
        <v>63.58</v>
      </c>
      <c r="P856">
        <v>-2.5000000000000001E-3</v>
      </c>
      <c r="Q856">
        <v>20.149999999999999</v>
      </c>
      <c r="R856">
        <v>-43.75</v>
      </c>
    </row>
    <row r="857" spans="1:18" x14ac:dyDescent="0.2">
      <c r="A857" s="1">
        <v>44344</v>
      </c>
      <c r="B857" s="2">
        <v>-1.095</v>
      </c>
      <c r="C857" s="3">
        <v>16.760000000000002</v>
      </c>
      <c r="D857">
        <v>5.835</v>
      </c>
      <c r="E857">
        <v>1.5943000000000001</v>
      </c>
      <c r="F857">
        <v>0.14069999999999999</v>
      </c>
      <c r="G857">
        <v>7.8E-2</v>
      </c>
      <c r="H857">
        <v>-0.13400000000000001</v>
      </c>
      <c r="I857">
        <v>-27.5</v>
      </c>
      <c r="J857">
        <v>-14</v>
      </c>
      <c r="K857">
        <v>-44.125</v>
      </c>
      <c r="L857">
        <v>-36.75</v>
      </c>
      <c r="M857">
        <v>110.7711</v>
      </c>
      <c r="N857">
        <v>69.63</v>
      </c>
      <c r="O857">
        <v>66.319999999999993</v>
      </c>
      <c r="P857">
        <v>2.5000000000000001E-3</v>
      </c>
      <c r="Q857">
        <v>16.760000000000002</v>
      </c>
      <c r="R857">
        <v>-44.625</v>
      </c>
    </row>
    <row r="858" spans="1:18" x14ac:dyDescent="0.2">
      <c r="A858" s="1">
        <v>44351</v>
      </c>
      <c r="B858" s="2">
        <v>-1</v>
      </c>
      <c r="C858" s="3">
        <v>16.420000000000002</v>
      </c>
      <c r="D858">
        <v>5.7450000000000001</v>
      </c>
      <c r="E858">
        <v>1.5533999999999999</v>
      </c>
      <c r="F858">
        <v>0.14480000000000001</v>
      </c>
      <c r="G858">
        <v>0.08</v>
      </c>
      <c r="H858">
        <v>-0.126</v>
      </c>
      <c r="I858">
        <v>-27.75</v>
      </c>
      <c r="J858">
        <v>-14.5</v>
      </c>
      <c r="K858">
        <v>-44.5</v>
      </c>
      <c r="L858">
        <v>-36.875</v>
      </c>
      <c r="M858">
        <v>110.7645</v>
      </c>
      <c r="N858">
        <v>71.89</v>
      </c>
      <c r="O858">
        <v>69.62</v>
      </c>
      <c r="P858">
        <v>1.2699999999999999E-2</v>
      </c>
      <c r="Q858">
        <v>16.420000000000002</v>
      </c>
      <c r="R858">
        <v>-44.625</v>
      </c>
    </row>
    <row r="859" spans="1:18" x14ac:dyDescent="0.2">
      <c r="A859" s="1">
        <v>44358</v>
      </c>
      <c r="B859" s="2">
        <v>-0.88500000000000001</v>
      </c>
      <c r="C859" s="3">
        <v>15.65</v>
      </c>
      <c r="D859">
        <v>5.2725</v>
      </c>
      <c r="E859">
        <v>1.4518</v>
      </c>
      <c r="F859">
        <v>0.1469</v>
      </c>
      <c r="G859">
        <v>2.9000000000000001E-2</v>
      </c>
      <c r="H859">
        <v>-0.129</v>
      </c>
      <c r="I859">
        <v>-28.25</v>
      </c>
      <c r="J859">
        <v>-14.625</v>
      </c>
      <c r="K859">
        <v>-43.875</v>
      </c>
      <c r="L859">
        <v>-36.75</v>
      </c>
      <c r="M859">
        <v>111.1052</v>
      </c>
      <c r="N859">
        <v>72.69</v>
      </c>
      <c r="O859">
        <v>70.91</v>
      </c>
      <c r="P859">
        <v>2.0299999999999999E-2</v>
      </c>
      <c r="Q859">
        <v>15.65</v>
      </c>
      <c r="R859">
        <v>-43.875</v>
      </c>
    </row>
    <row r="860" spans="1:18" x14ac:dyDescent="0.2">
      <c r="A860" s="1">
        <v>44365</v>
      </c>
      <c r="B860" s="2">
        <v>-1.2050000000000001</v>
      </c>
      <c r="C860" s="3">
        <v>20.7</v>
      </c>
      <c r="D860">
        <v>5.585</v>
      </c>
      <c r="E860">
        <v>1.4380999999999999</v>
      </c>
      <c r="F860">
        <v>0.25409999999999999</v>
      </c>
      <c r="G860">
        <v>5.1999999999999998E-2</v>
      </c>
      <c r="H860">
        <v>-0.124</v>
      </c>
      <c r="I860">
        <v>-28.625</v>
      </c>
      <c r="J860">
        <v>-15.375</v>
      </c>
      <c r="K860">
        <v>-44.75</v>
      </c>
      <c r="L860">
        <v>-37.75</v>
      </c>
      <c r="M860">
        <v>113.0517</v>
      </c>
      <c r="N860">
        <v>73.510000000000005</v>
      </c>
      <c r="O860">
        <v>71.64</v>
      </c>
      <c r="P860">
        <v>2.7900000000000001E-2</v>
      </c>
      <c r="Q860">
        <v>20.7</v>
      </c>
      <c r="R860">
        <v>-44.75</v>
      </c>
    </row>
    <row r="861" spans="1:18" x14ac:dyDescent="0.2">
      <c r="A861" s="1">
        <v>44372</v>
      </c>
      <c r="B861" s="2">
        <v>-1.0449999999999999</v>
      </c>
      <c r="C861" s="3">
        <v>15.62</v>
      </c>
      <c r="D861">
        <v>5.43</v>
      </c>
      <c r="E861">
        <v>1.5241</v>
      </c>
      <c r="F861">
        <v>0.2661</v>
      </c>
      <c r="G861">
        <v>4.1000000000000002E-2</v>
      </c>
      <c r="H861">
        <v>-0.11899999999999999</v>
      </c>
      <c r="I861">
        <v>-29.25</v>
      </c>
      <c r="J861">
        <v>-16</v>
      </c>
      <c r="K861">
        <v>-46.75</v>
      </c>
      <c r="L861">
        <v>-39</v>
      </c>
      <c r="M861">
        <v>111.9742</v>
      </c>
      <c r="N861">
        <v>76.180000000000007</v>
      </c>
      <c r="O861">
        <v>74.05</v>
      </c>
      <c r="P861">
        <v>4.3099999999999999E-2</v>
      </c>
      <c r="Q861">
        <v>15.62</v>
      </c>
      <c r="R861">
        <v>-46.875</v>
      </c>
    </row>
    <row r="862" spans="1:18" x14ac:dyDescent="0.2">
      <c r="A862" s="1">
        <v>44379</v>
      </c>
      <c r="B862" s="2">
        <v>-1.1325000000000001</v>
      </c>
      <c r="C862" s="3">
        <v>15.07</v>
      </c>
      <c r="D862">
        <v>5.4924999999999997</v>
      </c>
      <c r="E862">
        <v>1.4238</v>
      </c>
      <c r="F862">
        <v>0.2336</v>
      </c>
      <c r="G862">
        <v>3.9E-2</v>
      </c>
      <c r="H862">
        <v>-0.11899999999999999</v>
      </c>
      <c r="I862">
        <v>-29.5</v>
      </c>
      <c r="J862">
        <v>-17.125</v>
      </c>
      <c r="K862">
        <v>-48.25</v>
      </c>
      <c r="L862">
        <v>-39.75</v>
      </c>
      <c r="M862">
        <v>112.55070000000001</v>
      </c>
      <c r="N862">
        <v>76.17</v>
      </c>
      <c r="O862">
        <v>75.16</v>
      </c>
      <c r="P862">
        <v>3.7999999999999999E-2</v>
      </c>
      <c r="Q862">
        <v>15.07</v>
      </c>
      <c r="R862">
        <v>-48.75</v>
      </c>
    </row>
    <row r="863" spans="1:18" x14ac:dyDescent="0.2">
      <c r="A863" s="1">
        <v>44386</v>
      </c>
      <c r="B863" s="2">
        <v>-1.2275</v>
      </c>
      <c r="C863" s="3">
        <v>16.18</v>
      </c>
      <c r="D863">
        <v>5.5975000000000001</v>
      </c>
      <c r="E863">
        <v>1.3594999999999999</v>
      </c>
      <c r="F863">
        <v>0.21260000000000001</v>
      </c>
      <c r="G863">
        <v>2.8000000000000001E-2</v>
      </c>
      <c r="H863">
        <v>-0.11899999999999999</v>
      </c>
      <c r="I863">
        <v>-29.75</v>
      </c>
      <c r="J863">
        <v>-18.75</v>
      </c>
      <c r="K863">
        <v>-46.75</v>
      </c>
      <c r="L863">
        <v>-38.375</v>
      </c>
      <c r="M863">
        <v>112.8468</v>
      </c>
      <c r="N863">
        <v>75.55</v>
      </c>
      <c r="O863">
        <v>74.56</v>
      </c>
      <c r="P863">
        <v>4.3099999999999999E-2</v>
      </c>
      <c r="Q863">
        <v>16.18</v>
      </c>
      <c r="R863">
        <v>-46.875</v>
      </c>
    </row>
    <row r="864" spans="1:18" x14ac:dyDescent="0.2">
      <c r="A864" s="1">
        <v>44393</v>
      </c>
      <c r="B864" s="2">
        <v>-1.2024999999999999</v>
      </c>
      <c r="C864" s="3">
        <v>18.45</v>
      </c>
      <c r="D864">
        <v>5.5324999999999998</v>
      </c>
      <c r="E864">
        <v>1.2903</v>
      </c>
      <c r="F864">
        <v>0.2215</v>
      </c>
      <c r="G864">
        <v>1.9E-2</v>
      </c>
      <c r="H864">
        <v>-0.13</v>
      </c>
      <c r="I864">
        <v>-28.875</v>
      </c>
      <c r="J864">
        <v>-17.5</v>
      </c>
      <c r="K864">
        <v>-45.25</v>
      </c>
      <c r="L864">
        <v>-37.375</v>
      </c>
      <c r="M864">
        <v>113.0504</v>
      </c>
      <c r="N864">
        <v>73.59</v>
      </c>
      <c r="O864">
        <v>71.81</v>
      </c>
      <c r="P864">
        <v>4.3099999999999999E-2</v>
      </c>
      <c r="Q864">
        <v>18.45</v>
      </c>
      <c r="R864">
        <v>-45.25</v>
      </c>
    </row>
    <row r="865" spans="1:18" x14ac:dyDescent="0.2">
      <c r="A865" s="1">
        <v>44400</v>
      </c>
      <c r="B865" s="2">
        <v>-1.31</v>
      </c>
      <c r="C865" s="3">
        <v>17.2</v>
      </c>
      <c r="D865">
        <v>5.5824999999999996</v>
      </c>
      <c r="E865">
        <v>1.2763</v>
      </c>
      <c r="F865">
        <v>0.1981</v>
      </c>
      <c r="G865">
        <v>1.2E-2</v>
      </c>
      <c r="H865">
        <v>-0.13300000000000001</v>
      </c>
      <c r="I865">
        <v>-29.875</v>
      </c>
      <c r="J865">
        <v>-17.625</v>
      </c>
      <c r="K865">
        <v>-47.25</v>
      </c>
      <c r="L865">
        <v>-39.375</v>
      </c>
      <c r="M865">
        <v>113.4486</v>
      </c>
      <c r="N865">
        <v>74.099999999999994</v>
      </c>
      <c r="O865">
        <v>72.069999999999993</v>
      </c>
      <c r="P865">
        <v>4.3099999999999999E-2</v>
      </c>
      <c r="Q865">
        <v>17.2</v>
      </c>
      <c r="R865">
        <v>-47.375</v>
      </c>
    </row>
    <row r="866" spans="1:18" x14ac:dyDescent="0.2">
      <c r="A866" s="1">
        <v>44407</v>
      </c>
      <c r="B866" s="2">
        <v>-1.2949999999999999</v>
      </c>
      <c r="C866" s="3">
        <v>18.239999999999998</v>
      </c>
      <c r="D866">
        <v>5.5525000000000002</v>
      </c>
      <c r="E866">
        <v>1.2222999999999999</v>
      </c>
      <c r="F866">
        <v>0.18390000000000001</v>
      </c>
      <c r="G866">
        <v>1.6E-2</v>
      </c>
      <c r="H866">
        <v>-0.128</v>
      </c>
      <c r="I866">
        <v>-28.5</v>
      </c>
      <c r="J866">
        <v>-15.625</v>
      </c>
      <c r="K866">
        <v>-43.875</v>
      </c>
      <c r="L866">
        <v>-36.5</v>
      </c>
      <c r="M866">
        <v>112.6808</v>
      </c>
      <c r="N866">
        <v>76.33</v>
      </c>
      <c r="O866">
        <v>73.95</v>
      </c>
      <c r="P866">
        <v>4.0599999999999997E-2</v>
      </c>
      <c r="Q866">
        <v>18.239999999999998</v>
      </c>
      <c r="R866">
        <v>-44</v>
      </c>
    </row>
    <row r="867" spans="1:18" x14ac:dyDescent="0.2">
      <c r="A867" s="1">
        <v>44414</v>
      </c>
      <c r="B867" s="2">
        <v>-1.2350000000000001</v>
      </c>
      <c r="C867" s="3">
        <v>16.149999999999999</v>
      </c>
      <c r="D867">
        <v>5.6950000000000003</v>
      </c>
      <c r="E867">
        <v>1.2968999999999999</v>
      </c>
      <c r="F867">
        <v>0.20830000000000001</v>
      </c>
      <c r="G867">
        <v>0.01</v>
      </c>
      <c r="H867">
        <v>-0.13300000000000001</v>
      </c>
      <c r="I867">
        <v>-27.375</v>
      </c>
      <c r="J867">
        <v>-15.375</v>
      </c>
      <c r="K867">
        <v>-44</v>
      </c>
      <c r="L867">
        <v>-36.5</v>
      </c>
      <c r="M867">
        <v>113.3192</v>
      </c>
      <c r="N867">
        <v>70.7</v>
      </c>
      <c r="O867">
        <v>68.28</v>
      </c>
      <c r="P867">
        <v>4.3099999999999999E-2</v>
      </c>
      <c r="Q867">
        <v>16.149999999999999</v>
      </c>
      <c r="R867">
        <v>-44.375</v>
      </c>
    </row>
    <row r="868" spans="1:18" x14ac:dyDescent="0.2">
      <c r="A868" s="1">
        <v>44421</v>
      </c>
      <c r="B868" s="2">
        <v>-1.0900000000000001</v>
      </c>
      <c r="C868" s="3">
        <v>15.45</v>
      </c>
      <c r="D868">
        <v>5.4874999999999998</v>
      </c>
      <c r="E868">
        <v>1.2766999999999999</v>
      </c>
      <c r="F868">
        <v>0.20710000000000001</v>
      </c>
      <c r="G868">
        <v>2.4E-2</v>
      </c>
      <c r="H868">
        <v>-0.13100000000000001</v>
      </c>
      <c r="I868">
        <v>-28.5</v>
      </c>
      <c r="J868">
        <v>-16.875</v>
      </c>
      <c r="K868">
        <v>-45.875</v>
      </c>
      <c r="L868">
        <v>-38.125</v>
      </c>
      <c r="M868">
        <v>113.07080000000001</v>
      </c>
      <c r="N868">
        <v>70.59</v>
      </c>
      <c r="O868">
        <v>68.44</v>
      </c>
      <c r="P868">
        <v>4.5600000000000002E-2</v>
      </c>
      <c r="Q868">
        <v>15.45</v>
      </c>
      <c r="R868">
        <v>-46</v>
      </c>
    </row>
    <row r="869" spans="1:18" x14ac:dyDescent="0.2">
      <c r="A869" s="1">
        <v>44428</v>
      </c>
      <c r="B869" s="2">
        <v>-1.47</v>
      </c>
      <c r="C869" s="3">
        <v>18.559999999999999</v>
      </c>
      <c r="D869">
        <v>5.68</v>
      </c>
      <c r="E869">
        <v>1.2549999999999999</v>
      </c>
      <c r="F869">
        <v>0.22409999999999999</v>
      </c>
      <c r="G869">
        <v>7.0000000000000001E-3</v>
      </c>
      <c r="H869">
        <v>-0.14000000000000001</v>
      </c>
      <c r="I869">
        <v>-27.625</v>
      </c>
      <c r="J869">
        <v>-17</v>
      </c>
      <c r="K869">
        <v>-44.875</v>
      </c>
      <c r="L869">
        <v>-37.25</v>
      </c>
      <c r="M869">
        <v>114.5108</v>
      </c>
      <c r="N869">
        <v>65.180000000000007</v>
      </c>
      <c r="O869">
        <v>62.32</v>
      </c>
      <c r="P869">
        <v>4.3099999999999999E-2</v>
      </c>
      <c r="Q869">
        <v>18.559999999999999</v>
      </c>
      <c r="R869">
        <v>-44.875</v>
      </c>
    </row>
    <row r="870" spans="1:18" x14ac:dyDescent="0.2">
      <c r="A870" s="1">
        <v>44435</v>
      </c>
      <c r="B870" s="2">
        <v>-1.2024999999999999</v>
      </c>
      <c r="C870" s="3">
        <v>16.39</v>
      </c>
      <c r="D870">
        <v>5.4675000000000002</v>
      </c>
      <c r="E870">
        <v>1.3069999999999999</v>
      </c>
      <c r="F870">
        <v>0.21510000000000001</v>
      </c>
      <c r="G870">
        <v>2.1999999999999999E-2</v>
      </c>
      <c r="H870">
        <v>-0.13100000000000001</v>
      </c>
      <c r="I870">
        <v>-27</v>
      </c>
      <c r="J870">
        <v>-17.75</v>
      </c>
      <c r="K870">
        <v>-43.125</v>
      </c>
      <c r="L870">
        <v>-35.75</v>
      </c>
      <c r="M870">
        <v>113.3511</v>
      </c>
      <c r="N870">
        <v>72.7</v>
      </c>
      <c r="O870">
        <v>68.739999999999995</v>
      </c>
      <c r="P870">
        <v>4.5600000000000002E-2</v>
      </c>
      <c r="Q870">
        <v>16.39</v>
      </c>
      <c r="R870">
        <v>-43.25</v>
      </c>
    </row>
    <row r="871" spans="1:18" x14ac:dyDescent="0.2">
      <c r="A871" s="1">
        <v>44442</v>
      </c>
      <c r="B871" s="2">
        <v>-1.0649999999999999</v>
      </c>
      <c r="C871" s="3">
        <v>16.41</v>
      </c>
      <c r="D871">
        <v>5.4124999999999996</v>
      </c>
      <c r="E871">
        <v>1.3223</v>
      </c>
      <c r="F871">
        <v>0.20610000000000001</v>
      </c>
      <c r="G871">
        <v>3.6999999999999998E-2</v>
      </c>
      <c r="H871">
        <v>-0.128</v>
      </c>
      <c r="I871">
        <v>-26.375</v>
      </c>
      <c r="J871">
        <v>-17.25</v>
      </c>
      <c r="K871">
        <v>-40.75</v>
      </c>
      <c r="L871">
        <v>-34</v>
      </c>
      <c r="M871">
        <v>112.55800000000001</v>
      </c>
      <c r="N871">
        <v>72.61</v>
      </c>
      <c r="O871">
        <v>69.290000000000006</v>
      </c>
      <c r="P871">
        <v>3.3000000000000002E-2</v>
      </c>
      <c r="Q871">
        <v>16.41</v>
      </c>
      <c r="R871">
        <v>-41</v>
      </c>
    </row>
    <row r="872" spans="1:18" x14ac:dyDescent="0.2">
      <c r="A872" s="1">
        <v>44449</v>
      </c>
      <c r="B872" s="2">
        <v>-1.28</v>
      </c>
      <c r="C872" s="3">
        <v>20.95</v>
      </c>
      <c r="D872">
        <v>5.2874999999999996</v>
      </c>
      <c r="E872">
        <v>1.3411</v>
      </c>
      <c r="F872">
        <v>0.2127</v>
      </c>
      <c r="G872">
        <v>4.2000000000000003E-2</v>
      </c>
      <c r="H872">
        <v>-0.127</v>
      </c>
      <c r="I872">
        <v>-25.75</v>
      </c>
      <c r="J872">
        <v>-16.75</v>
      </c>
      <c r="K872">
        <v>-41.25</v>
      </c>
      <c r="L872">
        <v>-33.625</v>
      </c>
      <c r="M872">
        <v>112.95189999999999</v>
      </c>
      <c r="N872">
        <v>72.92</v>
      </c>
      <c r="O872">
        <v>69.72</v>
      </c>
      <c r="P872">
        <v>3.7999999999999999E-2</v>
      </c>
      <c r="Q872">
        <v>20.95</v>
      </c>
      <c r="R872">
        <v>-41.5</v>
      </c>
    </row>
    <row r="873" spans="1:18" x14ac:dyDescent="0.2">
      <c r="A873" s="1">
        <v>44456</v>
      </c>
      <c r="B873" s="2">
        <v>-1.3075000000000001</v>
      </c>
      <c r="C873" s="3">
        <v>20.81</v>
      </c>
      <c r="D873">
        <v>5.4124999999999996</v>
      </c>
      <c r="E873">
        <v>1.3615999999999999</v>
      </c>
      <c r="F873">
        <v>0.22170000000000001</v>
      </c>
      <c r="G873">
        <v>4.8000000000000001E-2</v>
      </c>
      <c r="H873">
        <v>-0.129</v>
      </c>
      <c r="I873">
        <v>-26.25</v>
      </c>
      <c r="J873">
        <v>-16.5</v>
      </c>
      <c r="K873">
        <v>-40.875</v>
      </c>
      <c r="L873">
        <v>-34.25</v>
      </c>
      <c r="M873">
        <v>113.6074</v>
      </c>
      <c r="N873">
        <v>75.34</v>
      </c>
      <c r="O873">
        <v>71.97</v>
      </c>
      <c r="P873">
        <v>3.04E-2</v>
      </c>
      <c r="Q873">
        <v>20.81</v>
      </c>
      <c r="R873">
        <v>-41.625</v>
      </c>
    </row>
    <row r="874" spans="1:18" x14ac:dyDescent="0.2">
      <c r="A874" s="1">
        <v>44463</v>
      </c>
      <c r="B874" s="2">
        <v>-1.3474999999999999</v>
      </c>
      <c r="C874" s="3">
        <v>17.75</v>
      </c>
      <c r="D874">
        <v>5.6749999999999998</v>
      </c>
      <c r="E874">
        <v>1.4509000000000001</v>
      </c>
      <c r="F874">
        <v>0.26950000000000002</v>
      </c>
      <c r="G874">
        <v>5.5E-2</v>
      </c>
      <c r="H874">
        <v>-0.129</v>
      </c>
      <c r="I874">
        <v>-26.375</v>
      </c>
      <c r="J874">
        <v>-14.75</v>
      </c>
      <c r="K874">
        <v>-40</v>
      </c>
      <c r="L874">
        <v>-33.375</v>
      </c>
      <c r="M874">
        <v>113.7694</v>
      </c>
      <c r="N874">
        <v>78.09</v>
      </c>
      <c r="O874">
        <v>73.98</v>
      </c>
      <c r="P874">
        <v>2.53E-2</v>
      </c>
      <c r="Q874">
        <v>17.75</v>
      </c>
      <c r="R874">
        <v>-40.75</v>
      </c>
    </row>
    <row r="875" spans="1:18" x14ac:dyDescent="0.2">
      <c r="A875" s="1">
        <v>44470</v>
      </c>
      <c r="B875" s="2">
        <v>-1.385</v>
      </c>
      <c r="C875" s="3">
        <v>21.15</v>
      </c>
      <c r="D875">
        <v>5.8650000000000002</v>
      </c>
      <c r="E875">
        <v>1.4616</v>
      </c>
      <c r="F875">
        <v>0.26379999999999998</v>
      </c>
      <c r="G875">
        <v>5.3999999999999999E-2</v>
      </c>
      <c r="H875">
        <v>-0.123</v>
      </c>
      <c r="I875">
        <v>-25</v>
      </c>
      <c r="J875">
        <v>-14.625</v>
      </c>
      <c r="K875">
        <v>-38.875</v>
      </c>
      <c r="L875">
        <v>-32.625</v>
      </c>
      <c r="M875">
        <v>114.3899</v>
      </c>
      <c r="N875">
        <v>79.28</v>
      </c>
      <c r="O875">
        <v>75.88</v>
      </c>
      <c r="P875">
        <v>3.04E-2</v>
      </c>
      <c r="Q875">
        <v>21.15</v>
      </c>
      <c r="R875">
        <v>-39.875</v>
      </c>
    </row>
    <row r="876" spans="1:18" x14ac:dyDescent="0.2">
      <c r="A876" s="1">
        <v>44477</v>
      </c>
      <c r="B876" s="2">
        <v>-1.3025</v>
      </c>
      <c r="C876" s="3">
        <v>18.77</v>
      </c>
      <c r="D876">
        <v>5.8875000000000002</v>
      </c>
      <c r="E876">
        <v>1.6117999999999999</v>
      </c>
      <c r="F876">
        <v>0.31780000000000003</v>
      </c>
      <c r="G876">
        <v>8.2000000000000003E-2</v>
      </c>
      <c r="H876">
        <v>-0.11700000000000001</v>
      </c>
      <c r="I876">
        <v>-26.125</v>
      </c>
      <c r="J876">
        <v>-15.375</v>
      </c>
      <c r="K876">
        <v>-40</v>
      </c>
      <c r="L876">
        <v>-33.375</v>
      </c>
      <c r="M876">
        <v>114.6108</v>
      </c>
      <c r="N876">
        <v>82.39</v>
      </c>
      <c r="O876">
        <v>79.349999999999994</v>
      </c>
      <c r="P876">
        <v>4.5600000000000002E-2</v>
      </c>
      <c r="Q876">
        <v>18.77</v>
      </c>
      <c r="R876">
        <v>-41</v>
      </c>
    </row>
    <row r="877" spans="1:18" x14ac:dyDescent="0.2">
      <c r="A877" s="1">
        <v>44484</v>
      </c>
      <c r="B877" s="2">
        <v>-1.19</v>
      </c>
      <c r="C877" s="3">
        <v>16.3</v>
      </c>
      <c r="D877">
        <v>6.5650000000000004</v>
      </c>
      <c r="E877">
        <v>1.5703</v>
      </c>
      <c r="F877">
        <v>0.39489999999999997</v>
      </c>
      <c r="G877">
        <v>7.6999999999999999E-2</v>
      </c>
      <c r="H877">
        <v>-0.122</v>
      </c>
      <c r="I877">
        <v>-28.125</v>
      </c>
      <c r="J877">
        <v>-16.375</v>
      </c>
      <c r="K877">
        <v>-41.375</v>
      </c>
      <c r="L877">
        <v>-34.75</v>
      </c>
      <c r="M877">
        <v>114.1033</v>
      </c>
      <c r="N877">
        <v>84.86</v>
      </c>
      <c r="O877">
        <v>82.28</v>
      </c>
      <c r="P877">
        <v>4.3099999999999999E-2</v>
      </c>
      <c r="Q877">
        <v>16.3</v>
      </c>
      <c r="R877">
        <v>-42.375</v>
      </c>
    </row>
    <row r="878" spans="1:18" x14ac:dyDescent="0.2">
      <c r="A878" s="1">
        <v>44491</v>
      </c>
      <c r="B878" s="2">
        <v>-1.1599999999999999</v>
      </c>
      <c r="C878" s="3">
        <v>15.43</v>
      </c>
      <c r="D878">
        <v>6.5949999999999998</v>
      </c>
      <c r="E878">
        <v>1.6324000000000001</v>
      </c>
      <c r="F878">
        <v>0.45340000000000003</v>
      </c>
      <c r="G878">
        <v>9.2999999999999999E-2</v>
      </c>
      <c r="H878">
        <v>-0.114</v>
      </c>
      <c r="I878">
        <v>-30.75</v>
      </c>
      <c r="J878">
        <v>-18.625</v>
      </c>
      <c r="K878">
        <v>-46.125</v>
      </c>
      <c r="L878">
        <v>-38.625</v>
      </c>
      <c r="M878">
        <v>113.6828</v>
      </c>
      <c r="N878">
        <v>85.53</v>
      </c>
      <c r="O878">
        <v>83.76</v>
      </c>
      <c r="P878">
        <v>5.0700000000000002E-2</v>
      </c>
      <c r="Q878">
        <v>15.43</v>
      </c>
      <c r="R878">
        <v>-46.25</v>
      </c>
    </row>
    <row r="879" spans="1:18" x14ac:dyDescent="0.2">
      <c r="A879" s="1">
        <v>44498</v>
      </c>
      <c r="B879" s="2">
        <v>-1.0774999999999999</v>
      </c>
      <c r="C879" s="3">
        <v>16.260000000000002</v>
      </c>
      <c r="D879">
        <v>6.4775</v>
      </c>
      <c r="E879">
        <v>1.5521</v>
      </c>
      <c r="F879">
        <v>0.497</v>
      </c>
      <c r="G879">
        <v>9.4E-2</v>
      </c>
      <c r="H879">
        <v>-0.10199999999999999</v>
      </c>
      <c r="I879">
        <v>-40.5</v>
      </c>
      <c r="J879">
        <v>-29.125</v>
      </c>
      <c r="K879">
        <v>-51.75</v>
      </c>
      <c r="L879">
        <v>-44.625</v>
      </c>
      <c r="M879">
        <v>114.149</v>
      </c>
      <c r="N879">
        <v>84.38</v>
      </c>
      <c r="O879">
        <v>83.57</v>
      </c>
      <c r="P879">
        <v>4.82E-2</v>
      </c>
      <c r="Q879">
        <v>16.260000000000002</v>
      </c>
      <c r="R879">
        <v>-51.625</v>
      </c>
    </row>
    <row r="880" spans="1:18" x14ac:dyDescent="0.2">
      <c r="A880" s="1">
        <v>44505</v>
      </c>
      <c r="B880" s="2">
        <v>-1.0049999999999999</v>
      </c>
      <c r="C880" s="3">
        <v>16.48</v>
      </c>
      <c r="D880">
        <v>6.2</v>
      </c>
      <c r="E880">
        <v>1.4513</v>
      </c>
      <c r="F880">
        <v>0.40079999999999999</v>
      </c>
      <c r="G880">
        <v>5.5E-2</v>
      </c>
      <c r="H880">
        <v>-0.113</v>
      </c>
      <c r="I880">
        <v>-33.25</v>
      </c>
      <c r="J880">
        <v>-22</v>
      </c>
      <c r="K880">
        <v>-44.25</v>
      </c>
      <c r="L880">
        <v>-36.75</v>
      </c>
      <c r="M880">
        <v>114.0865</v>
      </c>
      <c r="N880">
        <v>82.74</v>
      </c>
      <c r="O880">
        <v>81.27</v>
      </c>
      <c r="P880">
        <v>3.7999999999999999E-2</v>
      </c>
      <c r="Q880">
        <v>16.48</v>
      </c>
      <c r="R880">
        <v>-46</v>
      </c>
    </row>
    <row r="881" spans="1:18" x14ac:dyDescent="0.2">
      <c r="A881" s="1">
        <v>44512</v>
      </c>
      <c r="B881" s="2">
        <v>-1.0225</v>
      </c>
      <c r="C881" s="3">
        <v>16.29</v>
      </c>
      <c r="D881">
        <v>6.3849999999999998</v>
      </c>
      <c r="E881">
        <v>1.5612999999999999</v>
      </c>
      <c r="F881">
        <v>0.51149999999999995</v>
      </c>
      <c r="G881">
        <v>7.0999999999999994E-2</v>
      </c>
      <c r="H881">
        <v>-0.11799999999999999</v>
      </c>
      <c r="I881">
        <v>-31.75</v>
      </c>
      <c r="J881">
        <v>-24.25</v>
      </c>
      <c r="K881">
        <v>-44</v>
      </c>
      <c r="L881">
        <v>-36.75</v>
      </c>
      <c r="M881">
        <v>114.52630000000001</v>
      </c>
      <c r="N881">
        <v>82.17</v>
      </c>
      <c r="O881">
        <v>80.790000000000006</v>
      </c>
      <c r="P881">
        <v>4.0599999999999997E-2</v>
      </c>
      <c r="Q881">
        <v>16.29</v>
      </c>
      <c r="R881">
        <v>-45.625</v>
      </c>
    </row>
    <row r="882" spans="1:18" x14ac:dyDescent="0.2">
      <c r="A882" s="1">
        <v>44519</v>
      </c>
      <c r="B882" s="2">
        <v>-1.1625000000000001</v>
      </c>
      <c r="C882" s="3">
        <v>17.91</v>
      </c>
      <c r="D882">
        <v>7.0324999999999998</v>
      </c>
      <c r="E882">
        <v>1.5462</v>
      </c>
      <c r="F882">
        <v>0.50670000000000004</v>
      </c>
      <c r="G882">
        <v>7.4999999999999997E-2</v>
      </c>
      <c r="H882">
        <v>-0.122</v>
      </c>
      <c r="I882">
        <v>-33.75</v>
      </c>
      <c r="J882">
        <v>-25.125</v>
      </c>
      <c r="K882">
        <v>-43.625</v>
      </c>
      <c r="L882">
        <v>-36.375</v>
      </c>
      <c r="M882">
        <v>115.23180000000001</v>
      </c>
      <c r="N882">
        <v>78.89</v>
      </c>
      <c r="O882">
        <v>76.099999999999994</v>
      </c>
      <c r="P882">
        <v>4.0599999999999997E-2</v>
      </c>
      <c r="Q882">
        <v>17.91</v>
      </c>
      <c r="R882">
        <v>-45</v>
      </c>
    </row>
    <row r="883" spans="1:18" x14ac:dyDescent="0.2">
      <c r="A883" s="1">
        <v>44526</v>
      </c>
      <c r="B883" s="2">
        <v>-1.875</v>
      </c>
      <c r="C883" s="3">
        <v>28.62</v>
      </c>
      <c r="D883">
        <v>8.2200000000000006</v>
      </c>
      <c r="E883">
        <v>1.4731000000000001</v>
      </c>
      <c r="F883">
        <v>0.498</v>
      </c>
      <c r="G883">
        <v>7.0999999999999994E-2</v>
      </c>
      <c r="H883">
        <v>-0.13400000000000001</v>
      </c>
      <c r="I883">
        <v>-34.375</v>
      </c>
      <c r="J883">
        <v>-26.5</v>
      </c>
      <c r="K883">
        <v>-44.125</v>
      </c>
      <c r="L883">
        <v>-36.375</v>
      </c>
      <c r="M883">
        <v>116.52589999999999</v>
      </c>
      <c r="N883">
        <v>72.72</v>
      </c>
      <c r="O883">
        <v>68.150000000000006</v>
      </c>
      <c r="P883">
        <v>3.7999999999999999E-2</v>
      </c>
      <c r="Q883">
        <v>28.62</v>
      </c>
      <c r="R883">
        <v>-45.5</v>
      </c>
    </row>
    <row r="884" spans="1:18" x14ac:dyDescent="0.2">
      <c r="A884" s="1">
        <v>44533</v>
      </c>
      <c r="B884" s="2">
        <v>-1.7350000000000001</v>
      </c>
      <c r="C884" s="3">
        <v>30.67</v>
      </c>
      <c r="D884">
        <v>7.4775</v>
      </c>
      <c r="E884">
        <v>1.343</v>
      </c>
      <c r="F884">
        <v>0.58730000000000004</v>
      </c>
      <c r="G884">
        <v>4.8000000000000001E-2</v>
      </c>
      <c r="H884">
        <v>-0.121</v>
      </c>
      <c r="I884">
        <v>-30.75</v>
      </c>
      <c r="J884">
        <v>-20.25</v>
      </c>
      <c r="K884">
        <v>-40.125</v>
      </c>
      <c r="L884">
        <v>-32.875</v>
      </c>
      <c r="M884">
        <v>116.25109999999999</v>
      </c>
      <c r="N884">
        <v>69.88</v>
      </c>
      <c r="O884">
        <v>66.260000000000005</v>
      </c>
      <c r="P884">
        <v>4.3099999999999999E-2</v>
      </c>
      <c r="Q884">
        <v>30.67</v>
      </c>
      <c r="R884">
        <v>-41.875</v>
      </c>
    </row>
    <row r="885" spans="1:18" x14ac:dyDescent="0.2">
      <c r="A885" s="1">
        <v>44540</v>
      </c>
      <c r="B885" s="2">
        <v>-1.385</v>
      </c>
      <c r="C885" s="3">
        <v>18.690000000000001</v>
      </c>
      <c r="D885">
        <v>6.9275000000000002</v>
      </c>
      <c r="E885">
        <v>1.4837</v>
      </c>
      <c r="F885">
        <v>0.65429999999999999</v>
      </c>
      <c r="G885">
        <v>0.05</v>
      </c>
      <c r="H885">
        <v>-0.112</v>
      </c>
      <c r="I885">
        <v>-32.375</v>
      </c>
      <c r="J885">
        <v>-19.25</v>
      </c>
      <c r="K885">
        <v>-42.625</v>
      </c>
      <c r="L885">
        <v>-35.75</v>
      </c>
      <c r="M885">
        <v>115.5852</v>
      </c>
      <c r="N885">
        <v>75.150000000000006</v>
      </c>
      <c r="O885">
        <v>71.67</v>
      </c>
      <c r="P885">
        <v>4.82E-2</v>
      </c>
      <c r="Q885">
        <v>18.690000000000001</v>
      </c>
      <c r="R885">
        <v>-45.25</v>
      </c>
    </row>
    <row r="886" spans="1:18" x14ac:dyDescent="0.2">
      <c r="A886" s="1">
        <v>44547</v>
      </c>
      <c r="B886" s="2">
        <v>-1.2375</v>
      </c>
      <c r="C886" s="3">
        <v>21.57</v>
      </c>
      <c r="D886">
        <v>6.4325000000000001</v>
      </c>
      <c r="E886">
        <v>1.4020999999999999</v>
      </c>
      <c r="F886">
        <v>0.63759999999999994</v>
      </c>
      <c r="G886">
        <v>4.3999999999999997E-2</v>
      </c>
      <c r="H886">
        <v>-0.11600000000000001</v>
      </c>
      <c r="I886">
        <v>-30.875</v>
      </c>
      <c r="J886">
        <v>-19.75</v>
      </c>
      <c r="K886">
        <v>-45.3125</v>
      </c>
      <c r="L886">
        <v>-34.75</v>
      </c>
      <c r="M886">
        <v>115.8022</v>
      </c>
      <c r="N886">
        <v>73.52</v>
      </c>
      <c r="O886">
        <v>70.86</v>
      </c>
      <c r="P886">
        <v>3.04E-2</v>
      </c>
      <c r="Q886">
        <v>21.57</v>
      </c>
      <c r="R886">
        <v>-44.625</v>
      </c>
    </row>
    <row r="887" spans="1:18" x14ac:dyDescent="0.2">
      <c r="A887" s="1">
        <v>44554</v>
      </c>
      <c r="B887" s="2">
        <v>-1.02</v>
      </c>
      <c r="C887" s="3">
        <v>17.96</v>
      </c>
      <c r="D887">
        <v>6.09</v>
      </c>
      <c r="E887">
        <v>1.4926999999999999</v>
      </c>
      <c r="F887">
        <v>0.68810000000000004</v>
      </c>
      <c r="G887">
        <v>6.0999999999999999E-2</v>
      </c>
      <c r="H887">
        <v>-9.9000000000000005E-2</v>
      </c>
      <c r="I887">
        <v>-28.375</v>
      </c>
      <c r="J887">
        <v>-18.375</v>
      </c>
      <c r="K887">
        <v>-41.75</v>
      </c>
      <c r="L887">
        <v>-33.625</v>
      </c>
      <c r="M887">
        <v>115.54689999999999</v>
      </c>
      <c r="N887">
        <v>76.14</v>
      </c>
      <c r="O887">
        <v>73.790000000000006</v>
      </c>
      <c r="P887">
        <v>5.5800000000000002E-2</v>
      </c>
      <c r="Q887">
        <v>17.96</v>
      </c>
      <c r="R887">
        <v>-44.625</v>
      </c>
    </row>
    <row r="888" spans="1:18" x14ac:dyDescent="0.2">
      <c r="A888" s="4">
        <v>44561</v>
      </c>
      <c r="B888" s="5">
        <v>-0.90500000000000003</v>
      </c>
      <c r="C888" s="3">
        <v>17.22</v>
      </c>
      <c r="D888">
        <v>5.9275000000000002</v>
      </c>
      <c r="E888">
        <v>1.5101</v>
      </c>
      <c r="F888">
        <v>0.73219999999999996</v>
      </c>
      <c r="G888">
        <v>6.5000000000000002E-2</v>
      </c>
      <c r="H888">
        <v>-9.4E-2</v>
      </c>
      <c r="I888" s="3">
        <v>-29.25</v>
      </c>
      <c r="J888" s="3">
        <v>-18</v>
      </c>
      <c r="K888">
        <v>-39.875</v>
      </c>
      <c r="L888">
        <v>-31.875</v>
      </c>
      <c r="M888">
        <v>115.29689999999999</v>
      </c>
      <c r="N888">
        <v>77.78</v>
      </c>
      <c r="O888">
        <v>75.209999999999994</v>
      </c>
      <c r="P888">
        <v>3.04E-2</v>
      </c>
      <c r="Q888">
        <v>17.22</v>
      </c>
      <c r="R888">
        <v>-43.125</v>
      </c>
    </row>
    <row r="889" spans="1:18" x14ac:dyDescent="0.2">
      <c r="A889" s="1"/>
      <c r="B889" s="2"/>
      <c r="C889" s="4"/>
      <c r="D889" s="1"/>
      <c r="E889" s="1"/>
      <c r="F889" s="1"/>
      <c r="G889" s="1"/>
      <c r="H889" s="1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3B10-41F1-E647-8545-0F1895833E08}">
  <dimension ref="A1:BJ888"/>
  <sheetViews>
    <sheetView tabSelected="1" zoomScale="75" zoomScaleNormal="90" workbookViewId="0">
      <selection activeCell="I2" sqref="I2:I888"/>
    </sheetView>
  </sheetViews>
  <sheetFormatPr baseColWidth="10" defaultRowHeight="15" x14ac:dyDescent="0.2"/>
  <sheetData>
    <row r="1" spans="1:62" x14ac:dyDescent="0.2">
      <c r="A1" s="8" t="s">
        <v>40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90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 t="s">
        <v>63</v>
      </c>
      <c r="AK1" s="8" t="s">
        <v>64</v>
      </c>
      <c r="AL1" s="8" t="s">
        <v>65</v>
      </c>
      <c r="AM1" s="8" t="s">
        <v>66</v>
      </c>
      <c r="AN1" s="8" t="s">
        <v>67</v>
      </c>
      <c r="AO1" s="8" t="s">
        <v>68</v>
      </c>
      <c r="AP1" s="8" t="s">
        <v>69</v>
      </c>
      <c r="AQ1" s="8" t="s">
        <v>70</v>
      </c>
      <c r="AR1" s="8" t="s">
        <v>71</v>
      </c>
      <c r="AS1" s="8" t="s">
        <v>72</v>
      </c>
      <c r="AT1" s="8" t="s">
        <v>73</v>
      </c>
      <c r="AU1" s="8" t="s">
        <v>74</v>
      </c>
      <c r="AV1" s="8" t="s">
        <v>75</v>
      </c>
      <c r="AW1" s="8" t="s">
        <v>76</v>
      </c>
      <c r="AX1" s="8" t="s">
        <v>77</v>
      </c>
      <c r="AY1" s="8" t="s">
        <v>78</v>
      </c>
      <c r="AZ1" s="8" t="s">
        <v>79</v>
      </c>
      <c r="BA1" s="8" t="s">
        <v>80</v>
      </c>
      <c r="BB1" s="8" t="s">
        <v>81</v>
      </c>
      <c r="BC1" s="8" t="s">
        <v>82</v>
      </c>
      <c r="BD1" s="8" t="s">
        <v>83</v>
      </c>
      <c r="BE1" s="8" t="s">
        <v>84</v>
      </c>
      <c r="BF1" s="8" t="s">
        <v>85</v>
      </c>
      <c r="BG1" s="8" t="s">
        <v>86</v>
      </c>
      <c r="BH1" s="8" t="s">
        <v>87</v>
      </c>
      <c r="BI1" s="8" t="s">
        <v>88</v>
      </c>
      <c r="BJ1" s="8" t="s">
        <v>89</v>
      </c>
    </row>
    <row r="2" spans="1:62" x14ac:dyDescent="0.2">
      <c r="A2" s="9">
        <f>data!M3-data!M2</f>
        <v>-0.72820000000000107</v>
      </c>
      <c r="B2" s="9">
        <f>data!C3-data!C2</f>
        <v>-1.0600000000000005</v>
      </c>
      <c r="C2" s="9">
        <f>data!D3-data!D2</f>
        <v>0.44999999999999929</v>
      </c>
      <c r="D2" s="10">
        <f>data!B3-data!B2</f>
        <v>0</v>
      </c>
      <c r="E2" s="9">
        <f>data!E2-data!G2</f>
        <v>2.8650000000000002</v>
      </c>
      <c r="F2" s="9">
        <f>(data!E2-data!F2)-(data!G2-data!H2)</f>
        <v>-0.22509999999999963</v>
      </c>
      <c r="G2" s="9">
        <f>E3-E2</f>
        <v>-4.0000000000000036E-2</v>
      </c>
      <c r="H2" s="9">
        <f>F3-F2</f>
        <v>-8.3300000000000374E-2</v>
      </c>
      <c r="I2" s="9">
        <f>IF(data!M3&gt; 111.81,1,0)</f>
        <v>0</v>
      </c>
      <c r="J2" s="9">
        <f>1-I2</f>
        <v>1</v>
      </c>
      <c r="K2" s="9">
        <f>A2*I2</f>
        <v>0</v>
      </c>
      <c r="L2" s="9">
        <f>A2*J2</f>
        <v>-0.72820000000000107</v>
      </c>
      <c r="M2" s="9">
        <f>data!J2</f>
        <v>-3</v>
      </c>
      <c r="N2" s="9">
        <f>data!I2</f>
        <v>-2.2999999999999998</v>
      </c>
      <c r="O2" s="9">
        <f>data!L2</f>
        <v>-3.1</v>
      </c>
      <c r="P2" s="9">
        <f>data!K2</f>
        <v>-9.35</v>
      </c>
      <c r="Q2" s="9">
        <f>data!R2</f>
        <v>-15.2</v>
      </c>
      <c r="R2" s="9">
        <f>M3-M2</f>
        <v>-0.20000000000000018</v>
      </c>
      <c r="S2" s="9">
        <f>M4-M2</f>
        <v>0.20000000000000018</v>
      </c>
      <c r="T2" s="9">
        <f>M5-M2</f>
        <v>0.10000000000000009</v>
      </c>
      <c r="U2" s="9">
        <f>M6-M2</f>
        <v>0.39999999999999991</v>
      </c>
      <c r="V2" s="9">
        <f>M7-M2</f>
        <v>1.125</v>
      </c>
      <c r="W2" s="9">
        <f>M8-M2</f>
        <v>1.375</v>
      </c>
      <c r="X2" s="9">
        <f>M9-M2</f>
        <v>1</v>
      </c>
      <c r="Y2" s="9">
        <f>M10-M2</f>
        <v>1.4</v>
      </c>
      <c r="Z2" s="9">
        <f>M11-M2</f>
        <v>1.7</v>
      </c>
      <c r="AA2" s="9">
        <f>N3-N2</f>
        <v>-0.10000000000000009</v>
      </c>
      <c r="AB2" s="9">
        <f>N4-N2</f>
        <v>-0.20000000000000018</v>
      </c>
      <c r="AC2" s="9">
        <f>N5-N2</f>
        <v>-0.10000000000000009</v>
      </c>
      <c r="AD2" s="9">
        <f>N6-N2</f>
        <v>-0.10000000000000009</v>
      </c>
      <c r="AE2" s="9">
        <f>N7-N2</f>
        <v>0.19999999999999973</v>
      </c>
      <c r="AF2" s="9">
        <f>N8-N2</f>
        <v>0.67499999999999982</v>
      </c>
      <c r="AG2" s="9">
        <f>N9-N2</f>
        <v>0.59999999999999987</v>
      </c>
      <c r="AH2" s="9">
        <f>N10-N2</f>
        <v>0.59999999999999987</v>
      </c>
      <c r="AI2" s="9">
        <f>N11-N2</f>
        <v>0.79999999999999982</v>
      </c>
      <c r="AJ2" s="9">
        <f>O3-O2</f>
        <v>-0.79999999999999982</v>
      </c>
      <c r="AK2" s="9">
        <f>O4-O2</f>
        <v>-1.4999999999999996</v>
      </c>
      <c r="AL2" s="9">
        <f>O5-O2</f>
        <v>-1.6</v>
      </c>
      <c r="AM2" s="9">
        <f>O6-O2</f>
        <v>-1.4</v>
      </c>
      <c r="AN2" s="9">
        <f>O7-O2</f>
        <v>-0.99999999999999956</v>
      </c>
      <c r="AO2" s="9">
        <f>O8-O2</f>
        <v>-0.39999999999999991</v>
      </c>
      <c r="AP2" s="9">
        <f>O9-O2</f>
        <v>-0.69999999999999973</v>
      </c>
      <c r="AQ2" s="9">
        <f>O10-O2</f>
        <v>-0.79999999999999982</v>
      </c>
      <c r="AR2" s="9">
        <f>O11-O2</f>
        <v>-0.79999999999999982</v>
      </c>
      <c r="AS2" s="9">
        <f>P3 - P2</f>
        <v>-0.90000000000000036</v>
      </c>
      <c r="AT2" s="9">
        <f>P4 - P2</f>
        <v>-1.2000000000000011</v>
      </c>
      <c r="AU2" s="9">
        <f>P5 - P2</f>
        <v>-1.7000000000000011</v>
      </c>
      <c r="AV2" s="9">
        <f>P6 - P2</f>
        <v>-1.4000000000000004</v>
      </c>
      <c r="AW2" s="9">
        <f>P7 - P2</f>
        <v>-0.84999999999999964</v>
      </c>
      <c r="AX2" s="9">
        <f>P8 - P2</f>
        <v>-0.30000000000000071</v>
      </c>
      <c r="AY2" s="9">
        <f>P9 - P2</f>
        <v>-0.59999999999999964</v>
      </c>
      <c r="AZ2" s="9">
        <f>P10 - P2</f>
        <v>-0.59999999999999964</v>
      </c>
      <c r="BA2" s="9">
        <f>P11 - P2</f>
        <v>-0.59999999999999964</v>
      </c>
      <c r="BB2" s="9">
        <f>Q3 - Q2</f>
        <v>-0.80000000000000071</v>
      </c>
      <c r="BC2" s="9">
        <f>Q4 - Q2</f>
        <v>-0.80000000000000071</v>
      </c>
      <c r="BD2" s="9">
        <f>Q5 - Q2</f>
        <v>-1.3000000000000007</v>
      </c>
      <c r="BE2" s="9">
        <f>Q6 - Q2</f>
        <v>-0.5</v>
      </c>
      <c r="BF2" s="9">
        <f>Q7 - Q2</f>
        <v>0.19999999999999929</v>
      </c>
      <c r="BG2" s="9">
        <f>Q8 - Q2</f>
        <v>1</v>
      </c>
      <c r="BH2" s="9">
        <f>Q9 - Q2</f>
        <v>0.69999999999999929</v>
      </c>
      <c r="BI2" s="9">
        <f>Q10 - Q2</f>
        <v>0.39999999999999858</v>
      </c>
      <c r="BJ2" s="9">
        <f>Q11 - Q2</f>
        <v>0.39999999999999858</v>
      </c>
    </row>
    <row r="3" spans="1:62" x14ac:dyDescent="0.2">
      <c r="A3" s="9">
        <f>data!M4-data!M3</f>
        <v>0.10949999999999704</v>
      </c>
      <c r="B3" s="9">
        <f>data!C4-data!C3</f>
        <v>1.9299999999999997</v>
      </c>
      <c r="C3" s="9">
        <f>data!D4-data!D3</f>
        <v>-0.19999999999999929</v>
      </c>
      <c r="D3" s="10">
        <f>data!B4-data!B3</f>
        <v>5.0000000000000044E-2</v>
      </c>
      <c r="E3" s="9">
        <f>data!E3-data!G3</f>
        <v>2.8250000000000002</v>
      </c>
      <c r="F3" s="9">
        <f>(data!E3-data!F3)-(data!G3-data!H3)</f>
        <v>-0.30840000000000001</v>
      </c>
      <c r="G3" s="9">
        <f t="shared" ref="G3:G66" si="0">E4-E3</f>
        <v>-3.0100000000000016E-2</v>
      </c>
      <c r="H3" s="9">
        <f t="shared" ref="H3:H66" si="1">F4-F3</f>
        <v>5.239999999999978E-2</v>
      </c>
      <c r="I3" s="9">
        <f>IF(data!M4&gt; 111.81,1,0)</f>
        <v>0</v>
      </c>
      <c r="J3" s="9">
        <f t="shared" ref="J3:J66" si="2">1-I3</f>
        <v>1</v>
      </c>
      <c r="K3" s="9">
        <f t="shared" ref="K3:K66" si="3">A3*I3</f>
        <v>0</v>
      </c>
      <c r="L3" s="9">
        <f t="shared" ref="L3:L66" si="4">A3*J3</f>
        <v>0.10949999999999704</v>
      </c>
      <c r="M3" s="9">
        <f>data!J3</f>
        <v>-3.2</v>
      </c>
      <c r="N3" s="9">
        <f>data!I3</f>
        <v>-2.4</v>
      </c>
      <c r="O3" s="9">
        <f>data!L3</f>
        <v>-3.9</v>
      </c>
      <c r="P3" s="9">
        <f>data!K3</f>
        <v>-10.25</v>
      </c>
      <c r="Q3" s="9">
        <f>data!R3</f>
        <v>-16</v>
      </c>
      <c r="R3" s="9">
        <f t="shared" ref="R3:R66" si="5">M4-M3</f>
        <v>0.40000000000000036</v>
      </c>
      <c r="S3" s="9">
        <f t="shared" ref="S3:S66" si="6">M5-M3</f>
        <v>0.30000000000000027</v>
      </c>
      <c r="T3" s="9">
        <f t="shared" ref="T3:T66" si="7">M6-M3</f>
        <v>0.60000000000000009</v>
      </c>
      <c r="U3" s="9">
        <f t="shared" ref="U3:U66" si="8">M7-M3</f>
        <v>1.3250000000000002</v>
      </c>
      <c r="V3" s="9">
        <f t="shared" ref="V3:V66" si="9">M8-M3</f>
        <v>1.5750000000000002</v>
      </c>
      <c r="W3" s="9">
        <f t="shared" ref="W3:W66" si="10">M9-M3</f>
        <v>1.2000000000000002</v>
      </c>
      <c r="X3" s="9">
        <f t="shared" ref="X3:X66" si="11">M10-M3</f>
        <v>1.6</v>
      </c>
      <c r="Y3" s="9">
        <f t="shared" ref="Y3:Y66" si="12">M11-M3</f>
        <v>1.9000000000000001</v>
      </c>
      <c r="Z3" s="9">
        <f t="shared" ref="Z3:Z66" si="13">M12-M3</f>
        <v>2.5</v>
      </c>
      <c r="AA3" s="9">
        <f t="shared" ref="AA3:AA66" si="14">N4-N3</f>
        <v>-0.10000000000000009</v>
      </c>
      <c r="AB3" s="9">
        <f t="shared" ref="AB3:AB66" si="15">N5-N3</f>
        <v>0</v>
      </c>
      <c r="AC3" s="9">
        <f t="shared" ref="AC3:AC66" si="16">N6-N3</f>
        <v>0</v>
      </c>
      <c r="AD3" s="9">
        <f t="shared" ref="AD3:AD66" si="17">N7-N3</f>
        <v>0.29999999999999982</v>
      </c>
      <c r="AE3" s="9">
        <f t="shared" ref="AE3:AE66" si="18">N8-N3</f>
        <v>0.77499999999999991</v>
      </c>
      <c r="AF3" s="9">
        <f t="shared" ref="AF3:AF66" si="19">N9-N3</f>
        <v>0.7</v>
      </c>
      <c r="AG3" s="9">
        <f t="shared" ref="AG3:AG66" si="20">N10-N3</f>
        <v>0.7</v>
      </c>
      <c r="AH3" s="9">
        <f t="shared" ref="AH3:AH66" si="21">N11-N3</f>
        <v>0.89999999999999991</v>
      </c>
      <c r="AI3" s="9">
        <f t="shared" ref="AI3:AI66" si="22">N12-N3</f>
        <v>1.5249999999999999</v>
      </c>
      <c r="AJ3" s="9">
        <f t="shared" ref="AJ3:AJ66" si="23">O4-O3</f>
        <v>-0.69999999999999973</v>
      </c>
      <c r="AK3" s="9">
        <f t="shared" ref="AK3:AK66" si="24">O5-O3</f>
        <v>-0.80000000000000027</v>
      </c>
      <c r="AL3" s="9">
        <f t="shared" ref="AL3:AL66" si="25">O6-O3</f>
        <v>-0.60000000000000009</v>
      </c>
      <c r="AM3" s="9">
        <f t="shared" ref="AM3:AM66" si="26">O7-O3</f>
        <v>-0.19999999999999973</v>
      </c>
      <c r="AN3" s="9">
        <f t="shared" ref="AN3:AN66" si="27">O8-O3</f>
        <v>0.39999999999999991</v>
      </c>
      <c r="AO3" s="9">
        <f t="shared" ref="AO3:AO66" si="28">O9-O3</f>
        <v>0.10000000000000009</v>
      </c>
      <c r="AP3" s="9">
        <f t="shared" ref="AP3:AP66" si="29">O10-O3</f>
        <v>0</v>
      </c>
      <c r="AQ3" s="9">
        <f t="shared" ref="AQ3:AQ66" si="30">O11-O3</f>
        <v>0</v>
      </c>
      <c r="AR3" s="9">
        <f t="shared" ref="AR3:AR66" si="31">O12-O3</f>
        <v>0.64999999999999991</v>
      </c>
      <c r="AS3" s="9">
        <f t="shared" ref="AS3:AS66" si="32">P4 - P3</f>
        <v>-0.30000000000000071</v>
      </c>
      <c r="AT3" s="9">
        <f t="shared" ref="AT3:AT66" si="33">P5 - P3</f>
        <v>-0.80000000000000071</v>
      </c>
      <c r="AU3" s="9">
        <f t="shared" ref="AU3:AU66" si="34">P6 - P3</f>
        <v>-0.5</v>
      </c>
      <c r="AV3" s="9">
        <f t="shared" ref="AV3:AV66" si="35">P7 - P3</f>
        <v>5.0000000000000711E-2</v>
      </c>
      <c r="AW3" s="9">
        <f t="shared" ref="AW3:AW66" si="36">P8 - P3</f>
        <v>0.59999999999999964</v>
      </c>
      <c r="AX3" s="9">
        <f t="shared" ref="AX3:AX66" si="37">P9 - P3</f>
        <v>0.30000000000000071</v>
      </c>
      <c r="AY3" s="9">
        <f t="shared" ref="AY3:AY66" si="38">P10 - P3</f>
        <v>0.30000000000000071</v>
      </c>
      <c r="AZ3" s="9">
        <f t="shared" ref="AZ3:AZ66" si="39">P11 - P3</f>
        <v>0.30000000000000071</v>
      </c>
      <c r="BA3" s="9">
        <f t="shared" ref="BA3:BA66" si="40">P12 - P3</f>
        <v>-0.75</v>
      </c>
      <c r="BB3" s="9">
        <f t="shared" ref="BB3:BB66" si="41">Q4 - Q3</f>
        <v>0</v>
      </c>
      <c r="BC3" s="9">
        <f t="shared" ref="BC3:BC66" si="42">Q5 - Q3</f>
        <v>-0.5</v>
      </c>
      <c r="BD3" s="9">
        <f t="shared" ref="BD3:BD66" si="43">Q6 - Q3</f>
        <v>0.30000000000000071</v>
      </c>
      <c r="BE3" s="9">
        <f t="shared" ref="BE3:BE66" si="44">Q7 - Q3</f>
        <v>1</v>
      </c>
      <c r="BF3" s="9">
        <f t="shared" ref="BF3:BF66" si="45">Q8 - Q3</f>
        <v>1.8000000000000007</v>
      </c>
      <c r="BG3" s="9">
        <f t="shared" ref="BG3:BG66" si="46">Q9 - Q3</f>
        <v>1.5</v>
      </c>
      <c r="BH3" s="9">
        <f t="shared" ref="BH3:BH66" si="47">Q10 - Q3</f>
        <v>1.1999999999999993</v>
      </c>
      <c r="BI3" s="9">
        <f t="shared" ref="BI3:BI66" si="48">Q11 - Q3</f>
        <v>1.1999999999999993</v>
      </c>
      <c r="BJ3" s="9">
        <f t="shared" ref="BJ3:BJ66" si="49">Q12 - Q3</f>
        <v>1.5</v>
      </c>
    </row>
    <row r="4" spans="1:62" x14ac:dyDescent="0.2">
      <c r="A4" s="9">
        <f>data!M5-data!M4</f>
        <v>0.31409999999999627</v>
      </c>
      <c r="B4" s="9">
        <f>data!C5-data!C4</f>
        <v>-1.1199999999999992</v>
      </c>
      <c r="C4" s="9">
        <f>data!D5-data!D4</f>
        <v>-0.30000000000000071</v>
      </c>
      <c r="D4" s="10">
        <f>data!B5-data!B4</f>
        <v>4.9999999999999989E-2</v>
      </c>
      <c r="E4" s="9">
        <f>data!E4-data!G4</f>
        <v>2.7949000000000002</v>
      </c>
      <c r="F4" s="9">
        <f>(data!E4-data!F4)-(data!G4-data!H4)</f>
        <v>-0.25600000000000023</v>
      </c>
      <c r="G4" s="9">
        <f t="shared" si="0"/>
        <v>3.9800000000000502E-2</v>
      </c>
      <c r="H4" s="9">
        <f t="shared" si="1"/>
        <v>-7.4399999999999356E-2</v>
      </c>
      <c r="I4" s="9">
        <f>IF(data!M5&gt; 111.81,1,0)</f>
        <v>0</v>
      </c>
      <c r="J4" s="9">
        <f t="shared" si="2"/>
        <v>1</v>
      </c>
      <c r="K4" s="9">
        <f t="shared" si="3"/>
        <v>0</v>
      </c>
      <c r="L4" s="9">
        <f t="shared" si="4"/>
        <v>0.31409999999999627</v>
      </c>
      <c r="M4" s="9">
        <f>data!J4</f>
        <v>-2.8</v>
      </c>
      <c r="N4" s="9">
        <f>data!I4</f>
        <v>-2.5</v>
      </c>
      <c r="O4" s="9">
        <f>data!L4</f>
        <v>-4.5999999999999996</v>
      </c>
      <c r="P4" s="9">
        <f>data!K4</f>
        <v>-10.55</v>
      </c>
      <c r="Q4" s="9">
        <f>data!R4</f>
        <v>-16</v>
      </c>
      <c r="R4" s="9">
        <f t="shared" si="5"/>
        <v>-0.10000000000000009</v>
      </c>
      <c r="S4" s="9">
        <f t="shared" si="6"/>
        <v>0.19999999999999973</v>
      </c>
      <c r="T4" s="9">
        <f t="shared" si="7"/>
        <v>0.92499999999999982</v>
      </c>
      <c r="U4" s="9">
        <f t="shared" si="8"/>
        <v>1.1749999999999998</v>
      </c>
      <c r="V4" s="9">
        <f t="shared" si="9"/>
        <v>0.79999999999999982</v>
      </c>
      <c r="W4" s="9">
        <f t="shared" si="10"/>
        <v>1.1999999999999997</v>
      </c>
      <c r="X4" s="9">
        <f t="shared" si="11"/>
        <v>1.4999999999999998</v>
      </c>
      <c r="Y4" s="9">
        <f t="shared" si="12"/>
        <v>2.0999999999999996</v>
      </c>
      <c r="Z4" s="9">
        <f t="shared" si="13"/>
        <v>2.5999999999999996</v>
      </c>
      <c r="AA4" s="9">
        <f t="shared" si="14"/>
        <v>0.10000000000000009</v>
      </c>
      <c r="AB4" s="9">
        <f t="shared" si="15"/>
        <v>0.10000000000000009</v>
      </c>
      <c r="AC4" s="9">
        <f t="shared" si="16"/>
        <v>0.39999999999999991</v>
      </c>
      <c r="AD4" s="9">
        <f t="shared" si="17"/>
        <v>0.875</v>
      </c>
      <c r="AE4" s="9">
        <f t="shared" si="18"/>
        <v>0.8</v>
      </c>
      <c r="AF4" s="9">
        <f t="shared" si="19"/>
        <v>0.8</v>
      </c>
      <c r="AG4" s="9">
        <f t="shared" si="20"/>
        <v>1</v>
      </c>
      <c r="AH4" s="9">
        <f t="shared" si="21"/>
        <v>1.625</v>
      </c>
      <c r="AI4" s="9">
        <f t="shared" si="22"/>
        <v>1.8</v>
      </c>
      <c r="AJ4" s="9">
        <f t="shared" si="23"/>
        <v>-0.10000000000000053</v>
      </c>
      <c r="AK4" s="9">
        <f t="shared" si="24"/>
        <v>9.9999999999999645E-2</v>
      </c>
      <c r="AL4" s="9">
        <f t="shared" si="25"/>
        <v>0.5</v>
      </c>
      <c r="AM4" s="9">
        <f t="shared" si="26"/>
        <v>1.0999999999999996</v>
      </c>
      <c r="AN4" s="9">
        <f t="shared" si="27"/>
        <v>0.79999999999999982</v>
      </c>
      <c r="AO4" s="9">
        <f t="shared" si="28"/>
        <v>0.69999999999999973</v>
      </c>
      <c r="AP4" s="9">
        <f t="shared" si="29"/>
        <v>0.69999999999999973</v>
      </c>
      <c r="AQ4" s="9">
        <f t="shared" si="30"/>
        <v>1.3499999999999996</v>
      </c>
      <c r="AR4" s="9">
        <f t="shared" si="31"/>
        <v>1.3999999999999995</v>
      </c>
      <c r="AS4" s="9">
        <f t="shared" si="32"/>
        <v>-0.5</v>
      </c>
      <c r="AT4" s="9">
        <f t="shared" si="33"/>
        <v>-0.19999999999999929</v>
      </c>
      <c r="AU4" s="9">
        <f t="shared" si="34"/>
        <v>0.35000000000000142</v>
      </c>
      <c r="AV4" s="9">
        <f t="shared" si="35"/>
        <v>0.90000000000000036</v>
      </c>
      <c r="AW4" s="9">
        <f t="shared" si="36"/>
        <v>0.60000000000000142</v>
      </c>
      <c r="AX4" s="9">
        <f t="shared" si="37"/>
        <v>0.60000000000000142</v>
      </c>
      <c r="AY4" s="9">
        <f t="shared" si="38"/>
        <v>0.60000000000000142</v>
      </c>
      <c r="AZ4" s="9">
        <f t="shared" si="39"/>
        <v>-0.44999999999999929</v>
      </c>
      <c r="BA4" s="9">
        <f t="shared" si="40"/>
        <v>0.85000000000000142</v>
      </c>
      <c r="BB4" s="9">
        <f t="shared" si="41"/>
        <v>-0.5</v>
      </c>
      <c r="BC4" s="9">
        <f t="shared" si="42"/>
        <v>0.30000000000000071</v>
      </c>
      <c r="BD4" s="9">
        <f t="shared" si="43"/>
        <v>1</v>
      </c>
      <c r="BE4" s="9">
        <f t="shared" si="44"/>
        <v>1.8000000000000007</v>
      </c>
      <c r="BF4" s="9">
        <f t="shared" si="45"/>
        <v>1.5</v>
      </c>
      <c r="BG4" s="9">
        <f t="shared" si="46"/>
        <v>1.1999999999999993</v>
      </c>
      <c r="BH4" s="9">
        <f t="shared" si="47"/>
        <v>1.1999999999999993</v>
      </c>
      <c r="BI4" s="9">
        <f t="shared" si="48"/>
        <v>1.5</v>
      </c>
      <c r="BJ4" s="9">
        <f t="shared" si="49"/>
        <v>1.5999999999999996</v>
      </c>
    </row>
    <row r="5" spans="1:62" x14ac:dyDescent="0.2">
      <c r="A5" s="9">
        <f>data!M6-data!M5</f>
        <v>0.12620000000001141</v>
      </c>
      <c r="B5" s="9">
        <f>data!C6-data!C5</f>
        <v>-2.0299999999999994</v>
      </c>
      <c r="C5" s="9">
        <f>data!D6-data!D5</f>
        <v>-0.55000000000000071</v>
      </c>
      <c r="D5" s="10">
        <f>data!B6-data!B5</f>
        <v>0</v>
      </c>
      <c r="E5" s="9">
        <f>data!E5-data!G5</f>
        <v>2.8347000000000007</v>
      </c>
      <c r="F5" s="9">
        <f>(data!E5-data!F5)-(data!G5-data!H5)</f>
        <v>-0.33039999999999958</v>
      </c>
      <c r="G5" s="9">
        <f t="shared" si="0"/>
        <v>-8.0400000000000027E-2</v>
      </c>
      <c r="H5" s="9">
        <f t="shared" si="1"/>
        <v>-0.10610000000000008</v>
      </c>
      <c r="I5" s="9">
        <f>IF(data!M6&gt; 111.81,1,0)</f>
        <v>0</v>
      </c>
      <c r="J5" s="9">
        <f t="shared" si="2"/>
        <v>1</v>
      </c>
      <c r="K5" s="9">
        <f t="shared" si="3"/>
        <v>0</v>
      </c>
      <c r="L5" s="9">
        <f t="shared" si="4"/>
        <v>0.12620000000001141</v>
      </c>
      <c r="M5" s="9">
        <f>data!J5</f>
        <v>-2.9</v>
      </c>
      <c r="N5" s="9">
        <f>data!I5</f>
        <v>-2.4</v>
      </c>
      <c r="O5" s="9">
        <f>data!L5</f>
        <v>-4.7</v>
      </c>
      <c r="P5" s="9">
        <f>data!K5</f>
        <v>-11.05</v>
      </c>
      <c r="Q5" s="9">
        <f>data!R5</f>
        <v>-16.5</v>
      </c>
      <c r="R5" s="9">
        <f t="shared" si="5"/>
        <v>0.29999999999999982</v>
      </c>
      <c r="S5" s="9">
        <f t="shared" si="6"/>
        <v>1.0249999999999999</v>
      </c>
      <c r="T5" s="9">
        <f t="shared" si="7"/>
        <v>1.2749999999999999</v>
      </c>
      <c r="U5" s="9">
        <f t="shared" si="8"/>
        <v>0.89999999999999991</v>
      </c>
      <c r="V5" s="9">
        <f t="shared" si="9"/>
        <v>1.2999999999999998</v>
      </c>
      <c r="W5" s="9">
        <f t="shared" si="10"/>
        <v>1.5999999999999999</v>
      </c>
      <c r="X5" s="9">
        <f t="shared" si="11"/>
        <v>2.2000000000000002</v>
      </c>
      <c r="Y5" s="9">
        <f t="shared" si="12"/>
        <v>2.6999999999999997</v>
      </c>
      <c r="Z5" s="9">
        <f t="shared" si="13"/>
        <v>2.6999999999999997</v>
      </c>
      <c r="AA5" s="9">
        <f t="shared" si="14"/>
        <v>0</v>
      </c>
      <c r="AB5" s="9">
        <f t="shared" si="15"/>
        <v>0.29999999999999982</v>
      </c>
      <c r="AC5" s="9">
        <f t="shared" si="16"/>
        <v>0.77499999999999991</v>
      </c>
      <c r="AD5" s="9">
        <f t="shared" si="17"/>
        <v>0.7</v>
      </c>
      <c r="AE5" s="9">
        <f t="shared" si="18"/>
        <v>0.7</v>
      </c>
      <c r="AF5" s="9">
        <f t="shared" si="19"/>
        <v>0.89999999999999991</v>
      </c>
      <c r="AG5" s="9">
        <f t="shared" si="20"/>
        <v>1.5249999999999999</v>
      </c>
      <c r="AH5" s="9">
        <f t="shared" si="21"/>
        <v>1.7</v>
      </c>
      <c r="AI5" s="9">
        <f t="shared" si="22"/>
        <v>2.1999999999999997</v>
      </c>
      <c r="AJ5" s="9">
        <f t="shared" si="23"/>
        <v>0.20000000000000018</v>
      </c>
      <c r="AK5" s="9">
        <f t="shared" si="24"/>
        <v>0.60000000000000053</v>
      </c>
      <c r="AL5" s="9">
        <f t="shared" si="25"/>
        <v>1.2000000000000002</v>
      </c>
      <c r="AM5" s="9">
        <f t="shared" si="26"/>
        <v>0.90000000000000036</v>
      </c>
      <c r="AN5" s="9">
        <f t="shared" si="27"/>
        <v>0.80000000000000027</v>
      </c>
      <c r="AO5" s="9">
        <f t="shared" si="28"/>
        <v>0.80000000000000027</v>
      </c>
      <c r="AP5" s="9">
        <f t="shared" si="29"/>
        <v>1.4500000000000002</v>
      </c>
      <c r="AQ5" s="9">
        <f t="shared" si="30"/>
        <v>1.5</v>
      </c>
      <c r="AR5" s="9">
        <f t="shared" si="31"/>
        <v>0.70000000000000018</v>
      </c>
      <c r="AS5" s="9">
        <f t="shared" si="32"/>
        <v>0.30000000000000071</v>
      </c>
      <c r="AT5" s="9">
        <f t="shared" si="33"/>
        <v>0.85000000000000142</v>
      </c>
      <c r="AU5" s="9">
        <f t="shared" si="34"/>
        <v>1.4000000000000004</v>
      </c>
      <c r="AV5" s="9">
        <f t="shared" si="35"/>
        <v>1.1000000000000014</v>
      </c>
      <c r="AW5" s="9">
        <f t="shared" si="36"/>
        <v>1.1000000000000014</v>
      </c>
      <c r="AX5" s="9">
        <f t="shared" si="37"/>
        <v>1.1000000000000014</v>
      </c>
      <c r="AY5" s="9">
        <f t="shared" si="38"/>
        <v>5.0000000000000711E-2</v>
      </c>
      <c r="AZ5" s="9">
        <f t="shared" si="39"/>
        <v>1.3500000000000014</v>
      </c>
      <c r="BA5" s="9">
        <f t="shared" si="40"/>
        <v>1.9000000000000004</v>
      </c>
      <c r="BB5" s="9">
        <f t="shared" si="41"/>
        <v>0.80000000000000071</v>
      </c>
      <c r="BC5" s="9">
        <f t="shared" si="42"/>
        <v>1.5</v>
      </c>
      <c r="BD5" s="9">
        <f t="shared" si="43"/>
        <v>2.3000000000000007</v>
      </c>
      <c r="BE5" s="9">
        <f t="shared" si="44"/>
        <v>2</v>
      </c>
      <c r="BF5" s="9">
        <f t="shared" si="45"/>
        <v>1.6999999999999993</v>
      </c>
      <c r="BG5" s="9">
        <f t="shared" si="46"/>
        <v>1.6999999999999993</v>
      </c>
      <c r="BH5" s="9">
        <f t="shared" si="47"/>
        <v>2</v>
      </c>
      <c r="BI5" s="9">
        <f t="shared" si="48"/>
        <v>2.0999999999999996</v>
      </c>
      <c r="BJ5" s="9">
        <f t="shared" si="49"/>
        <v>2.5</v>
      </c>
    </row>
    <row r="6" spans="1:62" x14ac:dyDescent="0.2">
      <c r="A6" s="9">
        <f>data!M7-data!M6</f>
        <v>0.24469999999999459</v>
      </c>
      <c r="B6" s="9">
        <f>data!C7-data!C6</f>
        <v>0.21999999999999886</v>
      </c>
      <c r="C6" s="9">
        <f>data!D7-data!D6</f>
        <v>-9.9999999999999645E-2</v>
      </c>
      <c r="D6" s="10">
        <f>data!B7-data!B6</f>
        <v>-4.9999999999999989E-2</v>
      </c>
      <c r="E6" s="9">
        <f>data!E6-data!G6</f>
        <v>2.7543000000000006</v>
      </c>
      <c r="F6" s="9">
        <f>(data!E6-data!F6)-(data!G6-data!H6)</f>
        <v>-0.43649999999999967</v>
      </c>
      <c r="G6" s="9">
        <f t="shared" si="0"/>
        <v>-6.8900000000001071E-2</v>
      </c>
      <c r="H6" s="9">
        <f t="shared" si="1"/>
        <v>-8.6700000000000665E-2</v>
      </c>
      <c r="I6" s="9">
        <f>IF(data!M7&gt; 111.81,1,0)</f>
        <v>0</v>
      </c>
      <c r="J6" s="9">
        <f t="shared" si="2"/>
        <v>1</v>
      </c>
      <c r="K6" s="9">
        <f t="shared" si="3"/>
        <v>0</v>
      </c>
      <c r="L6" s="9">
        <f t="shared" si="4"/>
        <v>0.24469999999999459</v>
      </c>
      <c r="M6" s="9">
        <f>data!J6</f>
        <v>-2.6</v>
      </c>
      <c r="N6" s="9">
        <f>data!I6</f>
        <v>-2.4</v>
      </c>
      <c r="O6" s="9">
        <f>data!L6</f>
        <v>-4.5</v>
      </c>
      <c r="P6" s="9">
        <f>data!K6</f>
        <v>-10.75</v>
      </c>
      <c r="Q6" s="9">
        <f>data!R6</f>
        <v>-15.7</v>
      </c>
      <c r="R6" s="9">
        <f t="shared" si="5"/>
        <v>0.72500000000000009</v>
      </c>
      <c r="S6" s="9">
        <f t="shared" si="6"/>
        <v>0.97500000000000009</v>
      </c>
      <c r="T6" s="9">
        <f t="shared" si="7"/>
        <v>0.60000000000000009</v>
      </c>
      <c r="U6" s="9">
        <f t="shared" si="8"/>
        <v>1</v>
      </c>
      <c r="V6" s="9">
        <f t="shared" si="9"/>
        <v>1.3</v>
      </c>
      <c r="W6" s="9">
        <f t="shared" si="10"/>
        <v>1.9000000000000001</v>
      </c>
      <c r="X6" s="9">
        <f t="shared" si="11"/>
        <v>2.4</v>
      </c>
      <c r="Y6" s="9">
        <f t="shared" si="12"/>
        <v>2.4</v>
      </c>
      <c r="Z6" s="9">
        <f t="shared" si="13"/>
        <v>2.85</v>
      </c>
      <c r="AA6" s="9">
        <f t="shared" si="14"/>
        <v>0.29999999999999982</v>
      </c>
      <c r="AB6" s="9">
        <f t="shared" si="15"/>
        <v>0.77499999999999991</v>
      </c>
      <c r="AC6" s="9">
        <f t="shared" si="16"/>
        <v>0.7</v>
      </c>
      <c r="AD6" s="9">
        <f t="shared" si="17"/>
        <v>0.7</v>
      </c>
      <c r="AE6" s="9">
        <f t="shared" si="18"/>
        <v>0.89999999999999991</v>
      </c>
      <c r="AF6" s="9">
        <f t="shared" si="19"/>
        <v>1.5249999999999999</v>
      </c>
      <c r="AG6" s="9">
        <f t="shared" si="20"/>
        <v>1.7</v>
      </c>
      <c r="AH6" s="9">
        <f t="shared" si="21"/>
        <v>2.1999999999999997</v>
      </c>
      <c r="AI6" s="9">
        <f t="shared" si="22"/>
        <v>2.15</v>
      </c>
      <c r="AJ6" s="9">
        <f t="shared" si="23"/>
        <v>0.40000000000000036</v>
      </c>
      <c r="AK6" s="9">
        <f t="shared" si="24"/>
        <v>1</v>
      </c>
      <c r="AL6" s="9">
        <f t="shared" si="25"/>
        <v>0.70000000000000018</v>
      </c>
      <c r="AM6" s="9">
        <f t="shared" si="26"/>
        <v>0.60000000000000009</v>
      </c>
      <c r="AN6" s="9">
        <f t="shared" si="27"/>
        <v>0.60000000000000009</v>
      </c>
      <c r="AO6" s="9">
        <f t="shared" si="28"/>
        <v>1.25</v>
      </c>
      <c r="AP6" s="9">
        <f t="shared" si="29"/>
        <v>1.2999999999999998</v>
      </c>
      <c r="AQ6" s="9">
        <f t="shared" si="30"/>
        <v>0.5</v>
      </c>
      <c r="AR6" s="9">
        <f t="shared" si="31"/>
        <v>2</v>
      </c>
      <c r="AS6" s="9">
        <f t="shared" si="32"/>
        <v>0.55000000000000071</v>
      </c>
      <c r="AT6" s="9">
        <f t="shared" si="33"/>
        <v>1.0999999999999996</v>
      </c>
      <c r="AU6" s="9">
        <f t="shared" si="34"/>
        <v>0.80000000000000071</v>
      </c>
      <c r="AV6" s="9">
        <f t="shared" si="35"/>
        <v>0.80000000000000071</v>
      </c>
      <c r="AW6" s="9">
        <f t="shared" si="36"/>
        <v>0.80000000000000071</v>
      </c>
      <c r="AX6" s="9">
        <f t="shared" si="37"/>
        <v>-0.25</v>
      </c>
      <c r="AY6" s="9">
        <f t="shared" si="38"/>
        <v>1.0500000000000007</v>
      </c>
      <c r="AZ6" s="9">
        <f t="shared" si="39"/>
        <v>1.5999999999999996</v>
      </c>
      <c r="BA6" s="9">
        <f t="shared" si="40"/>
        <v>1.6999999999999993</v>
      </c>
      <c r="BB6" s="9">
        <f t="shared" si="41"/>
        <v>0.69999999999999929</v>
      </c>
      <c r="BC6" s="9">
        <f t="shared" si="42"/>
        <v>1.5</v>
      </c>
      <c r="BD6" s="9">
        <f t="shared" si="43"/>
        <v>1.1999999999999993</v>
      </c>
      <c r="BE6" s="9">
        <f t="shared" si="44"/>
        <v>0.89999999999999858</v>
      </c>
      <c r="BF6" s="9">
        <f t="shared" si="45"/>
        <v>0.89999999999999858</v>
      </c>
      <c r="BG6" s="9">
        <f t="shared" si="46"/>
        <v>1.1999999999999993</v>
      </c>
      <c r="BH6" s="9">
        <f t="shared" si="47"/>
        <v>1.2999999999999989</v>
      </c>
      <c r="BI6" s="9">
        <f t="shared" si="48"/>
        <v>1.6999999999999993</v>
      </c>
      <c r="BJ6" s="9">
        <f t="shared" si="49"/>
        <v>2.2999999999999989</v>
      </c>
    </row>
    <row r="7" spans="1:62" x14ac:dyDescent="0.2">
      <c r="A7" s="9">
        <f>data!M8-data!M7</f>
        <v>-0.77639999999999532</v>
      </c>
      <c r="B7" s="9">
        <f>data!C8-data!C7</f>
        <v>-0.25</v>
      </c>
      <c r="C7" s="9">
        <f>data!D8-data!D7</f>
        <v>-4.9999999999998934E-2</v>
      </c>
      <c r="D7" s="10">
        <f>data!B8-data!B7</f>
        <v>0</v>
      </c>
      <c r="E7" s="9">
        <f>data!E7-data!G7</f>
        <v>2.6853999999999996</v>
      </c>
      <c r="F7" s="9">
        <f>(data!E7-data!F7)-(data!G7-data!H7)</f>
        <v>-0.52320000000000033</v>
      </c>
      <c r="G7" s="9">
        <f t="shared" si="0"/>
        <v>0.16510000000000069</v>
      </c>
      <c r="H7" s="9">
        <f t="shared" si="1"/>
        <v>4.770000000000052E-2</v>
      </c>
      <c r="I7" s="9">
        <f>IF(data!M8&gt; 111.81,1,0)</f>
        <v>0</v>
      </c>
      <c r="J7" s="9">
        <f t="shared" si="2"/>
        <v>1</v>
      </c>
      <c r="K7" s="9">
        <f t="shared" si="3"/>
        <v>0</v>
      </c>
      <c r="L7" s="9">
        <f t="shared" si="4"/>
        <v>-0.77639999999999532</v>
      </c>
      <c r="M7" s="9">
        <f>data!J7</f>
        <v>-1.875</v>
      </c>
      <c r="N7" s="9">
        <f>data!I7</f>
        <v>-2.1</v>
      </c>
      <c r="O7" s="9">
        <f>data!L7</f>
        <v>-4.0999999999999996</v>
      </c>
      <c r="P7" s="9">
        <f>data!K7</f>
        <v>-10.199999999999999</v>
      </c>
      <c r="Q7" s="9">
        <f>data!R7</f>
        <v>-15</v>
      </c>
      <c r="R7" s="9">
        <f t="shared" si="5"/>
        <v>0.25</v>
      </c>
      <c r="S7" s="9">
        <f t="shared" si="6"/>
        <v>-0.125</v>
      </c>
      <c r="T7" s="9">
        <f t="shared" si="7"/>
        <v>0.27499999999999991</v>
      </c>
      <c r="U7" s="9">
        <f t="shared" si="8"/>
        <v>0.57499999999999996</v>
      </c>
      <c r="V7" s="9">
        <f t="shared" si="9"/>
        <v>1.175</v>
      </c>
      <c r="W7" s="9">
        <f t="shared" si="10"/>
        <v>1.675</v>
      </c>
      <c r="X7" s="9">
        <f t="shared" si="11"/>
        <v>1.675</v>
      </c>
      <c r="Y7" s="9">
        <f t="shared" si="12"/>
        <v>2.125</v>
      </c>
      <c r="Z7" s="9">
        <f t="shared" si="13"/>
        <v>1.675</v>
      </c>
      <c r="AA7" s="9">
        <f t="shared" si="14"/>
        <v>0.47500000000000009</v>
      </c>
      <c r="AB7" s="9">
        <f t="shared" si="15"/>
        <v>0.40000000000000013</v>
      </c>
      <c r="AC7" s="9">
        <f t="shared" si="16"/>
        <v>0.40000000000000013</v>
      </c>
      <c r="AD7" s="9">
        <f t="shared" si="17"/>
        <v>0.60000000000000009</v>
      </c>
      <c r="AE7" s="9">
        <f t="shared" si="18"/>
        <v>1.2250000000000001</v>
      </c>
      <c r="AF7" s="9">
        <f t="shared" si="19"/>
        <v>1.4000000000000001</v>
      </c>
      <c r="AG7" s="9">
        <f t="shared" si="20"/>
        <v>1.9000000000000001</v>
      </c>
      <c r="AH7" s="9">
        <f t="shared" si="21"/>
        <v>1.85</v>
      </c>
      <c r="AI7" s="9">
        <f t="shared" si="22"/>
        <v>1.6</v>
      </c>
      <c r="AJ7" s="9">
        <f t="shared" si="23"/>
        <v>0.59999999999999964</v>
      </c>
      <c r="AK7" s="9">
        <f t="shared" si="24"/>
        <v>0.29999999999999982</v>
      </c>
      <c r="AL7" s="9">
        <f t="shared" si="25"/>
        <v>0.19999999999999973</v>
      </c>
      <c r="AM7" s="9">
        <f t="shared" si="26"/>
        <v>0.19999999999999973</v>
      </c>
      <c r="AN7" s="9">
        <f t="shared" si="27"/>
        <v>0.84999999999999964</v>
      </c>
      <c r="AO7" s="9">
        <f t="shared" si="28"/>
        <v>0.89999999999999947</v>
      </c>
      <c r="AP7" s="9">
        <f t="shared" si="29"/>
        <v>9.9999999999999645E-2</v>
      </c>
      <c r="AQ7" s="9">
        <f t="shared" si="30"/>
        <v>1.5999999999999996</v>
      </c>
      <c r="AR7" s="9">
        <f t="shared" si="31"/>
        <v>2.0999999999999996</v>
      </c>
      <c r="AS7" s="9">
        <f t="shared" si="32"/>
        <v>0.54999999999999893</v>
      </c>
      <c r="AT7" s="9">
        <f t="shared" si="33"/>
        <v>0.25</v>
      </c>
      <c r="AU7" s="9">
        <f t="shared" si="34"/>
        <v>0.25</v>
      </c>
      <c r="AV7" s="9">
        <f t="shared" si="35"/>
        <v>0.25</v>
      </c>
      <c r="AW7" s="9">
        <f t="shared" si="36"/>
        <v>-0.80000000000000071</v>
      </c>
      <c r="AX7" s="9">
        <f t="shared" si="37"/>
        <v>0.5</v>
      </c>
      <c r="AY7" s="9">
        <f t="shared" si="38"/>
        <v>1.0499999999999989</v>
      </c>
      <c r="AZ7" s="9">
        <f t="shared" si="39"/>
        <v>1.1499999999999986</v>
      </c>
      <c r="BA7" s="9">
        <f t="shared" si="40"/>
        <v>1.9499999999999993</v>
      </c>
      <c r="BB7" s="9">
        <f t="shared" si="41"/>
        <v>0.80000000000000071</v>
      </c>
      <c r="BC7" s="9">
        <f t="shared" si="42"/>
        <v>0.5</v>
      </c>
      <c r="BD7" s="9">
        <f t="shared" si="43"/>
        <v>0.19999999999999929</v>
      </c>
      <c r="BE7" s="9">
        <f t="shared" si="44"/>
        <v>0.19999999999999929</v>
      </c>
      <c r="BF7" s="9">
        <f t="shared" si="45"/>
        <v>0.5</v>
      </c>
      <c r="BG7" s="9">
        <f t="shared" si="46"/>
        <v>0.59999999999999964</v>
      </c>
      <c r="BH7" s="9">
        <f t="shared" si="47"/>
        <v>1</v>
      </c>
      <c r="BI7" s="9">
        <f t="shared" si="48"/>
        <v>1.5999999999999996</v>
      </c>
      <c r="BJ7" s="9">
        <f t="shared" si="49"/>
        <v>2.1999999999999993</v>
      </c>
    </row>
    <row r="8" spans="1:62" x14ac:dyDescent="0.2">
      <c r="A8" s="9">
        <f>data!M9-data!M8</f>
        <v>-0.15109999999999957</v>
      </c>
      <c r="B8" s="9">
        <f>data!C9-data!C8</f>
        <v>0.3100000000000005</v>
      </c>
      <c r="C8" s="9">
        <f>data!D9-data!D8</f>
        <v>-0.10000000000000142</v>
      </c>
      <c r="D8" s="10">
        <f>data!B9-data!B8</f>
        <v>-5.0000000000000044E-2</v>
      </c>
      <c r="E8" s="9">
        <f>data!E8-data!G8</f>
        <v>2.8505000000000003</v>
      </c>
      <c r="F8" s="9">
        <f>(data!E8-data!F8)-(data!G8-data!H8)</f>
        <v>-0.47549999999999981</v>
      </c>
      <c r="G8" s="9">
        <f t="shared" si="0"/>
        <v>-1.1700000000000266E-2</v>
      </c>
      <c r="H8" s="9">
        <f t="shared" si="1"/>
        <v>-9.260000000000046E-2</v>
      </c>
      <c r="I8" s="9">
        <f>IF(data!M9&gt; 111.81,1,0)</f>
        <v>0</v>
      </c>
      <c r="J8" s="9">
        <f t="shared" si="2"/>
        <v>1</v>
      </c>
      <c r="K8" s="9">
        <f t="shared" si="3"/>
        <v>0</v>
      </c>
      <c r="L8" s="9">
        <f t="shared" si="4"/>
        <v>-0.15109999999999957</v>
      </c>
      <c r="M8" s="9">
        <f>data!J8</f>
        <v>-1.625</v>
      </c>
      <c r="N8" s="9">
        <f>data!I8</f>
        <v>-1.625</v>
      </c>
      <c r="O8" s="9">
        <f>data!L8</f>
        <v>-3.5</v>
      </c>
      <c r="P8" s="9">
        <f>data!K8</f>
        <v>-9.65</v>
      </c>
      <c r="Q8" s="9">
        <f>data!R8</f>
        <v>-14.2</v>
      </c>
      <c r="R8" s="9">
        <f t="shared" si="5"/>
        <v>-0.375</v>
      </c>
      <c r="S8" s="9">
        <f t="shared" si="6"/>
        <v>2.4999999999999911E-2</v>
      </c>
      <c r="T8" s="9">
        <f t="shared" si="7"/>
        <v>0.32499999999999996</v>
      </c>
      <c r="U8" s="9">
        <f t="shared" si="8"/>
        <v>0.92500000000000004</v>
      </c>
      <c r="V8" s="9">
        <f t="shared" si="9"/>
        <v>1.425</v>
      </c>
      <c r="W8" s="9">
        <f t="shared" si="10"/>
        <v>1.425</v>
      </c>
      <c r="X8" s="9">
        <f t="shared" si="11"/>
        <v>1.875</v>
      </c>
      <c r="Y8" s="9">
        <f t="shared" si="12"/>
        <v>1.425</v>
      </c>
      <c r="Z8" s="9">
        <f t="shared" si="13"/>
        <v>1.5249999999999999</v>
      </c>
      <c r="AA8" s="9">
        <f t="shared" si="14"/>
        <v>-7.4999999999999956E-2</v>
      </c>
      <c r="AB8" s="9">
        <f t="shared" si="15"/>
        <v>-7.4999999999999956E-2</v>
      </c>
      <c r="AC8" s="9">
        <f t="shared" si="16"/>
        <v>0.125</v>
      </c>
      <c r="AD8" s="9">
        <f t="shared" si="17"/>
        <v>0.75</v>
      </c>
      <c r="AE8" s="9">
        <f t="shared" si="18"/>
        <v>0.92500000000000004</v>
      </c>
      <c r="AF8" s="9">
        <f t="shared" si="19"/>
        <v>1.425</v>
      </c>
      <c r="AG8" s="9">
        <f t="shared" si="20"/>
        <v>1.375</v>
      </c>
      <c r="AH8" s="9">
        <f t="shared" si="21"/>
        <v>1.125</v>
      </c>
      <c r="AI8" s="9">
        <f t="shared" si="22"/>
        <v>1.425</v>
      </c>
      <c r="AJ8" s="9">
        <f t="shared" si="23"/>
        <v>-0.29999999999999982</v>
      </c>
      <c r="AK8" s="9">
        <f t="shared" si="24"/>
        <v>-0.39999999999999991</v>
      </c>
      <c r="AL8" s="9">
        <f t="shared" si="25"/>
        <v>-0.39999999999999991</v>
      </c>
      <c r="AM8" s="9">
        <f t="shared" si="26"/>
        <v>0.25</v>
      </c>
      <c r="AN8" s="9">
        <f t="shared" si="27"/>
        <v>0.29999999999999982</v>
      </c>
      <c r="AO8" s="9">
        <f t="shared" si="28"/>
        <v>-0.5</v>
      </c>
      <c r="AP8" s="9">
        <f t="shared" si="29"/>
        <v>1</v>
      </c>
      <c r="AQ8" s="9">
        <f t="shared" si="30"/>
        <v>1.5</v>
      </c>
      <c r="AR8" s="9">
        <f t="shared" si="31"/>
        <v>1.6</v>
      </c>
      <c r="AS8" s="9">
        <f t="shared" si="32"/>
        <v>-0.29999999999999893</v>
      </c>
      <c r="AT8" s="9">
        <f t="shared" si="33"/>
        <v>-0.29999999999999893</v>
      </c>
      <c r="AU8" s="9">
        <f t="shared" si="34"/>
        <v>-0.29999999999999893</v>
      </c>
      <c r="AV8" s="9">
        <f t="shared" si="35"/>
        <v>-1.3499999999999996</v>
      </c>
      <c r="AW8" s="9">
        <f t="shared" si="36"/>
        <v>-4.9999999999998934E-2</v>
      </c>
      <c r="AX8" s="9">
        <f t="shared" si="37"/>
        <v>0.5</v>
      </c>
      <c r="AY8" s="9">
        <f t="shared" si="38"/>
        <v>0.59999999999999964</v>
      </c>
      <c r="AZ8" s="9">
        <f t="shared" si="39"/>
        <v>1.4000000000000004</v>
      </c>
      <c r="BA8" s="9">
        <f t="shared" si="40"/>
        <v>0.90000000000000036</v>
      </c>
      <c r="BB8" s="9">
        <f t="shared" si="41"/>
        <v>-0.30000000000000071</v>
      </c>
      <c r="BC8" s="9">
        <f t="shared" si="42"/>
        <v>-0.60000000000000142</v>
      </c>
      <c r="BD8" s="9">
        <f t="shared" si="43"/>
        <v>-0.60000000000000142</v>
      </c>
      <c r="BE8" s="9">
        <f t="shared" si="44"/>
        <v>-0.30000000000000071</v>
      </c>
      <c r="BF8" s="9">
        <f t="shared" si="45"/>
        <v>-0.20000000000000107</v>
      </c>
      <c r="BG8" s="9">
        <f t="shared" si="46"/>
        <v>0.19999999999999929</v>
      </c>
      <c r="BH8" s="9">
        <f t="shared" si="47"/>
        <v>0.79999999999999893</v>
      </c>
      <c r="BI8" s="9">
        <f t="shared" si="48"/>
        <v>1.3999999999999986</v>
      </c>
      <c r="BJ8" s="9">
        <f t="shared" si="49"/>
        <v>1.5</v>
      </c>
    </row>
    <row r="9" spans="1:62" x14ac:dyDescent="0.2">
      <c r="A9" s="9">
        <f>data!M10-data!M9</f>
        <v>-0.31470000000000198</v>
      </c>
      <c r="B9" s="9">
        <f>data!C10-data!C9</f>
        <v>0.44999999999999929</v>
      </c>
      <c r="C9" s="9">
        <f>data!D10-data!D9</f>
        <v>0.10000000000000142</v>
      </c>
      <c r="D9" s="10">
        <f>data!B10-data!B9</f>
        <v>0</v>
      </c>
      <c r="E9" s="9">
        <f>data!E9-data!G9</f>
        <v>2.8388</v>
      </c>
      <c r="F9" s="9">
        <f>(data!E9-data!F9)-(data!G9-data!H9)</f>
        <v>-0.56810000000000027</v>
      </c>
      <c r="G9" s="9">
        <f t="shared" si="0"/>
        <v>-5.0200000000000244E-2</v>
      </c>
      <c r="H9" s="9">
        <f t="shared" si="1"/>
        <v>-6.9299999999999695E-2</v>
      </c>
      <c r="I9" s="9">
        <f>IF(data!M10&gt; 111.81,1,0)</f>
        <v>0</v>
      </c>
      <c r="J9" s="9">
        <f t="shared" si="2"/>
        <v>1</v>
      </c>
      <c r="K9" s="9">
        <f t="shared" si="3"/>
        <v>0</v>
      </c>
      <c r="L9" s="9">
        <f t="shared" si="4"/>
        <v>-0.31470000000000198</v>
      </c>
      <c r="M9" s="9">
        <f>data!J9</f>
        <v>-2</v>
      </c>
      <c r="N9" s="9">
        <f>data!I9</f>
        <v>-1.7</v>
      </c>
      <c r="O9" s="9">
        <f>data!L9</f>
        <v>-3.8</v>
      </c>
      <c r="P9" s="9">
        <f>data!K9</f>
        <v>-9.9499999999999993</v>
      </c>
      <c r="Q9" s="9">
        <f>data!R9</f>
        <v>-14.5</v>
      </c>
      <c r="R9" s="9">
        <f t="shared" si="5"/>
        <v>0.39999999999999991</v>
      </c>
      <c r="S9" s="9">
        <f t="shared" si="6"/>
        <v>0.7</v>
      </c>
      <c r="T9" s="9">
        <f t="shared" si="7"/>
        <v>1.3</v>
      </c>
      <c r="U9" s="9">
        <f t="shared" si="8"/>
        <v>1.8</v>
      </c>
      <c r="V9" s="9">
        <f t="shared" si="9"/>
        <v>1.8</v>
      </c>
      <c r="W9" s="9">
        <f t="shared" si="10"/>
        <v>2.25</v>
      </c>
      <c r="X9" s="9">
        <f t="shared" si="11"/>
        <v>1.8</v>
      </c>
      <c r="Y9" s="9">
        <f t="shared" si="12"/>
        <v>1.9</v>
      </c>
      <c r="Z9" s="9">
        <f t="shared" si="13"/>
        <v>1.75</v>
      </c>
      <c r="AA9" s="9">
        <f t="shared" si="14"/>
        <v>0</v>
      </c>
      <c r="AB9" s="9">
        <f t="shared" si="15"/>
        <v>0.19999999999999996</v>
      </c>
      <c r="AC9" s="9">
        <f t="shared" si="16"/>
        <v>0.82499999999999996</v>
      </c>
      <c r="AD9" s="9">
        <f t="shared" si="17"/>
        <v>1</v>
      </c>
      <c r="AE9" s="9">
        <f t="shared" si="18"/>
        <v>1.5</v>
      </c>
      <c r="AF9" s="9">
        <f t="shared" si="19"/>
        <v>1.45</v>
      </c>
      <c r="AG9" s="9">
        <f t="shared" si="20"/>
        <v>1.2</v>
      </c>
      <c r="AH9" s="9">
        <f t="shared" si="21"/>
        <v>1.5</v>
      </c>
      <c r="AI9" s="9">
        <f t="shared" si="22"/>
        <v>1.4</v>
      </c>
      <c r="AJ9" s="9">
        <f t="shared" si="23"/>
        <v>-0.10000000000000009</v>
      </c>
      <c r="AK9" s="9">
        <f t="shared" si="24"/>
        <v>-0.10000000000000009</v>
      </c>
      <c r="AL9" s="9">
        <f t="shared" si="25"/>
        <v>0.54999999999999982</v>
      </c>
      <c r="AM9" s="9">
        <f t="shared" si="26"/>
        <v>0.59999999999999964</v>
      </c>
      <c r="AN9" s="9">
        <f t="shared" si="27"/>
        <v>-0.20000000000000018</v>
      </c>
      <c r="AO9" s="9">
        <f t="shared" si="28"/>
        <v>1.2999999999999998</v>
      </c>
      <c r="AP9" s="9">
        <f t="shared" si="29"/>
        <v>1.7999999999999998</v>
      </c>
      <c r="AQ9" s="9">
        <f t="shared" si="30"/>
        <v>1.9</v>
      </c>
      <c r="AR9" s="9">
        <f t="shared" si="31"/>
        <v>1.9999999999999998</v>
      </c>
      <c r="AS9" s="9">
        <f t="shared" si="32"/>
        <v>0</v>
      </c>
      <c r="AT9" s="9">
        <f t="shared" si="33"/>
        <v>0</v>
      </c>
      <c r="AU9" s="9">
        <f t="shared" si="34"/>
        <v>-1.0500000000000007</v>
      </c>
      <c r="AV9" s="9">
        <f t="shared" si="35"/>
        <v>0.25</v>
      </c>
      <c r="AW9" s="9">
        <f t="shared" si="36"/>
        <v>0.79999999999999893</v>
      </c>
      <c r="AX9" s="9">
        <f t="shared" si="37"/>
        <v>0.89999999999999858</v>
      </c>
      <c r="AY9" s="9">
        <f t="shared" si="38"/>
        <v>1.6999999999999993</v>
      </c>
      <c r="AZ9" s="9">
        <f t="shared" si="39"/>
        <v>1.1999999999999993</v>
      </c>
      <c r="BA9" s="9">
        <f t="shared" si="40"/>
        <v>2.0499999999999989</v>
      </c>
      <c r="BB9" s="9">
        <f t="shared" si="41"/>
        <v>-0.30000000000000071</v>
      </c>
      <c r="BC9" s="9">
        <f t="shared" si="42"/>
        <v>-0.30000000000000071</v>
      </c>
      <c r="BD9" s="9">
        <f t="shared" si="43"/>
        <v>0</v>
      </c>
      <c r="BE9" s="9">
        <f t="shared" si="44"/>
        <v>9.9999999999999645E-2</v>
      </c>
      <c r="BF9" s="9">
        <f t="shared" si="45"/>
        <v>0.5</v>
      </c>
      <c r="BG9" s="9">
        <f t="shared" si="46"/>
        <v>1.0999999999999996</v>
      </c>
      <c r="BH9" s="9">
        <f t="shared" si="47"/>
        <v>1.6999999999999993</v>
      </c>
      <c r="BI9" s="9">
        <f t="shared" si="48"/>
        <v>1.8000000000000007</v>
      </c>
      <c r="BJ9" s="9">
        <f t="shared" si="49"/>
        <v>1.8000000000000007</v>
      </c>
    </row>
    <row r="10" spans="1:62" x14ac:dyDescent="0.2">
      <c r="A10" s="9">
        <f>data!M11-data!M10</f>
        <v>-0.93040000000000589</v>
      </c>
      <c r="B10" s="9">
        <f>data!C11-data!C10</f>
        <v>0.86000000000000121</v>
      </c>
      <c r="C10" s="9">
        <f>data!D11-data!D10</f>
        <v>9.9999999999999645E-2</v>
      </c>
      <c r="D10" s="10">
        <f>data!B11-data!B10</f>
        <v>-9.9999999999999978E-2</v>
      </c>
      <c r="E10" s="9">
        <f>data!E10-data!G10</f>
        <v>2.7885999999999997</v>
      </c>
      <c r="F10" s="9">
        <f>(data!E10-data!F10)-(data!G10-data!H10)</f>
        <v>-0.63739999999999997</v>
      </c>
      <c r="G10" s="9">
        <f t="shared" si="0"/>
        <v>0.27370000000000028</v>
      </c>
      <c r="H10" s="9">
        <f t="shared" si="1"/>
        <v>0.1086999999999998</v>
      </c>
      <c r="I10" s="9">
        <f>IF(data!M11&gt; 111.81,1,0)</f>
        <v>0</v>
      </c>
      <c r="J10" s="9">
        <f t="shared" si="2"/>
        <v>1</v>
      </c>
      <c r="K10" s="9">
        <f t="shared" si="3"/>
        <v>0</v>
      </c>
      <c r="L10" s="9">
        <f t="shared" si="4"/>
        <v>-0.93040000000000589</v>
      </c>
      <c r="M10" s="9">
        <f>data!J10</f>
        <v>-1.6</v>
      </c>
      <c r="N10" s="9">
        <f>data!I10</f>
        <v>-1.7</v>
      </c>
      <c r="O10" s="9">
        <f>data!L10</f>
        <v>-3.9</v>
      </c>
      <c r="P10" s="9">
        <f>data!K10</f>
        <v>-9.9499999999999993</v>
      </c>
      <c r="Q10" s="9">
        <f>data!R10</f>
        <v>-14.8</v>
      </c>
      <c r="R10" s="9">
        <f t="shared" si="5"/>
        <v>0.30000000000000004</v>
      </c>
      <c r="S10" s="9">
        <f t="shared" si="6"/>
        <v>0.90000000000000013</v>
      </c>
      <c r="T10" s="9">
        <f t="shared" si="7"/>
        <v>1.4000000000000001</v>
      </c>
      <c r="U10" s="9">
        <f t="shared" si="8"/>
        <v>1.4000000000000001</v>
      </c>
      <c r="V10" s="9">
        <f t="shared" si="9"/>
        <v>1.85</v>
      </c>
      <c r="W10" s="9">
        <f t="shared" si="10"/>
        <v>1.4000000000000001</v>
      </c>
      <c r="X10" s="9">
        <f t="shared" si="11"/>
        <v>1.5</v>
      </c>
      <c r="Y10" s="9">
        <f t="shared" si="12"/>
        <v>1.35</v>
      </c>
      <c r="Z10" s="9">
        <f t="shared" si="13"/>
        <v>1.3</v>
      </c>
      <c r="AA10" s="9">
        <f t="shared" si="14"/>
        <v>0.19999999999999996</v>
      </c>
      <c r="AB10" s="9">
        <f t="shared" si="15"/>
        <v>0.82499999999999996</v>
      </c>
      <c r="AC10" s="9">
        <f t="shared" si="16"/>
        <v>1</v>
      </c>
      <c r="AD10" s="9">
        <f t="shared" si="17"/>
        <v>1.5</v>
      </c>
      <c r="AE10" s="9">
        <f t="shared" si="18"/>
        <v>1.45</v>
      </c>
      <c r="AF10" s="9">
        <f t="shared" si="19"/>
        <v>1.2</v>
      </c>
      <c r="AG10" s="9">
        <f t="shared" si="20"/>
        <v>1.5</v>
      </c>
      <c r="AH10" s="9">
        <f t="shared" si="21"/>
        <v>1.4</v>
      </c>
      <c r="AI10" s="9">
        <f t="shared" si="22"/>
        <v>1.4</v>
      </c>
      <c r="AJ10" s="9">
        <f t="shared" si="23"/>
        <v>0</v>
      </c>
      <c r="AK10" s="9">
        <f t="shared" si="24"/>
        <v>0.64999999999999991</v>
      </c>
      <c r="AL10" s="9">
        <f t="shared" si="25"/>
        <v>0.69999999999999973</v>
      </c>
      <c r="AM10" s="9">
        <f t="shared" si="26"/>
        <v>-0.10000000000000009</v>
      </c>
      <c r="AN10" s="9">
        <f t="shared" si="27"/>
        <v>1.4</v>
      </c>
      <c r="AO10" s="9">
        <f t="shared" si="28"/>
        <v>1.9</v>
      </c>
      <c r="AP10" s="9">
        <f t="shared" si="29"/>
        <v>2</v>
      </c>
      <c r="AQ10" s="9">
        <f t="shared" si="30"/>
        <v>2.0999999999999996</v>
      </c>
      <c r="AR10" s="9">
        <f t="shared" si="31"/>
        <v>2.0999999999999996</v>
      </c>
      <c r="AS10" s="9">
        <f t="shared" si="32"/>
        <v>0</v>
      </c>
      <c r="AT10" s="9">
        <f t="shared" si="33"/>
        <v>-1.0500000000000007</v>
      </c>
      <c r="AU10" s="9">
        <f t="shared" si="34"/>
        <v>0.25</v>
      </c>
      <c r="AV10" s="9">
        <f t="shared" si="35"/>
        <v>0.79999999999999893</v>
      </c>
      <c r="AW10" s="9">
        <f t="shared" si="36"/>
        <v>0.89999999999999858</v>
      </c>
      <c r="AX10" s="9">
        <f t="shared" si="37"/>
        <v>1.6999999999999993</v>
      </c>
      <c r="AY10" s="9">
        <f t="shared" si="38"/>
        <v>1.1999999999999993</v>
      </c>
      <c r="AZ10" s="9">
        <f t="shared" si="39"/>
        <v>2.0499999999999989</v>
      </c>
      <c r="BA10" s="9">
        <f t="shared" si="40"/>
        <v>2.2499999999999991</v>
      </c>
      <c r="BB10" s="9">
        <f t="shared" si="41"/>
        <v>0</v>
      </c>
      <c r="BC10" s="9">
        <f t="shared" si="42"/>
        <v>0.30000000000000071</v>
      </c>
      <c r="BD10" s="9">
        <f t="shared" si="43"/>
        <v>0.40000000000000036</v>
      </c>
      <c r="BE10" s="9">
        <f t="shared" si="44"/>
        <v>0.80000000000000071</v>
      </c>
      <c r="BF10" s="9">
        <f t="shared" si="45"/>
        <v>1.4000000000000004</v>
      </c>
      <c r="BG10" s="9">
        <f t="shared" si="46"/>
        <v>2</v>
      </c>
      <c r="BH10" s="9">
        <f t="shared" si="47"/>
        <v>2.1000000000000014</v>
      </c>
      <c r="BI10" s="9">
        <f t="shared" si="48"/>
        <v>2.1000000000000014</v>
      </c>
      <c r="BJ10" s="9">
        <f t="shared" si="49"/>
        <v>2.3000000000000007</v>
      </c>
    </row>
    <row r="11" spans="1:62" x14ac:dyDescent="0.2">
      <c r="A11" s="9">
        <f>data!M12-data!M11</f>
        <v>0.55859999999999843</v>
      </c>
      <c r="B11" s="9">
        <f>data!C12-data!C11</f>
        <v>0.33999999999999986</v>
      </c>
      <c r="C11" s="9">
        <f>data!D12-data!D11</f>
        <v>-9.9999999999999645E-2</v>
      </c>
      <c r="D11" s="10">
        <f>data!B12-data!B11</f>
        <v>0</v>
      </c>
      <c r="E11" s="9">
        <f>data!E11-data!G11</f>
        <v>3.0623</v>
      </c>
      <c r="F11" s="9">
        <f>(data!E11-data!F11)-(data!G11-data!H11)</f>
        <v>-0.52870000000000017</v>
      </c>
      <c r="G11" s="9">
        <f t="shared" si="0"/>
        <v>2.4299999999999766E-2</v>
      </c>
      <c r="H11" s="9">
        <f t="shared" si="1"/>
        <v>3.0599999999999739E-2</v>
      </c>
      <c r="I11" s="9">
        <f>IF(data!M12&gt; 111.81,1,0)</f>
        <v>0</v>
      </c>
      <c r="J11" s="9">
        <f t="shared" si="2"/>
        <v>1</v>
      </c>
      <c r="K11" s="9">
        <f t="shared" si="3"/>
        <v>0</v>
      </c>
      <c r="L11" s="9">
        <f t="shared" si="4"/>
        <v>0.55859999999999843</v>
      </c>
      <c r="M11" s="9">
        <f>data!J11</f>
        <v>-1.3</v>
      </c>
      <c r="N11" s="9">
        <f>data!I11</f>
        <v>-1.5</v>
      </c>
      <c r="O11" s="9">
        <f>data!L11</f>
        <v>-3.9</v>
      </c>
      <c r="P11" s="9">
        <f>data!K11</f>
        <v>-9.9499999999999993</v>
      </c>
      <c r="Q11" s="9">
        <f>data!R11</f>
        <v>-14.8</v>
      </c>
      <c r="R11" s="9">
        <f t="shared" si="5"/>
        <v>0.60000000000000009</v>
      </c>
      <c r="S11" s="9">
        <f t="shared" si="6"/>
        <v>1.1000000000000001</v>
      </c>
      <c r="T11" s="9">
        <f t="shared" si="7"/>
        <v>1.1000000000000001</v>
      </c>
      <c r="U11" s="9">
        <f t="shared" si="8"/>
        <v>1.55</v>
      </c>
      <c r="V11" s="9">
        <f t="shared" si="9"/>
        <v>1.1000000000000001</v>
      </c>
      <c r="W11" s="9">
        <f t="shared" si="10"/>
        <v>1.2</v>
      </c>
      <c r="X11" s="9">
        <f t="shared" si="11"/>
        <v>1.05</v>
      </c>
      <c r="Y11" s="9">
        <f t="shared" si="12"/>
        <v>1</v>
      </c>
      <c r="Z11" s="9">
        <f t="shared" si="13"/>
        <v>1</v>
      </c>
      <c r="AA11" s="9">
        <f t="shared" si="14"/>
        <v>0.625</v>
      </c>
      <c r="AB11" s="9">
        <f t="shared" si="15"/>
        <v>0.8</v>
      </c>
      <c r="AC11" s="9">
        <f t="shared" si="16"/>
        <v>1.3</v>
      </c>
      <c r="AD11" s="9">
        <f t="shared" si="17"/>
        <v>1.25</v>
      </c>
      <c r="AE11" s="9">
        <f t="shared" si="18"/>
        <v>1</v>
      </c>
      <c r="AF11" s="9">
        <f t="shared" si="19"/>
        <v>1.3</v>
      </c>
      <c r="AG11" s="9">
        <f t="shared" si="20"/>
        <v>1.2</v>
      </c>
      <c r="AH11" s="9">
        <f t="shared" si="21"/>
        <v>1.2</v>
      </c>
      <c r="AI11" s="9">
        <f t="shared" si="22"/>
        <v>1.3</v>
      </c>
      <c r="AJ11" s="9">
        <f t="shared" si="23"/>
        <v>0.64999999999999991</v>
      </c>
      <c r="AK11" s="9">
        <f t="shared" si="24"/>
        <v>0.69999999999999973</v>
      </c>
      <c r="AL11" s="9">
        <f t="shared" si="25"/>
        <v>-0.10000000000000009</v>
      </c>
      <c r="AM11" s="9">
        <f t="shared" si="26"/>
        <v>1.4</v>
      </c>
      <c r="AN11" s="9">
        <f t="shared" si="27"/>
        <v>1.9</v>
      </c>
      <c r="AO11" s="9">
        <f t="shared" si="28"/>
        <v>2</v>
      </c>
      <c r="AP11" s="9">
        <f t="shared" si="29"/>
        <v>2.0999999999999996</v>
      </c>
      <c r="AQ11" s="9">
        <f t="shared" si="30"/>
        <v>2.0999999999999996</v>
      </c>
      <c r="AR11" s="9">
        <f t="shared" si="31"/>
        <v>2.7</v>
      </c>
      <c r="AS11" s="9">
        <f t="shared" si="32"/>
        <v>-1.0500000000000007</v>
      </c>
      <c r="AT11" s="9">
        <f t="shared" si="33"/>
        <v>0.25</v>
      </c>
      <c r="AU11" s="9">
        <f t="shared" si="34"/>
        <v>0.79999999999999893</v>
      </c>
      <c r="AV11" s="9">
        <f t="shared" si="35"/>
        <v>0.89999999999999858</v>
      </c>
      <c r="AW11" s="9">
        <f t="shared" si="36"/>
        <v>1.6999999999999993</v>
      </c>
      <c r="AX11" s="9">
        <f t="shared" si="37"/>
        <v>1.1999999999999993</v>
      </c>
      <c r="AY11" s="9">
        <f t="shared" si="38"/>
        <v>2.0499999999999989</v>
      </c>
      <c r="AZ11" s="9">
        <f t="shared" si="39"/>
        <v>2.2499999999999991</v>
      </c>
      <c r="BA11" s="9">
        <f t="shared" si="40"/>
        <v>3.0499999999999989</v>
      </c>
      <c r="BB11" s="9">
        <f t="shared" si="41"/>
        <v>0.30000000000000071</v>
      </c>
      <c r="BC11" s="9">
        <f t="shared" si="42"/>
        <v>0.40000000000000036</v>
      </c>
      <c r="BD11" s="9">
        <f t="shared" si="43"/>
        <v>0.80000000000000071</v>
      </c>
      <c r="BE11" s="9">
        <f t="shared" si="44"/>
        <v>1.4000000000000004</v>
      </c>
      <c r="BF11" s="9">
        <f t="shared" si="45"/>
        <v>2</v>
      </c>
      <c r="BG11" s="9">
        <f t="shared" si="46"/>
        <v>2.1000000000000014</v>
      </c>
      <c r="BH11" s="9">
        <f t="shared" si="47"/>
        <v>2.1000000000000014</v>
      </c>
      <c r="BI11" s="9">
        <f t="shared" si="48"/>
        <v>2.3000000000000007</v>
      </c>
      <c r="BJ11" s="9">
        <f t="shared" si="49"/>
        <v>3</v>
      </c>
    </row>
    <row r="12" spans="1:62" x14ac:dyDescent="0.2">
      <c r="A12" s="9">
        <f>data!M13-data!M12</f>
        <v>1.3994</v>
      </c>
      <c r="B12" s="9">
        <f>data!C13-data!C12</f>
        <v>0.27999999999999936</v>
      </c>
      <c r="C12" s="9">
        <f>data!D13-data!D12</f>
        <v>-0.125</v>
      </c>
      <c r="D12" s="10">
        <f>data!B13-data!B12</f>
        <v>-0.15000000000000002</v>
      </c>
      <c r="E12" s="9">
        <f>data!E12-data!G12</f>
        <v>3.0865999999999998</v>
      </c>
      <c r="F12" s="9">
        <f>(data!E12-data!F12)-(data!G12-data!H12)</f>
        <v>-0.49810000000000043</v>
      </c>
      <c r="G12" s="9">
        <f t="shared" si="0"/>
        <v>0.13930000000000042</v>
      </c>
      <c r="H12" s="9">
        <f t="shared" si="1"/>
        <v>-1.1699999999999156E-2</v>
      </c>
      <c r="I12" s="9">
        <f>IF(data!M13&gt; 111.81,1,0)</f>
        <v>0</v>
      </c>
      <c r="J12" s="9">
        <f t="shared" si="2"/>
        <v>1</v>
      </c>
      <c r="K12" s="9">
        <f t="shared" si="3"/>
        <v>0</v>
      </c>
      <c r="L12" s="9">
        <f t="shared" si="4"/>
        <v>1.3994</v>
      </c>
      <c r="M12" s="9">
        <f>data!J12</f>
        <v>-0.7</v>
      </c>
      <c r="N12" s="9">
        <f>data!I12</f>
        <v>-0.875</v>
      </c>
      <c r="O12" s="9">
        <f>data!L12</f>
        <v>-3.25</v>
      </c>
      <c r="P12" s="9">
        <f>data!K12</f>
        <v>-11</v>
      </c>
      <c r="Q12" s="9">
        <f>data!R12</f>
        <v>-14.5</v>
      </c>
      <c r="R12" s="9">
        <f t="shared" si="5"/>
        <v>0.49999999999999994</v>
      </c>
      <c r="S12" s="9">
        <f t="shared" si="6"/>
        <v>0.49999999999999994</v>
      </c>
      <c r="T12" s="9">
        <f t="shared" si="7"/>
        <v>0.95</v>
      </c>
      <c r="U12" s="9">
        <f t="shared" si="8"/>
        <v>0.49999999999999994</v>
      </c>
      <c r="V12" s="9">
        <f t="shared" si="9"/>
        <v>0.6</v>
      </c>
      <c r="W12" s="9">
        <f t="shared" si="10"/>
        <v>0.44999999999999996</v>
      </c>
      <c r="X12" s="9">
        <f t="shared" si="11"/>
        <v>0.39999999999999997</v>
      </c>
      <c r="Y12" s="9">
        <f t="shared" si="12"/>
        <v>0.39999999999999997</v>
      </c>
      <c r="Z12" s="9">
        <f t="shared" si="13"/>
        <v>0.19999999999999996</v>
      </c>
      <c r="AA12" s="9">
        <f t="shared" si="14"/>
        <v>0.17500000000000004</v>
      </c>
      <c r="AB12" s="9">
        <f t="shared" si="15"/>
        <v>0.67500000000000004</v>
      </c>
      <c r="AC12" s="9">
        <f t="shared" si="16"/>
        <v>0.625</v>
      </c>
      <c r="AD12" s="9">
        <f t="shared" si="17"/>
        <v>0.375</v>
      </c>
      <c r="AE12" s="9">
        <f t="shared" si="18"/>
        <v>0.67500000000000004</v>
      </c>
      <c r="AF12" s="9">
        <f t="shared" si="19"/>
        <v>0.57499999999999996</v>
      </c>
      <c r="AG12" s="9">
        <f t="shared" si="20"/>
        <v>0.57499999999999996</v>
      </c>
      <c r="AH12" s="9">
        <f t="shared" si="21"/>
        <v>0.67500000000000004</v>
      </c>
      <c r="AI12" s="9">
        <f t="shared" si="22"/>
        <v>0.375</v>
      </c>
      <c r="AJ12" s="9">
        <f t="shared" si="23"/>
        <v>4.9999999999999822E-2</v>
      </c>
      <c r="AK12" s="9">
        <f t="shared" si="24"/>
        <v>-0.75</v>
      </c>
      <c r="AL12" s="9">
        <f t="shared" si="25"/>
        <v>0.75</v>
      </c>
      <c r="AM12" s="9">
        <f t="shared" si="26"/>
        <v>1.25</v>
      </c>
      <c r="AN12" s="9">
        <f t="shared" si="27"/>
        <v>1.35</v>
      </c>
      <c r="AO12" s="9">
        <f t="shared" si="28"/>
        <v>1.45</v>
      </c>
      <c r="AP12" s="9">
        <f t="shared" si="29"/>
        <v>1.45</v>
      </c>
      <c r="AQ12" s="9">
        <f t="shared" si="30"/>
        <v>2.0499999999999998</v>
      </c>
      <c r="AR12" s="9">
        <f t="shared" si="31"/>
        <v>2</v>
      </c>
      <c r="AS12" s="9">
        <f t="shared" si="32"/>
        <v>1.3000000000000007</v>
      </c>
      <c r="AT12" s="9">
        <f t="shared" si="33"/>
        <v>1.8499999999999996</v>
      </c>
      <c r="AU12" s="9">
        <f t="shared" si="34"/>
        <v>1.9499999999999993</v>
      </c>
      <c r="AV12" s="9">
        <f t="shared" si="35"/>
        <v>2.75</v>
      </c>
      <c r="AW12" s="9">
        <f t="shared" si="36"/>
        <v>2.25</v>
      </c>
      <c r="AX12" s="9">
        <f t="shared" si="37"/>
        <v>3.0999999999999996</v>
      </c>
      <c r="AY12" s="9">
        <f t="shared" si="38"/>
        <v>3.3</v>
      </c>
      <c r="AZ12" s="9">
        <f t="shared" si="39"/>
        <v>4.0999999999999996</v>
      </c>
      <c r="BA12" s="9">
        <f t="shared" si="40"/>
        <v>4.25</v>
      </c>
      <c r="BB12" s="9">
        <f t="shared" si="41"/>
        <v>9.9999999999999645E-2</v>
      </c>
      <c r="BC12" s="9">
        <f t="shared" si="42"/>
        <v>0.5</v>
      </c>
      <c r="BD12" s="9">
        <f t="shared" si="43"/>
        <v>1.0999999999999996</v>
      </c>
      <c r="BE12" s="9">
        <f t="shared" si="44"/>
        <v>1.6999999999999993</v>
      </c>
      <c r="BF12" s="9">
        <f t="shared" si="45"/>
        <v>1.8000000000000007</v>
      </c>
      <c r="BG12" s="9">
        <f t="shared" si="46"/>
        <v>1.8000000000000007</v>
      </c>
      <c r="BH12" s="9">
        <f t="shared" si="47"/>
        <v>2</v>
      </c>
      <c r="BI12" s="9">
        <f t="shared" si="48"/>
        <v>2.6999999999999993</v>
      </c>
      <c r="BJ12" s="9">
        <f t="shared" si="49"/>
        <v>2.9000000000000004</v>
      </c>
    </row>
    <row r="13" spans="1:62" x14ac:dyDescent="0.2">
      <c r="A13" s="9">
        <f>data!M14-data!M13</f>
        <v>8.9000000000112323E-3</v>
      </c>
      <c r="B13" s="9">
        <f>data!C14-data!C13</f>
        <v>0.66999999999999993</v>
      </c>
      <c r="C13" s="9">
        <f>data!D14-data!D13</f>
        <v>-2.5000000000000355E-2</v>
      </c>
      <c r="D13" s="10">
        <f>data!B14-data!B13</f>
        <v>0</v>
      </c>
      <c r="E13" s="9">
        <f>data!E13-data!G13</f>
        <v>3.2259000000000002</v>
      </c>
      <c r="F13" s="9">
        <f>(data!E13-data!F13)-(data!G13-data!H13)</f>
        <v>-0.50979999999999959</v>
      </c>
      <c r="G13" s="9">
        <f t="shared" si="0"/>
        <v>-0.10740000000000016</v>
      </c>
      <c r="H13" s="9">
        <f t="shared" si="1"/>
        <v>-2.8000000000003578E-3</v>
      </c>
      <c r="I13" s="9">
        <f>IF(data!M14&gt; 111.81,1,0)</f>
        <v>0</v>
      </c>
      <c r="J13" s="9">
        <f t="shared" si="2"/>
        <v>1</v>
      </c>
      <c r="K13" s="9">
        <f t="shared" si="3"/>
        <v>0</v>
      </c>
      <c r="L13" s="9">
        <f t="shared" si="4"/>
        <v>8.9000000000112323E-3</v>
      </c>
      <c r="M13" s="9">
        <f>data!J13</f>
        <v>-0.2</v>
      </c>
      <c r="N13" s="9">
        <f>data!I13</f>
        <v>-0.7</v>
      </c>
      <c r="O13" s="9">
        <f>data!L13</f>
        <v>-3.2</v>
      </c>
      <c r="P13" s="9">
        <f>data!K13</f>
        <v>-9.6999999999999993</v>
      </c>
      <c r="Q13" s="9">
        <f>data!R13</f>
        <v>-14.4</v>
      </c>
      <c r="R13" s="9">
        <f t="shared" si="5"/>
        <v>0</v>
      </c>
      <c r="S13" s="9">
        <f t="shared" si="6"/>
        <v>0.45</v>
      </c>
      <c r="T13" s="9">
        <f t="shared" si="7"/>
        <v>0</v>
      </c>
      <c r="U13" s="9">
        <f t="shared" si="8"/>
        <v>0.1</v>
      </c>
      <c r="V13" s="9">
        <f t="shared" si="9"/>
        <v>-4.9999999999999989E-2</v>
      </c>
      <c r="W13" s="9">
        <f t="shared" si="10"/>
        <v>-9.9999999999999978E-2</v>
      </c>
      <c r="X13" s="9">
        <f t="shared" si="11"/>
        <v>-9.9999999999999978E-2</v>
      </c>
      <c r="Y13" s="9">
        <f t="shared" si="12"/>
        <v>-0.3</v>
      </c>
      <c r="Z13" s="9">
        <f t="shared" si="13"/>
        <v>0</v>
      </c>
      <c r="AA13" s="9">
        <f t="shared" si="14"/>
        <v>0.49999999999999994</v>
      </c>
      <c r="AB13" s="9">
        <f t="shared" si="15"/>
        <v>0.44999999999999996</v>
      </c>
      <c r="AC13" s="9">
        <f t="shared" si="16"/>
        <v>0.19999999999999996</v>
      </c>
      <c r="AD13" s="9">
        <f t="shared" si="17"/>
        <v>0.49999999999999994</v>
      </c>
      <c r="AE13" s="9">
        <f t="shared" si="18"/>
        <v>0.39999999999999997</v>
      </c>
      <c r="AF13" s="9">
        <f t="shared" si="19"/>
        <v>0.39999999999999997</v>
      </c>
      <c r="AG13" s="9">
        <f t="shared" si="20"/>
        <v>0.49999999999999994</v>
      </c>
      <c r="AH13" s="9">
        <f t="shared" si="21"/>
        <v>0.19999999999999996</v>
      </c>
      <c r="AI13" s="9">
        <f t="shared" si="22"/>
        <v>0.39999999999999997</v>
      </c>
      <c r="AJ13" s="9">
        <f t="shared" si="23"/>
        <v>-0.79999999999999982</v>
      </c>
      <c r="AK13" s="9">
        <f t="shared" si="24"/>
        <v>0.70000000000000018</v>
      </c>
      <c r="AL13" s="9">
        <f t="shared" si="25"/>
        <v>1.2000000000000002</v>
      </c>
      <c r="AM13" s="9">
        <f t="shared" si="26"/>
        <v>1.3000000000000003</v>
      </c>
      <c r="AN13" s="9">
        <f t="shared" si="27"/>
        <v>1.4000000000000001</v>
      </c>
      <c r="AO13" s="9">
        <f t="shared" si="28"/>
        <v>1.4000000000000001</v>
      </c>
      <c r="AP13" s="9">
        <f t="shared" si="29"/>
        <v>2</v>
      </c>
      <c r="AQ13" s="9">
        <f t="shared" si="30"/>
        <v>1.9500000000000002</v>
      </c>
      <c r="AR13" s="9">
        <f t="shared" si="31"/>
        <v>1.9000000000000001</v>
      </c>
      <c r="AS13" s="9">
        <f t="shared" si="32"/>
        <v>0.54999999999999893</v>
      </c>
      <c r="AT13" s="9">
        <f t="shared" si="33"/>
        <v>0.64999999999999858</v>
      </c>
      <c r="AU13" s="9">
        <f t="shared" si="34"/>
        <v>1.4499999999999993</v>
      </c>
      <c r="AV13" s="9">
        <f t="shared" si="35"/>
        <v>0.94999999999999929</v>
      </c>
      <c r="AW13" s="9">
        <f t="shared" si="36"/>
        <v>1.7999999999999989</v>
      </c>
      <c r="AX13" s="9">
        <f t="shared" si="37"/>
        <v>1.9999999999999991</v>
      </c>
      <c r="AY13" s="9">
        <f t="shared" si="38"/>
        <v>2.7999999999999989</v>
      </c>
      <c r="AZ13" s="9">
        <f t="shared" si="39"/>
        <v>2.9499999999999993</v>
      </c>
      <c r="BA13" s="9">
        <f t="shared" si="40"/>
        <v>3.8999999999999995</v>
      </c>
      <c r="BB13" s="9">
        <f t="shared" si="41"/>
        <v>0.40000000000000036</v>
      </c>
      <c r="BC13" s="9">
        <f t="shared" si="42"/>
        <v>1</v>
      </c>
      <c r="BD13" s="9">
        <f t="shared" si="43"/>
        <v>1.5999999999999996</v>
      </c>
      <c r="BE13" s="9">
        <f t="shared" si="44"/>
        <v>1.7000000000000011</v>
      </c>
      <c r="BF13" s="9">
        <f t="shared" si="45"/>
        <v>1.7000000000000011</v>
      </c>
      <c r="BG13" s="9">
        <f t="shared" si="46"/>
        <v>1.9000000000000004</v>
      </c>
      <c r="BH13" s="9">
        <f t="shared" si="47"/>
        <v>2.5999999999999996</v>
      </c>
      <c r="BI13" s="9">
        <f t="shared" si="48"/>
        <v>2.8000000000000007</v>
      </c>
      <c r="BJ13" s="9">
        <f t="shared" si="49"/>
        <v>3.875</v>
      </c>
    </row>
    <row r="14" spans="1:62" x14ac:dyDescent="0.2">
      <c r="A14" s="9">
        <f>data!M15-data!M14</f>
        <v>0.10499999999998977</v>
      </c>
      <c r="B14" s="9">
        <f>data!C15-data!C14</f>
        <v>-1.4700000000000006</v>
      </c>
      <c r="C14" s="9">
        <f>data!D15-data!D14</f>
        <v>-0.34999999999999964</v>
      </c>
      <c r="D14" s="10">
        <f>data!B15-data!B14</f>
        <v>0</v>
      </c>
      <c r="E14" s="9">
        <f>data!E14-data!G14</f>
        <v>3.1185</v>
      </c>
      <c r="F14" s="9">
        <f>(data!E14-data!F14)-(data!G14-data!H14)</f>
        <v>-0.51259999999999994</v>
      </c>
      <c r="G14" s="9">
        <f t="shared" si="0"/>
        <v>-9.1999999999998749E-3</v>
      </c>
      <c r="H14" s="9">
        <f t="shared" si="1"/>
        <v>-3.0299999999999994E-2</v>
      </c>
      <c r="I14" s="9">
        <f>IF(data!M15&gt; 111.81,1,0)</f>
        <v>0</v>
      </c>
      <c r="J14" s="9">
        <f t="shared" si="2"/>
        <v>1</v>
      </c>
      <c r="K14" s="9">
        <f t="shared" si="3"/>
        <v>0</v>
      </c>
      <c r="L14" s="9">
        <f t="shared" si="4"/>
        <v>0.10499999999998977</v>
      </c>
      <c r="M14" s="9">
        <f>data!J14</f>
        <v>-0.2</v>
      </c>
      <c r="N14" s="9">
        <f>data!I14</f>
        <v>-0.2</v>
      </c>
      <c r="O14" s="9">
        <f>data!L14</f>
        <v>-4</v>
      </c>
      <c r="P14" s="9">
        <f>data!K14</f>
        <v>-9.15</v>
      </c>
      <c r="Q14" s="9">
        <f>data!R14</f>
        <v>-14</v>
      </c>
      <c r="R14" s="9">
        <f t="shared" si="5"/>
        <v>0.45</v>
      </c>
      <c r="S14" s="9">
        <f t="shared" si="6"/>
        <v>0</v>
      </c>
      <c r="T14" s="9">
        <f t="shared" si="7"/>
        <v>0.1</v>
      </c>
      <c r="U14" s="9">
        <f t="shared" si="8"/>
        <v>-4.9999999999999989E-2</v>
      </c>
      <c r="V14" s="9">
        <f t="shared" si="9"/>
        <v>-9.9999999999999978E-2</v>
      </c>
      <c r="W14" s="9">
        <f t="shared" si="10"/>
        <v>-9.9999999999999978E-2</v>
      </c>
      <c r="X14" s="9">
        <f t="shared" si="11"/>
        <v>-0.3</v>
      </c>
      <c r="Y14" s="9">
        <f t="shared" si="12"/>
        <v>0</v>
      </c>
      <c r="Z14" s="9">
        <f t="shared" si="13"/>
        <v>0.1</v>
      </c>
      <c r="AA14" s="9">
        <f t="shared" si="14"/>
        <v>-4.9999999999999989E-2</v>
      </c>
      <c r="AB14" s="9">
        <f t="shared" si="15"/>
        <v>-0.3</v>
      </c>
      <c r="AC14" s="9">
        <f t="shared" si="16"/>
        <v>0</v>
      </c>
      <c r="AD14" s="9">
        <f t="shared" si="17"/>
        <v>-9.9999999999999978E-2</v>
      </c>
      <c r="AE14" s="9">
        <f t="shared" si="18"/>
        <v>-9.9999999999999978E-2</v>
      </c>
      <c r="AF14" s="9">
        <f t="shared" si="19"/>
        <v>0</v>
      </c>
      <c r="AG14" s="9">
        <f t="shared" si="20"/>
        <v>-0.3</v>
      </c>
      <c r="AH14" s="9">
        <f t="shared" si="21"/>
        <v>-9.9999999999999978E-2</v>
      </c>
      <c r="AI14" s="9">
        <f t="shared" si="22"/>
        <v>0.1</v>
      </c>
      <c r="AJ14" s="9">
        <f t="shared" si="23"/>
        <v>1.5</v>
      </c>
      <c r="AK14" s="9">
        <f t="shared" si="24"/>
        <v>2</v>
      </c>
      <c r="AL14" s="9">
        <f t="shared" si="25"/>
        <v>2.1</v>
      </c>
      <c r="AM14" s="9">
        <f t="shared" si="26"/>
        <v>2.2000000000000002</v>
      </c>
      <c r="AN14" s="9">
        <f t="shared" si="27"/>
        <v>2.2000000000000002</v>
      </c>
      <c r="AO14" s="9">
        <f t="shared" si="28"/>
        <v>2.8</v>
      </c>
      <c r="AP14" s="9">
        <f t="shared" si="29"/>
        <v>2.75</v>
      </c>
      <c r="AQ14" s="9">
        <f t="shared" si="30"/>
        <v>2.7</v>
      </c>
      <c r="AR14" s="9">
        <f t="shared" si="31"/>
        <v>3.1</v>
      </c>
      <c r="AS14" s="9">
        <f t="shared" si="32"/>
        <v>9.9999999999999645E-2</v>
      </c>
      <c r="AT14" s="9">
        <f t="shared" si="33"/>
        <v>0.90000000000000036</v>
      </c>
      <c r="AU14" s="9">
        <f t="shared" si="34"/>
        <v>0.40000000000000036</v>
      </c>
      <c r="AV14" s="9">
        <f t="shared" si="35"/>
        <v>1.25</v>
      </c>
      <c r="AW14" s="9">
        <f t="shared" si="36"/>
        <v>1.4500000000000002</v>
      </c>
      <c r="AX14" s="9">
        <f t="shared" si="37"/>
        <v>2.25</v>
      </c>
      <c r="AY14" s="9">
        <f t="shared" si="38"/>
        <v>2.4000000000000004</v>
      </c>
      <c r="AZ14" s="9">
        <f t="shared" si="39"/>
        <v>3.3500000000000005</v>
      </c>
      <c r="BA14" s="9">
        <f t="shared" si="40"/>
        <v>4.0500000000000007</v>
      </c>
      <c r="BB14" s="9">
        <f t="shared" si="41"/>
        <v>0.59999999999999964</v>
      </c>
      <c r="BC14" s="9">
        <f t="shared" si="42"/>
        <v>1.1999999999999993</v>
      </c>
      <c r="BD14" s="9">
        <f t="shared" si="43"/>
        <v>1.3000000000000007</v>
      </c>
      <c r="BE14" s="9">
        <f t="shared" si="44"/>
        <v>1.3000000000000007</v>
      </c>
      <c r="BF14" s="9">
        <f t="shared" si="45"/>
        <v>1.5</v>
      </c>
      <c r="BG14" s="9">
        <f t="shared" si="46"/>
        <v>2.1999999999999993</v>
      </c>
      <c r="BH14" s="9">
        <f t="shared" si="47"/>
        <v>2.4000000000000004</v>
      </c>
      <c r="BI14" s="9">
        <f t="shared" si="48"/>
        <v>3.4749999999999996</v>
      </c>
      <c r="BJ14" s="9">
        <f t="shared" si="49"/>
        <v>4.0999999999999996</v>
      </c>
    </row>
    <row r="15" spans="1:62" x14ac:dyDescent="0.2">
      <c r="A15" s="9">
        <f>data!M16-data!M15</f>
        <v>0.14459999999999695</v>
      </c>
      <c r="B15" s="9">
        <f>data!C16-data!C15</f>
        <v>5.1199999999999992</v>
      </c>
      <c r="C15" s="9">
        <f>data!D16-data!D15</f>
        <v>4.9999999999998934E-2</v>
      </c>
      <c r="D15" s="10">
        <f>data!B16-data!B15</f>
        <v>9.9999999999999978E-2</v>
      </c>
      <c r="E15" s="9">
        <f>data!E15-data!G15</f>
        <v>3.1093000000000002</v>
      </c>
      <c r="F15" s="9">
        <f>(data!E15-data!F15)-(data!G15-data!H15)</f>
        <v>-0.54289999999999994</v>
      </c>
      <c r="G15" s="9">
        <f t="shared" si="0"/>
        <v>-0.17170000000000041</v>
      </c>
      <c r="H15" s="9">
        <f t="shared" si="1"/>
        <v>6.529999999999947E-2</v>
      </c>
      <c r="I15" s="9">
        <f>IF(data!M16&gt; 111.81,1,0)</f>
        <v>0</v>
      </c>
      <c r="J15" s="9">
        <f t="shared" si="2"/>
        <v>1</v>
      </c>
      <c r="K15" s="9">
        <f t="shared" si="3"/>
        <v>0</v>
      </c>
      <c r="L15" s="9">
        <f t="shared" si="4"/>
        <v>0.14459999999999695</v>
      </c>
      <c r="M15" s="9">
        <f>data!J15</f>
        <v>0.25</v>
      </c>
      <c r="N15" s="9">
        <f>data!I15</f>
        <v>-0.25</v>
      </c>
      <c r="O15" s="9">
        <f>data!L15</f>
        <v>-2.5</v>
      </c>
      <c r="P15" s="9">
        <f>data!K15</f>
        <v>-9.0500000000000007</v>
      </c>
      <c r="Q15" s="9">
        <f>data!R15</f>
        <v>-13.4</v>
      </c>
      <c r="R15" s="9">
        <f t="shared" si="5"/>
        <v>-0.45</v>
      </c>
      <c r="S15" s="9">
        <f t="shared" si="6"/>
        <v>-0.35</v>
      </c>
      <c r="T15" s="9">
        <f t="shared" si="7"/>
        <v>-0.5</v>
      </c>
      <c r="U15" s="9">
        <f t="shared" si="8"/>
        <v>-0.55000000000000004</v>
      </c>
      <c r="V15" s="9">
        <f t="shared" si="9"/>
        <v>-0.55000000000000004</v>
      </c>
      <c r="W15" s="9">
        <f t="shared" si="10"/>
        <v>-0.75</v>
      </c>
      <c r="X15" s="9">
        <f t="shared" si="11"/>
        <v>-0.45</v>
      </c>
      <c r="Y15" s="9">
        <f t="shared" si="12"/>
        <v>-0.35</v>
      </c>
      <c r="Z15" s="9">
        <f t="shared" si="13"/>
        <v>-0.65</v>
      </c>
      <c r="AA15" s="9">
        <f t="shared" si="14"/>
        <v>-0.25</v>
      </c>
      <c r="AB15" s="9">
        <f t="shared" si="15"/>
        <v>4.9999999999999989E-2</v>
      </c>
      <c r="AC15" s="9">
        <f t="shared" si="16"/>
        <v>-4.9999999999999989E-2</v>
      </c>
      <c r="AD15" s="9">
        <f t="shared" si="17"/>
        <v>-4.9999999999999989E-2</v>
      </c>
      <c r="AE15" s="9">
        <f t="shared" si="18"/>
        <v>4.9999999999999989E-2</v>
      </c>
      <c r="AF15" s="9">
        <f t="shared" si="19"/>
        <v>-0.25</v>
      </c>
      <c r="AG15" s="9">
        <f t="shared" si="20"/>
        <v>-4.9999999999999989E-2</v>
      </c>
      <c r="AH15" s="9">
        <f t="shared" si="21"/>
        <v>0.15</v>
      </c>
      <c r="AI15" s="9">
        <f t="shared" si="22"/>
        <v>-0.15000000000000002</v>
      </c>
      <c r="AJ15" s="9">
        <f t="shared" si="23"/>
        <v>0.5</v>
      </c>
      <c r="AK15" s="9">
        <f t="shared" si="24"/>
        <v>0.60000000000000009</v>
      </c>
      <c r="AL15" s="9">
        <f t="shared" si="25"/>
        <v>0.7</v>
      </c>
      <c r="AM15" s="9">
        <f t="shared" si="26"/>
        <v>0.7</v>
      </c>
      <c r="AN15" s="9">
        <f t="shared" si="27"/>
        <v>1.3</v>
      </c>
      <c r="AO15" s="9">
        <f t="shared" si="28"/>
        <v>1.25</v>
      </c>
      <c r="AP15" s="9">
        <f t="shared" si="29"/>
        <v>1.2</v>
      </c>
      <c r="AQ15" s="9">
        <f t="shared" si="30"/>
        <v>1.6</v>
      </c>
      <c r="AR15" s="9">
        <f t="shared" si="31"/>
        <v>1.4</v>
      </c>
      <c r="AS15" s="9">
        <f t="shared" si="32"/>
        <v>0.80000000000000071</v>
      </c>
      <c r="AT15" s="9">
        <f t="shared" si="33"/>
        <v>0.30000000000000071</v>
      </c>
      <c r="AU15" s="9">
        <f t="shared" si="34"/>
        <v>1.1500000000000004</v>
      </c>
      <c r="AV15" s="9">
        <f t="shared" si="35"/>
        <v>1.3500000000000005</v>
      </c>
      <c r="AW15" s="9">
        <f t="shared" si="36"/>
        <v>2.1500000000000004</v>
      </c>
      <c r="AX15" s="9">
        <f t="shared" si="37"/>
        <v>2.3000000000000007</v>
      </c>
      <c r="AY15" s="9">
        <f t="shared" si="38"/>
        <v>3.2500000000000009</v>
      </c>
      <c r="AZ15" s="9">
        <f t="shared" si="39"/>
        <v>3.9500000000000011</v>
      </c>
      <c r="BA15" s="9">
        <f t="shared" si="40"/>
        <v>3.4500000000000011</v>
      </c>
      <c r="BB15" s="9">
        <f t="shared" si="41"/>
        <v>0.59999999999999964</v>
      </c>
      <c r="BC15" s="9">
        <f t="shared" si="42"/>
        <v>0.70000000000000107</v>
      </c>
      <c r="BD15" s="9">
        <f t="shared" si="43"/>
        <v>0.70000000000000107</v>
      </c>
      <c r="BE15" s="9">
        <f t="shared" si="44"/>
        <v>0.90000000000000036</v>
      </c>
      <c r="BF15" s="9">
        <f t="shared" si="45"/>
        <v>1.5999999999999996</v>
      </c>
      <c r="BG15" s="9">
        <f t="shared" si="46"/>
        <v>1.8000000000000007</v>
      </c>
      <c r="BH15" s="9">
        <f t="shared" si="47"/>
        <v>2.875</v>
      </c>
      <c r="BI15" s="9">
        <f t="shared" si="48"/>
        <v>3.5</v>
      </c>
      <c r="BJ15" s="9">
        <f t="shared" si="49"/>
        <v>2.9000000000000004</v>
      </c>
    </row>
    <row r="16" spans="1:62" x14ac:dyDescent="0.2">
      <c r="A16" s="9">
        <f>data!M17-data!M16</f>
        <v>-0.7809999999999917</v>
      </c>
      <c r="B16" s="9">
        <f>data!C17-data!C16</f>
        <v>-2.3599999999999977</v>
      </c>
      <c r="C16" s="9">
        <f>data!D17-data!D16</f>
        <v>0.34999999999999964</v>
      </c>
      <c r="D16" s="10">
        <f>data!B17-data!B16</f>
        <v>5.0000000000000044E-2</v>
      </c>
      <c r="E16" s="9">
        <f>data!E16-data!G16</f>
        <v>2.9375999999999998</v>
      </c>
      <c r="F16" s="9">
        <f>(data!E16-data!F16)-(data!G16-data!H16)</f>
        <v>-0.47760000000000047</v>
      </c>
      <c r="G16" s="9">
        <f t="shared" si="0"/>
        <v>1.8300000000000871E-2</v>
      </c>
      <c r="H16" s="9">
        <f t="shared" si="1"/>
        <v>-8.8499999999999135E-2</v>
      </c>
      <c r="I16" s="9">
        <f>IF(data!M17&gt; 111.81,1,0)</f>
        <v>0</v>
      </c>
      <c r="J16" s="9">
        <f t="shared" si="2"/>
        <v>1</v>
      </c>
      <c r="K16" s="9">
        <f t="shared" si="3"/>
        <v>0</v>
      </c>
      <c r="L16" s="9">
        <f t="shared" si="4"/>
        <v>-0.7809999999999917</v>
      </c>
      <c r="M16" s="9">
        <f>data!J16</f>
        <v>-0.2</v>
      </c>
      <c r="N16" s="9">
        <f>data!I16</f>
        <v>-0.5</v>
      </c>
      <c r="O16" s="9">
        <f>data!L16</f>
        <v>-2</v>
      </c>
      <c r="P16" s="9">
        <f>data!K16</f>
        <v>-8.25</v>
      </c>
      <c r="Q16" s="9">
        <f>data!R16</f>
        <v>-12.8</v>
      </c>
      <c r="R16" s="9">
        <f t="shared" si="5"/>
        <v>0.1</v>
      </c>
      <c r="S16" s="9">
        <f t="shared" si="6"/>
        <v>-4.9999999999999989E-2</v>
      </c>
      <c r="T16" s="9">
        <f t="shared" si="7"/>
        <v>-9.9999999999999978E-2</v>
      </c>
      <c r="U16" s="9">
        <f t="shared" si="8"/>
        <v>-9.9999999999999978E-2</v>
      </c>
      <c r="V16" s="9">
        <f t="shared" si="9"/>
        <v>-0.3</v>
      </c>
      <c r="W16" s="9">
        <f t="shared" si="10"/>
        <v>0</v>
      </c>
      <c r="X16" s="9">
        <f t="shared" si="11"/>
        <v>0.1</v>
      </c>
      <c r="Y16" s="9">
        <f t="shared" si="12"/>
        <v>-0.2</v>
      </c>
      <c r="Z16" s="9">
        <f t="shared" si="13"/>
        <v>-0.49999999999999994</v>
      </c>
      <c r="AA16" s="9">
        <f t="shared" si="14"/>
        <v>0.3</v>
      </c>
      <c r="AB16" s="9">
        <f t="shared" si="15"/>
        <v>0.2</v>
      </c>
      <c r="AC16" s="9">
        <f t="shared" si="16"/>
        <v>0.2</v>
      </c>
      <c r="AD16" s="9">
        <f t="shared" si="17"/>
        <v>0.3</v>
      </c>
      <c r="AE16" s="9">
        <f t="shared" si="18"/>
        <v>0</v>
      </c>
      <c r="AF16" s="9">
        <f t="shared" si="19"/>
        <v>0.2</v>
      </c>
      <c r="AG16" s="9">
        <f t="shared" si="20"/>
        <v>0.4</v>
      </c>
      <c r="AH16" s="9">
        <f t="shared" si="21"/>
        <v>9.9999999999999978E-2</v>
      </c>
      <c r="AI16" s="9">
        <f t="shared" si="22"/>
        <v>0</v>
      </c>
      <c r="AJ16" s="9">
        <f t="shared" si="23"/>
        <v>0.10000000000000009</v>
      </c>
      <c r="AK16" s="9">
        <f t="shared" si="24"/>
        <v>0.19999999999999996</v>
      </c>
      <c r="AL16" s="9">
        <f t="shared" si="25"/>
        <v>0.19999999999999996</v>
      </c>
      <c r="AM16" s="9">
        <f t="shared" si="26"/>
        <v>0.8</v>
      </c>
      <c r="AN16" s="9">
        <f t="shared" si="27"/>
        <v>0.75</v>
      </c>
      <c r="AO16" s="9">
        <f t="shared" si="28"/>
        <v>0.7</v>
      </c>
      <c r="AP16" s="9">
        <f t="shared" si="29"/>
        <v>1.1000000000000001</v>
      </c>
      <c r="AQ16" s="9">
        <f t="shared" si="30"/>
        <v>0.89999999999999991</v>
      </c>
      <c r="AR16" s="9">
        <f t="shared" si="31"/>
        <v>0.7</v>
      </c>
      <c r="AS16" s="9">
        <f t="shared" si="32"/>
        <v>-0.5</v>
      </c>
      <c r="AT16" s="9">
        <f t="shared" si="33"/>
        <v>0.34999999999999964</v>
      </c>
      <c r="AU16" s="9">
        <f t="shared" si="34"/>
        <v>0.54999999999999982</v>
      </c>
      <c r="AV16" s="9">
        <f t="shared" si="35"/>
        <v>1.3499999999999996</v>
      </c>
      <c r="AW16" s="9">
        <f t="shared" si="36"/>
        <v>1.5</v>
      </c>
      <c r="AX16" s="9">
        <f t="shared" si="37"/>
        <v>2.4500000000000002</v>
      </c>
      <c r="AY16" s="9">
        <f t="shared" si="38"/>
        <v>3.1500000000000004</v>
      </c>
      <c r="AZ16" s="9">
        <f t="shared" si="39"/>
        <v>2.6500000000000004</v>
      </c>
      <c r="BA16" s="9">
        <f t="shared" si="40"/>
        <v>2.75</v>
      </c>
      <c r="BB16" s="9">
        <f t="shared" si="41"/>
        <v>0.10000000000000142</v>
      </c>
      <c r="BC16" s="9">
        <f t="shared" si="42"/>
        <v>0.10000000000000142</v>
      </c>
      <c r="BD16" s="9">
        <f t="shared" si="43"/>
        <v>0.30000000000000071</v>
      </c>
      <c r="BE16" s="9">
        <f t="shared" si="44"/>
        <v>1</v>
      </c>
      <c r="BF16" s="9">
        <f t="shared" si="45"/>
        <v>1.2000000000000011</v>
      </c>
      <c r="BG16" s="9">
        <f t="shared" si="46"/>
        <v>2.2750000000000004</v>
      </c>
      <c r="BH16" s="9">
        <f t="shared" si="47"/>
        <v>2.9000000000000004</v>
      </c>
      <c r="BI16" s="9">
        <f t="shared" si="48"/>
        <v>2.3000000000000007</v>
      </c>
      <c r="BJ16" s="9">
        <f t="shared" si="49"/>
        <v>2.4000000000000004</v>
      </c>
    </row>
    <row r="17" spans="1:62" x14ac:dyDescent="0.2">
      <c r="A17" s="9">
        <f>data!M18-data!M17</f>
        <v>0.47950000000000159</v>
      </c>
      <c r="B17" s="9">
        <f>data!C18-data!C17</f>
        <v>-7.0000000000000284E-2</v>
      </c>
      <c r="C17" s="9">
        <f>data!D18-data!D17</f>
        <v>0.20000000000000107</v>
      </c>
      <c r="D17" s="10">
        <f>data!B18-data!B17</f>
        <v>0</v>
      </c>
      <c r="E17" s="9">
        <f>data!E17-data!G17</f>
        <v>2.9559000000000006</v>
      </c>
      <c r="F17" s="9">
        <f>(data!E17-data!F17)-(data!G17-data!H17)</f>
        <v>-0.5660999999999996</v>
      </c>
      <c r="G17" s="9">
        <f t="shared" si="0"/>
        <v>6.6999999999994841E-3</v>
      </c>
      <c r="H17" s="9">
        <f t="shared" si="1"/>
        <v>-4.0800000000000169E-2</v>
      </c>
      <c r="I17" s="9">
        <f>IF(data!M18&gt; 111.81,1,0)</f>
        <v>0</v>
      </c>
      <c r="J17" s="9">
        <f t="shared" si="2"/>
        <v>1</v>
      </c>
      <c r="K17" s="9">
        <f t="shared" si="3"/>
        <v>0</v>
      </c>
      <c r="L17" s="9">
        <f t="shared" si="4"/>
        <v>0.47950000000000159</v>
      </c>
      <c r="M17" s="9">
        <f>data!J17</f>
        <v>-0.1</v>
      </c>
      <c r="N17" s="9">
        <f>data!I17</f>
        <v>-0.2</v>
      </c>
      <c r="O17" s="9">
        <f>data!L17</f>
        <v>-1.9</v>
      </c>
      <c r="P17" s="9">
        <f>data!K17</f>
        <v>-8.75</v>
      </c>
      <c r="Q17" s="9">
        <f>data!R17</f>
        <v>-12.7</v>
      </c>
      <c r="R17" s="9">
        <f t="shared" si="5"/>
        <v>-0.15</v>
      </c>
      <c r="S17" s="9">
        <f t="shared" si="6"/>
        <v>-0.19999999999999998</v>
      </c>
      <c r="T17" s="9">
        <f t="shared" si="7"/>
        <v>-0.19999999999999998</v>
      </c>
      <c r="U17" s="9">
        <f t="shared" si="8"/>
        <v>-0.4</v>
      </c>
      <c r="V17" s="9">
        <f t="shared" si="9"/>
        <v>-0.1</v>
      </c>
      <c r="W17" s="9">
        <f t="shared" si="10"/>
        <v>0</v>
      </c>
      <c r="X17" s="9">
        <f t="shared" si="11"/>
        <v>-0.30000000000000004</v>
      </c>
      <c r="Y17" s="9">
        <f t="shared" si="12"/>
        <v>-0.6</v>
      </c>
      <c r="Z17" s="9">
        <f t="shared" si="13"/>
        <v>-0.5</v>
      </c>
      <c r="AA17" s="9">
        <f t="shared" si="14"/>
        <v>-9.9999999999999978E-2</v>
      </c>
      <c r="AB17" s="9">
        <f t="shared" si="15"/>
        <v>-9.9999999999999978E-2</v>
      </c>
      <c r="AC17" s="9">
        <f t="shared" si="16"/>
        <v>0</v>
      </c>
      <c r="AD17" s="9">
        <f t="shared" si="17"/>
        <v>-0.3</v>
      </c>
      <c r="AE17" s="9">
        <f t="shared" si="18"/>
        <v>-9.9999999999999978E-2</v>
      </c>
      <c r="AF17" s="9">
        <f t="shared" si="19"/>
        <v>0.1</v>
      </c>
      <c r="AG17" s="9">
        <f t="shared" si="20"/>
        <v>-0.2</v>
      </c>
      <c r="AH17" s="9">
        <f t="shared" si="21"/>
        <v>-0.3</v>
      </c>
      <c r="AI17" s="9">
        <f t="shared" si="22"/>
        <v>-0.3</v>
      </c>
      <c r="AJ17" s="9">
        <f t="shared" si="23"/>
        <v>9.9999999999999867E-2</v>
      </c>
      <c r="AK17" s="9">
        <f t="shared" si="24"/>
        <v>9.9999999999999867E-2</v>
      </c>
      <c r="AL17" s="9">
        <f t="shared" si="25"/>
        <v>0.7</v>
      </c>
      <c r="AM17" s="9">
        <f t="shared" si="26"/>
        <v>0.64999999999999991</v>
      </c>
      <c r="AN17" s="9">
        <f t="shared" si="27"/>
        <v>0.59999999999999987</v>
      </c>
      <c r="AO17" s="9">
        <f t="shared" si="28"/>
        <v>0.99999999999999989</v>
      </c>
      <c r="AP17" s="9">
        <f t="shared" si="29"/>
        <v>0.79999999999999982</v>
      </c>
      <c r="AQ17" s="9">
        <f t="shared" si="30"/>
        <v>0.59999999999999987</v>
      </c>
      <c r="AR17" s="9">
        <f t="shared" si="31"/>
        <v>0.27499999999999991</v>
      </c>
      <c r="AS17" s="9">
        <f t="shared" si="32"/>
        <v>0.84999999999999964</v>
      </c>
      <c r="AT17" s="9">
        <f t="shared" si="33"/>
        <v>1.0499999999999998</v>
      </c>
      <c r="AU17" s="9">
        <f t="shared" si="34"/>
        <v>1.8499999999999996</v>
      </c>
      <c r="AV17" s="9">
        <f t="shared" si="35"/>
        <v>2</v>
      </c>
      <c r="AW17" s="9">
        <f t="shared" si="36"/>
        <v>2.95</v>
      </c>
      <c r="AX17" s="9">
        <f t="shared" si="37"/>
        <v>3.6500000000000004</v>
      </c>
      <c r="AY17" s="9">
        <f t="shared" si="38"/>
        <v>3.1500000000000004</v>
      </c>
      <c r="AZ17" s="9">
        <f t="shared" si="39"/>
        <v>3.25</v>
      </c>
      <c r="BA17" s="9">
        <f t="shared" si="40"/>
        <v>2.375</v>
      </c>
      <c r="BB17" s="9">
        <f t="shared" si="41"/>
        <v>0</v>
      </c>
      <c r="BC17" s="9">
        <f t="shared" si="42"/>
        <v>0.19999999999999929</v>
      </c>
      <c r="BD17" s="9">
        <f t="shared" si="43"/>
        <v>0.89999999999999858</v>
      </c>
      <c r="BE17" s="9">
        <f t="shared" si="44"/>
        <v>1.0999999999999996</v>
      </c>
      <c r="BF17" s="9">
        <f t="shared" si="45"/>
        <v>2.1749999999999989</v>
      </c>
      <c r="BG17" s="9">
        <f t="shared" si="46"/>
        <v>2.7999999999999989</v>
      </c>
      <c r="BH17" s="9">
        <f t="shared" si="47"/>
        <v>2.1999999999999993</v>
      </c>
      <c r="BI17" s="9">
        <f t="shared" si="48"/>
        <v>2.2999999999999989</v>
      </c>
      <c r="BJ17" s="9">
        <f t="shared" si="49"/>
        <v>1.0749999999999993</v>
      </c>
    </row>
    <row r="18" spans="1:62" x14ac:dyDescent="0.2">
      <c r="A18" s="9">
        <f>data!M19-data!M18</f>
        <v>-0.15919999999999845</v>
      </c>
      <c r="B18" s="9">
        <f>data!C19-data!C18</f>
        <v>-1.2599999999999998</v>
      </c>
      <c r="C18" s="9">
        <f>data!D19-data!D18</f>
        <v>-0.34999999999999964</v>
      </c>
      <c r="D18" s="10">
        <f>data!B19-data!B18</f>
        <v>0</v>
      </c>
      <c r="E18" s="9">
        <f>data!E18-data!G18</f>
        <v>2.9626000000000001</v>
      </c>
      <c r="F18" s="9">
        <f>(data!E18-data!F18)-(data!G18-data!H18)</f>
        <v>-0.60689999999999977</v>
      </c>
      <c r="G18" s="9">
        <f t="shared" si="0"/>
        <v>7.8999999999999737E-2</v>
      </c>
      <c r="H18" s="9">
        <f t="shared" si="1"/>
        <v>4.9000000000001265E-3</v>
      </c>
      <c r="I18" s="9">
        <f>IF(data!M19&gt; 111.81,1,0)</f>
        <v>0</v>
      </c>
      <c r="J18" s="9">
        <f t="shared" si="2"/>
        <v>1</v>
      </c>
      <c r="K18" s="9">
        <f t="shared" si="3"/>
        <v>0</v>
      </c>
      <c r="L18" s="9">
        <f t="shared" si="4"/>
        <v>-0.15919999999999845</v>
      </c>
      <c r="M18" s="9">
        <f>data!J18</f>
        <v>-0.25</v>
      </c>
      <c r="N18" s="9">
        <f>data!I18</f>
        <v>-0.3</v>
      </c>
      <c r="O18" s="9">
        <f>data!L18</f>
        <v>-1.8</v>
      </c>
      <c r="P18" s="9">
        <f>data!K18</f>
        <v>-7.9</v>
      </c>
      <c r="Q18" s="9">
        <f>data!R18</f>
        <v>-12.7</v>
      </c>
      <c r="R18" s="9">
        <f t="shared" si="5"/>
        <v>-4.9999999999999989E-2</v>
      </c>
      <c r="S18" s="9">
        <f t="shared" si="6"/>
        <v>-4.9999999999999989E-2</v>
      </c>
      <c r="T18" s="9">
        <f t="shared" si="7"/>
        <v>-0.25</v>
      </c>
      <c r="U18" s="9">
        <f t="shared" si="8"/>
        <v>4.9999999999999989E-2</v>
      </c>
      <c r="V18" s="9">
        <f t="shared" si="9"/>
        <v>0.15</v>
      </c>
      <c r="W18" s="9">
        <f t="shared" si="10"/>
        <v>-0.15000000000000002</v>
      </c>
      <c r="X18" s="9">
        <f t="shared" si="11"/>
        <v>-0.44999999999999996</v>
      </c>
      <c r="Y18" s="9">
        <f t="shared" si="12"/>
        <v>-0.35</v>
      </c>
      <c r="Z18" s="9">
        <f t="shared" si="13"/>
        <v>-2.25</v>
      </c>
      <c r="AA18" s="9">
        <f t="shared" si="14"/>
        <v>0</v>
      </c>
      <c r="AB18" s="9">
        <f t="shared" si="15"/>
        <v>9.9999999999999978E-2</v>
      </c>
      <c r="AC18" s="9">
        <f t="shared" si="16"/>
        <v>-0.2</v>
      </c>
      <c r="AD18" s="9">
        <f t="shared" si="17"/>
        <v>0</v>
      </c>
      <c r="AE18" s="9">
        <f t="shared" si="18"/>
        <v>0.19999999999999998</v>
      </c>
      <c r="AF18" s="9">
        <f t="shared" si="19"/>
        <v>-0.10000000000000003</v>
      </c>
      <c r="AG18" s="9">
        <f t="shared" si="20"/>
        <v>-0.2</v>
      </c>
      <c r="AH18" s="9">
        <f t="shared" si="21"/>
        <v>-0.2</v>
      </c>
      <c r="AI18" s="9">
        <f t="shared" si="22"/>
        <v>-0.45</v>
      </c>
      <c r="AJ18" s="9">
        <f t="shared" si="23"/>
        <v>0</v>
      </c>
      <c r="AK18" s="9">
        <f t="shared" si="24"/>
        <v>0.60000000000000009</v>
      </c>
      <c r="AL18" s="9">
        <f t="shared" si="25"/>
        <v>0.55000000000000004</v>
      </c>
      <c r="AM18" s="9">
        <f t="shared" si="26"/>
        <v>0.5</v>
      </c>
      <c r="AN18" s="9">
        <f t="shared" si="27"/>
        <v>0.9</v>
      </c>
      <c r="AO18" s="9">
        <f t="shared" si="28"/>
        <v>0.7</v>
      </c>
      <c r="AP18" s="9">
        <f t="shared" si="29"/>
        <v>0.5</v>
      </c>
      <c r="AQ18" s="9">
        <f t="shared" si="30"/>
        <v>0.17500000000000004</v>
      </c>
      <c r="AR18" s="9">
        <f t="shared" si="31"/>
        <v>0.30000000000000004</v>
      </c>
      <c r="AS18" s="9">
        <f t="shared" si="32"/>
        <v>0.20000000000000018</v>
      </c>
      <c r="AT18" s="9">
        <f t="shared" si="33"/>
        <v>1</v>
      </c>
      <c r="AU18" s="9">
        <f t="shared" si="34"/>
        <v>1.1500000000000004</v>
      </c>
      <c r="AV18" s="9">
        <f t="shared" si="35"/>
        <v>2.1000000000000005</v>
      </c>
      <c r="AW18" s="9">
        <f t="shared" si="36"/>
        <v>2.8000000000000007</v>
      </c>
      <c r="AX18" s="9">
        <f t="shared" si="37"/>
        <v>2.3000000000000007</v>
      </c>
      <c r="AY18" s="9">
        <f t="shared" si="38"/>
        <v>2.4000000000000004</v>
      </c>
      <c r="AZ18" s="9">
        <f t="shared" si="39"/>
        <v>1.5250000000000004</v>
      </c>
      <c r="BA18" s="9">
        <f t="shared" si="40"/>
        <v>1.9000000000000004</v>
      </c>
      <c r="BB18" s="9">
        <f t="shared" si="41"/>
        <v>0.19999999999999929</v>
      </c>
      <c r="BC18" s="9">
        <f t="shared" si="42"/>
        <v>0.89999999999999858</v>
      </c>
      <c r="BD18" s="9">
        <f t="shared" si="43"/>
        <v>1.0999999999999996</v>
      </c>
      <c r="BE18" s="9">
        <f t="shared" si="44"/>
        <v>2.1749999999999989</v>
      </c>
      <c r="BF18" s="9">
        <f t="shared" si="45"/>
        <v>2.7999999999999989</v>
      </c>
      <c r="BG18" s="9">
        <f t="shared" si="46"/>
        <v>2.1999999999999993</v>
      </c>
      <c r="BH18" s="9">
        <f t="shared" si="47"/>
        <v>2.2999999999999989</v>
      </c>
      <c r="BI18" s="9">
        <f t="shared" si="48"/>
        <v>1.0749999999999993</v>
      </c>
      <c r="BJ18" s="9">
        <f t="shared" si="49"/>
        <v>1.9499999999999993</v>
      </c>
    </row>
    <row r="19" spans="1:62" x14ac:dyDescent="0.2">
      <c r="A19" s="9">
        <f>data!M20-data!M19</f>
        <v>1.093599999999995</v>
      </c>
      <c r="B19" s="9">
        <f>data!C20-data!C19</f>
        <v>2.2699999999999996</v>
      </c>
      <c r="C19" s="9">
        <f>data!D20-data!D19</f>
        <v>-0.30000000000000071</v>
      </c>
      <c r="D19" s="10">
        <f>data!B20-data!B19</f>
        <v>-9.9999999999999978E-2</v>
      </c>
      <c r="E19" s="9">
        <f>data!E19-data!G19</f>
        <v>3.0415999999999999</v>
      </c>
      <c r="F19" s="9">
        <f>(data!E19-data!F19)-(data!G19-data!H19)</f>
        <v>-0.60199999999999965</v>
      </c>
      <c r="G19" s="9">
        <f t="shared" si="0"/>
        <v>-0.19929999999999959</v>
      </c>
      <c r="H19" s="9">
        <f t="shared" si="1"/>
        <v>-6.3299999999999912E-2</v>
      </c>
      <c r="I19" s="9">
        <f>IF(data!M20&gt; 111.81,1,0)</f>
        <v>0</v>
      </c>
      <c r="J19" s="9">
        <f t="shared" si="2"/>
        <v>1</v>
      </c>
      <c r="K19" s="9">
        <f t="shared" si="3"/>
        <v>0</v>
      </c>
      <c r="L19" s="9">
        <f t="shared" si="4"/>
        <v>1.093599999999995</v>
      </c>
      <c r="M19" s="9">
        <f>data!J19</f>
        <v>-0.3</v>
      </c>
      <c r="N19" s="9">
        <f>data!I19</f>
        <v>-0.3</v>
      </c>
      <c r="O19" s="9">
        <f>data!L19</f>
        <v>-1.8</v>
      </c>
      <c r="P19" s="9">
        <f>data!K19</f>
        <v>-7.7</v>
      </c>
      <c r="Q19" s="9">
        <f>data!R19</f>
        <v>-12.5</v>
      </c>
      <c r="R19" s="9">
        <f t="shared" si="5"/>
        <v>0</v>
      </c>
      <c r="S19" s="9">
        <f t="shared" si="6"/>
        <v>-0.2</v>
      </c>
      <c r="T19" s="9">
        <f t="shared" si="7"/>
        <v>9.9999999999999978E-2</v>
      </c>
      <c r="U19" s="9">
        <f t="shared" si="8"/>
        <v>0.19999999999999998</v>
      </c>
      <c r="V19" s="9">
        <f t="shared" si="9"/>
        <v>-0.10000000000000003</v>
      </c>
      <c r="W19" s="9">
        <f t="shared" si="10"/>
        <v>-0.39999999999999997</v>
      </c>
      <c r="X19" s="9">
        <f t="shared" si="11"/>
        <v>-0.3</v>
      </c>
      <c r="Y19" s="9">
        <f t="shared" si="12"/>
        <v>-2.2000000000000002</v>
      </c>
      <c r="Z19" s="9">
        <f t="shared" si="13"/>
        <v>-0.8</v>
      </c>
      <c r="AA19" s="9">
        <f t="shared" si="14"/>
        <v>9.9999999999999978E-2</v>
      </c>
      <c r="AB19" s="9">
        <f t="shared" si="15"/>
        <v>-0.2</v>
      </c>
      <c r="AC19" s="9">
        <f t="shared" si="16"/>
        <v>0</v>
      </c>
      <c r="AD19" s="9">
        <f t="shared" si="17"/>
        <v>0.19999999999999998</v>
      </c>
      <c r="AE19" s="9">
        <f t="shared" si="18"/>
        <v>-0.10000000000000003</v>
      </c>
      <c r="AF19" s="9">
        <f t="shared" si="19"/>
        <v>-0.2</v>
      </c>
      <c r="AG19" s="9">
        <f t="shared" si="20"/>
        <v>-0.2</v>
      </c>
      <c r="AH19" s="9">
        <f t="shared" si="21"/>
        <v>-0.45</v>
      </c>
      <c r="AI19" s="9">
        <f t="shared" si="22"/>
        <v>-0.60000000000000009</v>
      </c>
      <c r="AJ19" s="9">
        <f t="shared" si="23"/>
        <v>0.60000000000000009</v>
      </c>
      <c r="AK19" s="9">
        <f t="shared" si="24"/>
        <v>0.55000000000000004</v>
      </c>
      <c r="AL19" s="9">
        <f t="shared" si="25"/>
        <v>0.5</v>
      </c>
      <c r="AM19" s="9">
        <f t="shared" si="26"/>
        <v>0.9</v>
      </c>
      <c r="AN19" s="9">
        <f t="shared" si="27"/>
        <v>0.7</v>
      </c>
      <c r="AO19" s="9">
        <f t="shared" si="28"/>
        <v>0.5</v>
      </c>
      <c r="AP19" s="9">
        <f t="shared" si="29"/>
        <v>0.17500000000000004</v>
      </c>
      <c r="AQ19" s="9">
        <f t="shared" si="30"/>
        <v>0.30000000000000004</v>
      </c>
      <c r="AR19" s="9">
        <f t="shared" si="31"/>
        <v>0.10000000000000009</v>
      </c>
      <c r="AS19" s="9">
        <f t="shared" si="32"/>
        <v>0.79999999999999982</v>
      </c>
      <c r="AT19" s="9">
        <f t="shared" si="33"/>
        <v>0.95000000000000018</v>
      </c>
      <c r="AU19" s="9">
        <f t="shared" si="34"/>
        <v>1.9000000000000004</v>
      </c>
      <c r="AV19" s="9">
        <f t="shared" si="35"/>
        <v>2.6000000000000005</v>
      </c>
      <c r="AW19" s="9">
        <f t="shared" si="36"/>
        <v>2.1000000000000005</v>
      </c>
      <c r="AX19" s="9">
        <f t="shared" si="37"/>
        <v>2.2000000000000002</v>
      </c>
      <c r="AY19" s="9">
        <f t="shared" si="38"/>
        <v>1.3250000000000002</v>
      </c>
      <c r="AZ19" s="9">
        <f t="shared" si="39"/>
        <v>1.7000000000000002</v>
      </c>
      <c r="BA19" s="9">
        <f t="shared" si="40"/>
        <v>2.2000000000000002</v>
      </c>
      <c r="BB19" s="9">
        <f t="shared" si="41"/>
        <v>0.69999999999999929</v>
      </c>
      <c r="BC19" s="9">
        <f t="shared" si="42"/>
        <v>0.90000000000000036</v>
      </c>
      <c r="BD19" s="9">
        <f t="shared" si="43"/>
        <v>1.9749999999999996</v>
      </c>
      <c r="BE19" s="9">
        <f t="shared" si="44"/>
        <v>2.5999999999999996</v>
      </c>
      <c r="BF19" s="9">
        <f t="shared" si="45"/>
        <v>2</v>
      </c>
      <c r="BG19" s="9">
        <f t="shared" si="46"/>
        <v>2.0999999999999996</v>
      </c>
      <c r="BH19" s="9">
        <f t="shared" si="47"/>
        <v>0.875</v>
      </c>
      <c r="BI19" s="9">
        <f t="shared" si="48"/>
        <v>1.75</v>
      </c>
      <c r="BJ19" s="9">
        <f t="shared" si="49"/>
        <v>2.3000000000000007</v>
      </c>
    </row>
    <row r="20" spans="1:62" x14ac:dyDescent="0.2">
      <c r="A20" s="9">
        <f>data!M21-data!M20</f>
        <v>0.36150000000000659</v>
      </c>
      <c r="B20" s="9">
        <f>data!C21-data!C20</f>
        <v>-3.1799999999999997</v>
      </c>
      <c r="C20" s="9">
        <f>data!D21-data!D20</f>
        <v>-5.0000000000000711E-2</v>
      </c>
      <c r="D20" s="10">
        <f>data!B21-data!B20</f>
        <v>-5.0000000000000044E-2</v>
      </c>
      <c r="E20" s="9">
        <f>data!E20-data!G20</f>
        <v>2.8423000000000003</v>
      </c>
      <c r="F20" s="9">
        <f>(data!E20-data!F20)-(data!G20-data!H20)</f>
        <v>-0.66529999999999956</v>
      </c>
      <c r="G20" s="9">
        <f t="shared" si="0"/>
        <v>1.4699999999999935E-2</v>
      </c>
      <c r="H20" s="9">
        <f t="shared" si="1"/>
        <v>-4.6400000000000219E-2</v>
      </c>
      <c r="I20" s="9">
        <f>IF(data!M21&gt; 111.81,1,0)</f>
        <v>0</v>
      </c>
      <c r="J20" s="9">
        <f t="shared" si="2"/>
        <v>1</v>
      </c>
      <c r="K20" s="9">
        <f t="shared" si="3"/>
        <v>0</v>
      </c>
      <c r="L20" s="9">
        <f t="shared" si="4"/>
        <v>0.36150000000000659</v>
      </c>
      <c r="M20" s="9">
        <f>data!J20</f>
        <v>-0.3</v>
      </c>
      <c r="N20" s="9">
        <f>data!I20</f>
        <v>-0.2</v>
      </c>
      <c r="O20" s="9">
        <f>data!L20</f>
        <v>-1.2</v>
      </c>
      <c r="P20" s="9">
        <f>data!K20</f>
        <v>-6.9</v>
      </c>
      <c r="Q20" s="9">
        <f>data!R20</f>
        <v>-11.8</v>
      </c>
      <c r="R20" s="9">
        <f t="shared" si="5"/>
        <v>-0.2</v>
      </c>
      <c r="S20" s="9">
        <f t="shared" si="6"/>
        <v>9.9999999999999978E-2</v>
      </c>
      <c r="T20" s="9">
        <f t="shared" si="7"/>
        <v>0.19999999999999998</v>
      </c>
      <c r="U20" s="9">
        <f t="shared" si="8"/>
        <v>-0.10000000000000003</v>
      </c>
      <c r="V20" s="9">
        <f t="shared" si="9"/>
        <v>-0.39999999999999997</v>
      </c>
      <c r="W20" s="9">
        <f t="shared" si="10"/>
        <v>-0.3</v>
      </c>
      <c r="X20" s="9">
        <f t="shared" si="11"/>
        <v>-2.2000000000000002</v>
      </c>
      <c r="Y20" s="9">
        <f t="shared" si="12"/>
        <v>-0.8</v>
      </c>
      <c r="Z20" s="9">
        <f t="shared" si="13"/>
        <v>-0.89999999999999991</v>
      </c>
      <c r="AA20" s="9">
        <f t="shared" si="14"/>
        <v>-0.3</v>
      </c>
      <c r="AB20" s="9">
        <f t="shared" si="15"/>
        <v>-9.9999999999999978E-2</v>
      </c>
      <c r="AC20" s="9">
        <f t="shared" si="16"/>
        <v>0.1</v>
      </c>
      <c r="AD20" s="9">
        <f t="shared" si="17"/>
        <v>-0.2</v>
      </c>
      <c r="AE20" s="9">
        <f t="shared" si="18"/>
        <v>-0.3</v>
      </c>
      <c r="AF20" s="9">
        <f t="shared" si="19"/>
        <v>-0.3</v>
      </c>
      <c r="AG20" s="9">
        <f t="shared" si="20"/>
        <v>-0.55000000000000004</v>
      </c>
      <c r="AH20" s="9">
        <f t="shared" si="21"/>
        <v>-0.7</v>
      </c>
      <c r="AI20" s="9">
        <f t="shared" si="22"/>
        <v>-0.35000000000000003</v>
      </c>
      <c r="AJ20" s="9">
        <f t="shared" si="23"/>
        <v>-5.0000000000000044E-2</v>
      </c>
      <c r="AK20" s="9">
        <f t="shared" si="24"/>
        <v>-0.10000000000000009</v>
      </c>
      <c r="AL20" s="9">
        <f t="shared" si="25"/>
        <v>0.29999999999999993</v>
      </c>
      <c r="AM20" s="9">
        <f t="shared" si="26"/>
        <v>9.9999999999999867E-2</v>
      </c>
      <c r="AN20" s="9">
        <f t="shared" si="27"/>
        <v>-0.10000000000000009</v>
      </c>
      <c r="AO20" s="9">
        <f t="shared" si="28"/>
        <v>-0.42500000000000004</v>
      </c>
      <c r="AP20" s="9">
        <f t="shared" si="29"/>
        <v>-0.30000000000000004</v>
      </c>
      <c r="AQ20" s="9">
        <f t="shared" si="30"/>
        <v>-0.5</v>
      </c>
      <c r="AR20" s="9">
        <f t="shared" si="31"/>
        <v>-0.8</v>
      </c>
      <c r="AS20" s="9">
        <f t="shared" si="32"/>
        <v>0.15000000000000036</v>
      </c>
      <c r="AT20" s="9">
        <f t="shared" si="33"/>
        <v>1.1000000000000005</v>
      </c>
      <c r="AU20" s="9">
        <f t="shared" si="34"/>
        <v>1.8000000000000007</v>
      </c>
      <c r="AV20" s="9">
        <f t="shared" si="35"/>
        <v>1.3000000000000007</v>
      </c>
      <c r="AW20" s="9">
        <f t="shared" si="36"/>
        <v>1.4000000000000004</v>
      </c>
      <c r="AX20" s="9">
        <f t="shared" si="37"/>
        <v>0.52500000000000036</v>
      </c>
      <c r="AY20" s="9">
        <f t="shared" si="38"/>
        <v>0.90000000000000036</v>
      </c>
      <c r="AZ20" s="9">
        <f t="shared" si="39"/>
        <v>1.4000000000000004</v>
      </c>
      <c r="BA20" s="9">
        <f t="shared" si="40"/>
        <v>2.2000000000000002</v>
      </c>
      <c r="BB20" s="9">
        <f t="shared" si="41"/>
        <v>0.20000000000000107</v>
      </c>
      <c r="BC20" s="9">
        <f t="shared" si="42"/>
        <v>1.2750000000000004</v>
      </c>
      <c r="BD20" s="9">
        <f t="shared" si="43"/>
        <v>1.9000000000000004</v>
      </c>
      <c r="BE20" s="9">
        <f t="shared" si="44"/>
        <v>1.3000000000000007</v>
      </c>
      <c r="BF20" s="9">
        <f t="shared" si="45"/>
        <v>1.4000000000000004</v>
      </c>
      <c r="BG20" s="9">
        <f t="shared" si="46"/>
        <v>0.17500000000000071</v>
      </c>
      <c r="BH20" s="9">
        <f t="shared" si="47"/>
        <v>1.0500000000000007</v>
      </c>
      <c r="BI20" s="9">
        <f t="shared" si="48"/>
        <v>1.6000000000000014</v>
      </c>
      <c r="BJ20" s="9">
        <f t="shared" si="49"/>
        <v>2.3000000000000007</v>
      </c>
    </row>
    <row r="21" spans="1:62" x14ac:dyDescent="0.2">
      <c r="A21" s="9">
        <f>data!M22-data!M21</f>
        <v>-0.28200000000001069</v>
      </c>
      <c r="B21" s="9">
        <f>data!C22-data!C21</f>
        <v>-0.99000000000000021</v>
      </c>
      <c r="C21" s="9">
        <f>data!D22-data!D21</f>
        <v>-0.25</v>
      </c>
      <c r="D21" s="10">
        <f>data!B22-data!B21</f>
        <v>9.9999999999999978E-2</v>
      </c>
      <c r="E21" s="9">
        <f>data!E21-data!G21</f>
        <v>2.8570000000000002</v>
      </c>
      <c r="F21" s="9">
        <f>(data!E21-data!F21)-(data!G21-data!H21)</f>
        <v>-0.71169999999999978</v>
      </c>
      <c r="G21" s="9">
        <f t="shared" si="0"/>
        <v>-3.0100000000000016E-2</v>
      </c>
      <c r="H21" s="9">
        <f t="shared" si="1"/>
        <v>-2.0300000000000207E-2</v>
      </c>
      <c r="I21" s="9">
        <f>IF(data!M22&gt; 111.81,1,0)</f>
        <v>0</v>
      </c>
      <c r="J21" s="9">
        <f t="shared" si="2"/>
        <v>1</v>
      </c>
      <c r="K21" s="9">
        <f t="shared" si="3"/>
        <v>0</v>
      </c>
      <c r="L21" s="9">
        <f t="shared" si="4"/>
        <v>-0.28200000000001069</v>
      </c>
      <c r="M21" s="9">
        <f>data!J21</f>
        <v>-0.5</v>
      </c>
      <c r="N21" s="9">
        <f>data!I21</f>
        <v>-0.5</v>
      </c>
      <c r="O21" s="9">
        <f>data!L21</f>
        <v>-1.25</v>
      </c>
      <c r="P21" s="9">
        <f>data!K21</f>
        <v>-6.75</v>
      </c>
      <c r="Q21" s="9">
        <f>data!R21</f>
        <v>-11.6</v>
      </c>
      <c r="R21" s="9">
        <f t="shared" si="5"/>
        <v>0.3</v>
      </c>
      <c r="S21" s="9">
        <f t="shared" si="6"/>
        <v>0.4</v>
      </c>
      <c r="T21" s="9">
        <f t="shared" si="7"/>
        <v>9.9999999999999978E-2</v>
      </c>
      <c r="U21" s="9">
        <f t="shared" si="8"/>
        <v>-0.19999999999999996</v>
      </c>
      <c r="V21" s="9">
        <f t="shared" si="9"/>
        <v>-9.9999999999999978E-2</v>
      </c>
      <c r="W21" s="9">
        <f t="shared" si="10"/>
        <v>-2</v>
      </c>
      <c r="X21" s="9">
        <f t="shared" si="11"/>
        <v>-0.60000000000000009</v>
      </c>
      <c r="Y21" s="9">
        <f t="shared" si="12"/>
        <v>-0.7</v>
      </c>
      <c r="Z21" s="9">
        <f t="shared" si="13"/>
        <v>0.3</v>
      </c>
      <c r="AA21" s="9">
        <f t="shared" si="14"/>
        <v>0.2</v>
      </c>
      <c r="AB21" s="9">
        <f t="shared" si="15"/>
        <v>0.4</v>
      </c>
      <c r="AC21" s="9">
        <f t="shared" si="16"/>
        <v>9.9999999999999978E-2</v>
      </c>
      <c r="AD21" s="9">
        <f t="shared" si="17"/>
        <v>0</v>
      </c>
      <c r="AE21" s="9">
        <f t="shared" si="18"/>
        <v>0</v>
      </c>
      <c r="AF21" s="9">
        <f t="shared" si="19"/>
        <v>-0.25</v>
      </c>
      <c r="AG21" s="9">
        <f t="shared" si="20"/>
        <v>-0.4</v>
      </c>
      <c r="AH21" s="9">
        <f t="shared" si="21"/>
        <v>-5.0000000000000044E-2</v>
      </c>
      <c r="AI21" s="9">
        <f t="shared" si="22"/>
        <v>0</v>
      </c>
      <c r="AJ21" s="9">
        <f t="shared" si="23"/>
        <v>-5.0000000000000044E-2</v>
      </c>
      <c r="AK21" s="9">
        <f t="shared" si="24"/>
        <v>0.35</v>
      </c>
      <c r="AL21" s="9">
        <f t="shared" si="25"/>
        <v>0.14999999999999991</v>
      </c>
      <c r="AM21" s="9">
        <f t="shared" si="26"/>
        <v>-5.0000000000000044E-2</v>
      </c>
      <c r="AN21" s="9">
        <f t="shared" si="27"/>
        <v>-0.375</v>
      </c>
      <c r="AO21" s="9">
        <f t="shared" si="28"/>
        <v>-0.25</v>
      </c>
      <c r="AP21" s="9">
        <f t="shared" si="29"/>
        <v>-0.44999999999999996</v>
      </c>
      <c r="AQ21" s="9">
        <f t="shared" si="30"/>
        <v>-0.75</v>
      </c>
      <c r="AR21" s="9">
        <f t="shared" si="31"/>
        <v>0.25</v>
      </c>
      <c r="AS21" s="9">
        <f t="shared" si="32"/>
        <v>0.95000000000000018</v>
      </c>
      <c r="AT21" s="9">
        <f t="shared" si="33"/>
        <v>1.6500000000000004</v>
      </c>
      <c r="AU21" s="9">
        <f t="shared" si="34"/>
        <v>1.1500000000000004</v>
      </c>
      <c r="AV21" s="9">
        <f t="shared" si="35"/>
        <v>1.25</v>
      </c>
      <c r="AW21" s="9">
        <f t="shared" si="36"/>
        <v>0.375</v>
      </c>
      <c r="AX21" s="9">
        <f t="shared" si="37"/>
        <v>0.75</v>
      </c>
      <c r="AY21" s="9">
        <f t="shared" si="38"/>
        <v>1.25</v>
      </c>
      <c r="AZ21" s="9">
        <f t="shared" si="39"/>
        <v>2.0499999999999998</v>
      </c>
      <c r="BA21" s="9">
        <f t="shared" si="40"/>
        <v>2.4500000000000002</v>
      </c>
      <c r="BB21" s="9">
        <f t="shared" si="41"/>
        <v>1.0749999999999993</v>
      </c>
      <c r="BC21" s="9">
        <f t="shared" si="42"/>
        <v>1.6999999999999993</v>
      </c>
      <c r="BD21" s="9">
        <f t="shared" si="43"/>
        <v>1.0999999999999996</v>
      </c>
      <c r="BE21" s="9">
        <f t="shared" si="44"/>
        <v>1.1999999999999993</v>
      </c>
      <c r="BF21" s="9">
        <f t="shared" si="45"/>
        <v>-2.5000000000000355E-2</v>
      </c>
      <c r="BG21" s="9">
        <f t="shared" si="46"/>
        <v>0.84999999999999964</v>
      </c>
      <c r="BH21" s="9">
        <f t="shared" si="47"/>
        <v>1.4000000000000004</v>
      </c>
      <c r="BI21" s="9">
        <f t="shared" si="48"/>
        <v>2.0999999999999996</v>
      </c>
      <c r="BJ21" s="9">
        <f t="shared" si="49"/>
        <v>2.7999999999999989</v>
      </c>
    </row>
    <row r="22" spans="1:62" x14ac:dyDescent="0.2">
      <c r="A22" s="9">
        <f>data!M23-data!M22</f>
        <v>0.46580000000000155</v>
      </c>
      <c r="B22" s="9">
        <f>data!C23-data!C22</f>
        <v>0</v>
      </c>
      <c r="C22" s="9">
        <f>data!D23-data!D22</f>
        <v>-0.17499999999999893</v>
      </c>
      <c r="D22" s="10">
        <f>data!B23-data!B22</f>
        <v>-4.9999999999999933E-2</v>
      </c>
      <c r="E22" s="9">
        <f>data!E22-data!G22</f>
        <v>2.8269000000000002</v>
      </c>
      <c r="F22" s="9">
        <f>(data!E22-data!F22)-(data!G22-data!H22)</f>
        <v>-0.73199999999999998</v>
      </c>
      <c r="G22" s="9">
        <f t="shared" si="0"/>
        <v>-8.8700000000000223E-2</v>
      </c>
      <c r="H22" s="9">
        <f t="shared" si="1"/>
        <v>-2.1000000000004349E-3</v>
      </c>
      <c r="I22" s="9">
        <f>IF(data!M23&gt; 111.81,1,0)</f>
        <v>0</v>
      </c>
      <c r="J22" s="9">
        <f t="shared" si="2"/>
        <v>1</v>
      </c>
      <c r="K22" s="9">
        <f t="shared" si="3"/>
        <v>0</v>
      </c>
      <c r="L22" s="9">
        <f t="shared" si="4"/>
        <v>0.46580000000000155</v>
      </c>
      <c r="M22" s="9">
        <f>data!J22</f>
        <v>-0.2</v>
      </c>
      <c r="N22" s="9">
        <f>data!I22</f>
        <v>-0.3</v>
      </c>
      <c r="O22" s="9">
        <f>data!L22</f>
        <v>-1.3</v>
      </c>
      <c r="P22" s="9">
        <f>data!K22</f>
        <v>-5.8</v>
      </c>
      <c r="Q22" s="9">
        <f>data!R22</f>
        <v>-10.525</v>
      </c>
      <c r="R22" s="9">
        <f t="shared" si="5"/>
        <v>0.1</v>
      </c>
      <c r="S22" s="9">
        <f t="shared" si="6"/>
        <v>-0.2</v>
      </c>
      <c r="T22" s="9">
        <f t="shared" si="7"/>
        <v>-0.49999999999999994</v>
      </c>
      <c r="U22" s="9">
        <f t="shared" si="8"/>
        <v>-0.39999999999999997</v>
      </c>
      <c r="V22" s="9">
        <f t="shared" si="9"/>
        <v>-2.2999999999999998</v>
      </c>
      <c r="W22" s="9">
        <f t="shared" si="10"/>
        <v>-0.90000000000000013</v>
      </c>
      <c r="X22" s="9">
        <f t="shared" si="11"/>
        <v>-1</v>
      </c>
      <c r="Y22" s="9">
        <f t="shared" si="12"/>
        <v>0</v>
      </c>
      <c r="Z22" s="9">
        <f t="shared" si="13"/>
        <v>-1</v>
      </c>
      <c r="AA22" s="9">
        <f t="shared" si="14"/>
        <v>0.19999999999999998</v>
      </c>
      <c r="AB22" s="9">
        <f t="shared" si="15"/>
        <v>-0.10000000000000003</v>
      </c>
      <c r="AC22" s="9">
        <f t="shared" si="16"/>
        <v>-0.2</v>
      </c>
      <c r="AD22" s="9">
        <f t="shared" si="17"/>
        <v>-0.2</v>
      </c>
      <c r="AE22" s="9">
        <f t="shared" si="18"/>
        <v>-0.45</v>
      </c>
      <c r="AF22" s="9">
        <f t="shared" si="19"/>
        <v>-0.60000000000000009</v>
      </c>
      <c r="AG22" s="9">
        <f t="shared" si="20"/>
        <v>-0.25000000000000006</v>
      </c>
      <c r="AH22" s="9">
        <f t="shared" si="21"/>
        <v>-0.2</v>
      </c>
      <c r="AI22" s="9">
        <f t="shared" si="22"/>
        <v>-0.25000000000000006</v>
      </c>
      <c r="AJ22" s="9">
        <f t="shared" si="23"/>
        <v>0.4</v>
      </c>
      <c r="AK22" s="9">
        <f t="shared" si="24"/>
        <v>0.19999999999999996</v>
      </c>
      <c r="AL22" s="9">
        <f t="shared" si="25"/>
        <v>0</v>
      </c>
      <c r="AM22" s="9">
        <f t="shared" si="26"/>
        <v>-0.32499999999999996</v>
      </c>
      <c r="AN22" s="9">
        <f t="shared" si="27"/>
        <v>-0.19999999999999996</v>
      </c>
      <c r="AO22" s="9">
        <f t="shared" si="28"/>
        <v>-0.39999999999999991</v>
      </c>
      <c r="AP22" s="9">
        <f t="shared" si="29"/>
        <v>-0.7</v>
      </c>
      <c r="AQ22" s="9">
        <f t="shared" si="30"/>
        <v>0.30000000000000004</v>
      </c>
      <c r="AR22" s="9">
        <f t="shared" si="31"/>
        <v>0.42500000000000004</v>
      </c>
      <c r="AS22" s="9">
        <f t="shared" si="32"/>
        <v>0.70000000000000018</v>
      </c>
      <c r="AT22" s="9">
        <f t="shared" si="33"/>
        <v>0.20000000000000018</v>
      </c>
      <c r="AU22" s="9">
        <f t="shared" si="34"/>
        <v>0.29999999999999982</v>
      </c>
      <c r="AV22" s="9">
        <f t="shared" si="35"/>
        <v>-0.57500000000000018</v>
      </c>
      <c r="AW22" s="9">
        <f t="shared" si="36"/>
        <v>-0.20000000000000018</v>
      </c>
      <c r="AX22" s="9">
        <f t="shared" si="37"/>
        <v>0.29999999999999982</v>
      </c>
      <c r="AY22" s="9">
        <f t="shared" si="38"/>
        <v>1.0999999999999996</v>
      </c>
      <c r="AZ22" s="9">
        <f t="shared" si="39"/>
        <v>1.5</v>
      </c>
      <c r="BA22" s="9">
        <f t="shared" si="40"/>
        <v>1.0999999999999996</v>
      </c>
      <c r="BB22" s="9">
        <f t="shared" si="41"/>
        <v>0.625</v>
      </c>
      <c r="BC22" s="9">
        <f t="shared" si="42"/>
        <v>2.5000000000000355E-2</v>
      </c>
      <c r="BD22" s="9">
        <f t="shared" si="43"/>
        <v>0.125</v>
      </c>
      <c r="BE22" s="9">
        <f t="shared" si="44"/>
        <v>-1.0999999999999996</v>
      </c>
      <c r="BF22" s="9">
        <f t="shared" si="45"/>
        <v>-0.22499999999999964</v>
      </c>
      <c r="BG22" s="9">
        <f t="shared" si="46"/>
        <v>0.32500000000000107</v>
      </c>
      <c r="BH22" s="9">
        <f t="shared" si="47"/>
        <v>1.0250000000000004</v>
      </c>
      <c r="BI22" s="9">
        <f t="shared" si="48"/>
        <v>1.7249999999999996</v>
      </c>
      <c r="BJ22" s="9">
        <f t="shared" si="49"/>
        <v>1.7249999999999996</v>
      </c>
    </row>
    <row r="23" spans="1:62" x14ac:dyDescent="0.2">
      <c r="A23" s="9">
        <f>data!M24-data!M23</f>
        <v>0.37130000000000507</v>
      </c>
      <c r="B23" s="9">
        <f>data!C24-data!C23</f>
        <v>-0.1899999999999995</v>
      </c>
      <c r="C23" s="9">
        <f>data!D24-data!D23</f>
        <v>0.125</v>
      </c>
      <c r="D23" s="10">
        <f>data!B24-data!B23</f>
        <v>9.9999999999999978E-2</v>
      </c>
      <c r="E23" s="9">
        <f>data!E23-data!G23</f>
        <v>2.7382</v>
      </c>
      <c r="F23" s="9">
        <f>(data!E23-data!F23)-(data!G23-data!H23)</f>
        <v>-0.73410000000000042</v>
      </c>
      <c r="G23" s="9">
        <f t="shared" si="0"/>
        <v>9.7199999999999953E-2</v>
      </c>
      <c r="H23" s="9">
        <f t="shared" si="1"/>
        <v>-4.1299999999999226E-2</v>
      </c>
      <c r="I23" s="9">
        <f>IF(data!M24&gt; 111.81,1,0)</f>
        <v>0</v>
      </c>
      <c r="J23" s="9">
        <f t="shared" si="2"/>
        <v>1</v>
      </c>
      <c r="K23" s="9">
        <f t="shared" si="3"/>
        <v>0</v>
      </c>
      <c r="L23" s="9">
        <f t="shared" si="4"/>
        <v>0.37130000000000507</v>
      </c>
      <c r="M23" s="9">
        <f>data!J23</f>
        <v>-0.1</v>
      </c>
      <c r="N23" s="9">
        <f>data!I23</f>
        <v>-0.1</v>
      </c>
      <c r="O23" s="9">
        <f>data!L23</f>
        <v>-0.9</v>
      </c>
      <c r="P23" s="9">
        <f>data!K23</f>
        <v>-5.0999999999999996</v>
      </c>
      <c r="Q23" s="9">
        <f>data!R23</f>
        <v>-9.9</v>
      </c>
      <c r="R23" s="9">
        <f t="shared" si="5"/>
        <v>-0.30000000000000004</v>
      </c>
      <c r="S23" s="9">
        <f t="shared" si="6"/>
        <v>-0.6</v>
      </c>
      <c r="T23" s="9">
        <f t="shared" si="7"/>
        <v>-0.5</v>
      </c>
      <c r="U23" s="9">
        <f t="shared" si="8"/>
        <v>-2.4</v>
      </c>
      <c r="V23" s="9">
        <f t="shared" si="9"/>
        <v>-1</v>
      </c>
      <c r="W23" s="9">
        <f t="shared" si="10"/>
        <v>-1.0999999999999999</v>
      </c>
      <c r="X23" s="9">
        <f t="shared" si="11"/>
        <v>-0.1</v>
      </c>
      <c r="Y23" s="9">
        <f t="shared" si="12"/>
        <v>-1.0999999999999999</v>
      </c>
      <c r="Z23" s="9">
        <f t="shared" si="13"/>
        <v>-1.2999999999999998</v>
      </c>
      <c r="AA23" s="9">
        <f t="shared" si="14"/>
        <v>-0.30000000000000004</v>
      </c>
      <c r="AB23" s="9">
        <f t="shared" si="15"/>
        <v>-0.4</v>
      </c>
      <c r="AC23" s="9">
        <f t="shared" si="16"/>
        <v>-0.4</v>
      </c>
      <c r="AD23" s="9">
        <f t="shared" si="17"/>
        <v>-0.65</v>
      </c>
      <c r="AE23" s="9">
        <f t="shared" si="18"/>
        <v>-0.8</v>
      </c>
      <c r="AF23" s="9">
        <f t="shared" si="19"/>
        <v>-0.45000000000000007</v>
      </c>
      <c r="AG23" s="9">
        <f t="shared" si="20"/>
        <v>-0.4</v>
      </c>
      <c r="AH23" s="9">
        <f t="shared" si="21"/>
        <v>-0.45000000000000007</v>
      </c>
      <c r="AI23" s="9">
        <f t="shared" si="22"/>
        <v>-0.70000000000000007</v>
      </c>
      <c r="AJ23" s="9">
        <f t="shared" si="23"/>
        <v>-0.20000000000000007</v>
      </c>
      <c r="AK23" s="9">
        <f t="shared" si="24"/>
        <v>-0.4</v>
      </c>
      <c r="AL23" s="9">
        <f t="shared" si="25"/>
        <v>-0.72499999999999998</v>
      </c>
      <c r="AM23" s="9">
        <f t="shared" si="26"/>
        <v>-0.6</v>
      </c>
      <c r="AN23" s="9">
        <f t="shared" si="27"/>
        <v>-0.79999999999999993</v>
      </c>
      <c r="AO23" s="9">
        <f t="shared" si="28"/>
        <v>-1.1000000000000001</v>
      </c>
      <c r="AP23" s="9">
        <f t="shared" si="29"/>
        <v>-9.9999999999999978E-2</v>
      </c>
      <c r="AQ23" s="9">
        <f t="shared" si="30"/>
        <v>2.5000000000000022E-2</v>
      </c>
      <c r="AR23" s="9">
        <f t="shared" si="31"/>
        <v>-0.20000000000000007</v>
      </c>
      <c r="AS23" s="9">
        <f t="shared" si="32"/>
        <v>-0.5</v>
      </c>
      <c r="AT23" s="9">
        <f t="shared" si="33"/>
        <v>-0.40000000000000036</v>
      </c>
      <c r="AU23" s="9">
        <f t="shared" si="34"/>
        <v>-1.2750000000000004</v>
      </c>
      <c r="AV23" s="9">
        <f t="shared" si="35"/>
        <v>-0.90000000000000036</v>
      </c>
      <c r="AW23" s="9">
        <f t="shared" si="36"/>
        <v>-0.40000000000000036</v>
      </c>
      <c r="AX23" s="9">
        <f t="shared" si="37"/>
        <v>0.39999999999999947</v>
      </c>
      <c r="AY23" s="9">
        <f t="shared" si="38"/>
        <v>0.79999999999999982</v>
      </c>
      <c r="AZ23" s="9">
        <f t="shared" si="39"/>
        <v>0.39999999999999947</v>
      </c>
      <c r="BA23" s="9">
        <f t="shared" si="40"/>
        <v>0.39999999999999947</v>
      </c>
      <c r="BB23" s="9">
        <f t="shared" si="41"/>
        <v>-0.59999999999999964</v>
      </c>
      <c r="BC23" s="9">
        <f t="shared" si="42"/>
        <v>-0.5</v>
      </c>
      <c r="BD23" s="9">
        <f t="shared" si="43"/>
        <v>-1.7249999999999996</v>
      </c>
      <c r="BE23" s="9">
        <f t="shared" si="44"/>
        <v>-0.84999999999999964</v>
      </c>
      <c r="BF23" s="9">
        <f t="shared" si="45"/>
        <v>-0.29999999999999893</v>
      </c>
      <c r="BG23" s="9">
        <f t="shared" si="46"/>
        <v>0.40000000000000036</v>
      </c>
      <c r="BH23" s="9">
        <f t="shared" si="47"/>
        <v>1.0999999999999996</v>
      </c>
      <c r="BI23" s="9">
        <f t="shared" si="48"/>
        <v>1.0999999999999996</v>
      </c>
      <c r="BJ23" s="9">
        <f t="shared" si="49"/>
        <v>0.59999999999999964</v>
      </c>
    </row>
    <row r="24" spans="1:62" x14ac:dyDescent="0.2">
      <c r="A24" s="9">
        <f>data!M25-data!M24</f>
        <v>-0.59720000000000084</v>
      </c>
      <c r="B24" s="9">
        <f>data!C25-data!C24</f>
        <v>-0.48000000000000043</v>
      </c>
      <c r="C24" s="9">
        <f>data!D25-data!D24</f>
        <v>0</v>
      </c>
      <c r="D24" s="10">
        <f>data!B25-data!B24</f>
        <v>0</v>
      </c>
      <c r="E24" s="9">
        <f>data!E24-data!G24</f>
        <v>2.8353999999999999</v>
      </c>
      <c r="F24" s="9">
        <f>(data!E24-data!F24)-(data!G24-data!H24)</f>
        <v>-0.77539999999999965</v>
      </c>
      <c r="G24" s="9">
        <f t="shared" si="0"/>
        <v>-6.590000000000007E-2</v>
      </c>
      <c r="H24" s="9">
        <f t="shared" si="1"/>
        <v>-7.580000000000009E-2</v>
      </c>
      <c r="I24" s="9">
        <f>IF(data!M25&gt; 111.81,1,0)</f>
        <v>0</v>
      </c>
      <c r="J24" s="9">
        <f t="shared" si="2"/>
        <v>1</v>
      </c>
      <c r="K24" s="9">
        <f t="shared" si="3"/>
        <v>0</v>
      </c>
      <c r="L24" s="9">
        <f t="shared" si="4"/>
        <v>-0.59720000000000084</v>
      </c>
      <c r="M24" s="9">
        <f>data!J24</f>
        <v>-0.4</v>
      </c>
      <c r="N24" s="9">
        <f>data!I24</f>
        <v>-0.4</v>
      </c>
      <c r="O24" s="9">
        <f>data!L24</f>
        <v>-1.1000000000000001</v>
      </c>
      <c r="P24" s="9">
        <f>data!K24</f>
        <v>-5.6</v>
      </c>
      <c r="Q24" s="9">
        <f>data!R24</f>
        <v>-10.5</v>
      </c>
      <c r="R24" s="9">
        <f t="shared" si="5"/>
        <v>-0.29999999999999993</v>
      </c>
      <c r="S24" s="9">
        <f t="shared" si="6"/>
        <v>-0.19999999999999996</v>
      </c>
      <c r="T24" s="9">
        <f t="shared" si="7"/>
        <v>-2.1</v>
      </c>
      <c r="U24" s="9">
        <f t="shared" si="8"/>
        <v>-0.70000000000000007</v>
      </c>
      <c r="V24" s="9">
        <f t="shared" si="9"/>
        <v>-0.79999999999999993</v>
      </c>
      <c r="W24" s="9">
        <f t="shared" si="10"/>
        <v>0.2</v>
      </c>
      <c r="X24" s="9">
        <f t="shared" si="11"/>
        <v>-0.79999999999999993</v>
      </c>
      <c r="Y24" s="9">
        <f t="shared" si="12"/>
        <v>-0.99999999999999989</v>
      </c>
      <c r="Z24" s="9">
        <f t="shared" si="13"/>
        <v>-1.2999999999999998</v>
      </c>
      <c r="AA24" s="9">
        <f t="shared" si="14"/>
        <v>-9.9999999999999978E-2</v>
      </c>
      <c r="AB24" s="9">
        <f t="shared" si="15"/>
        <v>-9.9999999999999978E-2</v>
      </c>
      <c r="AC24" s="9">
        <f t="shared" si="16"/>
        <v>-0.35</v>
      </c>
      <c r="AD24" s="9">
        <f t="shared" si="17"/>
        <v>-0.5</v>
      </c>
      <c r="AE24" s="9">
        <f t="shared" si="18"/>
        <v>-0.15000000000000002</v>
      </c>
      <c r="AF24" s="9">
        <f t="shared" si="19"/>
        <v>-9.9999999999999978E-2</v>
      </c>
      <c r="AG24" s="9">
        <f t="shared" si="20"/>
        <v>-0.15000000000000002</v>
      </c>
      <c r="AH24" s="9">
        <f t="shared" si="21"/>
        <v>-0.4</v>
      </c>
      <c r="AI24" s="9">
        <f t="shared" si="22"/>
        <v>-0.4</v>
      </c>
      <c r="AJ24" s="9">
        <f t="shared" si="23"/>
        <v>-0.19999999999999996</v>
      </c>
      <c r="AK24" s="9">
        <f t="shared" si="24"/>
        <v>-0.52499999999999991</v>
      </c>
      <c r="AL24" s="9">
        <f t="shared" si="25"/>
        <v>-0.39999999999999991</v>
      </c>
      <c r="AM24" s="9">
        <f t="shared" si="26"/>
        <v>-0.59999999999999987</v>
      </c>
      <c r="AN24" s="9">
        <f t="shared" si="27"/>
        <v>-0.89999999999999991</v>
      </c>
      <c r="AO24" s="9">
        <f t="shared" si="28"/>
        <v>0.10000000000000009</v>
      </c>
      <c r="AP24" s="9">
        <f t="shared" si="29"/>
        <v>0.22500000000000009</v>
      </c>
      <c r="AQ24" s="9">
        <f t="shared" si="30"/>
        <v>0</v>
      </c>
      <c r="AR24" s="9">
        <f t="shared" si="31"/>
        <v>-0.79999999999999982</v>
      </c>
      <c r="AS24" s="9">
        <f t="shared" si="32"/>
        <v>9.9999999999999645E-2</v>
      </c>
      <c r="AT24" s="9">
        <f t="shared" si="33"/>
        <v>-0.77500000000000036</v>
      </c>
      <c r="AU24" s="9">
        <f t="shared" si="34"/>
        <v>-0.40000000000000036</v>
      </c>
      <c r="AV24" s="9">
        <f t="shared" si="35"/>
        <v>9.9999999999999645E-2</v>
      </c>
      <c r="AW24" s="9">
        <f t="shared" si="36"/>
        <v>0.89999999999999947</v>
      </c>
      <c r="AX24" s="9">
        <f t="shared" si="37"/>
        <v>1.2999999999999998</v>
      </c>
      <c r="AY24" s="9">
        <f t="shared" si="38"/>
        <v>0.89999999999999947</v>
      </c>
      <c r="AZ24" s="9">
        <f t="shared" si="39"/>
        <v>0.89999999999999947</v>
      </c>
      <c r="BA24" s="9">
        <f t="shared" si="40"/>
        <v>0.39999999999999947</v>
      </c>
      <c r="BB24" s="9">
        <f t="shared" si="41"/>
        <v>9.9999999999999645E-2</v>
      </c>
      <c r="BC24" s="9">
        <f t="shared" si="42"/>
        <v>-1.125</v>
      </c>
      <c r="BD24" s="9">
        <f t="shared" si="43"/>
        <v>-0.25</v>
      </c>
      <c r="BE24" s="9">
        <f t="shared" si="44"/>
        <v>0.30000000000000071</v>
      </c>
      <c r="BF24" s="9">
        <f t="shared" si="45"/>
        <v>1</v>
      </c>
      <c r="BG24" s="9">
        <f t="shared" si="46"/>
        <v>1.6999999999999993</v>
      </c>
      <c r="BH24" s="9">
        <f t="shared" si="47"/>
        <v>1.6999999999999993</v>
      </c>
      <c r="BI24" s="9">
        <f t="shared" si="48"/>
        <v>1.1999999999999993</v>
      </c>
      <c r="BJ24" s="9">
        <f t="shared" si="49"/>
        <v>0.90000000000000036</v>
      </c>
    </row>
    <row r="25" spans="1:62" x14ac:dyDescent="0.2">
      <c r="A25" s="9">
        <f>data!M26-data!M25</f>
        <v>0.33549999999999613</v>
      </c>
      <c r="B25" s="9">
        <f>data!C26-data!C25</f>
        <v>0.69999999999999929</v>
      </c>
      <c r="C25" s="9">
        <f>data!D26-data!D25</f>
        <v>-0.15000000000000036</v>
      </c>
      <c r="D25" s="10">
        <f>data!B26-data!B25</f>
        <v>5.0000000000000044E-2</v>
      </c>
      <c r="E25" s="9">
        <f>data!E25-data!G25</f>
        <v>2.7694999999999999</v>
      </c>
      <c r="F25" s="9">
        <f>(data!E25-data!F25)-(data!G25-data!H25)</f>
        <v>-0.85119999999999973</v>
      </c>
      <c r="G25" s="9">
        <f t="shared" si="0"/>
        <v>-5.7500000000000107E-2</v>
      </c>
      <c r="H25" s="9">
        <f t="shared" si="1"/>
        <v>6.20999999999996E-2</v>
      </c>
      <c r="I25" s="9">
        <f>IF(data!M26&gt; 111.81,1,0)</f>
        <v>0</v>
      </c>
      <c r="J25" s="9">
        <f t="shared" si="2"/>
        <v>1</v>
      </c>
      <c r="K25" s="9">
        <f t="shared" si="3"/>
        <v>0</v>
      </c>
      <c r="L25" s="9">
        <f t="shared" si="4"/>
        <v>0.33549999999999613</v>
      </c>
      <c r="M25" s="9">
        <f>data!J25</f>
        <v>-0.7</v>
      </c>
      <c r="N25" s="9">
        <f>data!I25</f>
        <v>-0.5</v>
      </c>
      <c r="O25" s="9">
        <f>data!L25</f>
        <v>-1.3</v>
      </c>
      <c r="P25" s="9">
        <f>data!K25</f>
        <v>-5.5</v>
      </c>
      <c r="Q25" s="9">
        <f>data!R25</f>
        <v>-10.4</v>
      </c>
      <c r="R25" s="9">
        <f t="shared" si="5"/>
        <v>9.9999999999999978E-2</v>
      </c>
      <c r="S25" s="9">
        <f t="shared" si="6"/>
        <v>-1.8</v>
      </c>
      <c r="T25" s="9">
        <f t="shared" si="7"/>
        <v>-0.40000000000000013</v>
      </c>
      <c r="U25" s="9">
        <f t="shared" si="8"/>
        <v>-0.5</v>
      </c>
      <c r="V25" s="9">
        <f t="shared" si="9"/>
        <v>0.49999999999999994</v>
      </c>
      <c r="W25" s="9">
        <f t="shared" si="10"/>
        <v>-0.5</v>
      </c>
      <c r="X25" s="9">
        <f t="shared" si="11"/>
        <v>-0.7</v>
      </c>
      <c r="Y25" s="9">
        <f t="shared" si="12"/>
        <v>-1</v>
      </c>
      <c r="Z25" s="9">
        <f t="shared" si="13"/>
        <v>-0.90000000000000013</v>
      </c>
      <c r="AA25" s="9">
        <f t="shared" si="14"/>
        <v>0</v>
      </c>
      <c r="AB25" s="9">
        <f t="shared" si="15"/>
        <v>-0.25</v>
      </c>
      <c r="AC25" s="9">
        <f t="shared" si="16"/>
        <v>-0.4</v>
      </c>
      <c r="AD25" s="9">
        <f t="shared" si="17"/>
        <v>-5.0000000000000044E-2</v>
      </c>
      <c r="AE25" s="9">
        <f t="shared" si="18"/>
        <v>0</v>
      </c>
      <c r="AF25" s="9">
        <f t="shared" si="19"/>
        <v>-5.0000000000000044E-2</v>
      </c>
      <c r="AG25" s="9">
        <f t="shared" si="20"/>
        <v>-0.30000000000000004</v>
      </c>
      <c r="AH25" s="9">
        <f t="shared" si="21"/>
        <v>-0.30000000000000004</v>
      </c>
      <c r="AI25" s="9">
        <f t="shared" si="22"/>
        <v>-0.4</v>
      </c>
      <c r="AJ25" s="9">
        <f t="shared" si="23"/>
        <v>-0.32499999999999996</v>
      </c>
      <c r="AK25" s="9">
        <f t="shared" si="24"/>
        <v>-0.19999999999999996</v>
      </c>
      <c r="AL25" s="9">
        <f t="shared" si="25"/>
        <v>-0.39999999999999991</v>
      </c>
      <c r="AM25" s="9">
        <f t="shared" si="26"/>
        <v>-0.7</v>
      </c>
      <c r="AN25" s="9">
        <f t="shared" si="27"/>
        <v>0.30000000000000004</v>
      </c>
      <c r="AO25" s="9">
        <f t="shared" si="28"/>
        <v>0.42500000000000004</v>
      </c>
      <c r="AP25" s="9">
        <f t="shared" si="29"/>
        <v>0.19999999999999996</v>
      </c>
      <c r="AQ25" s="9">
        <f t="shared" si="30"/>
        <v>-0.59999999999999987</v>
      </c>
      <c r="AR25" s="9">
        <f t="shared" si="31"/>
        <v>-0.90000000000000013</v>
      </c>
      <c r="AS25" s="9">
        <f t="shared" si="32"/>
        <v>-0.875</v>
      </c>
      <c r="AT25" s="9">
        <f t="shared" si="33"/>
        <v>-0.5</v>
      </c>
      <c r="AU25" s="9">
        <f t="shared" si="34"/>
        <v>0</v>
      </c>
      <c r="AV25" s="9">
        <f t="shared" si="35"/>
        <v>0.79999999999999982</v>
      </c>
      <c r="AW25" s="9">
        <f t="shared" si="36"/>
        <v>1.2000000000000002</v>
      </c>
      <c r="AX25" s="9">
        <f t="shared" si="37"/>
        <v>0.79999999999999982</v>
      </c>
      <c r="AY25" s="9">
        <f t="shared" si="38"/>
        <v>0.79999999999999982</v>
      </c>
      <c r="AZ25" s="9">
        <f t="shared" si="39"/>
        <v>0.29999999999999982</v>
      </c>
      <c r="BA25" s="9">
        <f t="shared" si="40"/>
        <v>-0.59999999999999964</v>
      </c>
      <c r="BB25" s="9">
        <f t="shared" si="41"/>
        <v>-1.2249999999999996</v>
      </c>
      <c r="BC25" s="9">
        <f t="shared" si="42"/>
        <v>-0.34999999999999964</v>
      </c>
      <c r="BD25" s="9">
        <f t="shared" si="43"/>
        <v>0.20000000000000107</v>
      </c>
      <c r="BE25" s="9">
        <f t="shared" si="44"/>
        <v>0.90000000000000036</v>
      </c>
      <c r="BF25" s="9">
        <f t="shared" si="45"/>
        <v>1.5999999999999996</v>
      </c>
      <c r="BG25" s="9">
        <f t="shared" si="46"/>
        <v>1.5999999999999996</v>
      </c>
      <c r="BH25" s="9">
        <f t="shared" si="47"/>
        <v>1.0999999999999996</v>
      </c>
      <c r="BI25" s="9">
        <f t="shared" si="48"/>
        <v>0.80000000000000071</v>
      </c>
      <c r="BJ25" s="9">
        <f t="shared" si="49"/>
        <v>0</v>
      </c>
    </row>
    <row r="26" spans="1:62" x14ac:dyDescent="0.2">
      <c r="A26" s="9">
        <f>data!M27-data!M26</f>
        <v>0.91429999999999723</v>
      </c>
      <c r="B26" s="9">
        <f>data!C27-data!C26</f>
        <v>-0.77999999999999936</v>
      </c>
      <c r="C26" s="9">
        <f>data!D27-data!D26</f>
        <v>4.9999999999999822E-2</v>
      </c>
      <c r="D26" s="10">
        <f>data!B27-data!B26</f>
        <v>-0.10000000000000009</v>
      </c>
      <c r="E26" s="9">
        <f>data!E26-data!G26</f>
        <v>2.7119999999999997</v>
      </c>
      <c r="F26" s="9">
        <f>(data!E26-data!F26)-(data!G26-data!H26)</f>
        <v>-0.78910000000000013</v>
      </c>
      <c r="G26" s="9">
        <f t="shared" si="0"/>
        <v>0.16789999999999994</v>
      </c>
      <c r="H26" s="9">
        <f t="shared" si="1"/>
        <v>-1.0000000000021103E-4</v>
      </c>
      <c r="I26" s="9">
        <f>IF(data!M27&gt; 111.81,1,0)</f>
        <v>0</v>
      </c>
      <c r="J26" s="9">
        <f t="shared" si="2"/>
        <v>1</v>
      </c>
      <c r="K26" s="9">
        <f t="shared" si="3"/>
        <v>0</v>
      </c>
      <c r="L26" s="9">
        <f t="shared" si="4"/>
        <v>0.91429999999999723</v>
      </c>
      <c r="M26" s="9">
        <f>data!J26</f>
        <v>-0.6</v>
      </c>
      <c r="N26" s="9">
        <f>data!I26</f>
        <v>-0.5</v>
      </c>
      <c r="O26" s="9">
        <f>data!L26</f>
        <v>-1.625</v>
      </c>
      <c r="P26" s="9">
        <f>data!K26</f>
        <v>-6.375</v>
      </c>
      <c r="Q26" s="9">
        <f>data!R26</f>
        <v>-11.625</v>
      </c>
      <c r="R26" s="9">
        <f t="shared" si="5"/>
        <v>-1.9</v>
      </c>
      <c r="S26" s="9">
        <f t="shared" si="6"/>
        <v>-0.50000000000000011</v>
      </c>
      <c r="T26" s="9">
        <f t="shared" si="7"/>
        <v>-0.6</v>
      </c>
      <c r="U26" s="9">
        <f t="shared" si="8"/>
        <v>0.39999999999999997</v>
      </c>
      <c r="V26" s="9">
        <f t="shared" si="9"/>
        <v>-0.6</v>
      </c>
      <c r="W26" s="9">
        <f t="shared" si="10"/>
        <v>-0.79999999999999993</v>
      </c>
      <c r="X26" s="9">
        <f t="shared" si="11"/>
        <v>-1.1000000000000001</v>
      </c>
      <c r="Y26" s="9">
        <f t="shared" si="12"/>
        <v>-1</v>
      </c>
      <c r="Z26" s="9">
        <f t="shared" si="13"/>
        <v>-1</v>
      </c>
      <c r="AA26" s="9">
        <f t="shared" si="14"/>
        <v>-0.25</v>
      </c>
      <c r="AB26" s="9">
        <f t="shared" si="15"/>
        <v>-0.4</v>
      </c>
      <c r="AC26" s="9">
        <f t="shared" si="16"/>
        <v>-5.0000000000000044E-2</v>
      </c>
      <c r="AD26" s="9">
        <f t="shared" si="17"/>
        <v>0</v>
      </c>
      <c r="AE26" s="9">
        <f t="shared" si="18"/>
        <v>-5.0000000000000044E-2</v>
      </c>
      <c r="AF26" s="9">
        <f t="shared" si="19"/>
        <v>-0.30000000000000004</v>
      </c>
      <c r="AG26" s="9">
        <f t="shared" si="20"/>
        <v>-0.30000000000000004</v>
      </c>
      <c r="AH26" s="9">
        <f t="shared" si="21"/>
        <v>-0.4</v>
      </c>
      <c r="AI26" s="9">
        <f t="shared" si="22"/>
        <v>-0.89999999999999991</v>
      </c>
      <c r="AJ26" s="9">
        <f t="shared" si="23"/>
        <v>0.125</v>
      </c>
      <c r="AK26" s="9">
        <f t="shared" si="24"/>
        <v>-7.4999999999999956E-2</v>
      </c>
      <c r="AL26" s="9">
        <f t="shared" si="25"/>
        <v>-0.375</v>
      </c>
      <c r="AM26" s="9">
        <f t="shared" si="26"/>
        <v>0.625</v>
      </c>
      <c r="AN26" s="9">
        <f t="shared" si="27"/>
        <v>0.75</v>
      </c>
      <c r="AO26" s="9">
        <f t="shared" si="28"/>
        <v>0.52499999999999991</v>
      </c>
      <c r="AP26" s="9">
        <f t="shared" si="29"/>
        <v>-0.27499999999999991</v>
      </c>
      <c r="AQ26" s="9">
        <f t="shared" si="30"/>
        <v>-0.57500000000000018</v>
      </c>
      <c r="AR26" s="9">
        <f t="shared" si="31"/>
        <v>-1.25</v>
      </c>
      <c r="AS26" s="9">
        <f t="shared" si="32"/>
        <v>0.375</v>
      </c>
      <c r="AT26" s="9">
        <f t="shared" si="33"/>
        <v>0.875</v>
      </c>
      <c r="AU26" s="9">
        <f t="shared" si="34"/>
        <v>1.6749999999999998</v>
      </c>
      <c r="AV26" s="9">
        <f t="shared" si="35"/>
        <v>2.0750000000000002</v>
      </c>
      <c r="AW26" s="9">
        <f t="shared" si="36"/>
        <v>1.6749999999999998</v>
      </c>
      <c r="AX26" s="9">
        <f t="shared" si="37"/>
        <v>1.6749999999999998</v>
      </c>
      <c r="AY26" s="9">
        <f t="shared" si="38"/>
        <v>1.1749999999999998</v>
      </c>
      <c r="AZ26" s="9">
        <f t="shared" si="39"/>
        <v>0.27500000000000036</v>
      </c>
      <c r="BA26" s="9">
        <f t="shared" si="40"/>
        <v>7.5000000000000178E-2</v>
      </c>
      <c r="BB26" s="9">
        <f t="shared" si="41"/>
        <v>0.875</v>
      </c>
      <c r="BC26" s="9">
        <f t="shared" si="42"/>
        <v>1.4250000000000007</v>
      </c>
      <c r="BD26" s="9">
        <f t="shared" si="43"/>
        <v>2.125</v>
      </c>
      <c r="BE26" s="9">
        <f t="shared" si="44"/>
        <v>2.8249999999999993</v>
      </c>
      <c r="BF26" s="9">
        <f t="shared" si="45"/>
        <v>2.8249999999999993</v>
      </c>
      <c r="BG26" s="9">
        <f t="shared" si="46"/>
        <v>2.3249999999999993</v>
      </c>
      <c r="BH26" s="9">
        <f t="shared" si="47"/>
        <v>2.0250000000000004</v>
      </c>
      <c r="BI26" s="9">
        <f t="shared" si="48"/>
        <v>1.2249999999999996</v>
      </c>
      <c r="BJ26" s="9">
        <f t="shared" si="49"/>
        <v>0.375</v>
      </c>
    </row>
    <row r="27" spans="1:62" x14ac:dyDescent="0.2">
      <c r="A27" s="9">
        <f>data!M28-data!M27</f>
        <v>4.1100000000000136E-2</v>
      </c>
      <c r="B27" s="9">
        <f>data!C28-data!C27</f>
        <v>4.9999999999998934E-2</v>
      </c>
      <c r="C27" s="9">
        <f>data!D28-data!D27</f>
        <v>-4.9999999999999822E-2</v>
      </c>
      <c r="D27" s="10">
        <f>data!B28-data!B27</f>
        <v>-0.25</v>
      </c>
      <c r="E27" s="9">
        <f>data!E27-data!G27</f>
        <v>2.8798999999999997</v>
      </c>
      <c r="F27" s="9">
        <f>(data!E27-data!F27)-(data!G27-data!H27)</f>
        <v>-0.78920000000000035</v>
      </c>
      <c r="G27" s="9">
        <f t="shared" si="0"/>
        <v>6.5000000000003944E-3</v>
      </c>
      <c r="H27" s="9">
        <f t="shared" si="1"/>
        <v>-1.8099999999999339E-2</v>
      </c>
      <c r="I27" s="9">
        <f>IF(data!M28&gt; 111.81,1,0)</f>
        <v>0</v>
      </c>
      <c r="J27" s="9">
        <f t="shared" si="2"/>
        <v>1</v>
      </c>
      <c r="K27" s="9">
        <f t="shared" si="3"/>
        <v>0</v>
      </c>
      <c r="L27" s="9">
        <f t="shared" si="4"/>
        <v>4.1100000000000136E-2</v>
      </c>
      <c r="M27" s="9">
        <f>data!J27</f>
        <v>-2.5</v>
      </c>
      <c r="N27" s="9">
        <f>data!I27</f>
        <v>-0.75</v>
      </c>
      <c r="O27" s="9">
        <f>data!L27</f>
        <v>-1.5</v>
      </c>
      <c r="P27" s="9">
        <f>data!K27</f>
        <v>-6</v>
      </c>
      <c r="Q27" s="9">
        <f>data!R27</f>
        <v>-10.75</v>
      </c>
      <c r="R27" s="9">
        <f t="shared" si="5"/>
        <v>1.4</v>
      </c>
      <c r="S27" s="9">
        <f t="shared" si="6"/>
        <v>1.3</v>
      </c>
      <c r="T27" s="9">
        <f t="shared" si="7"/>
        <v>2.2999999999999998</v>
      </c>
      <c r="U27" s="9">
        <f t="shared" si="8"/>
        <v>1.3</v>
      </c>
      <c r="V27" s="9">
        <f t="shared" si="9"/>
        <v>1.1000000000000001</v>
      </c>
      <c r="W27" s="9">
        <f t="shared" si="10"/>
        <v>0.8</v>
      </c>
      <c r="X27" s="9">
        <f t="shared" si="11"/>
        <v>0.89999999999999991</v>
      </c>
      <c r="Y27" s="9">
        <f t="shared" si="12"/>
        <v>0.89999999999999991</v>
      </c>
      <c r="Z27" s="9">
        <f t="shared" si="13"/>
        <v>0.5</v>
      </c>
      <c r="AA27" s="9">
        <f t="shared" si="14"/>
        <v>-0.15000000000000002</v>
      </c>
      <c r="AB27" s="9">
        <f t="shared" si="15"/>
        <v>0.19999999999999996</v>
      </c>
      <c r="AC27" s="9">
        <f t="shared" si="16"/>
        <v>0.25</v>
      </c>
      <c r="AD27" s="9">
        <f t="shared" si="17"/>
        <v>0.19999999999999996</v>
      </c>
      <c r="AE27" s="9">
        <f t="shared" si="18"/>
        <v>-5.0000000000000044E-2</v>
      </c>
      <c r="AF27" s="9">
        <f t="shared" si="19"/>
        <v>-5.0000000000000044E-2</v>
      </c>
      <c r="AG27" s="9">
        <f t="shared" si="20"/>
        <v>-0.15000000000000002</v>
      </c>
      <c r="AH27" s="9">
        <f t="shared" si="21"/>
        <v>-0.64999999999999991</v>
      </c>
      <c r="AI27" s="9">
        <f t="shared" si="22"/>
        <v>-0.75</v>
      </c>
      <c r="AJ27" s="9">
        <f t="shared" si="23"/>
        <v>-0.19999999999999996</v>
      </c>
      <c r="AK27" s="9">
        <f t="shared" si="24"/>
        <v>-0.5</v>
      </c>
      <c r="AL27" s="9">
        <f t="shared" si="25"/>
        <v>0.5</v>
      </c>
      <c r="AM27" s="9">
        <f t="shared" si="26"/>
        <v>0.625</v>
      </c>
      <c r="AN27" s="9">
        <f t="shared" si="27"/>
        <v>0.39999999999999991</v>
      </c>
      <c r="AO27" s="9">
        <f t="shared" si="28"/>
        <v>-0.39999999999999991</v>
      </c>
      <c r="AP27" s="9">
        <f t="shared" si="29"/>
        <v>-0.70000000000000018</v>
      </c>
      <c r="AQ27" s="9">
        <f t="shared" si="30"/>
        <v>-1.375</v>
      </c>
      <c r="AR27" s="9">
        <f t="shared" si="31"/>
        <v>-1.2000000000000002</v>
      </c>
      <c r="AS27" s="9">
        <f t="shared" si="32"/>
        <v>0.5</v>
      </c>
      <c r="AT27" s="9">
        <f t="shared" si="33"/>
        <v>1.2999999999999998</v>
      </c>
      <c r="AU27" s="9">
        <f t="shared" si="34"/>
        <v>1.7000000000000002</v>
      </c>
      <c r="AV27" s="9">
        <f t="shared" si="35"/>
        <v>1.2999999999999998</v>
      </c>
      <c r="AW27" s="9">
        <f t="shared" si="36"/>
        <v>1.2999999999999998</v>
      </c>
      <c r="AX27" s="9">
        <f t="shared" si="37"/>
        <v>0.79999999999999982</v>
      </c>
      <c r="AY27" s="9">
        <f t="shared" si="38"/>
        <v>-9.9999999999999645E-2</v>
      </c>
      <c r="AZ27" s="9">
        <f t="shared" si="39"/>
        <v>-0.29999999999999982</v>
      </c>
      <c r="BA27" s="9">
        <f t="shared" si="40"/>
        <v>-0.75</v>
      </c>
      <c r="BB27" s="9">
        <f t="shared" si="41"/>
        <v>0.55000000000000071</v>
      </c>
      <c r="BC27" s="9">
        <f t="shared" si="42"/>
        <v>1.25</v>
      </c>
      <c r="BD27" s="9">
        <f t="shared" si="43"/>
        <v>1.9499999999999993</v>
      </c>
      <c r="BE27" s="9">
        <f t="shared" si="44"/>
        <v>1.9499999999999993</v>
      </c>
      <c r="BF27" s="9">
        <f t="shared" si="45"/>
        <v>1.4499999999999993</v>
      </c>
      <c r="BG27" s="9">
        <f t="shared" si="46"/>
        <v>1.1500000000000004</v>
      </c>
      <c r="BH27" s="9">
        <f t="shared" si="47"/>
        <v>0.34999999999999964</v>
      </c>
      <c r="BI27" s="9">
        <f t="shared" si="48"/>
        <v>-0.5</v>
      </c>
      <c r="BJ27" s="9">
        <f t="shared" si="49"/>
        <v>-0.375</v>
      </c>
    </row>
    <row r="28" spans="1:62" x14ac:dyDescent="0.2">
      <c r="A28" s="9">
        <f>data!M29-data!M28</f>
        <v>-0.51599999999999113</v>
      </c>
      <c r="B28" s="9">
        <f>data!C29-data!C28</f>
        <v>-1.1199999999999992</v>
      </c>
      <c r="C28" s="9">
        <f>data!D29-data!D28</f>
        <v>-4.9999999999999822E-2</v>
      </c>
      <c r="D28" s="10">
        <f>data!B29-data!B28</f>
        <v>0.20000000000000007</v>
      </c>
      <c r="E28" s="9">
        <f>data!E28-data!G28</f>
        <v>2.8864000000000001</v>
      </c>
      <c r="F28" s="9">
        <f>(data!E28-data!F28)-(data!G28-data!H28)</f>
        <v>-0.80729999999999968</v>
      </c>
      <c r="G28" s="9">
        <f t="shared" si="0"/>
        <v>8.099999999999774E-3</v>
      </c>
      <c r="H28" s="9">
        <f t="shared" si="1"/>
        <v>-8.7300000000000377E-2</v>
      </c>
      <c r="I28" s="9">
        <f>IF(data!M29&gt; 111.81,1,0)</f>
        <v>0</v>
      </c>
      <c r="J28" s="9">
        <f t="shared" si="2"/>
        <v>1</v>
      </c>
      <c r="K28" s="9">
        <f t="shared" si="3"/>
        <v>0</v>
      </c>
      <c r="L28" s="9">
        <f t="shared" si="4"/>
        <v>-0.51599999999999113</v>
      </c>
      <c r="M28" s="9">
        <f>data!J28</f>
        <v>-1.1000000000000001</v>
      </c>
      <c r="N28" s="9">
        <f>data!I28</f>
        <v>-0.9</v>
      </c>
      <c r="O28" s="9">
        <f>data!L28</f>
        <v>-1.7</v>
      </c>
      <c r="P28" s="9">
        <f>data!K28</f>
        <v>-5.5</v>
      </c>
      <c r="Q28" s="9">
        <f>data!R28</f>
        <v>-10.199999999999999</v>
      </c>
      <c r="R28" s="9">
        <f t="shared" si="5"/>
        <v>-9.9999999999999867E-2</v>
      </c>
      <c r="S28" s="9">
        <f t="shared" si="6"/>
        <v>0.90000000000000013</v>
      </c>
      <c r="T28" s="9">
        <f t="shared" si="7"/>
        <v>-9.9999999999999867E-2</v>
      </c>
      <c r="U28" s="9">
        <f t="shared" si="8"/>
        <v>-0.29999999999999982</v>
      </c>
      <c r="V28" s="9">
        <f t="shared" si="9"/>
        <v>-0.59999999999999987</v>
      </c>
      <c r="W28" s="9">
        <f t="shared" si="10"/>
        <v>-0.5</v>
      </c>
      <c r="X28" s="9">
        <f t="shared" si="11"/>
        <v>-0.5</v>
      </c>
      <c r="Y28" s="9">
        <f t="shared" si="12"/>
        <v>-0.89999999999999991</v>
      </c>
      <c r="Z28" s="9">
        <f t="shared" si="13"/>
        <v>-0.29999999999999982</v>
      </c>
      <c r="AA28" s="9">
        <f t="shared" si="14"/>
        <v>0.35</v>
      </c>
      <c r="AB28" s="9">
        <f t="shared" si="15"/>
        <v>0.4</v>
      </c>
      <c r="AC28" s="9">
        <f t="shared" si="16"/>
        <v>0.35</v>
      </c>
      <c r="AD28" s="9">
        <f t="shared" si="17"/>
        <v>9.9999999999999978E-2</v>
      </c>
      <c r="AE28" s="9">
        <f t="shared" si="18"/>
        <v>9.9999999999999978E-2</v>
      </c>
      <c r="AF28" s="9">
        <f t="shared" si="19"/>
        <v>0</v>
      </c>
      <c r="AG28" s="9">
        <f t="shared" si="20"/>
        <v>-0.49999999999999989</v>
      </c>
      <c r="AH28" s="9">
        <f t="shared" si="21"/>
        <v>-0.6</v>
      </c>
      <c r="AI28" s="9">
        <f t="shared" si="22"/>
        <v>-0.20000000000000007</v>
      </c>
      <c r="AJ28" s="9">
        <f t="shared" si="23"/>
        <v>-0.30000000000000004</v>
      </c>
      <c r="AK28" s="9">
        <f t="shared" si="24"/>
        <v>0.7</v>
      </c>
      <c r="AL28" s="9">
        <f t="shared" si="25"/>
        <v>0.82499999999999996</v>
      </c>
      <c r="AM28" s="9">
        <f t="shared" si="26"/>
        <v>0.59999999999999987</v>
      </c>
      <c r="AN28" s="9">
        <f t="shared" si="27"/>
        <v>-0.19999999999999996</v>
      </c>
      <c r="AO28" s="9">
        <f t="shared" si="28"/>
        <v>-0.50000000000000022</v>
      </c>
      <c r="AP28" s="9">
        <f t="shared" si="29"/>
        <v>-1.175</v>
      </c>
      <c r="AQ28" s="9">
        <f t="shared" si="30"/>
        <v>-1.0000000000000002</v>
      </c>
      <c r="AR28" s="9">
        <f t="shared" si="31"/>
        <v>-0.7</v>
      </c>
      <c r="AS28" s="9">
        <f t="shared" si="32"/>
        <v>0.79999999999999982</v>
      </c>
      <c r="AT28" s="9">
        <f t="shared" si="33"/>
        <v>1.2000000000000002</v>
      </c>
      <c r="AU28" s="9">
        <f t="shared" si="34"/>
        <v>0.79999999999999982</v>
      </c>
      <c r="AV28" s="9">
        <f t="shared" si="35"/>
        <v>0.79999999999999982</v>
      </c>
      <c r="AW28" s="9">
        <f t="shared" si="36"/>
        <v>0.29999999999999982</v>
      </c>
      <c r="AX28" s="9">
        <f t="shared" si="37"/>
        <v>-0.59999999999999964</v>
      </c>
      <c r="AY28" s="9">
        <f t="shared" si="38"/>
        <v>-0.79999999999999982</v>
      </c>
      <c r="AZ28" s="9">
        <f t="shared" si="39"/>
        <v>-1.25</v>
      </c>
      <c r="BA28" s="9">
        <f t="shared" si="40"/>
        <v>-0.5</v>
      </c>
      <c r="BB28" s="9">
        <f t="shared" si="41"/>
        <v>0.69999999999999929</v>
      </c>
      <c r="BC28" s="9">
        <f t="shared" si="42"/>
        <v>1.3999999999999986</v>
      </c>
      <c r="BD28" s="9">
        <f t="shared" si="43"/>
        <v>1.3999999999999986</v>
      </c>
      <c r="BE28" s="9">
        <f t="shared" si="44"/>
        <v>0.89999999999999858</v>
      </c>
      <c r="BF28" s="9">
        <f t="shared" si="45"/>
        <v>0.59999999999999964</v>
      </c>
      <c r="BG28" s="9">
        <f t="shared" si="46"/>
        <v>-0.20000000000000107</v>
      </c>
      <c r="BH28" s="9">
        <f t="shared" si="47"/>
        <v>-1.0500000000000007</v>
      </c>
      <c r="BI28" s="9">
        <f t="shared" si="48"/>
        <v>-0.92500000000000071</v>
      </c>
      <c r="BJ28" s="9">
        <f t="shared" si="49"/>
        <v>-0.40000000000000036</v>
      </c>
    </row>
    <row r="29" spans="1:62" x14ac:dyDescent="0.2">
      <c r="A29" s="9">
        <f>data!M30-data!M29</f>
        <v>-0.55620000000000402</v>
      </c>
      <c r="B29" s="9">
        <f>data!C30-data!C29</f>
        <v>0.1899999999999995</v>
      </c>
      <c r="C29" s="9">
        <f>data!D30-data!D29</f>
        <v>0.35000000000000053</v>
      </c>
      <c r="D29" s="10">
        <f>data!B30-data!B29</f>
        <v>2.5000000000000022E-2</v>
      </c>
      <c r="E29" s="9">
        <f>data!E29-data!G29</f>
        <v>2.8944999999999999</v>
      </c>
      <c r="F29" s="9">
        <f>(data!E29-data!F29)-(data!G29-data!H29)</f>
        <v>-0.89460000000000006</v>
      </c>
      <c r="G29" s="9">
        <f t="shared" si="0"/>
        <v>9.4999999999999751E-2</v>
      </c>
      <c r="H29" s="9">
        <f t="shared" si="1"/>
        <v>5.0499999999999767E-2</v>
      </c>
      <c r="I29" s="9">
        <f>IF(data!M30&gt; 111.81,1,0)</f>
        <v>0</v>
      </c>
      <c r="J29" s="9">
        <f t="shared" si="2"/>
        <v>1</v>
      </c>
      <c r="K29" s="9">
        <f t="shared" si="3"/>
        <v>0</v>
      </c>
      <c r="L29" s="9">
        <f t="shared" si="4"/>
        <v>-0.55620000000000402</v>
      </c>
      <c r="M29" s="9">
        <f>data!J29</f>
        <v>-1.2</v>
      </c>
      <c r="N29" s="9">
        <f>data!I29</f>
        <v>-0.55000000000000004</v>
      </c>
      <c r="O29" s="9">
        <f>data!L29</f>
        <v>-2</v>
      </c>
      <c r="P29" s="9">
        <f>data!K29</f>
        <v>-4.7</v>
      </c>
      <c r="Q29" s="9">
        <f>data!R29</f>
        <v>-9.5</v>
      </c>
      <c r="R29" s="9">
        <f t="shared" si="5"/>
        <v>1</v>
      </c>
      <c r="S29" s="9">
        <f t="shared" si="6"/>
        <v>0</v>
      </c>
      <c r="T29" s="9">
        <f t="shared" si="7"/>
        <v>-0.19999999999999996</v>
      </c>
      <c r="U29" s="9">
        <f t="shared" si="8"/>
        <v>-0.5</v>
      </c>
      <c r="V29" s="9">
        <f t="shared" si="9"/>
        <v>-0.40000000000000013</v>
      </c>
      <c r="W29" s="9">
        <f t="shared" si="10"/>
        <v>-0.40000000000000013</v>
      </c>
      <c r="X29" s="9">
        <f t="shared" si="11"/>
        <v>-0.8</v>
      </c>
      <c r="Y29" s="9">
        <f t="shared" si="12"/>
        <v>-0.19999999999999996</v>
      </c>
      <c r="Z29" s="9">
        <f t="shared" si="13"/>
        <v>-0.19999999999999996</v>
      </c>
      <c r="AA29" s="9">
        <f t="shared" si="14"/>
        <v>5.0000000000000044E-2</v>
      </c>
      <c r="AB29" s="9">
        <f t="shared" si="15"/>
        <v>0</v>
      </c>
      <c r="AC29" s="9">
        <f t="shared" si="16"/>
        <v>-0.25</v>
      </c>
      <c r="AD29" s="9">
        <f t="shared" si="17"/>
        <v>-0.25</v>
      </c>
      <c r="AE29" s="9">
        <f t="shared" si="18"/>
        <v>-0.35</v>
      </c>
      <c r="AF29" s="9">
        <f t="shared" si="19"/>
        <v>-0.84999999999999987</v>
      </c>
      <c r="AG29" s="9">
        <f t="shared" si="20"/>
        <v>-0.95</v>
      </c>
      <c r="AH29" s="9">
        <f t="shared" si="21"/>
        <v>-0.55000000000000004</v>
      </c>
      <c r="AI29" s="9">
        <f t="shared" si="22"/>
        <v>-0.55000000000000004</v>
      </c>
      <c r="AJ29" s="9">
        <f t="shared" si="23"/>
        <v>1</v>
      </c>
      <c r="AK29" s="9">
        <f t="shared" si="24"/>
        <v>1.125</v>
      </c>
      <c r="AL29" s="9">
        <f t="shared" si="25"/>
        <v>0.89999999999999991</v>
      </c>
      <c r="AM29" s="9">
        <f t="shared" si="26"/>
        <v>0.10000000000000009</v>
      </c>
      <c r="AN29" s="9">
        <f t="shared" si="27"/>
        <v>-0.20000000000000018</v>
      </c>
      <c r="AO29" s="9">
        <f t="shared" si="28"/>
        <v>-0.875</v>
      </c>
      <c r="AP29" s="9">
        <f t="shared" si="29"/>
        <v>-0.70000000000000018</v>
      </c>
      <c r="AQ29" s="9">
        <f t="shared" si="30"/>
        <v>-0.39999999999999991</v>
      </c>
      <c r="AR29" s="9">
        <f t="shared" si="31"/>
        <v>-0.10000000000000009</v>
      </c>
      <c r="AS29" s="9">
        <f t="shared" si="32"/>
        <v>0.40000000000000036</v>
      </c>
      <c r="AT29" s="9">
        <f t="shared" si="33"/>
        <v>0</v>
      </c>
      <c r="AU29" s="9">
        <f t="shared" si="34"/>
        <v>0</v>
      </c>
      <c r="AV29" s="9">
        <f t="shared" si="35"/>
        <v>-0.5</v>
      </c>
      <c r="AW29" s="9">
        <f t="shared" si="36"/>
        <v>-1.3999999999999995</v>
      </c>
      <c r="AX29" s="9">
        <f t="shared" si="37"/>
        <v>-1.5999999999999996</v>
      </c>
      <c r="AY29" s="9">
        <f t="shared" si="38"/>
        <v>-2.0499999999999998</v>
      </c>
      <c r="AZ29" s="9">
        <f t="shared" si="39"/>
        <v>-1.2999999999999998</v>
      </c>
      <c r="BA29" s="9">
        <f t="shared" si="40"/>
        <v>-1.2000000000000002</v>
      </c>
      <c r="BB29" s="9">
        <f t="shared" si="41"/>
        <v>0.69999999999999929</v>
      </c>
      <c r="BC29" s="9">
        <f t="shared" si="42"/>
        <v>0.69999999999999929</v>
      </c>
      <c r="BD29" s="9">
        <f t="shared" si="43"/>
        <v>0.19999999999999929</v>
      </c>
      <c r="BE29" s="9">
        <f t="shared" si="44"/>
        <v>-9.9999999999999645E-2</v>
      </c>
      <c r="BF29" s="9">
        <f t="shared" si="45"/>
        <v>-0.90000000000000036</v>
      </c>
      <c r="BG29" s="9">
        <f t="shared" si="46"/>
        <v>-1.75</v>
      </c>
      <c r="BH29" s="9">
        <f t="shared" si="47"/>
        <v>-1.625</v>
      </c>
      <c r="BI29" s="9">
        <f t="shared" si="48"/>
        <v>-1.0999999999999996</v>
      </c>
      <c r="BJ29" s="9">
        <f t="shared" si="49"/>
        <v>-1</v>
      </c>
    </row>
    <row r="30" spans="1:62" x14ac:dyDescent="0.2">
      <c r="A30" s="9">
        <f>data!M31-data!M30</f>
        <v>9.0400000000002478E-2</v>
      </c>
      <c r="B30" s="9">
        <f>data!C31-data!C30</f>
        <v>1.0500000000000007</v>
      </c>
      <c r="C30" s="9">
        <f>data!D31-data!D30</f>
        <v>-0.10000000000000142</v>
      </c>
      <c r="D30" s="10">
        <f>data!B31-data!B30</f>
        <v>-2.5000000000000022E-2</v>
      </c>
      <c r="E30" s="9">
        <f>data!E30-data!G30</f>
        <v>2.9894999999999996</v>
      </c>
      <c r="F30" s="9">
        <f>(data!E30-data!F30)-(data!G30-data!H30)</f>
        <v>-0.84410000000000029</v>
      </c>
      <c r="G30" s="9">
        <f t="shared" si="0"/>
        <v>-1.6499999999999737E-2</v>
      </c>
      <c r="H30" s="9">
        <f t="shared" si="1"/>
        <v>-8.7600000000000122E-2</v>
      </c>
      <c r="I30" s="9">
        <f>IF(data!M31&gt; 111.81,1,0)</f>
        <v>0</v>
      </c>
      <c r="J30" s="9">
        <f t="shared" si="2"/>
        <v>1</v>
      </c>
      <c r="K30" s="9">
        <f t="shared" si="3"/>
        <v>0</v>
      </c>
      <c r="L30" s="9">
        <f t="shared" si="4"/>
        <v>9.0400000000002478E-2</v>
      </c>
      <c r="M30" s="9">
        <f>data!J30</f>
        <v>-0.2</v>
      </c>
      <c r="N30" s="9">
        <f>data!I30</f>
        <v>-0.5</v>
      </c>
      <c r="O30" s="9">
        <f>data!L30</f>
        <v>-1</v>
      </c>
      <c r="P30" s="9">
        <f>data!K30</f>
        <v>-4.3</v>
      </c>
      <c r="Q30" s="9">
        <f>data!R30</f>
        <v>-8.8000000000000007</v>
      </c>
      <c r="R30" s="9">
        <f t="shared" si="5"/>
        <v>-1</v>
      </c>
      <c r="S30" s="9">
        <f t="shared" si="6"/>
        <v>-1.2</v>
      </c>
      <c r="T30" s="9">
        <f t="shared" si="7"/>
        <v>-1.5</v>
      </c>
      <c r="U30" s="9">
        <f t="shared" si="8"/>
        <v>-1.4000000000000001</v>
      </c>
      <c r="V30" s="9">
        <f t="shared" si="9"/>
        <v>-1.4000000000000001</v>
      </c>
      <c r="W30" s="9">
        <f t="shared" si="10"/>
        <v>-1.8</v>
      </c>
      <c r="X30" s="9">
        <f t="shared" si="11"/>
        <v>-1.2</v>
      </c>
      <c r="Y30" s="9">
        <f t="shared" si="12"/>
        <v>-1.2</v>
      </c>
      <c r="Z30" s="9">
        <f t="shared" si="13"/>
        <v>-1.5</v>
      </c>
      <c r="AA30" s="9">
        <f t="shared" si="14"/>
        <v>-5.0000000000000044E-2</v>
      </c>
      <c r="AB30" s="9">
        <f t="shared" si="15"/>
        <v>-0.30000000000000004</v>
      </c>
      <c r="AC30" s="9">
        <f t="shared" si="16"/>
        <v>-0.30000000000000004</v>
      </c>
      <c r="AD30" s="9">
        <f t="shared" si="17"/>
        <v>-0.4</v>
      </c>
      <c r="AE30" s="9">
        <f t="shared" si="18"/>
        <v>-0.89999999999999991</v>
      </c>
      <c r="AF30" s="9">
        <f t="shared" si="19"/>
        <v>-1</v>
      </c>
      <c r="AG30" s="9">
        <f t="shared" si="20"/>
        <v>-0.60000000000000009</v>
      </c>
      <c r="AH30" s="9">
        <f t="shared" si="21"/>
        <v>-0.60000000000000009</v>
      </c>
      <c r="AI30" s="9">
        <f t="shared" si="22"/>
        <v>-0.625</v>
      </c>
      <c r="AJ30" s="9">
        <f t="shared" si="23"/>
        <v>0.125</v>
      </c>
      <c r="AK30" s="9">
        <f t="shared" si="24"/>
        <v>-0.10000000000000009</v>
      </c>
      <c r="AL30" s="9">
        <f t="shared" si="25"/>
        <v>-0.89999999999999991</v>
      </c>
      <c r="AM30" s="9">
        <f t="shared" si="26"/>
        <v>-1.2000000000000002</v>
      </c>
      <c r="AN30" s="9">
        <f t="shared" si="27"/>
        <v>-1.875</v>
      </c>
      <c r="AO30" s="9">
        <f t="shared" si="28"/>
        <v>-1.7000000000000002</v>
      </c>
      <c r="AP30" s="9">
        <f t="shared" si="29"/>
        <v>-1.4</v>
      </c>
      <c r="AQ30" s="9">
        <f t="shared" si="30"/>
        <v>-1.1000000000000001</v>
      </c>
      <c r="AR30" s="9">
        <f t="shared" si="31"/>
        <v>-2</v>
      </c>
      <c r="AS30" s="9">
        <f t="shared" si="32"/>
        <v>-0.40000000000000036</v>
      </c>
      <c r="AT30" s="9">
        <f t="shared" si="33"/>
        <v>-0.40000000000000036</v>
      </c>
      <c r="AU30" s="9">
        <f t="shared" si="34"/>
        <v>-0.90000000000000036</v>
      </c>
      <c r="AV30" s="9">
        <f t="shared" si="35"/>
        <v>-1.7999999999999998</v>
      </c>
      <c r="AW30" s="9">
        <f t="shared" si="36"/>
        <v>-2</v>
      </c>
      <c r="AX30" s="9">
        <f t="shared" si="37"/>
        <v>-2.4500000000000002</v>
      </c>
      <c r="AY30" s="9">
        <f t="shared" si="38"/>
        <v>-1.7000000000000002</v>
      </c>
      <c r="AZ30" s="9">
        <f t="shared" si="39"/>
        <v>-1.6000000000000005</v>
      </c>
      <c r="BA30" s="9">
        <f t="shared" si="40"/>
        <v>-2.4500000000000002</v>
      </c>
      <c r="BB30" s="9">
        <f t="shared" si="41"/>
        <v>0</v>
      </c>
      <c r="BC30" s="9">
        <f t="shared" si="42"/>
        <v>-0.5</v>
      </c>
      <c r="BD30" s="9">
        <f t="shared" si="43"/>
        <v>-0.79999999999999893</v>
      </c>
      <c r="BE30" s="9">
        <f t="shared" si="44"/>
        <v>-1.5999999999999996</v>
      </c>
      <c r="BF30" s="9">
        <f t="shared" si="45"/>
        <v>-2.4499999999999993</v>
      </c>
      <c r="BG30" s="9">
        <f t="shared" si="46"/>
        <v>-2.3249999999999993</v>
      </c>
      <c r="BH30" s="9">
        <f t="shared" si="47"/>
        <v>-1.7999999999999989</v>
      </c>
      <c r="BI30" s="9">
        <f t="shared" si="48"/>
        <v>-1.6999999999999993</v>
      </c>
      <c r="BJ30" s="9">
        <f t="shared" si="49"/>
        <v>-2.3874999999999993</v>
      </c>
    </row>
    <row r="31" spans="1:62" x14ac:dyDescent="0.2">
      <c r="A31" s="9">
        <f>data!M32-data!M31</f>
        <v>-0.72090000000000032</v>
      </c>
      <c r="B31" s="9">
        <f>data!C32-data!C31</f>
        <v>0.91000000000000014</v>
      </c>
      <c r="C31" s="9">
        <f>data!D32-data!D31</f>
        <v>0.10000000000000142</v>
      </c>
      <c r="D31" s="10">
        <f>data!B32-data!B31</f>
        <v>9.9999999999999978E-2</v>
      </c>
      <c r="E31" s="9">
        <f>data!E31-data!G31</f>
        <v>2.9729999999999999</v>
      </c>
      <c r="F31" s="9">
        <f>(data!E31-data!F31)-(data!G31-data!H31)</f>
        <v>-0.93170000000000042</v>
      </c>
      <c r="G31" s="9">
        <f t="shared" si="0"/>
        <v>3.3100000000000129E-2</v>
      </c>
      <c r="H31" s="9">
        <f t="shared" si="1"/>
        <v>-3.6999999999999256E-2</v>
      </c>
      <c r="I31" s="9">
        <f>IF(data!M32&gt; 111.81,1,0)</f>
        <v>0</v>
      </c>
      <c r="J31" s="9">
        <f t="shared" si="2"/>
        <v>1</v>
      </c>
      <c r="K31" s="9">
        <f t="shared" si="3"/>
        <v>0</v>
      </c>
      <c r="L31" s="9">
        <f t="shared" si="4"/>
        <v>-0.72090000000000032</v>
      </c>
      <c r="M31" s="9">
        <f>data!J31</f>
        <v>-1.2</v>
      </c>
      <c r="N31" s="9">
        <f>data!I31</f>
        <v>-0.55000000000000004</v>
      </c>
      <c r="O31" s="9">
        <f>data!L31</f>
        <v>-0.875</v>
      </c>
      <c r="P31" s="9">
        <f>data!K31</f>
        <v>-4.7</v>
      </c>
      <c r="Q31" s="9">
        <f>data!R31</f>
        <v>-8.8000000000000007</v>
      </c>
      <c r="R31" s="9">
        <f t="shared" si="5"/>
        <v>-0.19999999999999996</v>
      </c>
      <c r="S31" s="9">
        <f t="shared" si="6"/>
        <v>-0.5</v>
      </c>
      <c r="T31" s="9">
        <f t="shared" si="7"/>
        <v>-0.40000000000000013</v>
      </c>
      <c r="U31" s="9">
        <f t="shared" si="8"/>
        <v>-0.40000000000000013</v>
      </c>
      <c r="V31" s="9">
        <f t="shared" si="9"/>
        <v>-0.8</v>
      </c>
      <c r="W31" s="9">
        <f t="shared" si="10"/>
        <v>-0.19999999999999996</v>
      </c>
      <c r="X31" s="9">
        <f t="shared" si="11"/>
        <v>-0.19999999999999996</v>
      </c>
      <c r="Y31" s="9">
        <f t="shared" si="12"/>
        <v>-0.5</v>
      </c>
      <c r="Z31" s="9">
        <f t="shared" si="13"/>
        <v>-0.30000000000000004</v>
      </c>
      <c r="AA31" s="9">
        <f t="shared" si="14"/>
        <v>-0.25</v>
      </c>
      <c r="AB31" s="9">
        <f t="shared" si="15"/>
        <v>-0.25</v>
      </c>
      <c r="AC31" s="9">
        <f t="shared" si="16"/>
        <v>-0.35</v>
      </c>
      <c r="AD31" s="9">
        <f t="shared" si="17"/>
        <v>-0.84999999999999987</v>
      </c>
      <c r="AE31" s="9">
        <f t="shared" si="18"/>
        <v>-0.95</v>
      </c>
      <c r="AF31" s="9">
        <f t="shared" si="19"/>
        <v>-0.55000000000000004</v>
      </c>
      <c r="AG31" s="9">
        <f t="shared" si="20"/>
        <v>-0.55000000000000004</v>
      </c>
      <c r="AH31" s="9">
        <f t="shared" si="21"/>
        <v>-0.57499999999999996</v>
      </c>
      <c r="AI31" s="9">
        <f t="shared" si="22"/>
        <v>-0.75</v>
      </c>
      <c r="AJ31" s="9">
        <f t="shared" si="23"/>
        <v>-0.22500000000000009</v>
      </c>
      <c r="AK31" s="9">
        <f t="shared" si="24"/>
        <v>-1.0249999999999999</v>
      </c>
      <c r="AL31" s="9">
        <f t="shared" si="25"/>
        <v>-1.3250000000000002</v>
      </c>
      <c r="AM31" s="9">
        <f t="shared" si="26"/>
        <v>-2</v>
      </c>
      <c r="AN31" s="9">
        <f t="shared" si="27"/>
        <v>-1.8250000000000002</v>
      </c>
      <c r="AO31" s="9">
        <f t="shared" si="28"/>
        <v>-1.5249999999999999</v>
      </c>
      <c r="AP31" s="9">
        <f t="shared" si="29"/>
        <v>-1.2250000000000001</v>
      </c>
      <c r="AQ31" s="9">
        <f t="shared" si="30"/>
        <v>-2.125</v>
      </c>
      <c r="AR31" s="9">
        <f t="shared" si="31"/>
        <v>-2.2749999999999999</v>
      </c>
      <c r="AS31" s="9">
        <f t="shared" si="32"/>
        <v>0</v>
      </c>
      <c r="AT31" s="9">
        <f t="shared" si="33"/>
        <v>-0.5</v>
      </c>
      <c r="AU31" s="9">
        <f t="shared" si="34"/>
        <v>-1.3999999999999995</v>
      </c>
      <c r="AV31" s="9">
        <f t="shared" si="35"/>
        <v>-1.5999999999999996</v>
      </c>
      <c r="AW31" s="9">
        <f t="shared" si="36"/>
        <v>-2.0499999999999998</v>
      </c>
      <c r="AX31" s="9">
        <f t="shared" si="37"/>
        <v>-1.2999999999999998</v>
      </c>
      <c r="AY31" s="9">
        <f t="shared" si="38"/>
        <v>-1.2000000000000002</v>
      </c>
      <c r="AZ31" s="9">
        <f t="shared" si="39"/>
        <v>-2.0499999999999998</v>
      </c>
      <c r="BA31" s="9">
        <f t="shared" si="40"/>
        <v>-3</v>
      </c>
      <c r="BB31" s="9">
        <f t="shared" si="41"/>
        <v>-0.5</v>
      </c>
      <c r="BC31" s="9">
        <f t="shared" si="42"/>
        <v>-0.79999999999999893</v>
      </c>
      <c r="BD31" s="9">
        <f t="shared" si="43"/>
        <v>-1.5999999999999996</v>
      </c>
      <c r="BE31" s="9">
        <f t="shared" si="44"/>
        <v>-2.4499999999999993</v>
      </c>
      <c r="BF31" s="9">
        <f t="shared" si="45"/>
        <v>-2.3249999999999993</v>
      </c>
      <c r="BG31" s="9">
        <f t="shared" si="46"/>
        <v>-1.7999999999999989</v>
      </c>
      <c r="BH31" s="9">
        <f t="shared" si="47"/>
        <v>-1.6999999999999993</v>
      </c>
      <c r="BI31" s="9">
        <f t="shared" si="48"/>
        <v>-2.3874999999999993</v>
      </c>
      <c r="BJ31" s="9">
        <f t="shared" si="49"/>
        <v>-3.3999999999999986</v>
      </c>
    </row>
    <row r="32" spans="1:62" x14ac:dyDescent="0.2">
      <c r="A32" s="9">
        <f>data!M33-data!M32</f>
        <v>-0.85290000000000532</v>
      </c>
      <c r="B32" s="9">
        <f>data!C33-data!C32</f>
        <v>0.25999999999999979</v>
      </c>
      <c r="C32" s="9">
        <f>data!D33-data!D32</f>
        <v>9.9999999999999645E-2</v>
      </c>
      <c r="D32" s="10">
        <f>data!B33-data!B32</f>
        <v>5.0000000000000044E-2</v>
      </c>
      <c r="E32" s="9">
        <f>data!E32-data!G32</f>
        <v>3.0061</v>
      </c>
      <c r="F32" s="9">
        <f>(data!E32-data!F32)-(data!G32-data!H32)</f>
        <v>-0.96869999999999967</v>
      </c>
      <c r="G32" s="9">
        <f t="shared" si="0"/>
        <v>-0.20379999999999976</v>
      </c>
      <c r="H32" s="9">
        <f t="shared" si="1"/>
        <v>-0.10929999999999973</v>
      </c>
      <c r="I32" s="9">
        <f>IF(data!M33&gt; 111.81,1,0)</f>
        <v>0</v>
      </c>
      <c r="J32" s="9">
        <f t="shared" si="2"/>
        <v>1</v>
      </c>
      <c r="K32" s="9">
        <f t="shared" si="3"/>
        <v>0</v>
      </c>
      <c r="L32" s="9">
        <f t="shared" si="4"/>
        <v>-0.85290000000000532</v>
      </c>
      <c r="M32" s="9">
        <f>data!J32</f>
        <v>-1.4</v>
      </c>
      <c r="N32" s="9">
        <f>data!I32</f>
        <v>-0.8</v>
      </c>
      <c r="O32" s="9">
        <f>data!L32</f>
        <v>-1.1000000000000001</v>
      </c>
      <c r="P32" s="9">
        <f>data!K32</f>
        <v>-4.7</v>
      </c>
      <c r="Q32" s="9">
        <f>data!R32</f>
        <v>-9.3000000000000007</v>
      </c>
      <c r="R32" s="9">
        <f t="shared" si="5"/>
        <v>-0.30000000000000004</v>
      </c>
      <c r="S32" s="9">
        <f t="shared" si="6"/>
        <v>-0.20000000000000018</v>
      </c>
      <c r="T32" s="9">
        <f t="shared" si="7"/>
        <v>-0.20000000000000018</v>
      </c>
      <c r="U32" s="9">
        <f t="shared" si="8"/>
        <v>-0.60000000000000009</v>
      </c>
      <c r="V32" s="9">
        <f t="shared" si="9"/>
        <v>0</v>
      </c>
      <c r="W32" s="9">
        <f t="shared" si="10"/>
        <v>0</v>
      </c>
      <c r="X32" s="9">
        <f t="shared" si="11"/>
        <v>-0.30000000000000004</v>
      </c>
      <c r="Y32" s="9">
        <f t="shared" si="12"/>
        <v>-0.10000000000000009</v>
      </c>
      <c r="Z32" s="9">
        <f t="shared" si="13"/>
        <v>-0.40000000000000013</v>
      </c>
      <c r="AA32" s="9">
        <f t="shared" si="14"/>
        <v>0</v>
      </c>
      <c r="AB32" s="9">
        <f t="shared" si="15"/>
        <v>-9.9999999999999978E-2</v>
      </c>
      <c r="AC32" s="9">
        <f t="shared" si="16"/>
        <v>-0.59999999999999987</v>
      </c>
      <c r="AD32" s="9">
        <f t="shared" si="17"/>
        <v>-0.7</v>
      </c>
      <c r="AE32" s="9">
        <f t="shared" si="18"/>
        <v>-0.30000000000000004</v>
      </c>
      <c r="AF32" s="9">
        <f t="shared" si="19"/>
        <v>-0.30000000000000004</v>
      </c>
      <c r="AG32" s="9">
        <f t="shared" si="20"/>
        <v>-0.32499999999999996</v>
      </c>
      <c r="AH32" s="9">
        <f t="shared" si="21"/>
        <v>-0.5</v>
      </c>
      <c r="AI32" s="9">
        <f t="shared" si="22"/>
        <v>-0.5</v>
      </c>
      <c r="AJ32" s="9">
        <f t="shared" si="23"/>
        <v>-0.79999999999999982</v>
      </c>
      <c r="AK32" s="9">
        <f t="shared" si="24"/>
        <v>-1.1000000000000001</v>
      </c>
      <c r="AL32" s="9">
        <f t="shared" si="25"/>
        <v>-1.7749999999999999</v>
      </c>
      <c r="AM32" s="9">
        <f t="shared" si="26"/>
        <v>-1.6</v>
      </c>
      <c r="AN32" s="9">
        <f t="shared" si="27"/>
        <v>-1.2999999999999998</v>
      </c>
      <c r="AO32" s="9">
        <f t="shared" si="28"/>
        <v>-1</v>
      </c>
      <c r="AP32" s="9">
        <f t="shared" si="29"/>
        <v>-1.9</v>
      </c>
      <c r="AQ32" s="9">
        <f t="shared" si="30"/>
        <v>-2.0499999999999998</v>
      </c>
      <c r="AR32" s="9">
        <f t="shared" si="31"/>
        <v>-2.4</v>
      </c>
      <c r="AS32" s="9">
        <f t="shared" si="32"/>
        <v>-0.5</v>
      </c>
      <c r="AT32" s="9">
        <f t="shared" si="33"/>
        <v>-1.3999999999999995</v>
      </c>
      <c r="AU32" s="9">
        <f t="shared" si="34"/>
        <v>-1.5999999999999996</v>
      </c>
      <c r="AV32" s="9">
        <f t="shared" si="35"/>
        <v>-2.0499999999999998</v>
      </c>
      <c r="AW32" s="9">
        <f t="shared" si="36"/>
        <v>-1.2999999999999998</v>
      </c>
      <c r="AX32" s="9">
        <f t="shared" si="37"/>
        <v>-1.2000000000000002</v>
      </c>
      <c r="AY32" s="9">
        <f t="shared" si="38"/>
        <v>-2.0499999999999998</v>
      </c>
      <c r="AZ32" s="9">
        <f t="shared" si="39"/>
        <v>-3</v>
      </c>
      <c r="BA32" s="9">
        <f t="shared" si="40"/>
        <v>-3.2</v>
      </c>
      <c r="BB32" s="9">
        <f t="shared" si="41"/>
        <v>-0.29999999999999893</v>
      </c>
      <c r="BC32" s="9">
        <f t="shared" si="42"/>
        <v>-1.0999999999999996</v>
      </c>
      <c r="BD32" s="9">
        <f t="shared" si="43"/>
        <v>-1.9499999999999993</v>
      </c>
      <c r="BE32" s="9">
        <f t="shared" si="44"/>
        <v>-1.8249999999999993</v>
      </c>
      <c r="BF32" s="9">
        <f t="shared" si="45"/>
        <v>-1.2999999999999989</v>
      </c>
      <c r="BG32" s="9">
        <f t="shared" si="46"/>
        <v>-1.1999999999999993</v>
      </c>
      <c r="BH32" s="9">
        <f t="shared" si="47"/>
        <v>-1.8874999999999993</v>
      </c>
      <c r="BI32" s="9">
        <f t="shared" si="48"/>
        <v>-2.8999999999999986</v>
      </c>
      <c r="BJ32" s="9">
        <f t="shared" si="49"/>
        <v>-3.3249999999999993</v>
      </c>
    </row>
    <row r="33" spans="1:62" x14ac:dyDescent="0.2">
      <c r="A33" s="9">
        <f>data!M34-data!M33</f>
        <v>1.3581999999999965</v>
      </c>
      <c r="B33" s="9">
        <f>data!C34-data!C33</f>
        <v>0.67999999999999972</v>
      </c>
      <c r="C33" s="9">
        <f>data!D34-data!D33</f>
        <v>-0.25</v>
      </c>
      <c r="D33" s="10">
        <f>data!B34-data!B33</f>
        <v>-5.0000000000000044E-2</v>
      </c>
      <c r="E33" s="9">
        <f>data!E33-data!G33</f>
        <v>2.8023000000000002</v>
      </c>
      <c r="F33" s="9">
        <f>(data!E33-data!F33)-(data!G33-data!H33)</f>
        <v>-1.0779999999999994</v>
      </c>
      <c r="G33" s="9">
        <f t="shared" si="0"/>
        <v>-6.9000000000003503E-3</v>
      </c>
      <c r="H33" s="9">
        <f t="shared" si="1"/>
        <v>-1.5200000000000324E-2</v>
      </c>
      <c r="I33" s="9">
        <f>IF(data!M34&gt; 111.81,1,0)</f>
        <v>0</v>
      </c>
      <c r="J33" s="9">
        <f t="shared" si="2"/>
        <v>1</v>
      </c>
      <c r="K33" s="9">
        <f t="shared" si="3"/>
        <v>0</v>
      </c>
      <c r="L33" s="9">
        <f t="shared" si="4"/>
        <v>1.3581999999999965</v>
      </c>
      <c r="M33" s="9">
        <f>data!J33</f>
        <v>-1.7</v>
      </c>
      <c r="N33" s="9">
        <f>data!I33</f>
        <v>-0.8</v>
      </c>
      <c r="O33" s="9">
        <f>data!L33</f>
        <v>-1.9</v>
      </c>
      <c r="P33" s="9">
        <f>data!K33</f>
        <v>-5.2</v>
      </c>
      <c r="Q33" s="9">
        <f>data!R33</f>
        <v>-9.6</v>
      </c>
      <c r="R33" s="9">
        <f t="shared" si="5"/>
        <v>9.9999999999999867E-2</v>
      </c>
      <c r="S33" s="9">
        <f t="shared" si="6"/>
        <v>9.9999999999999867E-2</v>
      </c>
      <c r="T33" s="9">
        <f t="shared" si="7"/>
        <v>-0.30000000000000004</v>
      </c>
      <c r="U33" s="9">
        <f t="shared" si="8"/>
        <v>0.30000000000000004</v>
      </c>
      <c r="V33" s="9">
        <f t="shared" si="9"/>
        <v>0.30000000000000004</v>
      </c>
      <c r="W33" s="9">
        <f t="shared" si="10"/>
        <v>0</v>
      </c>
      <c r="X33" s="9">
        <f t="shared" si="11"/>
        <v>0.19999999999999996</v>
      </c>
      <c r="Y33" s="9">
        <f t="shared" si="12"/>
        <v>-0.10000000000000009</v>
      </c>
      <c r="Z33" s="9">
        <f t="shared" si="13"/>
        <v>-0.19999999999999996</v>
      </c>
      <c r="AA33" s="9">
        <f t="shared" si="14"/>
        <v>-9.9999999999999978E-2</v>
      </c>
      <c r="AB33" s="9">
        <f t="shared" si="15"/>
        <v>-0.59999999999999987</v>
      </c>
      <c r="AC33" s="9">
        <f t="shared" si="16"/>
        <v>-0.7</v>
      </c>
      <c r="AD33" s="9">
        <f t="shared" si="17"/>
        <v>-0.30000000000000004</v>
      </c>
      <c r="AE33" s="9">
        <f t="shared" si="18"/>
        <v>-0.30000000000000004</v>
      </c>
      <c r="AF33" s="9">
        <f t="shared" si="19"/>
        <v>-0.32499999999999996</v>
      </c>
      <c r="AG33" s="9">
        <f t="shared" si="20"/>
        <v>-0.5</v>
      </c>
      <c r="AH33" s="9">
        <f t="shared" si="21"/>
        <v>-0.5</v>
      </c>
      <c r="AI33" s="9">
        <f t="shared" si="22"/>
        <v>-0.8</v>
      </c>
      <c r="AJ33" s="9">
        <f t="shared" si="23"/>
        <v>-0.30000000000000027</v>
      </c>
      <c r="AK33" s="9">
        <f t="shared" si="24"/>
        <v>-0.97500000000000009</v>
      </c>
      <c r="AL33" s="9">
        <f t="shared" si="25"/>
        <v>-0.80000000000000027</v>
      </c>
      <c r="AM33" s="9">
        <f t="shared" si="26"/>
        <v>-0.5</v>
      </c>
      <c r="AN33" s="9">
        <f t="shared" si="27"/>
        <v>-0.20000000000000018</v>
      </c>
      <c r="AO33" s="9">
        <f t="shared" si="28"/>
        <v>-1.1000000000000001</v>
      </c>
      <c r="AP33" s="9">
        <f t="shared" si="29"/>
        <v>-1.25</v>
      </c>
      <c r="AQ33" s="9">
        <f t="shared" si="30"/>
        <v>-1.6</v>
      </c>
      <c r="AR33" s="9">
        <f t="shared" si="31"/>
        <v>-1.9</v>
      </c>
      <c r="AS33" s="9">
        <f t="shared" si="32"/>
        <v>-0.89999999999999947</v>
      </c>
      <c r="AT33" s="9">
        <f t="shared" si="33"/>
        <v>-1.0999999999999996</v>
      </c>
      <c r="AU33" s="9">
        <f t="shared" si="34"/>
        <v>-1.5499999999999998</v>
      </c>
      <c r="AV33" s="9">
        <f t="shared" si="35"/>
        <v>-0.79999999999999982</v>
      </c>
      <c r="AW33" s="9">
        <f t="shared" si="36"/>
        <v>-0.70000000000000018</v>
      </c>
      <c r="AX33" s="9">
        <f t="shared" si="37"/>
        <v>-1.5499999999999998</v>
      </c>
      <c r="AY33" s="9">
        <f t="shared" si="38"/>
        <v>-2.5</v>
      </c>
      <c r="AZ33" s="9">
        <f t="shared" si="39"/>
        <v>-2.7</v>
      </c>
      <c r="BA33" s="9">
        <f t="shared" si="40"/>
        <v>-3.9999999999999991</v>
      </c>
      <c r="BB33" s="9">
        <f t="shared" si="41"/>
        <v>-0.80000000000000071</v>
      </c>
      <c r="BC33" s="9">
        <f t="shared" si="42"/>
        <v>-1.6500000000000004</v>
      </c>
      <c r="BD33" s="9">
        <f t="shared" si="43"/>
        <v>-1.5250000000000004</v>
      </c>
      <c r="BE33" s="9">
        <f t="shared" si="44"/>
        <v>-1</v>
      </c>
      <c r="BF33" s="9">
        <f t="shared" si="45"/>
        <v>-0.90000000000000036</v>
      </c>
      <c r="BG33" s="9">
        <f t="shared" si="46"/>
        <v>-1.5875000000000004</v>
      </c>
      <c r="BH33" s="9">
        <f t="shared" si="47"/>
        <v>-2.5999999999999996</v>
      </c>
      <c r="BI33" s="9">
        <f t="shared" si="48"/>
        <v>-3.0250000000000004</v>
      </c>
      <c r="BJ33" s="9">
        <f t="shared" si="49"/>
        <v>-3.7000000000000011</v>
      </c>
    </row>
    <row r="34" spans="1:62" x14ac:dyDescent="0.2">
      <c r="A34" s="9">
        <f>data!M35-data!M34</f>
        <v>-0.67749999999999488</v>
      </c>
      <c r="B34" s="9">
        <f>data!C35-data!C34</f>
        <v>0.30000000000000071</v>
      </c>
      <c r="C34" s="9">
        <f>data!D35-data!D34</f>
        <v>0.15000000000000036</v>
      </c>
      <c r="D34" s="10">
        <f>data!B35-data!B34</f>
        <v>-5.0000000000000044E-2</v>
      </c>
      <c r="E34" s="9">
        <f>data!E34-data!G34</f>
        <v>2.7953999999999999</v>
      </c>
      <c r="F34" s="9">
        <f>(data!E34-data!F34)-(data!G34-data!H34)</f>
        <v>-1.0931999999999997</v>
      </c>
      <c r="G34" s="9">
        <f t="shared" si="0"/>
        <v>-1.3399999999999856E-2</v>
      </c>
      <c r="H34" s="9">
        <f t="shared" si="1"/>
        <v>-4.049999999999998E-2</v>
      </c>
      <c r="I34" s="9">
        <f>IF(data!M35&gt; 111.81,1,0)</f>
        <v>0</v>
      </c>
      <c r="J34" s="9">
        <f t="shared" si="2"/>
        <v>1</v>
      </c>
      <c r="K34" s="9">
        <f t="shared" si="3"/>
        <v>0</v>
      </c>
      <c r="L34" s="9">
        <f t="shared" si="4"/>
        <v>-0.67749999999999488</v>
      </c>
      <c r="M34" s="9">
        <f>data!J34</f>
        <v>-1.6</v>
      </c>
      <c r="N34" s="9">
        <f>data!I34</f>
        <v>-0.9</v>
      </c>
      <c r="O34" s="9">
        <f>data!L34</f>
        <v>-2.2000000000000002</v>
      </c>
      <c r="P34" s="9">
        <f>data!K34</f>
        <v>-6.1</v>
      </c>
      <c r="Q34" s="9">
        <f>data!R34</f>
        <v>-10.4</v>
      </c>
      <c r="R34" s="9">
        <f t="shared" si="5"/>
        <v>0</v>
      </c>
      <c r="S34" s="9">
        <f t="shared" si="6"/>
        <v>-0.39999999999999991</v>
      </c>
      <c r="T34" s="9">
        <f t="shared" si="7"/>
        <v>0.20000000000000018</v>
      </c>
      <c r="U34" s="9">
        <f t="shared" si="8"/>
        <v>0.20000000000000018</v>
      </c>
      <c r="V34" s="9">
        <f t="shared" si="9"/>
        <v>-9.9999999999999867E-2</v>
      </c>
      <c r="W34" s="9">
        <f t="shared" si="10"/>
        <v>0.10000000000000009</v>
      </c>
      <c r="X34" s="9">
        <f t="shared" si="11"/>
        <v>-0.19999999999999996</v>
      </c>
      <c r="Y34" s="9">
        <f t="shared" si="12"/>
        <v>-0.29999999999999982</v>
      </c>
      <c r="Z34" s="9">
        <f t="shared" si="13"/>
        <v>-9.9999999999999867E-2</v>
      </c>
      <c r="AA34" s="9">
        <f t="shared" si="14"/>
        <v>-0.49999999999999989</v>
      </c>
      <c r="AB34" s="9">
        <f t="shared" si="15"/>
        <v>-0.6</v>
      </c>
      <c r="AC34" s="9">
        <f t="shared" si="16"/>
        <v>-0.20000000000000007</v>
      </c>
      <c r="AD34" s="9">
        <f t="shared" si="17"/>
        <v>-0.20000000000000007</v>
      </c>
      <c r="AE34" s="9">
        <f t="shared" si="18"/>
        <v>-0.22499999999999998</v>
      </c>
      <c r="AF34" s="9">
        <f t="shared" si="19"/>
        <v>-0.4</v>
      </c>
      <c r="AG34" s="9">
        <f t="shared" si="20"/>
        <v>-0.4</v>
      </c>
      <c r="AH34" s="9">
        <f t="shared" si="21"/>
        <v>-0.70000000000000007</v>
      </c>
      <c r="AI34" s="9">
        <f t="shared" si="22"/>
        <v>-0.70000000000000007</v>
      </c>
      <c r="AJ34" s="9">
        <f t="shared" si="23"/>
        <v>-0.67499999999999982</v>
      </c>
      <c r="AK34" s="9">
        <f t="shared" si="24"/>
        <v>-0.5</v>
      </c>
      <c r="AL34" s="9">
        <f t="shared" si="25"/>
        <v>-0.19999999999999973</v>
      </c>
      <c r="AM34" s="9">
        <f t="shared" si="26"/>
        <v>0.10000000000000009</v>
      </c>
      <c r="AN34" s="9">
        <f t="shared" si="27"/>
        <v>-0.79999999999999982</v>
      </c>
      <c r="AO34" s="9">
        <f t="shared" si="28"/>
        <v>-0.94999999999999973</v>
      </c>
      <c r="AP34" s="9">
        <f t="shared" si="29"/>
        <v>-1.2999999999999998</v>
      </c>
      <c r="AQ34" s="9">
        <f t="shared" si="30"/>
        <v>-1.5999999999999996</v>
      </c>
      <c r="AR34" s="9">
        <f t="shared" si="31"/>
        <v>-1.5999999999999996</v>
      </c>
      <c r="AS34" s="9">
        <f t="shared" si="32"/>
        <v>-0.20000000000000018</v>
      </c>
      <c r="AT34" s="9">
        <f t="shared" si="33"/>
        <v>-0.65000000000000036</v>
      </c>
      <c r="AU34" s="9">
        <f t="shared" si="34"/>
        <v>9.9999999999999645E-2</v>
      </c>
      <c r="AV34" s="9">
        <f t="shared" si="35"/>
        <v>0.19999999999999929</v>
      </c>
      <c r="AW34" s="9">
        <f t="shared" si="36"/>
        <v>-0.65000000000000036</v>
      </c>
      <c r="AX34" s="9">
        <f t="shared" si="37"/>
        <v>-1.6000000000000005</v>
      </c>
      <c r="AY34" s="9">
        <f t="shared" si="38"/>
        <v>-1.8000000000000007</v>
      </c>
      <c r="AZ34" s="9">
        <f t="shared" si="39"/>
        <v>-3.0999999999999996</v>
      </c>
      <c r="BA34" s="9">
        <f t="shared" si="40"/>
        <v>-3.0999999999999996</v>
      </c>
      <c r="BB34" s="9">
        <f t="shared" si="41"/>
        <v>-0.84999999999999964</v>
      </c>
      <c r="BC34" s="9">
        <f t="shared" si="42"/>
        <v>-0.72499999999999964</v>
      </c>
      <c r="BD34" s="9">
        <f t="shared" si="43"/>
        <v>-0.19999999999999929</v>
      </c>
      <c r="BE34" s="9">
        <f t="shared" si="44"/>
        <v>-9.9999999999999645E-2</v>
      </c>
      <c r="BF34" s="9">
        <f t="shared" si="45"/>
        <v>-0.78749999999999964</v>
      </c>
      <c r="BG34" s="9">
        <f t="shared" si="46"/>
        <v>-1.7999999999999989</v>
      </c>
      <c r="BH34" s="9">
        <f t="shared" si="47"/>
        <v>-2.2249999999999996</v>
      </c>
      <c r="BI34" s="9">
        <f t="shared" si="48"/>
        <v>-2.9000000000000004</v>
      </c>
      <c r="BJ34" s="9">
        <f t="shared" si="49"/>
        <v>-2.5</v>
      </c>
    </row>
    <row r="35" spans="1:62" x14ac:dyDescent="0.2">
      <c r="A35" s="9">
        <f>data!M36-data!M35</f>
        <v>-0.88880000000000337</v>
      </c>
      <c r="B35" s="9">
        <f>data!C36-data!C35</f>
        <v>-0.15000000000000036</v>
      </c>
      <c r="C35" s="9">
        <f>data!D36-data!D35</f>
        <v>0.29999999999999893</v>
      </c>
      <c r="D35" s="10">
        <f>data!B36-data!B35</f>
        <v>0.10000000000000009</v>
      </c>
      <c r="E35" s="9">
        <f>data!E35-data!G35</f>
        <v>2.782</v>
      </c>
      <c r="F35" s="9">
        <f>(data!E35-data!F35)-(data!G35-data!H35)</f>
        <v>-1.1336999999999997</v>
      </c>
      <c r="G35" s="9">
        <f t="shared" si="0"/>
        <v>-6.0799999999999965E-2</v>
      </c>
      <c r="H35" s="9">
        <f t="shared" si="1"/>
        <v>0.21169999999999956</v>
      </c>
      <c r="I35" s="9">
        <f>IF(data!M36&gt; 111.81,1,0)</f>
        <v>0</v>
      </c>
      <c r="J35" s="9">
        <f t="shared" si="2"/>
        <v>1</v>
      </c>
      <c r="K35" s="9">
        <f t="shared" si="3"/>
        <v>0</v>
      </c>
      <c r="L35" s="9">
        <f t="shared" si="4"/>
        <v>-0.88880000000000337</v>
      </c>
      <c r="M35" s="9">
        <f>data!J35</f>
        <v>-1.6</v>
      </c>
      <c r="N35" s="9">
        <f>data!I35</f>
        <v>-1.4</v>
      </c>
      <c r="O35" s="9">
        <f>data!L35</f>
        <v>-2.875</v>
      </c>
      <c r="P35" s="9">
        <f>data!K35</f>
        <v>-6.3</v>
      </c>
      <c r="Q35" s="9">
        <f>data!R35</f>
        <v>-11.25</v>
      </c>
      <c r="R35" s="9">
        <f t="shared" si="5"/>
        <v>-0.39999999999999991</v>
      </c>
      <c r="S35" s="9">
        <f t="shared" si="6"/>
        <v>0.20000000000000018</v>
      </c>
      <c r="T35" s="9">
        <f t="shared" si="7"/>
        <v>0.20000000000000018</v>
      </c>
      <c r="U35" s="9">
        <f t="shared" si="8"/>
        <v>-9.9999999999999867E-2</v>
      </c>
      <c r="V35" s="9">
        <f t="shared" si="9"/>
        <v>0.10000000000000009</v>
      </c>
      <c r="W35" s="9">
        <f t="shared" si="10"/>
        <v>-0.19999999999999996</v>
      </c>
      <c r="X35" s="9">
        <f t="shared" si="11"/>
        <v>-0.29999999999999982</v>
      </c>
      <c r="Y35" s="9">
        <f t="shared" si="12"/>
        <v>-9.9999999999999867E-2</v>
      </c>
      <c r="Z35" s="9">
        <f t="shared" si="13"/>
        <v>-0.69999999999999973</v>
      </c>
      <c r="AA35" s="9">
        <f t="shared" si="14"/>
        <v>-0.10000000000000009</v>
      </c>
      <c r="AB35" s="9">
        <f t="shared" si="15"/>
        <v>0.29999999999999982</v>
      </c>
      <c r="AC35" s="9">
        <f t="shared" si="16"/>
        <v>0.29999999999999982</v>
      </c>
      <c r="AD35" s="9">
        <f t="shared" si="17"/>
        <v>0.27499999999999991</v>
      </c>
      <c r="AE35" s="9">
        <f t="shared" si="18"/>
        <v>9.9999999999999867E-2</v>
      </c>
      <c r="AF35" s="9">
        <f t="shared" si="19"/>
        <v>9.9999999999999867E-2</v>
      </c>
      <c r="AG35" s="9">
        <f t="shared" si="20"/>
        <v>-0.20000000000000018</v>
      </c>
      <c r="AH35" s="9">
        <f t="shared" si="21"/>
        <v>-0.20000000000000018</v>
      </c>
      <c r="AI35" s="9">
        <f t="shared" si="22"/>
        <v>-1</v>
      </c>
      <c r="AJ35" s="9">
        <f t="shared" si="23"/>
        <v>0.17499999999999982</v>
      </c>
      <c r="AK35" s="9">
        <f t="shared" si="24"/>
        <v>0.47500000000000009</v>
      </c>
      <c r="AL35" s="9">
        <f t="shared" si="25"/>
        <v>0.77499999999999991</v>
      </c>
      <c r="AM35" s="9">
        <f t="shared" si="26"/>
        <v>-0.125</v>
      </c>
      <c r="AN35" s="9">
        <f t="shared" si="27"/>
        <v>-0.27499999999999991</v>
      </c>
      <c r="AO35" s="9">
        <f t="shared" si="28"/>
        <v>-0.625</v>
      </c>
      <c r="AP35" s="9">
        <f t="shared" si="29"/>
        <v>-0.92499999999999982</v>
      </c>
      <c r="AQ35" s="9">
        <f t="shared" si="30"/>
        <v>-0.92499999999999982</v>
      </c>
      <c r="AR35" s="9">
        <f t="shared" si="31"/>
        <v>-2.3250000000000002</v>
      </c>
      <c r="AS35" s="9">
        <f t="shared" si="32"/>
        <v>-0.45000000000000018</v>
      </c>
      <c r="AT35" s="9">
        <f t="shared" si="33"/>
        <v>0.29999999999999982</v>
      </c>
      <c r="AU35" s="9">
        <f t="shared" si="34"/>
        <v>0.39999999999999947</v>
      </c>
      <c r="AV35" s="9">
        <f t="shared" si="35"/>
        <v>-0.45000000000000018</v>
      </c>
      <c r="AW35" s="9">
        <f t="shared" si="36"/>
        <v>-1.4000000000000004</v>
      </c>
      <c r="AX35" s="9">
        <f t="shared" si="37"/>
        <v>-1.6000000000000005</v>
      </c>
      <c r="AY35" s="9">
        <f t="shared" si="38"/>
        <v>-2.8999999999999995</v>
      </c>
      <c r="AZ35" s="9">
        <f t="shared" si="39"/>
        <v>-2.8999999999999995</v>
      </c>
      <c r="BA35" s="9">
        <f t="shared" si="40"/>
        <v>-4.3999999999999995</v>
      </c>
      <c r="BB35" s="9">
        <f t="shared" si="41"/>
        <v>0.125</v>
      </c>
      <c r="BC35" s="9">
        <f t="shared" si="42"/>
        <v>0.65000000000000036</v>
      </c>
      <c r="BD35" s="9">
        <f t="shared" si="43"/>
        <v>0.75</v>
      </c>
      <c r="BE35" s="9">
        <f t="shared" si="44"/>
        <v>6.25E-2</v>
      </c>
      <c r="BF35" s="9">
        <f t="shared" si="45"/>
        <v>-0.94999999999999929</v>
      </c>
      <c r="BG35" s="9">
        <f t="shared" si="46"/>
        <v>-1.375</v>
      </c>
      <c r="BH35" s="9">
        <f t="shared" si="47"/>
        <v>-2.0500000000000007</v>
      </c>
      <c r="BI35" s="9">
        <f t="shared" si="48"/>
        <v>-1.6500000000000004</v>
      </c>
      <c r="BJ35" s="9">
        <f t="shared" si="49"/>
        <v>-3.75</v>
      </c>
    </row>
    <row r="36" spans="1:62" x14ac:dyDescent="0.2">
      <c r="A36" s="9">
        <f>data!M37-data!M36</f>
        <v>-4.199999999997317E-3</v>
      </c>
      <c r="B36" s="9">
        <f>data!C37-data!C36</f>
        <v>-1.5899999999999999</v>
      </c>
      <c r="C36" s="9">
        <f>data!D37-data!D36</f>
        <v>-0.19999999999999929</v>
      </c>
      <c r="D36" s="10">
        <f>data!B37-data!B36</f>
        <v>9.9999999999999978E-2</v>
      </c>
      <c r="E36" s="9">
        <f>data!E36-data!G36</f>
        <v>2.7212000000000001</v>
      </c>
      <c r="F36" s="9">
        <f>(data!E36-data!F36)-(data!G36-data!H36)</f>
        <v>-0.92200000000000015</v>
      </c>
      <c r="G36" s="9">
        <f t="shared" si="0"/>
        <v>5.6900000000000173E-2</v>
      </c>
      <c r="H36" s="9">
        <f t="shared" si="1"/>
        <v>-2.0999999999999686E-2</v>
      </c>
      <c r="I36" s="9">
        <f>IF(data!M37&gt; 111.81,1,0)</f>
        <v>0</v>
      </c>
      <c r="J36" s="9">
        <f t="shared" si="2"/>
        <v>1</v>
      </c>
      <c r="K36" s="9">
        <f t="shared" si="3"/>
        <v>0</v>
      </c>
      <c r="L36" s="9">
        <f t="shared" si="4"/>
        <v>-4.199999999997317E-3</v>
      </c>
      <c r="M36" s="9">
        <f>data!J36</f>
        <v>-2</v>
      </c>
      <c r="N36" s="9">
        <f>data!I36</f>
        <v>-1.5</v>
      </c>
      <c r="O36" s="9">
        <f>data!L36</f>
        <v>-2.7</v>
      </c>
      <c r="P36" s="9">
        <f>data!K36</f>
        <v>-6.75</v>
      </c>
      <c r="Q36" s="9">
        <f>data!R36</f>
        <v>-11.125</v>
      </c>
      <c r="R36" s="9">
        <f t="shared" si="5"/>
        <v>0.60000000000000009</v>
      </c>
      <c r="S36" s="9">
        <f t="shared" si="6"/>
        <v>0.60000000000000009</v>
      </c>
      <c r="T36" s="9">
        <f t="shared" si="7"/>
        <v>0.30000000000000004</v>
      </c>
      <c r="U36" s="9">
        <f t="shared" si="8"/>
        <v>0.5</v>
      </c>
      <c r="V36" s="9">
        <f t="shared" si="9"/>
        <v>0.19999999999999996</v>
      </c>
      <c r="W36" s="9">
        <f t="shared" si="10"/>
        <v>0.10000000000000009</v>
      </c>
      <c r="X36" s="9">
        <f t="shared" si="11"/>
        <v>0.30000000000000004</v>
      </c>
      <c r="Y36" s="9">
        <f t="shared" si="12"/>
        <v>-0.29999999999999982</v>
      </c>
      <c r="Z36" s="9">
        <f t="shared" si="13"/>
        <v>-1.5</v>
      </c>
      <c r="AA36" s="9">
        <f t="shared" si="14"/>
        <v>0.39999999999999991</v>
      </c>
      <c r="AB36" s="9">
        <f t="shared" si="15"/>
        <v>0.39999999999999991</v>
      </c>
      <c r="AC36" s="9">
        <f t="shared" si="16"/>
        <v>0.375</v>
      </c>
      <c r="AD36" s="9">
        <f t="shared" si="17"/>
        <v>0.19999999999999996</v>
      </c>
      <c r="AE36" s="9">
        <f t="shared" si="18"/>
        <v>0.19999999999999996</v>
      </c>
      <c r="AF36" s="9">
        <f t="shared" si="19"/>
        <v>-0.10000000000000009</v>
      </c>
      <c r="AG36" s="9">
        <f t="shared" si="20"/>
        <v>-0.10000000000000009</v>
      </c>
      <c r="AH36" s="9">
        <f t="shared" si="21"/>
        <v>-0.89999999999999991</v>
      </c>
      <c r="AI36" s="9">
        <f t="shared" si="22"/>
        <v>-1.25</v>
      </c>
      <c r="AJ36" s="9">
        <f t="shared" si="23"/>
        <v>0.30000000000000027</v>
      </c>
      <c r="AK36" s="9">
        <f t="shared" si="24"/>
        <v>0.60000000000000009</v>
      </c>
      <c r="AL36" s="9">
        <f t="shared" si="25"/>
        <v>-0.29999999999999982</v>
      </c>
      <c r="AM36" s="9">
        <f t="shared" si="26"/>
        <v>-0.44999999999999973</v>
      </c>
      <c r="AN36" s="9">
        <f t="shared" si="27"/>
        <v>-0.79999999999999982</v>
      </c>
      <c r="AO36" s="9">
        <f t="shared" si="28"/>
        <v>-1.0999999999999996</v>
      </c>
      <c r="AP36" s="9">
        <f t="shared" si="29"/>
        <v>-1.0999999999999996</v>
      </c>
      <c r="AQ36" s="9">
        <f t="shared" si="30"/>
        <v>-2.5</v>
      </c>
      <c r="AR36" s="9">
        <f t="shared" si="31"/>
        <v>-2.8</v>
      </c>
      <c r="AS36" s="9">
        <f t="shared" si="32"/>
        <v>0.75</v>
      </c>
      <c r="AT36" s="9">
        <f t="shared" si="33"/>
        <v>0.84999999999999964</v>
      </c>
      <c r="AU36" s="9">
        <f t="shared" si="34"/>
        <v>0</v>
      </c>
      <c r="AV36" s="9">
        <f t="shared" si="35"/>
        <v>-0.95000000000000018</v>
      </c>
      <c r="AW36" s="9">
        <f t="shared" si="36"/>
        <v>-1.1500000000000004</v>
      </c>
      <c r="AX36" s="9">
        <f t="shared" si="37"/>
        <v>-2.4499999999999993</v>
      </c>
      <c r="AY36" s="9">
        <f t="shared" si="38"/>
        <v>-2.4499999999999993</v>
      </c>
      <c r="AZ36" s="9">
        <f t="shared" si="39"/>
        <v>-3.9499999999999993</v>
      </c>
      <c r="BA36" s="9">
        <f t="shared" si="40"/>
        <v>-4.3499999999999996</v>
      </c>
      <c r="BB36" s="9">
        <f t="shared" si="41"/>
        <v>0.52500000000000036</v>
      </c>
      <c r="BC36" s="9">
        <f t="shared" si="42"/>
        <v>0.625</v>
      </c>
      <c r="BD36" s="9">
        <f t="shared" si="43"/>
        <v>-6.25E-2</v>
      </c>
      <c r="BE36" s="9">
        <f t="shared" si="44"/>
        <v>-1.0749999999999993</v>
      </c>
      <c r="BF36" s="9">
        <f t="shared" si="45"/>
        <v>-1.5</v>
      </c>
      <c r="BG36" s="9">
        <f t="shared" si="46"/>
        <v>-2.1750000000000007</v>
      </c>
      <c r="BH36" s="9">
        <f t="shared" si="47"/>
        <v>-1.7750000000000004</v>
      </c>
      <c r="BI36" s="9">
        <f t="shared" si="48"/>
        <v>-3.875</v>
      </c>
      <c r="BJ36" s="9">
        <f t="shared" si="49"/>
        <v>-3.125</v>
      </c>
    </row>
    <row r="37" spans="1:62" x14ac:dyDescent="0.2">
      <c r="A37" s="9">
        <f>data!M38-data!M37</f>
        <v>0.93229999999999791</v>
      </c>
      <c r="B37" s="9">
        <f>data!C38-data!C37</f>
        <v>-0.75999999999999979</v>
      </c>
      <c r="C37" s="9">
        <f>data!D38-data!D37</f>
        <v>-9.9999999999999645E-2</v>
      </c>
      <c r="D37" s="10">
        <f>data!B38-data!B37</f>
        <v>-5.0000000000000044E-2</v>
      </c>
      <c r="E37" s="9">
        <f>data!E37-data!G37</f>
        <v>2.7781000000000002</v>
      </c>
      <c r="F37" s="9">
        <f>(data!E37-data!F37)-(data!G37-data!H37)</f>
        <v>-0.94299999999999984</v>
      </c>
      <c r="G37" s="9">
        <f t="shared" si="0"/>
        <v>0.13889999999999958</v>
      </c>
      <c r="H37" s="9">
        <f t="shared" si="1"/>
        <v>5.5199999999999472E-2</v>
      </c>
      <c r="I37" s="9">
        <f>IF(data!M38&gt; 111.81,1,0)</f>
        <v>0</v>
      </c>
      <c r="J37" s="9">
        <f t="shared" si="2"/>
        <v>1</v>
      </c>
      <c r="K37" s="9">
        <f t="shared" si="3"/>
        <v>0</v>
      </c>
      <c r="L37" s="9">
        <f t="shared" si="4"/>
        <v>0.93229999999999791</v>
      </c>
      <c r="M37" s="9">
        <f>data!J37</f>
        <v>-1.4</v>
      </c>
      <c r="N37" s="9">
        <f>data!I37</f>
        <v>-1.1000000000000001</v>
      </c>
      <c r="O37" s="9">
        <f>data!L37</f>
        <v>-2.4</v>
      </c>
      <c r="P37" s="9">
        <f>data!K37</f>
        <v>-6</v>
      </c>
      <c r="Q37" s="9">
        <f>data!R37</f>
        <v>-10.6</v>
      </c>
      <c r="R37" s="9">
        <f t="shared" si="5"/>
        <v>0</v>
      </c>
      <c r="S37" s="9">
        <f t="shared" si="6"/>
        <v>-0.30000000000000004</v>
      </c>
      <c r="T37" s="9">
        <f t="shared" si="7"/>
        <v>-0.10000000000000009</v>
      </c>
      <c r="U37" s="9">
        <f t="shared" si="8"/>
        <v>-0.40000000000000013</v>
      </c>
      <c r="V37" s="9">
        <f t="shared" si="9"/>
        <v>-0.5</v>
      </c>
      <c r="W37" s="9">
        <f t="shared" si="10"/>
        <v>-0.30000000000000004</v>
      </c>
      <c r="X37" s="9">
        <f t="shared" si="11"/>
        <v>-0.89999999999999991</v>
      </c>
      <c r="Y37" s="9">
        <f t="shared" si="12"/>
        <v>-2.1</v>
      </c>
      <c r="Z37" s="9">
        <f t="shared" si="13"/>
        <v>-2.1</v>
      </c>
      <c r="AA37" s="9">
        <f t="shared" si="14"/>
        <v>0</v>
      </c>
      <c r="AB37" s="9">
        <f t="shared" si="15"/>
        <v>-2.4999999999999911E-2</v>
      </c>
      <c r="AC37" s="9">
        <f t="shared" si="16"/>
        <v>-0.19999999999999996</v>
      </c>
      <c r="AD37" s="9">
        <f t="shared" si="17"/>
        <v>-0.19999999999999996</v>
      </c>
      <c r="AE37" s="9">
        <f t="shared" si="18"/>
        <v>-0.5</v>
      </c>
      <c r="AF37" s="9">
        <f t="shared" si="19"/>
        <v>-0.5</v>
      </c>
      <c r="AG37" s="9">
        <f t="shared" si="20"/>
        <v>-1.2999999999999998</v>
      </c>
      <c r="AH37" s="9">
        <f t="shared" si="21"/>
        <v>-1.65</v>
      </c>
      <c r="AI37" s="9">
        <f t="shared" si="22"/>
        <v>-1.5</v>
      </c>
      <c r="AJ37" s="9">
        <f t="shared" si="23"/>
        <v>0.29999999999999982</v>
      </c>
      <c r="AK37" s="9">
        <f t="shared" si="24"/>
        <v>-0.60000000000000009</v>
      </c>
      <c r="AL37" s="9">
        <f t="shared" si="25"/>
        <v>-0.75</v>
      </c>
      <c r="AM37" s="9">
        <f t="shared" si="26"/>
        <v>-1.1000000000000001</v>
      </c>
      <c r="AN37" s="9">
        <f t="shared" si="27"/>
        <v>-1.4</v>
      </c>
      <c r="AO37" s="9">
        <f t="shared" si="28"/>
        <v>-1.4</v>
      </c>
      <c r="AP37" s="9">
        <f t="shared" si="29"/>
        <v>-2.8000000000000003</v>
      </c>
      <c r="AQ37" s="9">
        <f t="shared" si="30"/>
        <v>-3.1</v>
      </c>
      <c r="AR37" s="9">
        <f t="shared" si="31"/>
        <v>-3.0000000000000004</v>
      </c>
      <c r="AS37" s="9">
        <f t="shared" si="32"/>
        <v>9.9999999999999645E-2</v>
      </c>
      <c r="AT37" s="9">
        <f t="shared" si="33"/>
        <v>-0.75</v>
      </c>
      <c r="AU37" s="9">
        <f t="shared" si="34"/>
        <v>-1.7000000000000002</v>
      </c>
      <c r="AV37" s="9">
        <f t="shared" si="35"/>
        <v>-1.9000000000000004</v>
      </c>
      <c r="AW37" s="9">
        <f t="shared" si="36"/>
        <v>-3.1999999999999993</v>
      </c>
      <c r="AX37" s="9">
        <f t="shared" si="37"/>
        <v>-3.1999999999999993</v>
      </c>
      <c r="AY37" s="9">
        <f t="shared" si="38"/>
        <v>-4.6999999999999993</v>
      </c>
      <c r="AZ37" s="9">
        <f t="shared" si="39"/>
        <v>-5.0999999999999996</v>
      </c>
      <c r="BA37" s="9">
        <f t="shared" si="40"/>
        <v>-5.1999999999999993</v>
      </c>
      <c r="BB37" s="9">
        <f t="shared" si="41"/>
        <v>9.9999999999999645E-2</v>
      </c>
      <c r="BC37" s="9">
        <f t="shared" si="42"/>
        <v>-0.58750000000000036</v>
      </c>
      <c r="BD37" s="9">
        <f t="shared" si="43"/>
        <v>-1.5999999999999996</v>
      </c>
      <c r="BE37" s="9">
        <f t="shared" si="44"/>
        <v>-2.0250000000000004</v>
      </c>
      <c r="BF37" s="9">
        <f t="shared" si="45"/>
        <v>-2.7000000000000011</v>
      </c>
      <c r="BG37" s="9">
        <f t="shared" si="46"/>
        <v>-2.3000000000000007</v>
      </c>
      <c r="BH37" s="9">
        <f t="shared" si="47"/>
        <v>-4.4000000000000004</v>
      </c>
      <c r="BI37" s="9">
        <f t="shared" si="48"/>
        <v>-3.6500000000000004</v>
      </c>
      <c r="BJ37" s="9">
        <f t="shared" si="49"/>
        <v>-4.6500000000000004</v>
      </c>
    </row>
    <row r="38" spans="1:62" x14ac:dyDescent="0.2">
      <c r="A38" s="9">
        <f>data!M39-data!M38</f>
        <v>0.30770000000001119</v>
      </c>
      <c r="B38" s="9">
        <f>data!C39-data!C38</f>
        <v>1.7400000000000002</v>
      </c>
      <c r="C38" s="9">
        <f>data!D39-data!D38</f>
        <v>-5.0000000000000711E-2</v>
      </c>
      <c r="D38" s="10">
        <f>data!B39-data!B38</f>
        <v>2.5000000000000022E-2</v>
      </c>
      <c r="E38" s="9">
        <f>data!E38-data!G38</f>
        <v>2.9169999999999998</v>
      </c>
      <c r="F38" s="9">
        <f>(data!E38-data!F38)-(data!G38-data!H38)</f>
        <v>-0.88780000000000037</v>
      </c>
      <c r="G38" s="9">
        <f t="shared" si="0"/>
        <v>-3.6400000000000432E-2</v>
      </c>
      <c r="H38" s="9">
        <f t="shared" si="1"/>
        <v>-8.2299999999999818E-2</v>
      </c>
      <c r="I38" s="9">
        <f>IF(data!M39&gt; 111.81,1,0)</f>
        <v>0</v>
      </c>
      <c r="J38" s="9">
        <f t="shared" si="2"/>
        <v>1</v>
      </c>
      <c r="K38" s="9">
        <f t="shared" si="3"/>
        <v>0</v>
      </c>
      <c r="L38" s="9">
        <f t="shared" si="4"/>
        <v>0.30770000000001119</v>
      </c>
      <c r="M38" s="9">
        <f>data!J38</f>
        <v>-1.4</v>
      </c>
      <c r="N38" s="9">
        <f>data!I38</f>
        <v>-1.1000000000000001</v>
      </c>
      <c r="O38" s="9">
        <f>data!L38</f>
        <v>-2.1</v>
      </c>
      <c r="P38" s="9">
        <f>data!K38</f>
        <v>-5.9</v>
      </c>
      <c r="Q38" s="9">
        <f>data!R38</f>
        <v>-10.5</v>
      </c>
      <c r="R38" s="9">
        <f t="shared" si="5"/>
        <v>-0.30000000000000004</v>
      </c>
      <c r="S38" s="9">
        <f t="shared" si="6"/>
        <v>-0.10000000000000009</v>
      </c>
      <c r="T38" s="9">
        <f t="shared" si="7"/>
        <v>-0.40000000000000013</v>
      </c>
      <c r="U38" s="9">
        <f t="shared" si="8"/>
        <v>-0.5</v>
      </c>
      <c r="V38" s="9">
        <f t="shared" si="9"/>
        <v>-0.30000000000000004</v>
      </c>
      <c r="W38" s="9">
        <f t="shared" si="10"/>
        <v>-0.89999999999999991</v>
      </c>
      <c r="X38" s="9">
        <f t="shared" si="11"/>
        <v>-2.1</v>
      </c>
      <c r="Y38" s="9">
        <f t="shared" si="12"/>
        <v>-2.1</v>
      </c>
      <c r="Z38" s="9">
        <f t="shared" si="13"/>
        <v>-2.1</v>
      </c>
      <c r="AA38" s="9">
        <f t="shared" si="14"/>
        <v>-2.4999999999999911E-2</v>
      </c>
      <c r="AB38" s="9">
        <f t="shared" si="15"/>
        <v>-0.19999999999999996</v>
      </c>
      <c r="AC38" s="9">
        <f t="shared" si="16"/>
        <v>-0.19999999999999996</v>
      </c>
      <c r="AD38" s="9">
        <f t="shared" si="17"/>
        <v>-0.5</v>
      </c>
      <c r="AE38" s="9">
        <f t="shared" si="18"/>
        <v>-0.5</v>
      </c>
      <c r="AF38" s="9">
        <f t="shared" si="19"/>
        <v>-1.2999999999999998</v>
      </c>
      <c r="AG38" s="9">
        <f t="shared" si="20"/>
        <v>-1.65</v>
      </c>
      <c r="AH38" s="9">
        <f t="shared" si="21"/>
        <v>-1.5</v>
      </c>
      <c r="AI38" s="9">
        <f t="shared" si="22"/>
        <v>-1.2999999999999998</v>
      </c>
      <c r="AJ38" s="9">
        <f t="shared" si="23"/>
        <v>-0.89999999999999991</v>
      </c>
      <c r="AK38" s="9">
        <f t="shared" si="24"/>
        <v>-1.0499999999999998</v>
      </c>
      <c r="AL38" s="9">
        <f t="shared" si="25"/>
        <v>-1.4</v>
      </c>
      <c r="AM38" s="9">
        <f t="shared" si="26"/>
        <v>-1.6999999999999997</v>
      </c>
      <c r="AN38" s="9">
        <f t="shared" si="27"/>
        <v>-1.6999999999999997</v>
      </c>
      <c r="AO38" s="9">
        <f t="shared" si="28"/>
        <v>-3.1</v>
      </c>
      <c r="AP38" s="9">
        <f t="shared" si="29"/>
        <v>-3.4</v>
      </c>
      <c r="AQ38" s="9">
        <f t="shared" si="30"/>
        <v>-3.3000000000000003</v>
      </c>
      <c r="AR38" s="9">
        <f t="shared" si="31"/>
        <v>-2.6</v>
      </c>
      <c r="AS38" s="9">
        <f t="shared" si="32"/>
        <v>-0.84999999999999964</v>
      </c>
      <c r="AT38" s="9">
        <f t="shared" si="33"/>
        <v>-1.7999999999999998</v>
      </c>
      <c r="AU38" s="9">
        <f t="shared" si="34"/>
        <v>-2</v>
      </c>
      <c r="AV38" s="9">
        <f t="shared" si="35"/>
        <v>-3.2999999999999989</v>
      </c>
      <c r="AW38" s="9">
        <f t="shared" si="36"/>
        <v>-3.2999999999999989</v>
      </c>
      <c r="AX38" s="9">
        <f t="shared" si="37"/>
        <v>-4.7999999999999989</v>
      </c>
      <c r="AY38" s="9">
        <f t="shared" si="38"/>
        <v>-5.1999999999999993</v>
      </c>
      <c r="AZ38" s="9">
        <f t="shared" si="39"/>
        <v>-5.2999999999999989</v>
      </c>
      <c r="BA38" s="9">
        <f t="shared" si="40"/>
        <v>-4</v>
      </c>
      <c r="BB38" s="9">
        <f t="shared" si="41"/>
        <v>-0.6875</v>
      </c>
      <c r="BC38" s="9">
        <f t="shared" si="42"/>
        <v>-1.6999999999999993</v>
      </c>
      <c r="BD38" s="9">
        <f t="shared" si="43"/>
        <v>-2.125</v>
      </c>
      <c r="BE38" s="9">
        <f t="shared" si="44"/>
        <v>-2.8000000000000007</v>
      </c>
      <c r="BF38" s="9">
        <f t="shared" si="45"/>
        <v>-2.4000000000000004</v>
      </c>
      <c r="BG38" s="9">
        <f t="shared" si="46"/>
        <v>-4.5</v>
      </c>
      <c r="BH38" s="9">
        <f t="shared" si="47"/>
        <v>-3.75</v>
      </c>
      <c r="BI38" s="9">
        <f t="shared" si="48"/>
        <v>-4.75</v>
      </c>
      <c r="BJ38" s="9">
        <f t="shared" si="49"/>
        <v>-3.5</v>
      </c>
    </row>
    <row r="39" spans="1:62" x14ac:dyDescent="0.2">
      <c r="A39" s="9">
        <f>data!M40-data!M39</f>
        <v>-0.11250000000001137</v>
      </c>
      <c r="B39" s="9">
        <f>data!C40-data!C39</f>
        <v>-1.0400000000000009</v>
      </c>
      <c r="C39" s="9">
        <f>data!D40-data!D39</f>
        <v>0</v>
      </c>
      <c r="D39" s="10">
        <f>data!B40-data!B39</f>
        <v>-2.5000000000000022E-2</v>
      </c>
      <c r="E39" s="9">
        <f>data!E39-data!G39</f>
        <v>2.8805999999999994</v>
      </c>
      <c r="F39" s="9">
        <f>(data!E39-data!F39)-(data!G39-data!H39)</f>
        <v>-0.97010000000000018</v>
      </c>
      <c r="G39" s="9">
        <f t="shared" si="0"/>
        <v>-3.0599999999999739E-2</v>
      </c>
      <c r="H39" s="9">
        <f t="shared" si="1"/>
        <v>-0.11980000000000013</v>
      </c>
      <c r="I39" s="9">
        <f>IF(data!M40&gt; 111.81,1,0)</f>
        <v>0</v>
      </c>
      <c r="J39" s="9">
        <f t="shared" si="2"/>
        <v>1</v>
      </c>
      <c r="K39" s="9">
        <f t="shared" si="3"/>
        <v>0</v>
      </c>
      <c r="L39" s="9">
        <f t="shared" si="4"/>
        <v>-0.11250000000001137</v>
      </c>
      <c r="M39" s="9">
        <f>data!J39</f>
        <v>-1.7</v>
      </c>
      <c r="N39" s="9">
        <f>data!I39</f>
        <v>-1.125</v>
      </c>
      <c r="O39" s="9">
        <f>data!L39</f>
        <v>-3</v>
      </c>
      <c r="P39" s="9">
        <f>data!K39</f>
        <v>-6.75</v>
      </c>
      <c r="Q39" s="9">
        <f>data!R39</f>
        <v>-11.1875</v>
      </c>
      <c r="R39" s="9">
        <f t="shared" si="5"/>
        <v>0.19999999999999996</v>
      </c>
      <c r="S39" s="9">
        <f t="shared" si="6"/>
        <v>-0.10000000000000009</v>
      </c>
      <c r="T39" s="9">
        <f t="shared" si="7"/>
        <v>-0.19999999999999996</v>
      </c>
      <c r="U39" s="9">
        <f t="shared" si="8"/>
        <v>0</v>
      </c>
      <c r="V39" s="9">
        <f t="shared" si="9"/>
        <v>-0.59999999999999987</v>
      </c>
      <c r="W39" s="9">
        <f t="shared" si="10"/>
        <v>-1.8</v>
      </c>
      <c r="X39" s="9">
        <f t="shared" si="11"/>
        <v>-1.8</v>
      </c>
      <c r="Y39" s="9">
        <f t="shared" si="12"/>
        <v>-1.8</v>
      </c>
      <c r="Z39" s="9">
        <f t="shared" si="13"/>
        <v>-1.8</v>
      </c>
      <c r="AA39" s="9">
        <f t="shared" si="14"/>
        <v>-0.17500000000000004</v>
      </c>
      <c r="AB39" s="9">
        <f t="shared" si="15"/>
        <v>-0.17500000000000004</v>
      </c>
      <c r="AC39" s="9">
        <f t="shared" si="16"/>
        <v>-0.47500000000000009</v>
      </c>
      <c r="AD39" s="9">
        <f t="shared" si="17"/>
        <v>-0.47500000000000009</v>
      </c>
      <c r="AE39" s="9">
        <f t="shared" si="18"/>
        <v>-1.2749999999999999</v>
      </c>
      <c r="AF39" s="9">
        <f t="shared" si="19"/>
        <v>-1.625</v>
      </c>
      <c r="AG39" s="9">
        <f t="shared" si="20"/>
        <v>-1.4750000000000001</v>
      </c>
      <c r="AH39" s="9">
        <f t="shared" si="21"/>
        <v>-1.2749999999999999</v>
      </c>
      <c r="AI39" s="9">
        <f t="shared" si="22"/>
        <v>-1.2749999999999999</v>
      </c>
      <c r="AJ39" s="9">
        <f t="shared" si="23"/>
        <v>-0.14999999999999991</v>
      </c>
      <c r="AK39" s="9">
        <f t="shared" si="24"/>
        <v>-0.5</v>
      </c>
      <c r="AL39" s="9">
        <f t="shared" si="25"/>
        <v>-0.79999999999999982</v>
      </c>
      <c r="AM39" s="9">
        <f t="shared" si="26"/>
        <v>-0.79999999999999982</v>
      </c>
      <c r="AN39" s="9">
        <f t="shared" si="27"/>
        <v>-2.2000000000000002</v>
      </c>
      <c r="AO39" s="9">
        <f t="shared" si="28"/>
        <v>-2.5</v>
      </c>
      <c r="AP39" s="9">
        <f t="shared" si="29"/>
        <v>-2.4000000000000004</v>
      </c>
      <c r="AQ39" s="9">
        <f t="shared" si="30"/>
        <v>-1.7000000000000002</v>
      </c>
      <c r="AR39" s="9">
        <f t="shared" si="31"/>
        <v>-1.5999999999999996</v>
      </c>
      <c r="AS39" s="9">
        <f t="shared" si="32"/>
        <v>-0.95000000000000018</v>
      </c>
      <c r="AT39" s="9">
        <f t="shared" si="33"/>
        <v>-1.1500000000000004</v>
      </c>
      <c r="AU39" s="9">
        <f t="shared" si="34"/>
        <v>-2.4499999999999993</v>
      </c>
      <c r="AV39" s="9">
        <f t="shared" si="35"/>
        <v>-2.4499999999999993</v>
      </c>
      <c r="AW39" s="9">
        <f t="shared" si="36"/>
        <v>-3.9499999999999993</v>
      </c>
      <c r="AX39" s="9">
        <f t="shared" si="37"/>
        <v>-4.3499999999999996</v>
      </c>
      <c r="AY39" s="9">
        <f t="shared" si="38"/>
        <v>-4.4499999999999993</v>
      </c>
      <c r="AZ39" s="9">
        <f t="shared" si="39"/>
        <v>-3.1500000000000004</v>
      </c>
      <c r="BA39" s="9">
        <f t="shared" si="40"/>
        <v>-3.1500000000000004</v>
      </c>
      <c r="BB39" s="9">
        <f t="shared" si="41"/>
        <v>-1.0124999999999993</v>
      </c>
      <c r="BC39" s="9">
        <f t="shared" si="42"/>
        <v>-1.4375</v>
      </c>
      <c r="BD39" s="9">
        <f t="shared" si="43"/>
        <v>-2.1125000000000007</v>
      </c>
      <c r="BE39" s="9">
        <f t="shared" si="44"/>
        <v>-1.7125000000000004</v>
      </c>
      <c r="BF39" s="9">
        <f t="shared" si="45"/>
        <v>-3.8125</v>
      </c>
      <c r="BG39" s="9">
        <f t="shared" si="46"/>
        <v>-3.0625</v>
      </c>
      <c r="BH39" s="9">
        <f t="shared" si="47"/>
        <v>-4.0625</v>
      </c>
      <c r="BI39" s="9">
        <f t="shared" si="48"/>
        <v>-2.8125</v>
      </c>
      <c r="BJ39" s="9">
        <f t="shared" si="49"/>
        <v>-2.8125</v>
      </c>
    </row>
    <row r="40" spans="1:62" x14ac:dyDescent="0.2">
      <c r="A40" s="9">
        <f>data!M41-data!M40</f>
        <v>0.21920000000000073</v>
      </c>
      <c r="B40" s="9">
        <f>data!C41-data!C40</f>
        <v>2.67</v>
      </c>
      <c r="C40" s="9">
        <f>data!D41-data!D40</f>
        <v>-0.125</v>
      </c>
      <c r="D40" s="10">
        <f>data!B41-data!B40</f>
        <v>0</v>
      </c>
      <c r="E40" s="9">
        <f>data!E40-data!G40</f>
        <v>2.8499999999999996</v>
      </c>
      <c r="F40" s="9">
        <f>(data!E40-data!F40)-(data!G40-data!H40)</f>
        <v>-1.0899000000000003</v>
      </c>
      <c r="G40" s="9">
        <f t="shared" si="0"/>
        <v>-5.9999999999993392E-3</v>
      </c>
      <c r="H40" s="9">
        <f t="shared" si="1"/>
        <v>-3.4099999999999353E-2</v>
      </c>
      <c r="I40" s="9">
        <f>IF(data!M41&gt; 111.81,1,0)</f>
        <v>0</v>
      </c>
      <c r="J40" s="9">
        <f t="shared" si="2"/>
        <v>1</v>
      </c>
      <c r="K40" s="9">
        <f t="shared" si="3"/>
        <v>0</v>
      </c>
      <c r="L40" s="9">
        <f t="shared" si="4"/>
        <v>0.21920000000000073</v>
      </c>
      <c r="M40" s="9">
        <f>data!J40</f>
        <v>-1.5</v>
      </c>
      <c r="N40" s="9">
        <f>data!I40</f>
        <v>-1.3</v>
      </c>
      <c r="O40" s="9">
        <f>data!L40</f>
        <v>-3.15</v>
      </c>
      <c r="P40" s="9">
        <f>data!K40</f>
        <v>-7.7</v>
      </c>
      <c r="Q40" s="9">
        <f>data!R40</f>
        <v>-12.2</v>
      </c>
      <c r="R40" s="9">
        <f t="shared" si="5"/>
        <v>-0.30000000000000004</v>
      </c>
      <c r="S40" s="9">
        <f t="shared" si="6"/>
        <v>-0.39999999999999991</v>
      </c>
      <c r="T40" s="9">
        <f t="shared" si="7"/>
        <v>-0.19999999999999996</v>
      </c>
      <c r="U40" s="9">
        <f t="shared" si="8"/>
        <v>-0.79999999999999982</v>
      </c>
      <c r="V40" s="9">
        <f t="shared" si="9"/>
        <v>-2</v>
      </c>
      <c r="W40" s="9">
        <f t="shared" si="10"/>
        <v>-2</v>
      </c>
      <c r="X40" s="9">
        <f t="shared" si="11"/>
        <v>-2</v>
      </c>
      <c r="Y40" s="9">
        <f t="shared" si="12"/>
        <v>-2</v>
      </c>
      <c r="Z40" s="9">
        <f t="shared" si="13"/>
        <v>-2</v>
      </c>
      <c r="AA40" s="9">
        <f t="shared" si="14"/>
        <v>0</v>
      </c>
      <c r="AB40" s="9">
        <f t="shared" si="15"/>
        <v>-0.30000000000000004</v>
      </c>
      <c r="AC40" s="9">
        <f t="shared" si="16"/>
        <v>-0.30000000000000004</v>
      </c>
      <c r="AD40" s="9">
        <f t="shared" si="17"/>
        <v>-1.0999999999999999</v>
      </c>
      <c r="AE40" s="9">
        <f t="shared" si="18"/>
        <v>-1.45</v>
      </c>
      <c r="AF40" s="9">
        <f t="shared" si="19"/>
        <v>-1.3</v>
      </c>
      <c r="AG40" s="9">
        <f t="shared" si="20"/>
        <v>-1.0999999999999999</v>
      </c>
      <c r="AH40" s="9">
        <f t="shared" si="21"/>
        <v>-1.0999999999999999</v>
      </c>
      <c r="AI40" s="9">
        <f t="shared" si="22"/>
        <v>-0.8</v>
      </c>
      <c r="AJ40" s="9">
        <f t="shared" si="23"/>
        <v>-0.35000000000000009</v>
      </c>
      <c r="AK40" s="9">
        <f t="shared" si="24"/>
        <v>-0.64999999999999991</v>
      </c>
      <c r="AL40" s="9">
        <f t="shared" si="25"/>
        <v>-0.64999999999999991</v>
      </c>
      <c r="AM40" s="9">
        <f t="shared" si="26"/>
        <v>-2.0500000000000003</v>
      </c>
      <c r="AN40" s="9">
        <f t="shared" si="27"/>
        <v>-2.35</v>
      </c>
      <c r="AO40" s="9">
        <f t="shared" si="28"/>
        <v>-2.2500000000000004</v>
      </c>
      <c r="AP40" s="9">
        <f t="shared" si="29"/>
        <v>-1.5500000000000003</v>
      </c>
      <c r="AQ40" s="9">
        <f t="shared" si="30"/>
        <v>-1.4499999999999997</v>
      </c>
      <c r="AR40" s="9">
        <f t="shared" si="31"/>
        <v>-0.75</v>
      </c>
      <c r="AS40" s="9">
        <f t="shared" si="32"/>
        <v>-0.20000000000000018</v>
      </c>
      <c r="AT40" s="9">
        <f t="shared" si="33"/>
        <v>-1.4999999999999991</v>
      </c>
      <c r="AU40" s="9">
        <f t="shared" si="34"/>
        <v>-1.4999999999999991</v>
      </c>
      <c r="AV40" s="9">
        <f t="shared" si="35"/>
        <v>-2.9999999999999991</v>
      </c>
      <c r="AW40" s="9">
        <f t="shared" si="36"/>
        <v>-3.3999999999999995</v>
      </c>
      <c r="AX40" s="9">
        <f t="shared" si="37"/>
        <v>-3.4999999999999991</v>
      </c>
      <c r="AY40" s="9">
        <f t="shared" si="38"/>
        <v>-2.2000000000000002</v>
      </c>
      <c r="AZ40" s="9">
        <f t="shared" si="39"/>
        <v>-2.2000000000000002</v>
      </c>
      <c r="BA40" s="9">
        <f t="shared" si="40"/>
        <v>-0.49999999999999911</v>
      </c>
      <c r="BB40" s="9">
        <f t="shared" si="41"/>
        <v>-0.42500000000000071</v>
      </c>
      <c r="BC40" s="9">
        <f t="shared" si="42"/>
        <v>-1.1000000000000014</v>
      </c>
      <c r="BD40" s="9">
        <f t="shared" si="43"/>
        <v>-0.70000000000000107</v>
      </c>
      <c r="BE40" s="9">
        <f t="shared" si="44"/>
        <v>-2.8000000000000007</v>
      </c>
      <c r="BF40" s="9">
        <f t="shared" si="45"/>
        <v>-2.0500000000000007</v>
      </c>
      <c r="BG40" s="9">
        <f t="shared" si="46"/>
        <v>-3.0500000000000007</v>
      </c>
      <c r="BH40" s="9">
        <f t="shared" si="47"/>
        <v>-1.8000000000000007</v>
      </c>
      <c r="BI40" s="9">
        <f t="shared" si="48"/>
        <v>-1.8000000000000007</v>
      </c>
      <c r="BJ40" s="9">
        <f t="shared" si="49"/>
        <v>0.19999999999999929</v>
      </c>
    </row>
    <row r="41" spans="1:62" x14ac:dyDescent="0.2">
      <c r="A41" s="9">
        <f>data!M42-data!M41</f>
        <v>0.47240000000000748</v>
      </c>
      <c r="B41" s="9">
        <f>data!C42-data!C41</f>
        <v>0.27999999999999936</v>
      </c>
      <c r="C41" s="9">
        <f>data!D42-data!D41</f>
        <v>2.5000000000000355E-2</v>
      </c>
      <c r="D41" s="10">
        <f>data!B42-data!B41</f>
        <v>-4.9999999999999933E-2</v>
      </c>
      <c r="E41" s="9">
        <f>data!E41-data!G41</f>
        <v>2.8440000000000003</v>
      </c>
      <c r="F41" s="9">
        <f>(data!E41-data!F41)-(data!G41-data!H41)</f>
        <v>-1.1239999999999997</v>
      </c>
      <c r="G41" s="9">
        <f t="shared" si="0"/>
        <v>7.0300000000000029E-2</v>
      </c>
      <c r="H41" s="9">
        <f t="shared" si="1"/>
        <v>4.6600000000000419E-2</v>
      </c>
      <c r="I41" s="9">
        <f>IF(data!M42&gt; 111.81,1,0)</f>
        <v>0</v>
      </c>
      <c r="J41" s="9">
        <f t="shared" si="2"/>
        <v>1</v>
      </c>
      <c r="K41" s="9">
        <f t="shared" si="3"/>
        <v>0</v>
      </c>
      <c r="L41" s="9">
        <f t="shared" si="4"/>
        <v>0.47240000000000748</v>
      </c>
      <c r="M41" s="9">
        <f>data!J41</f>
        <v>-1.8</v>
      </c>
      <c r="N41" s="9">
        <f>data!I41</f>
        <v>-1.3</v>
      </c>
      <c r="O41" s="9">
        <f>data!L41</f>
        <v>-3.5</v>
      </c>
      <c r="P41" s="9">
        <f>data!K41</f>
        <v>-7.9</v>
      </c>
      <c r="Q41" s="9">
        <f>data!R41</f>
        <v>-12.625</v>
      </c>
      <c r="R41" s="9">
        <f t="shared" si="5"/>
        <v>-9.9999999999999867E-2</v>
      </c>
      <c r="S41" s="9">
        <f t="shared" si="6"/>
        <v>0.10000000000000009</v>
      </c>
      <c r="T41" s="9">
        <f t="shared" si="7"/>
        <v>-0.49999999999999978</v>
      </c>
      <c r="U41" s="9">
        <f t="shared" si="8"/>
        <v>-1.7</v>
      </c>
      <c r="V41" s="9">
        <f t="shared" si="9"/>
        <v>-1.7</v>
      </c>
      <c r="W41" s="9">
        <f t="shared" si="10"/>
        <v>-1.7</v>
      </c>
      <c r="X41" s="9">
        <f t="shared" si="11"/>
        <v>-1.7</v>
      </c>
      <c r="Y41" s="9">
        <f t="shared" si="12"/>
        <v>-1.7</v>
      </c>
      <c r="Z41" s="9">
        <f t="shared" si="13"/>
        <v>-1.7</v>
      </c>
      <c r="AA41" s="9">
        <f t="shared" si="14"/>
        <v>-0.30000000000000004</v>
      </c>
      <c r="AB41" s="9">
        <f t="shared" si="15"/>
        <v>-0.30000000000000004</v>
      </c>
      <c r="AC41" s="9">
        <f t="shared" si="16"/>
        <v>-1.0999999999999999</v>
      </c>
      <c r="AD41" s="9">
        <f t="shared" si="17"/>
        <v>-1.45</v>
      </c>
      <c r="AE41" s="9">
        <f t="shared" si="18"/>
        <v>-1.3</v>
      </c>
      <c r="AF41" s="9">
        <f t="shared" si="19"/>
        <v>-1.0999999999999999</v>
      </c>
      <c r="AG41" s="9">
        <f t="shared" si="20"/>
        <v>-1.0999999999999999</v>
      </c>
      <c r="AH41" s="9">
        <f t="shared" si="21"/>
        <v>-0.8</v>
      </c>
      <c r="AI41" s="9">
        <f t="shared" si="22"/>
        <v>-1.0999999999999999</v>
      </c>
      <c r="AJ41" s="9">
        <f t="shared" si="23"/>
        <v>-0.29999999999999982</v>
      </c>
      <c r="AK41" s="9">
        <f t="shared" si="24"/>
        <v>-0.29999999999999982</v>
      </c>
      <c r="AL41" s="9">
        <f t="shared" si="25"/>
        <v>-1.7000000000000002</v>
      </c>
      <c r="AM41" s="9">
        <f t="shared" si="26"/>
        <v>-2</v>
      </c>
      <c r="AN41" s="9">
        <f t="shared" si="27"/>
        <v>-1.9000000000000004</v>
      </c>
      <c r="AO41" s="9">
        <f t="shared" si="28"/>
        <v>-1.2000000000000002</v>
      </c>
      <c r="AP41" s="9">
        <f t="shared" si="29"/>
        <v>-1.0999999999999996</v>
      </c>
      <c r="AQ41" s="9">
        <f t="shared" si="30"/>
        <v>-0.39999999999999991</v>
      </c>
      <c r="AR41" s="9">
        <f t="shared" si="31"/>
        <v>-0.70000000000000018</v>
      </c>
      <c r="AS41" s="9">
        <f t="shared" si="32"/>
        <v>-1.2999999999999989</v>
      </c>
      <c r="AT41" s="9">
        <f t="shared" si="33"/>
        <v>-1.2999999999999989</v>
      </c>
      <c r="AU41" s="9">
        <f t="shared" si="34"/>
        <v>-2.7999999999999989</v>
      </c>
      <c r="AV41" s="9">
        <f t="shared" si="35"/>
        <v>-3.1999999999999993</v>
      </c>
      <c r="AW41" s="9">
        <f t="shared" si="36"/>
        <v>-3.2999999999999989</v>
      </c>
      <c r="AX41" s="9">
        <f t="shared" si="37"/>
        <v>-2</v>
      </c>
      <c r="AY41" s="9">
        <f t="shared" si="38"/>
        <v>-2</v>
      </c>
      <c r="AZ41" s="9">
        <f t="shared" si="39"/>
        <v>-0.29999999999999893</v>
      </c>
      <c r="BA41" s="9">
        <f t="shared" si="40"/>
        <v>-0.5</v>
      </c>
      <c r="BB41" s="9">
        <f t="shared" si="41"/>
        <v>-0.67500000000000071</v>
      </c>
      <c r="BC41" s="9">
        <f t="shared" si="42"/>
        <v>-0.27500000000000036</v>
      </c>
      <c r="BD41" s="9">
        <f t="shared" si="43"/>
        <v>-2.375</v>
      </c>
      <c r="BE41" s="9">
        <f t="shared" si="44"/>
        <v>-1.625</v>
      </c>
      <c r="BF41" s="9">
        <f t="shared" si="45"/>
        <v>-2.625</v>
      </c>
      <c r="BG41" s="9">
        <f t="shared" si="46"/>
        <v>-1.375</v>
      </c>
      <c r="BH41" s="9">
        <f t="shared" si="47"/>
        <v>-1.375</v>
      </c>
      <c r="BI41" s="9">
        <f t="shared" si="48"/>
        <v>0.625</v>
      </c>
      <c r="BJ41" s="9">
        <f t="shared" si="49"/>
        <v>0.42500000000000071</v>
      </c>
    </row>
    <row r="42" spans="1:62" x14ac:dyDescent="0.2">
      <c r="A42" s="9">
        <f>data!M43-data!M42</f>
        <v>0.46399999999999864</v>
      </c>
      <c r="B42" s="9">
        <f>data!C43-data!C42</f>
        <v>1.2599999999999998</v>
      </c>
      <c r="C42" s="9">
        <f>data!D43-data!D42</f>
        <v>4.9999999999998934E-2</v>
      </c>
      <c r="D42" s="10">
        <f>data!B43-data!B42</f>
        <v>4.9999999999999933E-2</v>
      </c>
      <c r="E42" s="9">
        <f>data!E42-data!G42</f>
        <v>2.9143000000000003</v>
      </c>
      <c r="F42" s="9">
        <f>(data!E42-data!F42)-(data!G42-data!H42)</f>
        <v>-1.0773999999999992</v>
      </c>
      <c r="G42" s="9">
        <f t="shared" si="0"/>
        <v>-3.5600000000000076E-2</v>
      </c>
      <c r="H42" s="9">
        <f t="shared" si="1"/>
        <v>1.4499999999999291E-2</v>
      </c>
      <c r="I42" s="9">
        <f>IF(data!M43&gt; 111.81,1,0)</f>
        <v>0</v>
      </c>
      <c r="J42" s="9">
        <f t="shared" si="2"/>
        <v>1</v>
      </c>
      <c r="K42" s="9">
        <f t="shared" si="3"/>
        <v>0</v>
      </c>
      <c r="L42" s="9">
        <f t="shared" si="4"/>
        <v>0.46399999999999864</v>
      </c>
      <c r="M42" s="9">
        <f>data!J42</f>
        <v>-1.9</v>
      </c>
      <c r="N42" s="9">
        <f>data!I42</f>
        <v>-1.6</v>
      </c>
      <c r="O42" s="9">
        <f>data!L42</f>
        <v>-3.8</v>
      </c>
      <c r="P42" s="9">
        <f>data!K42</f>
        <v>-9.1999999999999993</v>
      </c>
      <c r="Q42" s="9">
        <f>data!R42</f>
        <v>-13.3</v>
      </c>
      <c r="R42" s="9">
        <f t="shared" si="5"/>
        <v>0.19999999999999996</v>
      </c>
      <c r="S42" s="9">
        <f t="shared" si="6"/>
        <v>-0.39999999999999991</v>
      </c>
      <c r="T42" s="9">
        <f t="shared" si="7"/>
        <v>-1.6</v>
      </c>
      <c r="U42" s="9">
        <f t="shared" si="8"/>
        <v>-1.6</v>
      </c>
      <c r="V42" s="9">
        <f t="shared" si="9"/>
        <v>-1.6</v>
      </c>
      <c r="W42" s="9">
        <f t="shared" si="10"/>
        <v>-1.6</v>
      </c>
      <c r="X42" s="9">
        <f t="shared" si="11"/>
        <v>-1.6</v>
      </c>
      <c r="Y42" s="9">
        <f t="shared" si="12"/>
        <v>-1.6</v>
      </c>
      <c r="Z42" s="9">
        <f t="shared" si="13"/>
        <v>-1.35</v>
      </c>
      <c r="AA42" s="9">
        <f t="shared" si="14"/>
        <v>0</v>
      </c>
      <c r="AB42" s="9">
        <f t="shared" si="15"/>
        <v>-0.79999999999999982</v>
      </c>
      <c r="AC42" s="9">
        <f t="shared" si="16"/>
        <v>-1.1499999999999999</v>
      </c>
      <c r="AD42" s="9">
        <f t="shared" si="17"/>
        <v>-1</v>
      </c>
      <c r="AE42" s="9">
        <f t="shared" si="18"/>
        <v>-0.79999999999999982</v>
      </c>
      <c r="AF42" s="9">
        <f t="shared" si="19"/>
        <v>-0.79999999999999982</v>
      </c>
      <c r="AG42" s="9">
        <f t="shared" si="20"/>
        <v>-0.5</v>
      </c>
      <c r="AH42" s="9">
        <f t="shared" si="21"/>
        <v>-0.79999999999999982</v>
      </c>
      <c r="AI42" s="9">
        <f t="shared" si="22"/>
        <v>-0.89999999999999991</v>
      </c>
      <c r="AJ42" s="9">
        <f t="shared" si="23"/>
        <v>0</v>
      </c>
      <c r="AK42" s="9">
        <f t="shared" si="24"/>
        <v>-1.4000000000000004</v>
      </c>
      <c r="AL42" s="9">
        <f t="shared" si="25"/>
        <v>-1.7000000000000002</v>
      </c>
      <c r="AM42" s="9">
        <f t="shared" si="26"/>
        <v>-1.6000000000000005</v>
      </c>
      <c r="AN42" s="9">
        <f t="shared" si="27"/>
        <v>-0.90000000000000036</v>
      </c>
      <c r="AO42" s="9">
        <f t="shared" si="28"/>
        <v>-0.79999999999999982</v>
      </c>
      <c r="AP42" s="9">
        <f t="shared" si="29"/>
        <v>-0.10000000000000009</v>
      </c>
      <c r="AQ42" s="9">
        <f t="shared" si="30"/>
        <v>-0.40000000000000036</v>
      </c>
      <c r="AR42" s="9">
        <f t="shared" si="31"/>
        <v>-0.70000000000000018</v>
      </c>
      <c r="AS42" s="9">
        <f t="shared" si="32"/>
        <v>0</v>
      </c>
      <c r="AT42" s="9">
        <f t="shared" si="33"/>
        <v>-1.5</v>
      </c>
      <c r="AU42" s="9">
        <f t="shared" si="34"/>
        <v>-1.9000000000000004</v>
      </c>
      <c r="AV42" s="9">
        <f t="shared" si="35"/>
        <v>-2</v>
      </c>
      <c r="AW42" s="9">
        <f t="shared" si="36"/>
        <v>-0.70000000000000107</v>
      </c>
      <c r="AX42" s="9">
        <f t="shared" si="37"/>
        <v>-0.70000000000000107</v>
      </c>
      <c r="AY42" s="9">
        <f t="shared" si="38"/>
        <v>1</v>
      </c>
      <c r="AZ42" s="9">
        <f t="shared" si="39"/>
        <v>0.79999999999999893</v>
      </c>
      <c r="BA42" s="9">
        <f t="shared" si="40"/>
        <v>0.19999999999999929</v>
      </c>
      <c r="BB42" s="9">
        <f t="shared" si="41"/>
        <v>0.40000000000000036</v>
      </c>
      <c r="BC42" s="9">
        <f t="shared" si="42"/>
        <v>-1.6999999999999993</v>
      </c>
      <c r="BD42" s="9">
        <f t="shared" si="43"/>
        <v>-0.94999999999999929</v>
      </c>
      <c r="BE42" s="9">
        <f t="shared" si="44"/>
        <v>-1.9499999999999993</v>
      </c>
      <c r="BF42" s="9">
        <f t="shared" si="45"/>
        <v>-0.69999999999999929</v>
      </c>
      <c r="BG42" s="9">
        <f t="shared" si="46"/>
        <v>-0.69999999999999929</v>
      </c>
      <c r="BH42" s="9">
        <f t="shared" si="47"/>
        <v>1.3000000000000007</v>
      </c>
      <c r="BI42" s="9">
        <f t="shared" si="48"/>
        <v>1.1000000000000014</v>
      </c>
      <c r="BJ42" s="9">
        <f t="shared" si="49"/>
        <v>0.55000000000000071</v>
      </c>
    </row>
    <row r="43" spans="1:62" x14ac:dyDescent="0.2">
      <c r="A43" s="9">
        <f>data!M44-data!M43</f>
        <v>-0.60900000000000887</v>
      </c>
      <c r="B43" s="9">
        <f>data!C44-data!C43</f>
        <v>-1.879999999999999</v>
      </c>
      <c r="C43" s="9">
        <f>data!D44-data!D43</f>
        <v>-4.9999999999998934E-2</v>
      </c>
      <c r="D43" s="10">
        <f>data!B44-data!B43</f>
        <v>2.5000000000000022E-2</v>
      </c>
      <c r="E43" s="9">
        <f>data!E43-data!G43</f>
        <v>2.8787000000000003</v>
      </c>
      <c r="F43" s="9">
        <f>(data!E43-data!F43)-(data!G43-data!H43)</f>
        <v>-1.0629</v>
      </c>
      <c r="G43" s="9">
        <f t="shared" si="0"/>
        <v>0.1740999999999997</v>
      </c>
      <c r="H43" s="9">
        <f t="shared" si="1"/>
        <v>3.8000000000000256E-3</v>
      </c>
      <c r="I43" s="9">
        <f>IF(data!M44&gt; 111.81,1,0)</f>
        <v>0</v>
      </c>
      <c r="J43" s="9">
        <f t="shared" si="2"/>
        <v>1</v>
      </c>
      <c r="K43" s="9">
        <f t="shared" si="3"/>
        <v>0</v>
      </c>
      <c r="L43" s="9">
        <f t="shared" si="4"/>
        <v>-0.60900000000000887</v>
      </c>
      <c r="M43" s="9">
        <f>data!J43</f>
        <v>-1.7</v>
      </c>
      <c r="N43" s="9">
        <f>data!I43</f>
        <v>-1.6</v>
      </c>
      <c r="O43" s="9">
        <f>data!L43</f>
        <v>-3.8</v>
      </c>
      <c r="P43" s="9">
        <f>data!K43</f>
        <v>-9.1999999999999993</v>
      </c>
      <c r="Q43" s="9">
        <f>data!R43</f>
        <v>-12.9</v>
      </c>
      <c r="R43" s="9">
        <f t="shared" si="5"/>
        <v>-0.59999999999999987</v>
      </c>
      <c r="S43" s="9">
        <f t="shared" si="6"/>
        <v>-1.8</v>
      </c>
      <c r="T43" s="9">
        <f t="shared" si="7"/>
        <v>-1.8</v>
      </c>
      <c r="U43" s="9">
        <f t="shared" si="8"/>
        <v>-1.8</v>
      </c>
      <c r="V43" s="9">
        <f t="shared" si="9"/>
        <v>-1.8</v>
      </c>
      <c r="W43" s="9">
        <f t="shared" si="10"/>
        <v>-1.8</v>
      </c>
      <c r="X43" s="9">
        <f t="shared" si="11"/>
        <v>-1.8</v>
      </c>
      <c r="Y43" s="9">
        <f t="shared" si="12"/>
        <v>-1.55</v>
      </c>
      <c r="Z43" s="9">
        <f t="shared" si="13"/>
        <v>-1.5000000000000002</v>
      </c>
      <c r="AA43" s="9">
        <f t="shared" si="14"/>
        <v>-0.79999999999999982</v>
      </c>
      <c r="AB43" s="9">
        <f t="shared" si="15"/>
        <v>-1.1499999999999999</v>
      </c>
      <c r="AC43" s="9">
        <f t="shared" si="16"/>
        <v>-1</v>
      </c>
      <c r="AD43" s="9">
        <f t="shared" si="17"/>
        <v>-0.79999999999999982</v>
      </c>
      <c r="AE43" s="9">
        <f t="shared" si="18"/>
        <v>-0.79999999999999982</v>
      </c>
      <c r="AF43" s="9">
        <f t="shared" si="19"/>
        <v>-0.5</v>
      </c>
      <c r="AG43" s="9">
        <f t="shared" si="20"/>
        <v>-0.79999999999999982</v>
      </c>
      <c r="AH43" s="9">
        <f t="shared" si="21"/>
        <v>-0.89999999999999991</v>
      </c>
      <c r="AI43" s="9">
        <f t="shared" si="22"/>
        <v>-0.89999999999999991</v>
      </c>
      <c r="AJ43" s="9">
        <f t="shared" si="23"/>
        <v>-1.4000000000000004</v>
      </c>
      <c r="AK43" s="9">
        <f t="shared" si="24"/>
        <v>-1.7000000000000002</v>
      </c>
      <c r="AL43" s="9">
        <f t="shared" si="25"/>
        <v>-1.6000000000000005</v>
      </c>
      <c r="AM43" s="9">
        <f t="shared" si="26"/>
        <v>-0.90000000000000036</v>
      </c>
      <c r="AN43" s="9">
        <f t="shared" si="27"/>
        <v>-0.79999999999999982</v>
      </c>
      <c r="AO43" s="9">
        <f t="shared" si="28"/>
        <v>-0.10000000000000009</v>
      </c>
      <c r="AP43" s="9">
        <f t="shared" si="29"/>
        <v>-0.40000000000000036</v>
      </c>
      <c r="AQ43" s="9">
        <f t="shared" si="30"/>
        <v>-0.70000000000000018</v>
      </c>
      <c r="AR43" s="9">
        <f t="shared" si="31"/>
        <v>-0.90000000000000036</v>
      </c>
      <c r="AS43" s="9">
        <f t="shared" si="32"/>
        <v>-1.5</v>
      </c>
      <c r="AT43" s="9">
        <f t="shared" si="33"/>
        <v>-1.9000000000000004</v>
      </c>
      <c r="AU43" s="9">
        <f t="shared" si="34"/>
        <v>-2</v>
      </c>
      <c r="AV43" s="9">
        <f t="shared" si="35"/>
        <v>-0.70000000000000107</v>
      </c>
      <c r="AW43" s="9">
        <f t="shared" si="36"/>
        <v>-0.70000000000000107</v>
      </c>
      <c r="AX43" s="9">
        <f t="shared" si="37"/>
        <v>1</v>
      </c>
      <c r="AY43" s="9">
        <f t="shared" si="38"/>
        <v>0.79999999999999893</v>
      </c>
      <c r="AZ43" s="9">
        <f t="shared" si="39"/>
        <v>0.19999999999999929</v>
      </c>
      <c r="BA43" s="9">
        <f t="shared" si="40"/>
        <v>-0.10000000000000142</v>
      </c>
      <c r="BB43" s="9">
        <f t="shared" si="41"/>
        <v>-2.0999999999999996</v>
      </c>
      <c r="BC43" s="9">
        <f t="shared" si="42"/>
        <v>-1.3499999999999996</v>
      </c>
      <c r="BD43" s="9">
        <f t="shared" si="43"/>
        <v>-2.3499999999999996</v>
      </c>
      <c r="BE43" s="9">
        <f t="shared" si="44"/>
        <v>-1.0999999999999996</v>
      </c>
      <c r="BF43" s="9">
        <f t="shared" si="45"/>
        <v>-1.0999999999999996</v>
      </c>
      <c r="BG43" s="9">
        <f t="shared" si="46"/>
        <v>0.90000000000000036</v>
      </c>
      <c r="BH43" s="9">
        <f t="shared" si="47"/>
        <v>0.70000000000000107</v>
      </c>
      <c r="BI43" s="9">
        <f t="shared" si="48"/>
        <v>0.15000000000000036</v>
      </c>
      <c r="BJ43" s="9">
        <f t="shared" si="49"/>
        <v>-0.72499999999999964</v>
      </c>
    </row>
    <row r="44" spans="1:62" x14ac:dyDescent="0.2">
      <c r="A44" s="9">
        <f>data!M45-data!M44</f>
        <v>0.8382000000000005</v>
      </c>
      <c r="B44" s="9">
        <f>data!C45-data!C44</f>
        <v>-1.08</v>
      </c>
      <c r="C44" s="9">
        <f>data!D45-data!D44</f>
        <v>0</v>
      </c>
      <c r="D44" s="10">
        <f>data!B45-data!B44</f>
        <v>-7.4999999999999956E-2</v>
      </c>
      <c r="E44" s="9">
        <f>data!E44-data!G44</f>
        <v>3.0528</v>
      </c>
      <c r="F44" s="9">
        <f>(data!E44-data!F44)-(data!G44-data!H44)</f>
        <v>-1.0590999999999999</v>
      </c>
      <c r="G44" s="9">
        <f t="shared" si="0"/>
        <v>1.1999999999998678E-3</v>
      </c>
      <c r="H44" s="9">
        <f t="shared" si="1"/>
        <v>-2.7000000000000135E-2</v>
      </c>
      <c r="I44" s="9">
        <f>IF(data!M45&gt; 111.81,1,0)</f>
        <v>0</v>
      </c>
      <c r="J44" s="9">
        <f t="shared" si="2"/>
        <v>1</v>
      </c>
      <c r="K44" s="9">
        <f t="shared" si="3"/>
        <v>0</v>
      </c>
      <c r="L44" s="9">
        <f t="shared" si="4"/>
        <v>0.8382000000000005</v>
      </c>
      <c r="M44" s="9">
        <f>data!J44</f>
        <v>-2.2999999999999998</v>
      </c>
      <c r="N44" s="9">
        <f>data!I44</f>
        <v>-2.4</v>
      </c>
      <c r="O44" s="9">
        <f>data!L44</f>
        <v>-5.2</v>
      </c>
      <c r="P44" s="9">
        <f>data!K44</f>
        <v>-10.7</v>
      </c>
      <c r="Q44" s="9">
        <f>data!R44</f>
        <v>-15</v>
      </c>
      <c r="R44" s="9">
        <f t="shared" si="5"/>
        <v>-1.2000000000000002</v>
      </c>
      <c r="S44" s="9">
        <f t="shared" si="6"/>
        <v>-1.2000000000000002</v>
      </c>
      <c r="T44" s="9">
        <f t="shared" si="7"/>
        <v>-1.2000000000000002</v>
      </c>
      <c r="U44" s="9">
        <f t="shared" si="8"/>
        <v>-1.2000000000000002</v>
      </c>
      <c r="V44" s="9">
        <f t="shared" si="9"/>
        <v>-1.2000000000000002</v>
      </c>
      <c r="W44" s="9">
        <f t="shared" si="10"/>
        <v>-1.2000000000000002</v>
      </c>
      <c r="X44" s="9">
        <f t="shared" si="11"/>
        <v>-0.95000000000000018</v>
      </c>
      <c r="Y44" s="9">
        <f t="shared" si="12"/>
        <v>-0.90000000000000036</v>
      </c>
      <c r="Z44" s="9">
        <f t="shared" si="13"/>
        <v>-0.95000000000000018</v>
      </c>
      <c r="AA44" s="9">
        <f t="shared" si="14"/>
        <v>-0.35000000000000009</v>
      </c>
      <c r="AB44" s="9">
        <f t="shared" si="15"/>
        <v>-0.20000000000000018</v>
      </c>
      <c r="AC44" s="9">
        <f t="shared" si="16"/>
        <v>0</v>
      </c>
      <c r="AD44" s="9">
        <f t="shared" si="17"/>
        <v>0</v>
      </c>
      <c r="AE44" s="9">
        <f t="shared" si="18"/>
        <v>0.29999999999999982</v>
      </c>
      <c r="AF44" s="9">
        <f t="shared" si="19"/>
        <v>0</v>
      </c>
      <c r="AG44" s="9">
        <f t="shared" si="20"/>
        <v>-0.10000000000000009</v>
      </c>
      <c r="AH44" s="9">
        <f t="shared" si="21"/>
        <v>-0.10000000000000009</v>
      </c>
      <c r="AI44" s="9">
        <f t="shared" si="22"/>
        <v>-0.10000000000000009</v>
      </c>
      <c r="AJ44" s="9">
        <f t="shared" si="23"/>
        <v>-0.29999999999999982</v>
      </c>
      <c r="AK44" s="9">
        <f t="shared" si="24"/>
        <v>-0.20000000000000018</v>
      </c>
      <c r="AL44" s="9">
        <f t="shared" si="25"/>
        <v>0.5</v>
      </c>
      <c r="AM44" s="9">
        <f t="shared" si="26"/>
        <v>0.60000000000000053</v>
      </c>
      <c r="AN44" s="9">
        <f t="shared" si="27"/>
        <v>1.3000000000000003</v>
      </c>
      <c r="AO44" s="9">
        <f t="shared" si="28"/>
        <v>1</v>
      </c>
      <c r="AP44" s="9">
        <f t="shared" si="29"/>
        <v>0.70000000000000018</v>
      </c>
      <c r="AQ44" s="9">
        <f t="shared" si="30"/>
        <v>0.5</v>
      </c>
      <c r="AR44" s="9">
        <f t="shared" si="31"/>
        <v>0.45000000000000018</v>
      </c>
      <c r="AS44" s="9">
        <f t="shared" si="32"/>
        <v>-0.40000000000000036</v>
      </c>
      <c r="AT44" s="9">
        <f t="shared" si="33"/>
        <v>-0.5</v>
      </c>
      <c r="AU44" s="9">
        <f t="shared" si="34"/>
        <v>0.79999999999999893</v>
      </c>
      <c r="AV44" s="9">
        <f t="shared" si="35"/>
        <v>0.79999999999999893</v>
      </c>
      <c r="AW44" s="9">
        <f t="shared" si="36"/>
        <v>2.5</v>
      </c>
      <c r="AX44" s="9">
        <f t="shared" si="37"/>
        <v>2.2999999999999989</v>
      </c>
      <c r="AY44" s="9">
        <f t="shared" si="38"/>
        <v>1.6999999999999993</v>
      </c>
      <c r="AZ44" s="9">
        <f t="shared" si="39"/>
        <v>1.3999999999999986</v>
      </c>
      <c r="BA44" s="9">
        <f t="shared" si="40"/>
        <v>1.4499999999999993</v>
      </c>
      <c r="BB44" s="9">
        <f t="shared" si="41"/>
        <v>0.75</v>
      </c>
      <c r="BC44" s="9">
        <f t="shared" si="42"/>
        <v>-0.25</v>
      </c>
      <c r="BD44" s="9">
        <f t="shared" si="43"/>
        <v>1</v>
      </c>
      <c r="BE44" s="9">
        <f t="shared" si="44"/>
        <v>1</v>
      </c>
      <c r="BF44" s="9">
        <f t="shared" si="45"/>
        <v>3</v>
      </c>
      <c r="BG44" s="9">
        <f t="shared" si="46"/>
        <v>2.8000000000000007</v>
      </c>
      <c r="BH44" s="9">
        <f t="shared" si="47"/>
        <v>2.25</v>
      </c>
      <c r="BI44" s="9">
        <f t="shared" si="48"/>
        <v>1.375</v>
      </c>
      <c r="BJ44" s="9">
        <f t="shared" si="49"/>
        <v>1.75</v>
      </c>
    </row>
    <row r="45" spans="1:62" x14ac:dyDescent="0.2">
      <c r="A45" s="9">
        <f>data!M46-data!M45</f>
        <v>0.1956000000000131</v>
      </c>
      <c r="B45" s="9">
        <f>data!C46-data!C45</f>
        <v>-1.5399999999999991</v>
      </c>
      <c r="C45" s="9">
        <f>data!D46-data!D45</f>
        <v>-0.10000000000000053</v>
      </c>
      <c r="D45" s="10">
        <f>data!B46-data!B45</f>
        <v>-5.0000000000000044E-2</v>
      </c>
      <c r="E45" s="9">
        <f>data!E45-data!G45</f>
        <v>3.0539999999999998</v>
      </c>
      <c r="F45" s="9">
        <f>(data!E45-data!F45)-(data!G45-data!H45)</f>
        <v>-1.0861000000000001</v>
      </c>
      <c r="G45" s="9">
        <f t="shared" si="0"/>
        <v>-8.5700000000000109E-2</v>
      </c>
      <c r="H45" s="9">
        <f t="shared" si="1"/>
        <v>-8.6600000000000454E-2</v>
      </c>
      <c r="I45" s="9">
        <f>IF(data!M46&gt; 111.81,1,0)</f>
        <v>0</v>
      </c>
      <c r="J45" s="9">
        <f t="shared" si="2"/>
        <v>1</v>
      </c>
      <c r="K45" s="9">
        <f t="shared" si="3"/>
        <v>0</v>
      </c>
      <c r="L45" s="9">
        <f t="shared" si="4"/>
        <v>0.1956000000000131</v>
      </c>
      <c r="M45" s="9">
        <f>data!J45</f>
        <v>-3.5</v>
      </c>
      <c r="N45" s="9">
        <f>data!I45</f>
        <v>-2.75</v>
      </c>
      <c r="O45" s="9">
        <f>data!L45</f>
        <v>-5.5</v>
      </c>
      <c r="P45" s="9">
        <f>data!K45</f>
        <v>-11.1</v>
      </c>
      <c r="Q45" s="9">
        <f>data!R45</f>
        <v>-14.25</v>
      </c>
      <c r="R45" s="9">
        <f t="shared" si="5"/>
        <v>0</v>
      </c>
      <c r="S45" s="9">
        <f t="shared" si="6"/>
        <v>0</v>
      </c>
      <c r="T45" s="9">
        <f t="shared" si="7"/>
        <v>0</v>
      </c>
      <c r="U45" s="9">
        <f t="shared" si="8"/>
        <v>0</v>
      </c>
      <c r="V45" s="9">
        <f t="shared" si="9"/>
        <v>0</v>
      </c>
      <c r="W45" s="9">
        <f t="shared" si="10"/>
        <v>0.25</v>
      </c>
      <c r="X45" s="9">
        <f t="shared" si="11"/>
        <v>0.29999999999999982</v>
      </c>
      <c r="Y45" s="9">
        <f t="shared" si="12"/>
        <v>0.25</v>
      </c>
      <c r="Z45" s="9">
        <f t="shared" si="13"/>
        <v>0.39999999999999991</v>
      </c>
      <c r="AA45" s="9">
        <f t="shared" si="14"/>
        <v>0.14999999999999991</v>
      </c>
      <c r="AB45" s="9">
        <f t="shared" si="15"/>
        <v>0.35000000000000009</v>
      </c>
      <c r="AC45" s="9">
        <f t="shared" si="16"/>
        <v>0.35000000000000009</v>
      </c>
      <c r="AD45" s="9">
        <f t="shared" si="17"/>
        <v>0.64999999999999991</v>
      </c>
      <c r="AE45" s="9">
        <f t="shared" si="18"/>
        <v>0.35000000000000009</v>
      </c>
      <c r="AF45" s="9">
        <f t="shared" si="19"/>
        <v>0.25</v>
      </c>
      <c r="AG45" s="9">
        <f t="shared" si="20"/>
        <v>0.25</v>
      </c>
      <c r="AH45" s="9">
        <f t="shared" si="21"/>
        <v>0.25</v>
      </c>
      <c r="AI45" s="9">
        <f t="shared" si="22"/>
        <v>0.25</v>
      </c>
      <c r="AJ45" s="9">
        <f t="shared" si="23"/>
        <v>9.9999999999999645E-2</v>
      </c>
      <c r="AK45" s="9">
        <f t="shared" si="24"/>
        <v>0.79999999999999982</v>
      </c>
      <c r="AL45" s="9">
        <f t="shared" si="25"/>
        <v>0.90000000000000036</v>
      </c>
      <c r="AM45" s="9">
        <f t="shared" si="26"/>
        <v>1.6</v>
      </c>
      <c r="AN45" s="9">
        <f t="shared" si="27"/>
        <v>1.2999999999999998</v>
      </c>
      <c r="AO45" s="9">
        <f t="shared" si="28"/>
        <v>1</v>
      </c>
      <c r="AP45" s="9">
        <f t="shared" si="29"/>
        <v>0.79999999999999982</v>
      </c>
      <c r="AQ45" s="9">
        <f t="shared" si="30"/>
        <v>0.75</v>
      </c>
      <c r="AR45" s="9">
        <f t="shared" si="31"/>
        <v>0.375</v>
      </c>
      <c r="AS45" s="9">
        <f t="shared" si="32"/>
        <v>-9.9999999999999645E-2</v>
      </c>
      <c r="AT45" s="9">
        <f t="shared" si="33"/>
        <v>1.1999999999999993</v>
      </c>
      <c r="AU45" s="9">
        <f t="shared" si="34"/>
        <v>1.1999999999999993</v>
      </c>
      <c r="AV45" s="9">
        <f t="shared" si="35"/>
        <v>2.9000000000000004</v>
      </c>
      <c r="AW45" s="9">
        <f t="shared" si="36"/>
        <v>2.6999999999999993</v>
      </c>
      <c r="AX45" s="9">
        <f t="shared" si="37"/>
        <v>2.0999999999999996</v>
      </c>
      <c r="AY45" s="9">
        <f t="shared" si="38"/>
        <v>1.7999999999999989</v>
      </c>
      <c r="AZ45" s="9">
        <f t="shared" si="39"/>
        <v>1.8499999999999996</v>
      </c>
      <c r="BA45" s="9">
        <f t="shared" si="40"/>
        <v>0.72499999999999964</v>
      </c>
      <c r="BB45" s="9">
        <f t="shared" si="41"/>
        <v>-1</v>
      </c>
      <c r="BC45" s="9">
        <f t="shared" si="42"/>
        <v>0.25</v>
      </c>
      <c r="BD45" s="9">
        <f t="shared" si="43"/>
        <v>0.25</v>
      </c>
      <c r="BE45" s="9">
        <f t="shared" si="44"/>
        <v>2.25</v>
      </c>
      <c r="BF45" s="9">
        <f t="shared" si="45"/>
        <v>2.0500000000000007</v>
      </c>
      <c r="BG45" s="9">
        <f t="shared" si="46"/>
        <v>1.5</v>
      </c>
      <c r="BH45" s="9">
        <f t="shared" si="47"/>
        <v>0.625</v>
      </c>
      <c r="BI45" s="9">
        <f t="shared" si="48"/>
        <v>1</v>
      </c>
      <c r="BJ45" s="9">
        <f t="shared" si="49"/>
        <v>-0.125</v>
      </c>
    </row>
    <row r="46" spans="1:62" x14ac:dyDescent="0.2">
      <c r="A46" s="9">
        <f>data!M47-data!M46</f>
        <v>0.21589999999999065</v>
      </c>
      <c r="B46" s="9">
        <f>data!C47-data!C46</f>
        <v>-0.51000000000000156</v>
      </c>
      <c r="C46" s="9">
        <f>data!D47-data!D46</f>
        <v>2.5000000000000355E-2</v>
      </c>
      <c r="D46" s="10">
        <f>data!B47-data!B46</f>
        <v>0</v>
      </c>
      <c r="E46" s="9">
        <f>data!E46-data!G46</f>
        <v>2.9682999999999997</v>
      </c>
      <c r="F46" s="9">
        <f>(data!E46-data!F46)-(data!G46-data!H46)</f>
        <v>-1.1727000000000005</v>
      </c>
      <c r="G46" s="9">
        <f t="shared" si="0"/>
        <v>6.4800000000000413E-2</v>
      </c>
      <c r="H46" s="9">
        <f t="shared" si="1"/>
        <v>6.2400000000000455E-2</v>
      </c>
      <c r="I46" s="9">
        <f>IF(data!M47&gt; 111.81,1,0)</f>
        <v>0</v>
      </c>
      <c r="J46" s="9">
        <f t="shared" si="2"/>
        <v>1</v>
      </c>
      <c r="K46" s="9">
        <f t="shared" si="3"/>
        <v>0</v>
      </c>
      <c r="L46" s="9">
        <f t="shared" si="4"/>
        <v>0.21589999999999065</v>
      </c>
      <c r="M46" s="9">
        <f>data!J46</f>
        <v>-3.5</v>
      </c>
      <c r="N46" s="9">
        <f>data!I46</f>
        <v>-2.6</v>
      </c>
      <c r="O46" s="9">
        <f>data!L46</f>
        <v>-5.4</v>
      </c>
      <c r="P46" s="9">
        <f>data!K46</f>
        <v>-11.2</v>
      </c>
      <c r="Q46" s="9">
        <f>data!R46</f>
        <v>-15.25</v>
      </c>
      <c r="R46" s="9">
        <f t="shared" si="5"/>
        <v>0</v>
      </c>
      <c r="S46" s="9">
        <f t="shared" si="6"/>
        <v>0</v>
      </c>
      <c r="T46" s="9">
        <f t="shared" si="7"/>
        <v>0</v>
      </c>
      <c r="U46" s="9">
        <f t="shared" si="8"/>
        <v>0</v>
      </c>
      <c r="V46" s="9">
        <f t="shared" si="9"/>
        <v>0.25</v>
      </c>
      <c r="W46" s="9">
        <f t="shared" si="10"/>
        <v>0.29999999999999982</v>
      </c>
      <c r="X46" s="9">
        <f t="shared" si="11"/>
        <v>0.25</v>
      </c>
      <c r="Y46" s="9">
        <f t="shared" si="12"/>
        <v>0.39999999999999991</v>
      </c>
      <c r="Z46" s="9">
        <f t="shared" si="13"/>
        <v>1.125</v>
      </c>
      <c r="AA46" s="9">
        <f t="shared" si="14"/>
        <v>0.20000000000000018</v>
      </c>
      <c r="AB46" s="9">
        <f t="shared" si="15"/>
        <v>0.20000000000000018</v>
      </c>
      <c r="AC46" s="9">
        <f t="shared" si="16"/>
        <v>0.5</v>
      </c>
      <c r="AD46" s="9">
        <f t="shared" si="17"/>
        <v>0.20000000000000018</v>
      </c>
      <c r="AE46" s="9">
        <f t="shared" si="18"/>
        <v>0.10000000000000009</v>
      </c>
      <c r="AF46" s="9">
        <f t="shared" si="19"/>
        <v>0.10000000000000009</v>
      </c>
      <c r="AG46" s="9">
        <f t="shared" si="20"/>
        <v>0.10000000000000009</v>
      </c>
      <c r="AH46" s="9">
        <f t="shared" si="21"/>
        <v>0.10000000000000009</v>
      </c>
      <c r="AI46" s="9">
        <f t="shared" si="22"/>
        <v>0.20000000000000018</v>
      </c>
      <c r="AJ46" s="9">
        <f t="shared" si="23"/>
        <v>0.70000000000000018</v>
      </c>
      <c r="AK46" s="9">
        <f t="shared" si="24"/>
        <v>0.80000000000000071</v>
      </c>
      <c r="AL46" s="9">
        <f t="shared" si="25"/>
        <v>1.5000000000000004</v>
      </c>
      <c r="AM46" s="9">
        <f t="shared" si="26"/>
        <v>1.2000000000000002</v>
      </c>
      <c r="AN46" s="9">
        <f t="shared" si="27"/>
        <v>0.90000000000000036</v>
      </c>
      <c r="AO46" s="9">
        <f t="shared" si="28"/>
        <v>0.70000000000000018</v>
      </c>
      <c r="AP46" s="9">
        <f t="shared" si="29"/>
        <v>0.65000000000000036</v>
      </c>
      <c r="AQ46" s="9">
        <f t="shared" si="30"/>
        <v>0.27500000000000036</v>
      </c>
      <c r="AR46" s="9">
        <f t="shared" si="31"/>
        <v>1.1000000000000005</v>
      </c>
      <c r="AS46" s="9">
        <f t="shared" si="32"/>
        <v>1.2999999999999989</v>
      </c>
      <c r="AT46" s="9">
        <f t="shared" si="33"/>
        <v>1.2999999999999989</v>
      </c>
      <c r="AU46" s="9">
        <f t="shared" si="34"/>
        <v>3</v>
      </c>
      <c r="AV46" s="9">
        <f t="shared" si="35"/>
        <v>2.7999999999999989</v>
      </c>
      <c r="AW46" s="9">
        <f t="shared" si="36"/>
        <v>2.1999999999999993</v>
      </c>
      <c r="AX46" s="9">
        <f t="shared" si="37"/>
        <v>1.8999999999999986</v>
      </c>
      <c r="AY46" s="9">
        <f t="shared" si="38"/>
        <v>1.9499999999999993</v>
      </c>
      <c r="AZ46" s="9">
        <f t="shared" si="39"/>
        <v>0.82499999999999929</v>
      </c>
      <c r="BA46" s="9">
        <f t="shared" si="40"/>
        <v>2.1999999999999993</v>
      </c>
      <c r="BB46" s="9">
        <f t="shared" si="41"/>
        <v>1.25</v>
      </c>
      <c r="BC46" s="9">
        <f t="shared" si="42"/>
        <v>1.25</v>
      </c>
      <c r="BD46" s="9">
        <f t="shared" si="43"/>
        <v>3.25</v>
      </c>
      <c r="BE46" s="9">
        <f t="shared" si="44"/>
        <v>3.0500000000000007</v>
      </c>
      <c r="BF46" s="9">
        <f t="shared" si="45"/>
        <v>2.5</v>
      </c>
      <c r="BG46" s="9">
        <f t="shared" si="46"/>
        <v>1.625</v>
      </c>
      <c r="BH46" s="9">
        <f t="shared" si="47"/>
        <v>2</v>
      </c>
      <c r="BI46" s="9">
        <f t="shared" si="48"/>
        <v>0.875</v>
      </c>
      <c r="BJ46" s="9">
        <f t="shared" si="49"/>
        <v>2.375</v>
      </c>
    </row>
    <row r="47" spans="1:62" x14ac:dyDescent="0.2">
      <c r="A47" s="9">
        <f>data!M48-data!M47</f>
        <v>-0.38499999999999091</v>
      </c>
      <c r="B47" s="9">
        <f>data!C48-data!C47</f>
        <v>-0.23999999999999844</v>
      </c>
      <c r="C47" s="9">
        <f>data!D48-data!D47</f>
        <v>-7.5000000000000178E-2</v>
      </c>
      <c r="D47" s="10">
        <f>data!B48-data!B47</f>
        <v>9.9999999999999978E-2</v>
      </c>
      <c r="E47" s="9">
        <f>data!E47-data!G47</f>
        <v>3.0331000000000001</v>
      </c>
      <c r="F47" s="9">
        <f>(data!E47-data!F47)-(data!G47-data!H47)</f>
        <v>-1.1103000000000001</v>
      </c>
      <c r="G47" s="9">
        <f t="shared" si="0"/>
        <v>-4.5700000000000518E-2</v>
      </c>
      <c r="H47" s="9">
        <f t="shared" si="1"/>
        <v>1.6999999999998128E-3</v>
      </c>
      <c r="I47" s="9">
        <f>IF(data!M48&gt; 111.81,1,0)</f>
        <v>0</v>
      </c>
      <c r="J47" s="9">
        <f t="shared" si="2"/>
        <v>1</v>
      </c>
      <c r="K47" s="9">
        <f t="shared" si="3"/>
        <v>0</v>
      </c>
      <c r="L47" s="9">
        <f t="shared" si="4"/>
        <v>-0.38499999999999091</v>
      </c>
      <c r="M47" s="9">
        <f>data!J47</f>
        <v>-3.5</v>
      </c>
      <c r="N47" s="9">
        <f>data!I47</f>
        <v>-2.4</v>
      </c>
      <c r="O47" s="9">
        <f>data!L47</f>
        <v>-4.7</v>
      </c>
      <c r="P47" s="9">
        <f>data!K47</f>
        <v>-9.9</v>
      </c>
      <c r="Q47" s="9">
        <f>data!R47</f>
        <v>-14</v>
      </c>
      <c r="R47" s="9">
        <f t="shared" si="5"/>
        <v>0</v>
      </c>
      <c r="S47" s="9">
        <f t="shared" si="6"/>
        <v>0</v>
      </c>
      <c r="T47" s="9">
        <f t="shared" si="7"/>
        <v>0</v>
      </c>
      <c r="U47" s="9">
        <f t="shared" si="8"/>
        <v>0.25</v>
      </c>
      <c r="V47" s="9">
        <f t="shared" si="9"/>
        <v>0.29999999999999982</v>
      </c>
      <c r="W47" s="9">
        <f t="shared" si="10"/>
        <v>0.25</v>
      </c>
      <c r="X47" s="9">
        <f t="shared" si="11"/>
        <v>0.39999999999999991</v>
      </c>
      <c r="Y47" s="9">
        <f t="shared" si="12"/>
        <v>1.125</v>
      </c>
      <c r="Z47" s="9">
        <f t="shared" si="13"/>
        <v>1.1000000000000001</v>
      </c>
      <c r="AA47" s="9">
        <f t="shared" si="14"/>
        <v>0</v>
      </c>
      <c r="AB47" s="9">
        <f t="shared" si="15"/>
        <v>0.29999999999999982</v>
      </c>
      <c r="AC47" s="9">
        <f t="shared" si="16"/>
        <v>0</v>
      </c>
      <c r="AD47" s="9">
        <f t="shared" si="17"/>
        <v>-0.10000000000000009</v>
      </c>
      <c r="AE47" s="9">
        <f t="shared" si="18"/>
        <v>-0.10000000000000009</v>
      </c>
      <c r="AF47" s="9">
        <f t="shared" si="19"/>
        <v>-0.10000000000000009</v>
      </c>
      <c r="AG47" s="9">
        <f t="shared" si="20"/>
        <v>-0.10000000000000009</v>
      </c>
      <c r="AH47" s="9">
        <f t="shared" si="21"/>
        <v>0</v>
      </c>
      <c r="AI47" s="9">
        <f t="shared" si="22"/>
        <v>0.19999999999999973</v>
      </c>
      <c r="AJ47" s="9">
        <f t="shared" si="23"/>
        <v>0.10000000000000053</v>
      </c>
      <c r="AK47" s="9">
        <f t="shared" si="24"/>
        <v>0.80000000000000027</v>
      </c>
      <c r="AL47" s="9">
        <f t="shared" si="25"/>
        <v>0.5</v>
      </c>
      <c r="AM47" s="9">
        <f t="shared" si="26"/>
        <v>0.20000000000000018</v>
      </c>
      <c r="AN47" s="9">
        <f t="shared" si="27"/>
        <v>0</v>
      </c>
      <c r="AO47" s="9">
        <f t="shared" si="28"/>
        <v>-4.9999999999999822E-2</v>
      </c>
      <c r="AP47" s="9">
        <f t="shared" si="29"/>
        <v>-0.42499999999999982</v>
      </c>
      <c r="AQ47" s="9">
        <f t="shared" si="30"/>
        <v>0.40000000000000036</v>
      </c>
      <c r="AR47" s="9">
        <f t="shared" si="31"/>
        <v>0.20000000000000018</v>
      </c>
      <c r="AS47" s="9">
        <f t="shared" si="32"/>
        <v>0</v>
      </c>
      <c r="AT47" s="9">
        <f t="shared" si="33"/>
        <v>1.7000000000000011</v>
      </c>
      <c r="AU47" s="9">
        <f t="shared" si="34"/>
        <v>1.5</v>
      </c>
      <c r="AV47" s="9">
        <f t="shared" si="35"/>
        <v>0.90000000000000036</v>
      </c>
      <c r="AW47" s="9">
        <f t="shared" si="36"/>
        <v>0.59999999999999964</v>
      </c>
      <c r="AX47" s="9">
        <f t="shared" si="37"/>
        <v>0.65000000000000036</v>
      </c>
      <c r="AY47" s="9">
        <f t="shared" si="38"/>
        <v>-0.47499999999999964</v>
      </c>
      <c r="AZ47" s="9">
        <f t="shared" si="39"/>
        <v>0.90000000000000036</v>
      </c>
      <c r="BA47" s="9">
        <f t="shared" si="40"/>
        <v>0.40000000000000036</v>
      </c>
      <c r="BB47" s="9">
        <f t="shared" si="41"/>
        <v>0</v>
      </c>
      <c r="BC47" s="9">
        <f t="shared" si="42"/>
        <v>2</v>
      </c>
      <c r="BD47" s="9">
        <f t="shared" si="43"/>
        <v>1.8000000000000007</v>
      </c>
      <c r="BE47" s="9">
        <f t="shared" si="44"/>
        <v>1.25</v>
      </c>
      <c r="BF47" s="9">
        <f t="shared" si="45"/>
        <v>0.375</v>
      </c>
      <c r="BG47" s="9">
        <f t="shared" si="46"/>
        <v>0.75</v>
      </c>
      <c r="BH47" s="9">
        <f t="shared" si="47"/>
        <v>-0.375</v>
      </c>
      <c r="BI47" s="9">
        <f t="shared" si="48"/>
        <v>1.125</v>
      </c>
      <c r="BJ47" s="9">
        <f t="shared" si="49"/>
        <v>0.97499999999999964</v>
      </c>
    </row>
    <row r="48" spans="1:62" x14ac:dyDescent="0.2">
      <c r="A48" s="9">
        <f>data!M49-data!M48</f>
        <v>-0.27139999999999986</v>
      </c>
      <c r="B48" s="9">
        <f>data!C49-data!C48</f>
        <v>0.12999999999999901</v>
      </c>
      <c r="C48" s="9">
        <f>data!D49-data!D48</f>
        <v>0.25</v>
      </c>
      <c r="D48" s="10">
        <f>data!B49-data!B48</f>
        <v>2.5000000000000022E-2</v>
      </c>
      <c r="E48" s="9">
        <f>data!E48-data!G48</f>
        <v>2.9873999999999996</v>
      </c>
      <c r="F48" s="9">
        <f>(data!E48-data!F48)-(data!G48-data!H48)</f>
        <v>-1.1086000000000003</v>
      </c>
      <c r="G48" s="9">
        <f t="shared" si="0"/>
        <v>1.9100000000000339E-2</v>
      </c>
      <c r="H48" s="9">
        <f t="shared" si="1"/>
        <v>-7.1599999999999886E-2</v>
      </c>
      <c r="I48" s="9">
        <f>IF(data!M49&gt; 111.81,1,0)</f>
        <v>0</v>
      </c>
      <c r="J48" s="9">
        <f t="shared" si="2"/>
        <v>1</v>
      </c>
      <c r="K48" s="9">
        <f t="shared" si="3"/>
        <v>0</v>
      </c>
      <c r="L48" s="9">
        <f t="shared" si="4"/>
        <v>-0.27139999999999986</v>
      </c>
      <c r="M48" s="9">
        <f>data!J48</f>
        <v>-3.5</v>
      </c>
      <c r="N48" s="9">
        <f>data!I48</f>
        <v>-2.4</v>
      </c>
      <c r="O48" s="9">
        <f>data!L48</f>
        <v>-4.5999999999999996</v>
      </c>
      <c r="P48" s="9">
        <f>data!K48</f>
        <v>-9.9</v>
      </c>
      <c r="Q48" s="9">
        <f>data!R48</f>
        <v>-14</v>
      </c>
      <c r="R48" s="9">
        <f t="shared" si="5"/>
        <v>0</v>
      </c>
      <c r="S48" s="9">
        <f t="shared" si="6"/>
        <v>0</v>
      </c>
      <c r="T48" s="9">
        <f t="shared" si="7"/>
        <v>0.25</v>
      </c>
      <c r="U48" s="9">
        <f t="shared" si="8"/>
        <v>0.29999999999999982</v>
      </c>
      <c r="V48" s="9">
        <f t="shared" si="9"/>
        <v>0.25</v>
      </c>
      <c r="W48" s="9">
        <f t="shared" si="10"/>
        <v>0.39999999999999991</v>
      </c>
      <c r="X48" s="9">
        <f t="shared" si="11"/>
        <v>1.125</v>
      </c>
      <c r="Y48" s="9">
        <f t="shared" si="12"/>
        <v>1.1000000000000001</v>
      </c>
      <c r="Z48" s="9">
        <f t="shared" si="13"/>
        <v>1.4</v>
      </c>
      <c r="AA48" s="9">
        <f t="shared" si="14"/>
        <v>0.29999999999999982</v>
      </c>
      <c r="AB48" s="9">
        <f t="shared" si="15"/>
        <v>0</v>
      </c>
      <c r="AC48" s="9">
        <f t="shared" si="16"/>
        <v>-0.10000000000000009</v>
      </c>
      <c r="AD48" s="9">
        <f t="shared" si="17"/>
        <v>-0.10000000000000009</v>
      </c>
      <c r="AE48" s="9">
        <f t="shared" si="18"/>
        <v>-0.10000000000000009</v>
      </c>
      <c r="AF48" s="9">
        <f t="shared" si="19"/>
        <v>-0.10000000000000009</v>
      </c>
      <c r="AG48" s="9">
        <f t="shared" si="20"/>
        <v>0</v>
      </c>
      <c r="AH48" s="9">
        <f t="shared" si="21"/>
        <v>0.19999999999999973</v>
      </c>
      <c r="AI48" s="9">
        <f t="shared" si="22"/>
        <v>0.29999999999999982</v>
      </c>
      <c r="AJ48" s="9">
        <f t="shared" si="23"/>
        <v>0.69999999999999973</v>
      </c>
      <c r="AK48" s="9">
        <f t="shared" si="24"/>
        <v>0.39999999999999947</v>
      </c>
      <c r="AL48" s="9">
        <f t="shared" si="25"/>
        <v>9.9999999999999645E-2</v>
      </c>
      <c r="AM48" s="9">
        <f t="shared" si="26"/>
        <v>-0.10000000000000053</v>
      </c>
      <c r="AN48" s="9">
        <f t="shared" si="27"/>
        <v>-0.15000000000000036</v>
      </c>
      <c r="AO48" s="9">
        <f t="shared" si="28"/>
        <v>-0.52500000000000036</v>
      </c>
      <c r="AP48" s="9">
        <f t="shared" si="29"/>
        <v>0.29999999999999982</v>
      </c>
      <c r="AQ48" s="9">
        <f t="shared" si="30"/>
        <v>9.9999999999999645E-2</v>
      </c>
      <c r="AR48" s="9">
        <f t="shared" si="31"/>
        <v>0.19999999999999929</v>
      </c>
      <c r="AS48" s="9">
        <f t="shared" si="32"/>
        <v>1.7000000000000011</v>
      </c>
      <c r="AT48" s="9">
        <f t="shared" si="33"/>
        <v>1.5</v>
      </c>
      <c r="AU48" s="9">
        <f t="shared" si="34"/>
        <v>0.90000000000000036</v>
      </c>
      <c r="AV48" s="9">
        <f t="shared" si="35"/>
        <v>0.59999999999999964</v>
      </c>
      <c r="AW48" s="9">
        <f t="shared" si="36"/>
        <v>0.65000000000000036</v>
      </c>
      <c r="AX48" s="9">
        <f t="shared" si="37"/>
        <v>-0.47499999999999964</v>
      </c>
      <c r="AY48" s="9">
        <f t="shared" si="38"/>
        <v>0.90000000000000036</v>
      </c>
      <c r="AZ48" s="9">
        <f t="shared" si="39"/>
        <v>0.40000000000000036</v>
      </c>
      <c r="BA48" s="9">
        <f t="shared" si="40"/>
        <v>0.90000000000000036</v>
      </c>
      <c r="BB48" s="9">
        <f t="shared" si="41"/>
        <v>2</v>
      </c>
      <c r="BC48" s="9">
        <f t="shared" si="42"/>
        <v>1.8000000000000007</v>
      </c>
      <c r="BD48" s="9">
        <f t="shared" si="43"/>
        <v>1.25</v>
      </c>
      <c r="BE48" s="9">
        <f t="shared" si="44"/>
        <v>0.375</v>
      </c>
      <c r="BF48" s="9">
        <f t="shared" si="45"/>
        <v>0.75</v>
      </c>
      <c r="BG48" s="9">
        <f t="shared" si="46"/>
        <v>-0.375</v>
      </c>
      <c r="BH48" s="9">
        <f t="shared" si="47"/>
        <v>1.125</v>
      </c>
      <c r="BI48" s="9">
        <f t="shared" si="48"/>
        <v>0.97499999999999964</v>
      </c>
      <c r="BJ48" s="9">
        <f t="shared" si="49"/>
        <v>1.5</v>
      </c>
    </row>
    <row r="49" spans="1:62" x14ac:dyDescent="0.2">
      <c r="A49" s="9">
        <f>data!M50-data!M49</f>
        <v>-0.2657000000000096</v>
      </c>
      <c r="B49" s="9">
        <f>data!C50-data!C49</f>
        <v>0.67999999999999972</v>
      </c>
      <c r="C49" s="9">
        <f>data!D50-data!D49</f>
        <v>0</v>
      </c>
      <c r="D49" s="10">
        <f>data!B50-data!B49</f>
        <v>7.5000000000000011E-2</v>
      </c>
      <c r="E49" s="9">
        <f>data!E49-data!G49</f>
        <v>3.0065</v>
      </c>
      <c r="F49" s="9">
        <f>(data!E49-data!F49)-(data!G49-data!H49)</f>
        <v>-1.1802000000000001</v>
      </c>
      <c r="G49" s="9">
        <f t="shared" si="0"/>
        <v>-3.7200000000000344E-2</v>
      </c>
      <c r="H49" s="9">
        <f t="shared" si="1"/>
        <v>-6.0000000000015596E-4</v>
      </c>
      <c r="I49" s="9">
        <f>IF(data!M50&gt; 111.81,1,0)</f>
        <v>0</v>
      </c>
      <c r="J49" s="9">
        <f t="shared" si="2"/>
        <v>1</v>
      </c>
      <c r="K49" s="9">
        <f t="shared" si="3"/>
        <v>0</v>
      </c>
      <c r="L49" s="9">
        <f t="shared" si="4"/>
        <v>-0.2657000000000096</v>
      </c>
      <c r="M49" s="9">
        <f>data!J49</f>
        <v>-3.5</v>
      </c>
      <c r="N49" s="9">
        <f>data!I49</f>
        <v>-2.1</v>
      </c>
      <c r="O49" s="9">
        <f>data!L49</f>
        <v>-3.9</v>
      </c>
      <c r="P49" s="9">
        <f>data!K49</f>
        <v>-8.1999999999999993</v>
      </c>
      <c r="Q49" s="9">
        <f>data!R49</f>
        <v>-12</v>
      </c>
      <c r="R49" s="9">
        <f t="shared" si="5"/>
        <v>0</v>
      </c>
      <c r="S49" s="9">
        <f t="shared" si="6"/>
        <v>0.25</v>
      </c>
      <c r="T49" s="9">
        <f t="shared" si="7"/>
        <v>0.29999999999999982</v>
      </c>
      <c r="U49" s="9">
        <f t="shared" si="8"/>
        <v>0.25</v>
      </c>
      <c r="V49" s="9">
        <f t="shared" si="9"/>
        <v>0.39999999999999991</v>
      </c>
      <c r="W49" s="9">
        <f t="shared" si="10"/>
        <v>1.125</v>
      </c>
      <c r="X49" s="9">
        <f t="shared" si="11"/>
        <v>1.1000000000000001</v>
      </c>
      <c r="Y49" s="9">
        <f t="shared" si="12"/>
        <v>1.4</v>
      </c>
      <c r="Z49" s="9">
        <f t="shared" si="13"/>
        <v>1.4</v>
      </c>
      <c r="AA49" s="9">
        <f t="shared" si="14"/>
        <v>-0.29999999999999982</v>
      </c>
      <c r="AB49" s="9">
        <f t="shared" si="15"/>
        <v>-0.39999999999999991</v>
      </c>
      <c r="AC49" s="9">
        <f t="shared" si="16"/>
        <v>-0.39999999999999991</v>
      </c>
      <c r="AD49" s="9">
        <f t="shared" si="17"/>
        <v>-0.39999999999999991</v>
      </c>
      <c r="AE49" s="9">
        <f t="shared" si="18"/>
        <v>-0.39999999999999991</v>
      </c>
      <c r="AF49" s="9">
        <f t="shared" si="19"/>
        <v>-0.29999999999999982</v>
      </c>
      <c r="AG49" s="9">
        <f t="shared" si="20"/>
        <v>-0.10000000000000009</v>
      </c>
      <c r="AH49" s="9">
        <f t="shared" si="21"/>
        <v>0</v>
      </c>
      <c r="AI49" s="9">
        <f t="shared" si="22"/>
        <v>-0.10000000000000009</v>
      </c>
      <c r="AJ49" s="9">
        <f t="shared" si="23"/>
        <v>-0.30000000000000027</v>
      </c>
      <c r="AK49" s="9">
        <f t="shared" si="24"/>
        <v>-0.60000000000000009</v>
      </c>
      <c r="AL49" s="9">
        <f t="shared" si="25"/>
        <v>-0.80000000000000027</v>
      </c>
      <c r="AM49" s="9">
        <f t="shared" si="26"/>
        <v>-0.85000000000000009</v>
      </c>
      <c r="AN49" s="9">
        <f t="shared" si="27"/>
        <v>-1.2250000000000001</v>
      </c>
      <c r="AO49" s="9">
        <f t="shared" si="28"/>
        <v>-0.39999999999999991</v>
      </c>
      <c r="AP49" s="9">
        <f t="shared" si="29"/>
        <v>-0.60000000000000009</v>
      </c>
      <c r="AQ49" s="9">
        <f t="shared" si="30"/>
        <v>-0.50000000000000044</v>
      </c>
      <c r="AR49" s="9">
        <f t="shared" si="31"/>
        <v>-0.60000000000000009</v>
      </c>
      <c r="AS49" s="9">
        <f t="shared" si="32"/>
        <v>-0.20000000000000107</v>
      </c>
      <c r="AT49" s="9">
        <f t="shared" si="33"/>
        <v>-0.80000000000000071</v>
      </c>
      <c r="AU49" s="9">
        <f t="shared" si="34"/>
        <v>-1.1000000000000014</v>
      </c>
      <c r="AV49" s="9">
        <f t="shared" si="35"/>
        <v>-1.0500000000000007</v>
      </c>
      <c r="AW49" s="9">
        <f t="shared" si="36"/>
        <v>-2.1750000000000007</v>
      </c>
      <c r="AX49" s="9">
        <f t="shared" si="37"/>
        <v>-0.80000000000000071</v>
      </c>
      <c r="AY49" s="9">
        <f t="shared" si="38"/>
        <v>-1.3000000000000007</v>
      </c>
      <c r="AZ49" s="9">
        <f t="shared" si="39"/>
        <v>-0.80000000000000071</v>
      </c>
      <c r="BA49" s="9">
        <f t="shared" si="40"/>
        <v>-1.1000000000000014</v>
      </c>
      <c r="BB49" s="9">
        <f t="shared" si="41"/>
        <v>-0.19999999999999929</v>
      </c>
      <c r="BC49" s="9">
        <f t="shared" si="42"/>
        <v>-0.75</v>
      </c>
      <c r="BD49" s="9">
        <f t="shared" si="43"/>
        <v>-1.625</v>
      </c>
      <c r="BE49" s="9">
        <f t="shared" si="44"/>
        <v>-1.25</v>
      </c>
      <c r="BF49" s="9">
        <f t="shared" si="45"/>
        <v>-2.375</v>
      </c>
      <c r="BG49" s="9">
        <f t="shared" si="46"/>
        <v>-0.875</v>
      </c>
      <c r="BH49" s="9">
        <f t="shared" si="47"/>
        <v>-1.0250000000000004</v>
      </c>
      <c r="BI49" s="9">
        <f t="shared" si="48"/>
        <v>-0.5</v>
      </c>
      <c r="BJ49" s="9">
        <f t="shared" si="49"/>
        <v>-1</v>
      </c>
    </row>
    <row r="50" spans="1:62" x14ac:dyDescent="0.2">
      <c r="A50" s="9">
        <f>data!M51-data!M50</f>
        <v>-0.72029999999999461</v>
      </c>
      <c r="B50" s="9">
        <f>data!C51-data!C50</f>
        <v>-1.0099999999999998</v>
      </c>
      <c r="C50" s="9">
        <f>data!D51-data!D50</f>
        <v>0.59999999999999964</v>
      </c>
      <c r="D50" s="10">
        <f>data!B51-data!B50</f>
        <v>-0.12500000000000006</v>
      </c>
      <c r="E50" s="9">
        <f>data!E50-data!G50</f>
        <v>2.9692999999999996</v>
      </c>
      <c r="F50" s="9">
        <f>(data!E50-data!F50)-(data!G50-data!H50)</f>
        <v>-1.1808000000000003</v>
      </c>
      <c r="G50" s="9">
        <f t="shared" si="0"/>
        <v>-6.1599999999999877E-2</v>
      </c>
      <c r="H50" s="9">
        <f t="shared" si="1"/>
        <v>-1.1799999999999811E-2</v>
      </c>
      <c r="I50" s="9">
        <f>IF(data!M51&gt; 111.81,1,0)</f>
        <v>0</v>
      </c>
      <c r="J50" s="9">
        <f t="shared" si="2"/>
        <v>1</v>
      </c>
      <c r="K50" s="9">
        <f t="shared" si="3"/>
        <v>0</v>
      </c>
      <c r="L50" s="9">
        <f t="shared" si="4"/>
        <v>-0.72029999999999461</v>
      </c>
      <c r="M50" s="9">
        <f>data!J50</f>
        <v>-3.5</v>
      </c>
      <c r="N50" s="9">
        <f>data!I50</f>
        <v>-2.4</v>
      </c>
      <c r="O50" s="9">
        <f>data!L50</f>
        <v>-4.2</v>
      </c>
      <c r="P50" s="9">
        <f>data!K50</f>
        <v>-8.4</v>
      </c>
      <c r="Q50" s="9">
        <f>data!R50</f>
        <v>-12.2</v>
      </c>
      <c r="R50" s="9">
        <f t="shared" si="5"/>
        <v>0.25</v>
      </c>
      <c r="S50" s="9">
        <f t="shared" si="6"/>
        <v>0.29999999999999982</v>
      </c>
      <c r="T50" s="9">
        <f t="shared" si="7"/>
        <v>0.25</v>
      </c>
      <c r="U50" s="9">
        <f t="shared" si="8"/>
        <v>0.39999999999999991</v>
      </c>
      <c r="V50" s="9">
        <f t="shared" si="9"/>
        <v>1.125</v>
      </c>
      <c r="W50" s="9">
        <f t="shared" si="10"/>
        <v>1.1000000000000001</v>
      </c>
      <c r="X50" s="9">
        <f t="shared" si="11"/>
        <v>1.4</v>
      </c>
      <c r="Y50" s="9">
        <f t="shared" si="12"/>
        <v>1.4</v>
      </c>
      <c r="Z50" s="9">
        <f t="shared" si="13"/>
        <v>1.71</v>
      </c>
      <c r="AA50" s="9">
        <f t="shared" si="14"/>
        <v>-0.10000000000000009</v>
      </c>
      <c r="AB50" s="9">
        <f t="shared" si="15"/>
        <v>-0.10000000000000009</v>
      </c>
      <c r="AC50" s="9">
        <f t="shared" si="16"/>
        <v>-0.10000000000000009</v>
      </c>
      <c r="AD50" s="9">
        <f t="shared" si="17"/>
        <v>-0.10000000000000009</v>
      </c>
      <c r="AE50" s="9">
        <f t="shared" si="18"/>
        <v>0</v>
      </c>
      <c r="AF50" s="9">
        <f t="shared" si="19"/>
        <v>0.19999999999999973</v>
      </c>
      <c r="AG50" s="9">
        <f t="shared" si="20"/>
        <v>0.29999999999999982</v>
      </c>
      <c r="AH50" s="9">
        <f t="shared" si="21"/>
        <v>0.19999999999999973</v>
      </c>
      <c r="AI50" s="9">
        <f t="shared" si="22"/>
        <v>0.19999999999999973</v>
      </c>
      <c r="AJ50" s="9">
        <f t="shared" si="23"/>
        <v>-0.29999999999999982</v>
      </c>
      <c r="AK50" s="9">
        <f t="shared" si="24"/>
        <v>-0.5</v>
      </c>
      <c r="AL50" s="9">
        <f t="shared" si="25"/>
        <v>-0.54999999999999982</v>
      </c>
      <c r="AM50" s="9">
        <f t="shared" si="26"/>
        <v>-0.92499999999999982</v>
      </c>
      <c r="AN50" s="9">
        <f t="shared" si="27"/>
        <v>-9.9999999999999645E-2</v>
      </c>
      <c r="AO50" s="9">
        <f t="shared" si="28"/>
        <v>-0.29999999999999982</v>
      </c>
      <c r="AP50" s="9">
        <f t="shared" si="29"/>
        <v>-0.20000000000000018</v>
      </c>
      <c r="AQ50" s="9">
        <f t="shared" si="30"/>
        <v>-0.29999999999999982</v>
      </c>
      <c r="AR50" s="9">
        <f t="shared" si="31"/>
        <v>-0.84999999999999964</v>
      </c>
      <c r="AS50" s="9">
        <f t="shared" si="32"/>
        <v>-0.59999999999999964</v>
      </c>
      <c r="AT50" s="9">
        <f t="shared" si="33"/>
        <v>-0.90000000000000036</v>
      </c>
      <c r="AU50" s="9">
        <f t="shared" si="34"/>
        <v>-0.84999999999999964</v>
      </c>
      <c r="AV50" s="9">
        <f t="shared" si="35"/>
        <v>-1.9749999999999996</v>
      </c>
      <c r="AW50" s="9">
        <f t="shared" si="36"/>
        <v>-0.59999999999999964</v>
      </c>
      <c r="AX50" s="9">
        <f t="shared" si="37"/>
        <v>-1.0999999999999996</v>
      </c>
      <c r="AY50" s="9">
        <f t="shared" si="38"/>
        <v>-0.59999999999999964</v>
      </c>
      <c r="AZ50" s="9">
        <f t="shared" si="39"/>
        <v>-0.90000000000000036</v>
      </c>
      <c r="BA50" s="9">
        <f t="shared" si="40"/>
        <v>-2.125</v>
      </c>
      <c r="BB50" s="9">
        <f t="shared" si="41"/>
        <v>-0.55000000000000071</v>
      </c>
      <c r="BC50" s="9">
        <f t="shared" si="42"/>
        <v>-1.4250000000000007</v>
      </c>
      <c r="BD50" s="9">
        <f t="shared" si="43"/>
        <v>-1.0500000000000007</v>
      </c>
      <c r="BE50" s="9">
        <f t="shared" si="44"/>
        <v>-2.1750000000000007</v>
      </c>
      <c r="BF50" s="9">
        <f t="shared" si="45"/>
        <v>-0.67500000000000071</v>
      </c>
      <c r="BG50" s="9">
        <f t="shared" si="46"/>
        <v>-0.82500000000000107</v>
      </c>
      <c r="BH50" s="9">
        <f t="shared" si="47"/>
        <v>-0.30000000000000071</v>
      </c>
      <c r="BI50" s="9">
        <f t="shared" si="48"/>
        <v>-0.80000000000000071</v>
      </c>
      <c r="BJ50" s="9">
        <f t="shared" si="49"/>
        <v>-1.5899999999999999</v>
      </c>
    </row>
    <row r="51" spans="1:62" x14ac:dyDescent="0.2">
      <c r="A51" s="9">
        <f>data!M52-data!M51</f>
        <v>0.54250000000000398</v>
      </c>
      <c r="B51" s="9">
        <f>data!C52-data!C51</f>
        <v>-0.41000000000000014</v>
      </c>
      <c r="C51" s="9">
        <f>data!D52-data!D51</f>
        <v>-0.40000000000000036</v>
      </c>
      <c r="D51" s="10">
        <f>data!B52-data!B51</f>
        <v>-2.4999999999999911E-2</v>
      </c>
      <c r="E51" s="9">
        <f>data!E51-data!G51</f>
        <v>2.9076999999999997</v>
      </c>
      <c r="F51" s="9">
        <f>(data!E51-data!F51)-(data!G51-data!H51)</f>
        <v>-1.1926000000000001</v>
      </c>
      <c r="G51" s="9">
        <f t="shared" si="0"/>
        <v>-8.0699999999999772E-2</v>
      </c>
      <c r="H51" s="9">
        <f t="shared" si="1"/>
        <v>-4.8399999999999999E-2</v>
      </c>
      <c r="I51" s="9">
        <f>IF(data!M52&gt; 111.81,1,0)</f>
        <v>0</v>
      </c>
      <c r="J51" s="9">
        <f t="shared" si="2"/>
        <v>1</v>
      </c>
      <c r="K51" s="9">
        <f t="shared" si="3"/>
        <v>0</v>
      </c>
      <c r="L51" s="9">
        <f t="shared" si="4"/>
        <v>0.54250000000000398</v>
      </c>
      <c r="M51" s="9">
        <f>data!J51</f>
        <v>-3.25</v>
      </c>
      <c r="N51" s="9">
        <f>data!I51</f>
        <v>-2.5</v>
      </c>
      <c r="O51" s="9">
        <f>data!L51</f>
        <v>-4.5</v>
      </c>
      <c r="P51" s="9">
        <f>data!K51</f>
        <v>-9</v>
      </c>
      <c r="Q51" s="9">
        <f>data!R51</f>
        <v>-12.75</v>
      </c>
      <c r="R51" s="9">
        <f t="shared" si="5"/>
        <v>4.9999999999999822E-2</v>
      </c>
      <c r="S51" s="9">
        <f t="shared" si="6"/>
        <v>0</v>
      </c>
      <c r="T51" s="9">
        <f t="shared" si="7"/>
        <v>0.14999999999999991</v>
      </c>
      <c r="U51" s="9">
        <f t="shared" si="8"/>
        <v>0.875</v>
      </c>
      <c r="V51" s="9">
        <f t="shared" si="9"/>
        <v>0.85000000000000009</v>
      </c>
      <c r="W51" s="9">
        <f t="shared" si="10"/>
        <v>1.1499999999999999</v>
      </c>
      <c r="X51" s="9">
        <f t="shared" si="11"/>
        <v>1.1499999999999999</v>
      </c>
      <c r="Y51" s="9">
        <f t="shared" si="12"/>
        <v>1.46</v>
      </c>
      <c r="Z51" s="9">
        <f t="shared" si="13"/>
        <v>1.35</v>
      </c>
      <c r="AA51" s="9">
        <f t="shared" si="14"/>
        <v>0</v>
      </c>
      <c r="AB51" s="9">
        <f t="shared" si="15"/>
        <v>0</v>
      </c>
      <c r="AC51" s="9">
        <f t="shared" si="16"/>
        <v>0</v>
      </c>
      <c r="AD51" s="9">
        <f t="shared" si="17"/>
        <v>0.10000000000000009</v>
      </c>
      <c r="AE51" s="9">
        <f t="shared" si="18"/>
        <v>0.29999999999999982</v>
      </c>
      <c r="AF51" s="9">
        <f t="shared" si="19"/>
        <v>0.39999999999999991</v>
      </c>
      <c r="AG51" s="9">
        <f t="shared" si="20"/>
        <v>0.29999999999999982</v>
      </c>
      <c r="AH51" s="9">
        <f t="shared" si="21"/>
        <v>0.29999999999999982</v>
      </c>
      <c r="AI51" s="9">
        <f t="shared" si="22"/>
        <v>0.29999999999999982</v>
      </c>
      <c r="AJ51" s="9">
        <f t="shared" si="23"/>
        <v>-0.20000000000000018</v>
      </c>
      <c r="AK51" s="9">
        <f t="shared" si="24"/>
        <v>-0.25</v>
      </c>
      <c r="AL51" s="9">
        <f t="shared" si="25"/>
        <v>-0.625</v>
      </c>
      <c r="AM51" s="9">
        <f t="shared" si="26"/>
        <v>0.20000000000000018</v>
      </c>
      <c r="AN51" s="9">
        <f t="shared" si="27"/>
        <v>0</v>
      </c>
      <c r="AO51" s="9">
        <f t="shared" si="28"/>
        <v>9.9999999999999645E-2</v>
      </c>
      <c r="AP51" s="9">
        <f t="shared" si="29"/>
        <v>0</v>
      </c>
      <c r="AQ51" s="9">
        <f t="shared" si="30"/>
        <v>-0.54999999999999982</v>
      </c>
      <c r="AR51" s="9">
        <f t="shared" si="31"/>
        <v>-0.79999999999999982</v>
      </c>
      <c r="AS51" s="9">
        <f t="shared" si="32"/>
        <v>-0.30000000000000071</v>
      </c>
      <c r="AT51" s="9">
        <f t="shared" si="33"/>
        <v>-0.25</v>
      </c>
      <c r="AU51" s="9">
        <f t="shared" si="34"/>
        <v>-1.375</v>
      </c>
      <c r="AV51" s="9">
        <f t="shared" si="35"/>
        <v>0</v>
      </c>
      <c r="AW51" s="9">
        <f t="shared" si="36"/>
        <v>-0.5</v>
      </c>
      <c r="AX51" s="9">
        <f t="shared" si="37"/>
        <v>0</v>
      </c>
      <c r="AY51" s="9">
        <f t="shared" si="38"/>
        <v>-0.30000000000000071</v>
      </c>
      <c r="AZ51" s="9">
        <f t="shared" si="39"/>
        <v>-1.5250000000000004</v>
      </c>
      <c r="BA51" s="9">
        <f t="shared" si="40"/>
        <v>-1.4000000000000004</v>
      </c>
      <c r="BB51" s="9">
        <f t="shared" si="41"/>
        <v>-0.875</v>
      </c>
      <c r="BC51" s="9">
        <f t="shared" si="42"/>
        <v>-0.5</v>
      </c>
      <c r="BD51" s="9">
        <f t="shared" si="43"/>
        <v>-1.625</v>
      </c>
      <c r="BE51" s="9">
        <f t="shared" si="44"/>
        <v>-0.125</v>
      </c>
      <c r="BF51" s="9">
        <f t="shared" si="45"/>
        <v>-0.27500000000000036</v>
      </c>
      <c r="BG51" s="9">
        <f t="shared" si="46"/>
        <v>0.25</v>
      </c>
      <c r="BH51" s="9">
        <f t="shared" si="47"/>
        <v>-0.25</v>
      </c>
      <c r="BI51" s="9">
        <f t="shared" si="48"/>
        <v>-1.0399999999999991</v>
      </c>
      <c r="BJ51" s="9">
        <f t="shared" si="49"/>
        <v>-0.75</v>
      </c>
    </row>
    <row r="52" spans="1:62" x14ac:dyDescent="0.2">
      <c r="A52" s="9">
        <f>data!M53-data!M52</f>
        <v>9.8499999999987153E-2</v>
      </c>
      <c r="B52" s="9">
        <f>data!C53-data!C52</f>
        <v>1.8000000000000007</v>
      </c>
      <c r="C52" s="9">
        <f>data!D53-data!D52</f>
        <v>0.15000000000000036</v>
      </c>
      <c r="D52" s="10">
        <f>data!B53-data!B52</f>
        <v>-5.0000000000000044E-2</v>
      </c>
      <c r="E52" s="9">
        <f>data!E52-data!G52</f>
        <v>2.827</v>
      </c>
      <c r="F52" s="9">
        <f>(data!E52-data!F52)-(data!G52-data!H52)</f>
        <v>-1.2410000000000001</v>
      </c>
      <c r="G52" s="9">
        <f t="shared" si="0"/>
        <v>9.4100000000000072E-2</v>
      </c>
      <c r="H52" s="9">
        <f t="shared" si="1"/>
        <v>4.449999999999954E-2</v>
      </c>
      <c r="I52" s="9">
        <f>IF(data!M53&gt; 111.81,1,0)</f>
        <v>0</v>
      </c>
      <c r="J52" s="9">
        <f t="shared" si="2"/>
        <v>1</v>
      </c>
      <c r="K52" s="9">
        <f t="shared" si="3"/>
        <v>0</v>
      </c>
      <c r="L52" s="9">
        <f t="shared" si="4"/>
        <v>9.8499999999987153E-2</v>
      </c>
      <c r="M52" s="9">
        <f>data!J52</f>
        <v>-3.2</v>
      </c>
      <c r="N52" s="9">
        <f>data!I52</f>
        <v>-2.5</v>
      </c>
      <c r="O52" s="9">
        <f>data!L52</f>
        <v>-4.7</v>
      </c>
      <c r="P52" s="9">
        <f>data!K52</f>
        <v>-9.3000000000000007</v>
      </c>
      <c r="Q52" s="9">
        <f>data!R52</f>
        <v>-13.625</v>
      </c>
      <c r="R52" s="9">
        <f t="shared" si="5"/>
        <v>-4.9999999999999822E-2</v>
      </c>
      <c r="S52" s="9">
        <f t="shared" si="6"/>
        <v>0.10000000000000009</v>
      </c>
      <c r="T52" s="9">
        <f t="shared" si="7"/>
        <v>0.82500000000000018</v>
      </c>
      <c r="U52" s="9">
        <f t="shared" si="8"/>
        <v>0.80000000000000027</v>
      </c>
      <c r="V52" s="9">
        <f t="shared" si="9"/>
        <v>1.1000000000000001</v>
      </c>
      <c r="W52" s="9">
        <f t="shared" si="10"/>
        <v>1.1000000000000001</v>
      </c>
      <c r="X52" s="9">
        <f t="shared" si="11"/>
        <v>1.4100000000000001</v>
      </c>
      <c r="Y52" s="9">
        <f t="shared" si="12"/>
        <v>1.3000000000000003</v>
      </c>
      <c r="Z52" s="9">
        <f t="shared" si="13"/>
        <v>1</v>
      </c>
      <c r="AA52" s="9">
        <f t="shared" si="14"/>
        <v>0</v>
      </c>
      <c r="AB52" s="9">
        <f t="shared" si="15"/>
        <v>0</v>
      </c>
      <c r="AC52" s="9">
        <f t="shared" si="16"/>
        <v>0.10000000000000009</v>
      </c>
      <c r="AD52" s="9">
        <f t="shared" si="17"/>
        <v>0.29999999999999982</v>
      </c>
      <c r="AE52" s="9">
        <f t="shared" si="18"/>
        <v>0.39999999999999991</v>
      </c>
      <c r="AF52" s="9">
        <f t="shared" si="19"/>
        <v>0.29999999999999982</v>
      </c>
      <c r="AG52" s="9">
        <f t="shared" si="20"/>
        <v>0.29999999999999982</v>
      </c>
      <c r="AH52" s="9">
        <f t="shared" si="21"/>
        <v>0.29999999999999982</v>
      </c>
      <c r="AI52" s="9">
        <f t="shared" si="22"/>
        <v>-0.10000000000000009</v>
      </c>
      <c r="AJ52" s="9">
        <f t="shared" si="23"/>
        <v>-4.9999999999999822E-2</v>
      </c>
      <c r="AK52" s="9">
        <f t="shared" si="24"/>
        <v>-0.42499999999999982</v>
      </c>
      <c r="AL52" s="9">
        <f t="shared" si="25"/>
        <v>0.40000000000000036</v>
      </c>
      <c r="AM52" s="9">
        <f t="shared" si="26"/>
        <v>0.20000000000000018</v>
      </c>
      <c r="AN52" s="9">
        <f t="shared" si="27"/>
        <v>0.29999999999999982</v>
      </c>
      <c r="AO52" s="9">
        <f t="shared" si="28"/>
        <v>0.20000000000000018</v>
      </c>
      <c r="AP52" s="9">
        <f t="shared" si="29"/>
        <v>-0.34999999999999964</v>
      </c>
      <c r="AQ52" s="9">
        <f t="shared" si="30"/>
        <v>-0.59999999999999964</v>
      </c>
      <c r="AR52" s="9">
        <f t="shared" si="31"/>
        <v>-1.3999999999999995</v>
      </c>
      <c r="AS52" s="9">
        <f t="shared" si="32"/>
        <v>5.0000000000000711E-2</v>
      </c>
      <c r="AT52" s="9">
        <f t="shared" si="33"/>
        <v>-1.0749999999999993</v>
      </c>
      <c r="AU52" s="9">
        <f t="shared" si="34"/>
        <v>0.30000000000000071</v>
      </c>
      <c r="AV52" s="9">
        <f t="shared" si="35"/>
        <v>-0.19999999999999929</v>
      </c>
      <c r="AW52" s="9">
        <f t="shared" si="36"/>
        <v>0.30000000000000071</v>
      </c>
      <c r="AX52" s="9">
        <f t="shared" si="37"/>
        <v>0</v>
      </c>
      <c r="AY52" s="9">
        <f t="shared" si="38"/>
        <v>-1.2249999999999996</v>
      </c>
      <c r="AZ52" s="9">
        <f t="shared" si="39"/>
        <v>-1.0999999999999996</v>
      </c>
      <c r="BA52" s="9">
        <f t="shared" si="40"/>
        <v>-2.3999999999999986</v>
      </c>
      <c r="BB52" s="9">
        <f t="shared" si="41"/>
        <v>0.375</v>
      </c>
      <c r="BC52" s="9">
        <f t="shared" si="42"/>
        <v>-0.75</v>
      </c>
      <c r="BD52" s="9">
        <f t="shared" si="43"/>
        <v>0.75</v>
      </c>
      <c r="BE52" s="9">
        <f t="shared" si="44"/>
        <v>0.59999999999999964</v>
      </c>
      <c r="BF52" s="9">
        <f t="shared" si="45"/>
        <v>1.125</v>
      </c>
      <c r="BG52" s="9">
        <f t="shared" si="46"/>
        <v>0.625</v>
      </c>
      <c r="BH52" s="9">
        <f t="shared" si="47"/>
        <v>-0.16499999999999915</v>
      </c>
      <c r="BI52" s="9">
        <f t="shared" si="48"/>
        <v>0.125</v>
      </c>
      <c r="BJ52" s="9">
        <f t="shared" si="49"/>
        <v>-1.375</v>
      </c>
    </row>
    <row r="53" spans="1:62" x14ac:dyDescent="0.2">
      <c r="A53" s="9">
        <f>data!M54-data!M53</f>
        <v>-1.3977999999999895</v>
      </c>
      <c r="B53" s="9">
        <f>data!C54-data!C53</f>
        <v>-1.0700000000000003</v>
      </c>
      <c r="C53" s="9">
        <f>data!D54-data!D53</f>
        <v>0.34999999999999964</v>
      </c>
      <c r="D53" s="10">
        <f>data!B54-data!B53</f>
        <v>9.9999999999999978E-2</v>
      </c>
      <c r="E53" s="9">
        <f>data!E53-data!G53</f>
        <v>2.9211</v>
      </c>
      <c r="F53" s="9">
        <f>(data!E53-data!F53)-(data!G53-data!H53)</f>
        <v>-1.1965000000000006</v>
      </c>
      <c r="G53" s="9">
        <f t="shared" si="0"/>
        <v>1.2200000000000433E-2</v>
      </c>
      <c r="H53" s="9">
        <f t="shared" si="1"/>
        <v>5.5400000000000782E-2</v>
      </c>
      <c r="I53" s="9">
        <f>IF(data!M54&gt; 111.81,1,0)</f>
        <v>0</v>
      </c>
      <c r="J53" s="9">
        <f t="shared" si="2"/>
        <v>1</v>
      </c>
      <c r="K53" s="9">
        <f t="shared" si="3"/>
        <v>0</v>
      </c>
      <c r="L53" s="9">
        <f t="shared" si="4"/>
        <v>-1.3977999999999895</v>
      </c>
      <c r="M53" s="9">
        <f>data!J53</f>
        <v>-3.25</v>
      </c>
      <c r="N53" s="9">
        <f>data!I53</f>
        <v>-2.5</v>
      </c>
      <c r="O53" s="9">
        <f>data!L53</f>
        <v>-4.75</v>
      </c>
      <c r="P53" s="9">
        <f>data!K53</f>
        <v>-9.25</v>
      </c>
      <c r="Q53" s="9">
        <f>data!R53</f>
        <v>-13.25</v>
      </c>
      <c r="R53" s="9">
        <f t="shared" si="5"/>
        <v>0.14999999999999991</v>
      </c>
      <c r="S53" s="9">
        <f t="shared" si="6"/>
        <v>0.875</v>
      </c>
      <c r="T53" s="9">
        <f t="shared" si="7"/>
        <v>0.85000000000000009</v>
      </c>
      <c r="U53" s="9">
        <f t="shared" si="8"/>
        <v>1.1499999999999999</v>
      </c>
      <c r="V53" s="9">
        <f t="shared" si="9"/>
        <v>1.1499999999999999</v>
      </c>
      <c r="W53" s="9">
        <f t="shared" si="10"/>
        <v>1.46</v>
      </c>
      <c r="X53" s="9">
        <f t="shared" si="11"/>
        <v>1.35</v>
      </c>
      <c r="Y53" s="9">
        <f t="shared" si="12"/>
        <v>1.0499999999999998</v>
      </c>
      <c r="Z53" s="9">
        <f t="shared" si="13"/>
        <v>1.0499999999999998</v>
      </c>
      <c r="AA53" s="9">
        <f t="shared" si="14"/>
        <v>0</v>
      </c>
      <c r="AB53" s="9">
        <f t="shared" si="15"/>
        <v>0.10000000000000009</v>
      </c>
      <c r="AC53" s="9">
        <f t="shared" si="16"/>
        <v>0.29999999999999982</v>
      </c>
      <c r="AD53" s="9">
        <f t="shared" si="17"/>
        <v>0.39999999999999991</v>
      </c>
      <c r="AE53" s="9">
        <f t="shared" si="18"/>
        <v>0.29999999999999982</v>
      </c>
      <c r="AF53" s="9">
        <f t="shared" si="19"/>
        <v>0.29999999999999982</v>
      </c>
      <c r="AG53" s="9">
        <f t="shared" si="20"/>
        <v>0.29999999999999982</v>
      </c>
      <c r="AH53" s="9">
        <f t="shared" si="21"/>
        <v>-0.10000000000000009</v>
      </c>
      <c r="AI53" s="9">
        <f t="shared" si="22"/>
        <v>0.10000000000000009</v>
      </c>
      <c r="AJ53" s="9">
        <f t="shared" si="23"/>
        <v>-0.375</v>
      </c>
      <c r="AK53" s="9">
        <f t="shared" si="24"/>
        <v>0.45000000000000018</v>
      </c>
      <c r="AL53" s="9">
        <f t="shared" si="25"/>
        <v>0.25</v>
      </c>
      <c r="AM53" s="9">
        <f t="shared" si="26"/>
        <v>0.34999999999999964</v>
      </c>
      <c r="AN53" s="9">
        <f t="shared" si="27"/>
        <v>0.25</v>
      </c>
      <c r="AO53" s="9">
        <f t="shared" si="28"/>
        <v>-0.29999999999999982</v>
      </c>
      <c r="AP53" s="9">
        <f t="shared" si="29"/>
        <v>-0.54999999999999982</v>
      </c>
      <c r="AQ53" s="9">
        <f t="shared" si="30"/>
        <v>-1.3499999999999996</v>
      </c>
      <c r="AR53" s="9">
        <f t="shared" si="31"/>
        <v>-1</v>
      </c>
      <c r="AS53" s="9">
        <f t="shared" si="32"/>
        <v>-1.125</v>
      </c>
      <c r="AT53" s="9">
        <f t="shared" si="33"/>
        <v>0.25</v>
      </c>
      <c r="AU53" s="9">
        <f t="shared" si="34"/>
        <v>-0.25</v>
      </c>
      <c r="AV53" s="9">
        <f t="shared" si="35"/>
        <v>0.25</v>
      </c>
      <c r="AW53" s="9">
        <f t="shared" si="36"/>
        <v>-5.0000000000000711E-2</v>
      </c>
      <c r="AX53" s="9">
        <f t="shared" si="37"/>
        <v>-1.2750000000000004</v>
      </c>
      <c r="AY53" s="9">
        <f t="shared" si="38"/>
        <v>-1.1500000000000004</v>
      </c>
      <c r="AZ53" s="9">
        <f t="shared" si="39"/>
        <v>-2.4499999999999993</v>
      </c>
      <c r="BA53" s="9">
        <f t="shared" si="40"/>
        <v>-2.6500000000000004</v>
      </c>
      <c r="BB53" s="9">
        <f t="shared" si="41"/>
        <v>-1.125</v>
      </c>
      <c r="BC53" s="9">
        <f t="shared" si="42"/>
        <v>0.375</v>
      </c>
      <c r="BD53" s="9">
        <f t="shared" si="43"/>
        <v>0.22499999999999964</v>
      </c>
      <c r="BE53" s="9">
        <f t="shared" si="44"/>
        <v>0.75</v>
      </c>
      <c r="BF53" s="9">
        <f t="shared" si="45"/>
        <v>0.25</v>
      </c>
      <c r="BG53" s="9">
        <f t="shared" si="46"/>
        <v>-0.53999999999999915</v>
      </c>
      <c r="BH53" s="9">
        <f t="shared" si="47"/>
        <v>-0.25</v>
      </c>
      <c r="BI53" s="9">
        <f t="shared" si="48"/>
        <v>-1.75</v>
      </c>
      <c r="BJ53" s="9">
        <f t="shared" si="49"/>
        <v>-2.75</v>
      </c>
    </row>
    <row r="54" spans="1:62" x14ac:dyDescent="0.2">
      <c r="A54" s="9">
        <f>data!M55-data!M54</f>
        <v>-5.6600000000003092E-2</v>
      </c>
      <c r="B54" s="9">
        <f>data!C55-data!C54</f>
        <v>0.23000000000000043</v>
      </c>
      <c r="C54" s="9">
        <f>data!D55-data!D54</f>
        <v>0.17500000000000071</v>
      </c>
      <c r="D54" s="10">
        <f>data!B55-data!B54</f>
        <v>5.0000000000000044E-2</v>
      </c>
      <c r="E54" s="9">
        <f>data!E54-data!G54</f>
        <v>2.9333000000000005</v>
      </c>
      <c r="F54" s="9">
        <f>(data!E54-data!F54)-(data!G54-data!H54)</f>
        <v>-1.1410999999999998</v>
      </c>
      <c r="G54" s="9">
        <f t="shared" si="0"/>
        <v>-2.8900000000000592E-2</v>
      </c>
      <c r="H54" s="9">
        <f t="shared" si="1"/>
        <v>-3.1500000000000306E-2</v>
      </c>
      <c r="I54" s="9">
        <f>IF(data!M55&gt; 111.81,1,0)</f>
        <v>0</v>
      </c>
      <c r="J54" s="9">
        <f t="shared" si="2"/>
        <v>1</v>
      </c>
      <c r="K54" s="9">
        <f t="shared" si="3"/>
        <v>0</v>
      </c>
      <c r="L54" s="9">
        <f t="shared" si="4"/>
        <v>-5.6600000000003092E-2</v>
      </c>
      <c r="M54" s="9">
        <f>data!J54</f>
        <v>-3.1</v>
      </c>
      <c r="N54" s="9">
        <f>data!I54</f>
        <v>-2.5</v>
      </c>
      <c r="O54" s="9">
        <f>data!L54</f>
        <v>-5.125</v>
      </c>
      <c r="P54" s="9">
        <f>data!K54</f>
        <v>-10.375</v>
      </c>
      <c r="Q54" s="9">
        <f>data!R54</f>
        <v>-14.375</v>
      </c>
      <c r="R54" s="9">
        <f t="shared" si="5"/>
        <v>0.72500000000000009</v>
      </c>
      <c r="S54" s="9">
        <f t="shared" si="6"/>
        <v>0.70000000000000018</v>
      </c>
      <c r="T54" s="9">
        <f t="shared" si="7"/>
        <v>1</v>
      </c>
      <c r="U54" s="9">
        <f t="shared" si="8"/>
        <v>1</v>
      </c>
      <c r="V54" s="9">
        <f t="shared" si="9"/>
        <v>1.31</v>
      </c>
      <c r="W54" s="9">
        <f t="shared" si="10"/>
        <v>1.2000000000000002</v>
      </c>
      <c r="X54" s="9">
        <f t="shared" si="11"/>
        <v>0.89999999999999991</v>
      </c>
      <c r="Y54" s="9">
        <f t="shared" si="12"/>
        <v>0.89999999999999991</v>
      </c>
      <c r="Z54" s="9">
        <f t="shared" si="13"/>
        <v>1.7000000000000002</v>
      </c>
      <c r="AA54" s="9">
        <f t="shared" si="14"/>
        <v>0.10000000000000009</v>
      </c>
      <c r="AB54" s="9">
        <f t="shared" si="15"/>
        <v>0.29999999999999982</v>
      </c>
      <c r="AC54" s="9">
        <f t="shared" si="16"/>
        <v>0.39999999999999991</v>
      </c>
      <c r="AD54" s="9">
        <f t="shared" si="17"/>
        <v>0.29999999999999982</v>
      </c>
      <c r="AE54" s="9">
        <f t="shared" si="18"/>
        <v>0.29999999999999982</v>
      </c>
      <c r="AF54" s="9">
        <f t="shared" si="19"/>
        <v>0.29999999999999982</v>
      </c>
      <c r="AG54" s="9">
        <f t="shared" si="20"/>
        <v>-0.10000000000000009</v>
      </c>
      <c r="AH54" s="9">
        <f t="shared" si="21"/>
        <v>0.10000000000000009</v>
      </c>
      <c r="AI54" s="9">
        <f t="shared" si="22"/>
        <v>0.625</v>
      </c>
      <c r="AJ54" s="9">
        <f t="shared" si="23"/>
        <v>0.82500000000000018</v>
      </c>
      <c r="AK54" s="9">
        <f t="shared" si="24"/>
        <v>0.625</v>
      </c>
      <c r="AL54" s="9">
        <f t="shared" si="25"/>
        <v>0.72499999999999964</v>
      </c>
      <c r="AM54" s="9">
        <f t="shared" si="26"/>
        <v>0.625</v>
      </c>
      <c r="AN54" s="9">
        <f t="shared" si="27"/>
        <v>7.5000000000000178E-2</v>
      </c>
      <c r="AO54" s="9">
        <f t="shared" si="28"/>
        <v>-0.17499999999999982</v>
      </c>
      <c r="AP54" s="9">
        <f t="shared" si="29"/>
        <v>-0.97499999999999964</v>
      </c>
      <c r="AQ54" s="9">
        <f t="shared" si="30"/>
        <v>-0.625</v>
      </c>
      <c r="AR54" s="9">
        <f t="shared" si="31"/>
        <v>-0.67499999999999982</v>
      </c>
      <c r="AS54" s="9">
        <f t="shared" si="32"/>
        <v>1.375</v>
      </c>
      <c r="AT54" s="9">
        <f t="shared" si="33"/>
        <v>0.875</v>
      </c>
      <c r="AU54" s="9">
        <f t="shared" si="34"/>
        <v>1.375</v>
      </c>
      <c r="AV54" s="9">
        <f t="shared" si="35"/>
        <v>1.0749999999999993</v>
      </c>
      <c r="AW54" s="9">
        <f t="shared" si="36"/>
        <v>-0.15000000000000036</v>
      </c>
      <c r="AX54" s="9">
        <f t="shared" si="37"/>
        <v>-2.5000000000000355E-2</v>
      </c>
      <c r="AY54" s="9">
        <f t="shared" si="38"/>
        <v>-1.3249999999999993</v>
      </c>
      <c r="AZ54" s="9">
        <f t="shared" si="39"/>
        <v>-1.5250000000000004</v>
      </c>
      <c r="BA54" s="9">
        <f t="shared" si="40"/>
        <v>-2.5250000000000004</v>
      </c>
      <c r="BB54" s="9">
        <f t="shared" si="41"/>
        <v>1.5</v>
      </c>
      <c r="BC54" s="9">
        <f t="shared" si="42"/>
        <v>1.3499999999999996</v>
      </c>
      <c r="BD54" s="9">
        <f t="shared" si="43"/>
        <v>1.875</v>
      </c>
      <c r="BE54" s="9">
        <f t="shared" si="44"/>
        <v>1.375</v>
      </c>
      <c r="BF54" s="9">
        <f t="shared" si="45"/>
        <v>0.58500000000000085</v>
      </c>
      <c r="BG54" s="9">
        <f t="shared" si="46"/>
        <v>0.875</v>
      </c>
      <c r="BH54" s="9">
        <f t="shared" si="47"/>
        <v>-0.625</v>
      </c>
      <c r="BI54" s="9">
        <f t="shared" si="48"/>
        <v>-1.625</v>
      </c>
      <c r="BJ54" s="9">
        <f t="shared" si="49"/>
        <v>-2.375</v>
      </c>
    </row>
    <row r="55" spans="1:62" x14ac:dyDescent="0.2">
      <c r="A55" s="9">
        <f>data!M56-data!M55</f>
        <v>-6.5799999999995862E-2</v>
      </c>
      <c r="B55" s="9">
        <f>data!C56-data!C55</f>
        <v>3.33</v>
      </c>
      <c r="C55" s="9">
        <f>data!D56-data!D55</f>
        <v>-0.27500000000000036</v>
      </c>
      <c r="D55" s="10">
        <f>data!B56-data!B55</f>
        <v>-1.2500000000000011E-2</v>
      </c>
      <c r="E55" s="9">
        <f>data!E55-data!G55</f>
        <v>2.9043999999999999</v>
      </c>
      <c r="F55" s="9">
        <f>(data!E55-data!F55)-(data!G55-data!H55)</f>
        <v>-1.1726000000000001</v>
      </c>
      <c r="G55" s="9">
        <f t="shared" si="0"/>
        <v>-2.5099999999999234E-2</v>
      </c>
      <c r="H55" s="9">
        <f t="shared" si="1"/>
        <v>-5.1199999999999246E-2</v>
      </c>
      <c r="I55" s="9">
        <f>IF(data!M56&gt; 111.81,1,0)</f>
        <v>0</v>
      </c>
      <c r="J55" s="9">
        <f t="shared" si="2"/>
        <v>1</v>
      </c>
      <c r="K55" s="9">
        <f t="shared" si="3"/>
        <v>0</v>
      </c>
      <c r="L55" s="9">
        <f t="shared" si="4"/>
        <v>-6.5799999999995862E-2</v>
      </c>
      <c r="M55" s="9">
        <f>data!J55</f>
        <v>-2.375</v>
      </c>
      <c r="N55" s="9">
        <f>data!I55</f>
        <v>-2.4</v>
      </c>
      <c r="O55" s="9">
        <f>data!L55</f>
        <v>-4.3</v>
      </c>
      <c r="P55" s="9">
        <f>data!K55</f>
        <v>-9</v>
      </c>
      <c r="Q55" s="9">
        <f>data!R55</f>
        <v>-12.875</v>
      </c>
      <c r="R55" s="9">
        <f t="shared" si="5"/>
        <v>-2.4999999999999911E-2</v>
      </c>
      <c r="S55" s="9">
        <f t="shared" si="6"/>
        <v>0.27499999999999991</v>
      </c>
      <c r="T55" s="9">
        <f t="shared" si="7"/>
        <v>0.27499999999999991</v>
      </c>
      <c r="U55" s="9">
        <f t="shared" si="8"/>
        <v>0.58499999999999996</v>
      </c>
      <c r="V55" s="9">
        <f t="shared" si="9"/>
        <v>0.47500000000000009</v>
      </c>
      <c r="W55" s="9">
        <f t="shared" si="10"/>
        <v>0.17499999999999982</v>
      </c>
      <c r="X55" s="9">
        <f t="shared" si="11"/>
        <v>0.17499999999999982</v>
      </c>
      <c r="Y55" s="9">
        <f t="shared" si="12"/>
        <v>0.97500000000000009</v>
      </c>
      <c r="Z55" s="9">
        <f t="shared" si="13"/>
        <v>1.175</v>
      </c>
      <c r="AA55" s="9">
        <f t="shared" si="14"/>
        <v>0.19999999999999973</v>
      </c>
      <c r="AB55" s="9">
        <f t="shared" si="15"/>
        <v>0.29999999999999982</v>
      </c>
      <c r="AC55" s="9">
        <f t="shared" si="16"/>
        <v>0.19999999999999973</v>
      </c>
      <c r="AD55" s="9">
        <f t="shared" si="17"/>
        <v>0.19999999999999973</v>
      </c>
      <c r="AE55" s="9">
        <f t="shared" si="18"/>
        <v>0.19999999999999973</v>
      </c>
      <c r="AF55" s="9">
        <f t="shared" si="19"/>
        <v>-0.20000000000000018</v>
      </c>
      <c r="AG55" s="9">
        <f t="shared" si="20"/>
        <v>0</v>
      </c>
      <c r="AH55" s="9">
        <f t="shared" si="21"/>
        <v>0.52499999999999991</v>
      </c>
      <c r="AI55" s="9">
        <f t="shared" si="22"/>
        <v>0.89999999999999991</v>
      </c>
      <c r="AJ55" s="9">
        <f t="shared" si="23"/>
        <v>-0.20000000000000018</v>
      </c>
      <c r="AK55" s="9">
        <f t="shared" si="24"/>
        <v>-0.10000000000000053</v>
      </c>
      <c r="AL55" s="9">
        <f t="shared" si="25"/>
        <v>-0.20000000000000018</v>
      </c>
      <c r="AM55" s="9">
        <f t="shared" si="26"/>
        <v>-0.75</v>
      </c>
      <c r="AN55" s="9">
        <f t="shared" si="27"/>
        <v>-1</v>
      </c>
      <c r="AO55" s="9">
        <f t="shared" si="28"/>
        <v>-1.7999999999999998</v>
      </c>
      <c r="AP55" s="9">
        <f t="shared" si="29"/>
        <v>-1.4500000000000002</v>
      </c>
      <c r="AQ55" s="9">
        <f t="shared" si="30"/>
        <v>-1.5</v>
      </c>
      <c r="AR55" s="9">
        <f t="shared" si="31"/>
        <v>-0.60000000000000053</v>
      </c>
      <c r="AS55" s="9">
        <f t="shared" si="32"/>
        <v>-0.5</v>
      </c>
      <c r="AT55" s="9">
        <f t="shared" si="33"/>
        <v>0</v>
      </c>
      <c r="AU55" s="9">
        <f t="shared" si="34"/>
        <v>-0.30000000000000071</v>
      </c>
      <c r="AV55" s="9">
        <f t="shared" si="35"/>
        <v>-1.5250000000000004</v>
      </c>
      <c r="AW55" s="9">
        <f t="shared" si="36"/>
        <v>-1.4000000000000004</v>
      </c>
      <c r="AX55" s="9">
        <f t="shared" si="37"/>
        <v>-2.6999999999999993</v>
      </c>
      <c r="AY55" s="9">
        <f t="shared" si="38"/>
        <v>-2.9000000000000004</v>
      </c>
      <c r="AZ55" s="9">
        <f t="shared" si="39"/>
        <v>-3.9000000000000004</v>
      </c>
      <c r="BA55" s="9">
        <f t="shared" si="40"/>
        <v>-3.5</v>
      </c>
      <c r="BB55" s="9">
        <f t="shared" si="41"/>
        <v>-0.15000000000000036</v>
      </c>
      <c r="BC55" s="9">
        <f t="shared" si="42"/>
        <v>0.375</v>
      </c>
      <c r="BD55" s="9">
        <f t="shared" si="43"/>
        <v>-0.125</v>
      </c>
      <c r="BE55" s="9">
        <f t="shared" si="44"/>
        <v>-0.91499999999999915</v>
      </c>
      <c r="BF55" s="9">
        <f t="shared" si="45"/>
        <v>-0.625</v>
      </c>
      <c r="BG55" s="9">
        <f t="shared" si="46"/>
        <v>-2.125</v>
      </c>
      <c r="BH55" s="9">
        <f t="shared" si="47"/>
        <v>-3.125</v>
      </c>
      <c r="BI55" s="9">
        <f t="shared" si="48"/>
        <v>-3.875</v>
      </c>
      <c r="BJ55" s="9">
        <f t="shared" si="49"/>
        <v>-3.625</v>
      </c>
    </row>
    <row r="56" spans="1:62" x14ac:dyDescent="0.2">
      <c r="A56" s="9">
        <f>data!M57-data!M56</f>
        <v>-0.25840000000000884</v>
      </c>
      <c r="B56" s="9">
        <f>data!C57-data!C56</f>
        <v>-2.59</v>
      </c>
      <c r="C56" s="9">
        <f>data!D57-data!D56</f>
        <v>-9.9999999999999645E-2</v>
      </c>
      <c r="D56" s="10">
        <f>data!B57-data!B56</f>
        <v>1.2500000000000011E-2</v>
      </c>
      <c r="E56" s="9">
        <f>data!E56-data!G56</f>
        <v>2.8793000000000006</v>
      </c>
      <c r="F56" s="9">
        <f>(data!E56-data!F56)-(data!G56-data!H56)</f>
        <v>-1.2237999999999993</v>
      </c>
      <c r="G56" s="9">
        <f t="shared" si="0"/>
        <v>8.9899999999999203E-2</v>
      </c>
      <c r="H56" s="9">
        <f t="shared" si="1"/>
        <v>-8.6000000000006072E-3</v>
      </c>
      <c r="I56" s="9">
        <f>IF(data!M57&gt; 111.81,1,0)</f>
        <v>0</v>
      </c>
      <c r="J56" s="9">
        <f t="shared" si="2"/>
        <v>1</v>
      </c>
      <c r="K56" s="9">
        <f t="shared" si="3"/>
        <v>0</v>
      </c>
      <c r="L56" s="9">
        <f t="shared" si="4"/>
        <v>-0.25840000000000884</v>
      </c>
      <c r="M56" s="9">
        <f>data!J56</f>
        <v>-2.4</v>
      </c>
      <c r="N56" s="9">
        <f>data!I56</f>
        <v>-2.2000000000000002</v>
      </c>
      <c r="O56" s="9">
        <f>data!L56</f>
        <v>-4.5</v>
      </c>
      <c r="P56" s="9">
        <f>data!K56</f>
        <v>-9.5</v>
      </c>
      <c r="Q56" s="9">
        <f>data!R56</f>
        <v>-13.025</v>
      </c>
      <c r="R56" s="9">
        <f t="shared" si="5"/>
        <v>0.29999999999999982</v>
      </c>
      <c r="S56" s="9">
        <f t="shared" si="6"/>
        <v>0.29999999999999982</v>
      </c>
      <c r="T56" s="9">
        <f t="shared" si="7"/>
        <v>0.60999999999999988</v>
      </c>
      <c r="U56" s="9">
        <f t="shared" si="8"/>
        <v>0.5</v>
      </c>
      <c r="V56" s="9">
        <f t="shared" si="9"/>
        <v>0.19999999999999973</v>
      </c>
      <c r="W56" s="9">
        <f t="shared" si="10"/>
        <v>0.19999999999999973</v>
      </c>
      <c r="X56" s="9">
        <f t="shared" si="11"/>
        <v>1</v>
      </c>
      <c r="Y56" s="9">
        <f t="shared" si="12"/>
        <v>1.2</v>
      </c>
      <c r="Z56" s="9">
        <f t="shared" si="13"/>
        <v>1.4</v>
      </c>
      <c r="AA56" s="9">
        <f t="shared" si="14"/>
        <v>0.10000000000000009</v>
      </c>
      <c r="AB56" s="9">
        <f t="shared" si="15"/>
        <v>0</v>
      </c>
      <c r="AC56" s="9">
        <f t="shared" si="16"/>
        <v>0</v>
      </c>
      <c r="AD56" s="9">
        <f t="shared" si="17"/>
        <v>0</v>
      </c>
      <c r="AE56" s="9">
        <f t="shared" si="18"/>
        <v>-0.39999999999999991</v>
      </c>
      <c r="AF56" s="9">
        <f t="shared" si="19"/>
        <v>-0.19999999999999973</v>
      </c>
      <c r="AG56" s="9">
        <f t="shared" si="20"/>
        <v>0.32500000000000018</v>
      </c>
      <c r="AH56" s="9">
        <f t="shared" si="21"/>
        <v>0.70000000000000018</v>
      </c>
      <c r="AI56" s="9">
        <f t="shared" si="22"/>
        <v>0.80000000000000027</v>
      </c>
      <c r="AJ56" s="9">
        <f t="shared" si="23"/>
        <v>9.9999999999999645E-2</v>
      </c>
      <c r="AK56" s="9">
        <f t="shared" si="24"/>
        <v>0</v>
      </c>
      <c r="AL56" s="9">
        <f t="shared" si="25"/>
        <v>-0.54999999999999982</v>
      </c>
      <c r="AM56" s="9">
        <f t="shared" si="26"/>
        <v>-0.79999999999999982</v>
      </c>
      <c r="AN56" s="9">
        <f t="shared" si="27"/>
        <v>-1.5999999999999996</v>
      </c>
      <c r="AO56" s="9">
        <f t="shared" si="28"/>
        <v>-1.25</v>
      </c>
      <c r="AP56" s="9">
        <f t="shared" si="29"/>
        <v>-1.2999999999999998</v>
      </c>
      <c r="AQ56" s="9">
        <f t="shared" si="30"/>
        <v>-0.40000000000000036</v>
      </c>
      <c r="AR56" s="9">
        <f t="shared" si="31"/>
        <v>-9.9999999999999645E-2</v>
      </c>
      <c r="AS56" s="9">
        <f t="shared" si="32"/>
        <v>0.5</v>
      </c>
      <c r="AT56" s="9">
        <f t="shared" si="33"/>
        <v>0.19999999999999929</v>
      </c>
      <c r="AU56" s="9">
        <f t="shared" si="34"/>
        <v>-1.0250000000000004</v>
      </c>
      <c r="AV56" s="9">
        <f t="shared" si="35"/>
        <v>-0.90000000000000036</v>
      </c>
      <c r="AW56" s="9">
        <f t="shared" si="36"/>
        <v>-2.1999999999999993</v>
      </c>
      <c r="AX56" s="9">
        <f t="shared" si="37"/>
        <v>-2.4000000000000004</v>
      </c>
      <c r="AY56" s="9">
        <f t="shared" si="38"/>
        <v>-3.4000000000000004</v>
      </c>
      <c r="AZ56" s="9">
        <f t="shared" si="39"/>
        <v>-3</v>
      </c>
      <c r="BA56" s="9">
        <f t="shared" si="40"/>
        <v>-3</v>
      </c>
      <c r="BB56" s="9">
        <f t="shared" si="41"/>
        <v>0.52500000000000036</v>
      </c>
      <c r="BC56" s="9">
        <f t="shared" si="42"/>
        <v>2.5000000000000355E-2</v>
      </c>
      <c r="BD56" s="9">
        <f t="shared" si="43"/>
        <v>-0.76499999999999879</v>
      </c>
      <c r="BE56" s="9">
        <f t="shared" si="44"/>
        <v>-0.47499999999999964</v>
      </c>
      <c r="BF56" s="9">
        <f t="shared" si="45"/>
        <v>-1.9749999999999996</v>
      </c>
      <c r="BG56" s="9">
        <f t="shared" si="46"/>
        <v>-2.9749999999999996</v>
      </c>
      <c r="BH56" s="9">
        <f t="shared" si="47"/>
        <v>-3.7249999999999996</v>
      </c>
      <c r="BI56" s="9">
        <f t="shared" si="48"/>
        <v>-3.4749999999999996</v>
      </c>
      <c r="BJ56" s="9">
        <f t="shared" si="49"/>
        <v>-3.6749999999999989</v>
      </c>
    </row>
    <row r="57" spans="1:62" x14ac:dyDescent="0.2">
      <c r="A57" s="9">
        <f>data!M58-data!M57</f>
        <v>0.47469999999999857</v>
      </c>
      <c r="B57" s="9">
        <f>data!C58-data!C57</f>
        <v>0.99000000000000021</v>
      </c>
      <c r="C57" s="9">
        <f>data!D58-data!D57</f>
        <v>5.0000000000000711E-2</v>
      </c>
      <c r="D57" s="10">
        <f>data!B58-data!B57</f>
        <v>7.4999999999999956E-2</v>
      </c>
      <c r="E57" s="9">
        <f>data!E57-data!G57</f>
        <v>2.9691999999999998</v>
      </c>
      <c r="F57" s="9">
        <f>(data!E57-data!F57)-(data!G57-data!H57)</f>
        <v>-1.2323999999999999</v>
      </c>
      <c r="G57" s="9">
        <f t="shared" si="0"/>
        <v>-2.4999999999999467E-2</v>
      </c>
      <c r="H57" s="9">
        <f t="shared" si="1"/>
        <v>-7.9600000000000115E-2</v>
      </c>
      <c r="I57" s="9">
        <f>IF(data!M58&gt; 111.81,1,0)</f>
        <v>0</v>
      </c>
      <c r="J57" s="9">
        <f t="shared" si="2"/>
        <v>1</v>
      </c>
      <c r="K57" s="9">
        <f t="shared" si="3"/>
        <v>0</v>
      </c>
      <c r="L57" s="9">
        <f t="shared" si="4"/>
        <v>0.47469999999999857</v>
      </c>
      <c r="M57" s="9">
        <f>data!J57</f>
        <v>-2.1</v>
      </c>
      <c r="N57" s="9">
        <f>data!I57</f>
        <v>-2.1</v>
      </c>
      <c r="O57" s="9">
        <f>data!L57</f>
        <v>-4.4000000000000004</v>
      </c>
      <c r="P57" s="9">
        <f>data!K57</f>
        <v>-9</v>
      </c>
      <c r="Q57" s="9">
        <f>data!R57</f>
        <v>-12.5</v>
      </c>
      <c r="R57" s="9">
        <f t="shared" si="5"/>
        <v>0</v>
      </c>
      <c r="S57" s="9">
        <f t="shared" si="6"/>
        <v>0.31000000000000005</v>
      </c>
      <c r="T57" s="9">
        <f t="shared" si="7"/>
        <v>0.20000000000000018</v>
      </c>
      <c r="U57" s="9">
        <f t="shared" si="8"/>
        <v>-0.10000000000000009</v>
      </c>
      <c r="V57" s="9">
        <f t="shared" si="9"/>
        <v>-0.10000000000000009</v>
      </c>
      <c r="W57" s="9">
        <f t="shared" si="10"/>
        <v>0.70000000000000018</v>
      </c>
      <c r="X57" s="9">
        <f t="shared" si="11"/>
        <v>0.90000000000000013</v>
      </c>
      <c r="Y57" s="9">
        <f t="shared" si="12"/>
        <v>1.1000000000000001</v>
      </c>
      <c r="Z57" s="9">
        <f t="shared" si="13"/>
        <v>1.1800000000000002</v>
      </c>
      <c r="AA57" s="9">
        <f t="shared" si="14"/>
        <v>-0.10000000000000009</v>
      </c>
      <c r="AB57" s="9">
        <f t="shared" si="15"/>
        <v>-0.10000000000000009</v>
      </c>
      <c r="AC57" s="9">
        <f t="shared" si="16"/>
        <v>-0.10000000000000009</v>
      </c>
      <c r="AD57" s="9">
        <f t="shared" si="17"/>
        <v>-0.5</v>
      </c>
      <c r="AE57" s="9">
        <f t="shared" si="18"/>
        <v>-0.29999999999999982</v>
      </c>
      <c r="AF57" s="9">
        <f t="shared" si="19"/>
        <v>0.22500000000000009</v>
      </c>
      <c r="AG57" s="9">
        <f t="shared" si="20"/>
        <v>0.60000000000000009</v>
      </c>
      <c r="AH57" s="9">
        <f t="shared" si="21"/>
        <v>0.70000000000000018</v>
      </c>
      <c r="AI57" s="9">
        <f t="shared" si="22"/>
        <v>1.01</v>
      </c>
      <c r="AJ57" s="9">
        <f t="shared" si="23"/>
        <v>-9.9999999999999645E-2</v>
      </c>
      <c r="AK57" s="9">
        <f t="shared" si="24"/>
        <v>-0.64999999999999947</v>
      </c>
      <c r="AL57" s="9">
        <f t="shared" si="25"/>
        <v>-0.89999999999999947</v>
      </c>
      <c r="AM57" s="9">
        <f t="shared" si="26"/>
        <v>-1.6999999999999993</v>
      </c>
      <c r="AN57" s="9">
        <f t="shared" si="27"/>
        <v>-1.3499999999999996</v>
      </c>
      <c r="AO57" s="9">
        <f t="shared" si="28"/>
        <v>-1.3999999999999995</v>
      </c>
      <c r="AP57" s="9">
        <f t="shared" si="29"/>
        <v>-0.5</v>
      </c>
      <c r="AQ57" s="9">
        <f t="shared" si="30"/>
        <v>-0.19999999999999929</v>
      </c>
      <c r="AR57" s="9">
        <f t="shared" si="31"/>
        <v>0.15000000000000036</v>
      </c>
      <c r="AS57" s="9">
        <f t="shared" si="32"/>
        <v>-0.30000000000000071</v>
      </c>
      <c r="AT57" s="9">
        <f t="shared" si="33"/>
        <v>-1.5250000000000004</v>
      </c>
      <c r="AU57" s="9">
        <f t="shared" si="34"/>
        <v>-1.4000000000000004</v>
      </c>
      <c r="AV57" s="9">
        <f t="shared" si="35"/>
        <v>-2.6999999999999993</v>
      </c>
      <c r="AW57" s="9">
        <f t="shared" si="36"/>
        <v>-2.9000000000000004</v>
      </c>
      <c r="AX57" s="9">
        <f t="shared" si="37"/>
        <v>-3.9000000000000004</v>
      </c>
      <c r="AY57" s="9">
        <f t="shared" si="38"/>
        <v>-3.5</v>
      </c>
      <c r="AZ57" s="9">
        <f t="shared" si="39"/>
        <v>-3.5</v>
      </c>
      <c r="BA57" s="9">
        <f t="shared" si="40"/>
        <v>-3.5</v>
      </c>
      <c r="BB57" s="9">
        <f t="shared" si="41"/>
        <v>-0.5</v>
      </c>
      <c r="BC57" s="9">
        <f t="shared" si="42"/>
        <v>-1.2899999999999991</v>
      </c>
      <c r="BD57" s="9">
        <f t="shared" si="43"/>
        <v>-1</v>
      </c>
      <c r="BE57" s="9">
        <f t="shared" si="44"/>
        <v>-2.5</v>
      </c>
      <c r="BF57" s="9">
        <f t="shared" si="45"/>
        <v>-3.5</v>
      </c>
      <c r="BG57" s="9">
        <f t="shared" si="46"/>
        <v>-4.25</v>
      </c>
      <c r="BH57" s="9">
        <f t="shared" si="47"/>
        <v>-4</v>
      </c>
      <c r="BI57" s="9">
        <f t="shared" si="48"/>
        <v>-4.1999999999999993</v>
      </c>
      <c r="BJ57" s="9">
        <f t="shared" si="49"/>
        <v>-4.25</v>
      </c>
    </row>
    <row r="58" spans="1:62" x14ac:dyDescent="0.2">
      <c r="A58" s="9">
        <f>data!M59-data!M58</f>
        <v>0.20400000000000773</v>
      </c>
      <c r="B58" s="9">
        <f>data!C59-data!C58</f>
        <v>-9.0000000000001634E-2</v>
      </c>
      <c r="C58" s="9">
        <f>data!D59-data!D58</f>
        <v>0.19999999999999929</v>
      </c>
      <c r="D58" s="10">
        <f>data!B59-data!B58</f>
        <v>-7.4999999999999956E-2</v>
      </c>
      <c r="E58" s="9">
        <f>data!E58-data!G58</f>
        <v>2.9442000000000004</v>
      </c>
      <c r="F58" s="9">
        <f>(data!E58-data!F58)-(data!G58-data!H58)</f>
        <v>-1.3120000000000001</v>
      </c>
      <c r="G58" s="9">
        <f t="shared" si="0"/>
        <v>4.5300000000000118E-2</v>
      </c>
      <c r="H58" s="9">
        <f t="shared" si="1"/>
        <v>-1.069999999999971E-2</v>
      </c>
      <c r="I58" s="9">
        <f>IF(data!M59&gt; 111.81,1,0)</f>
        <v>0</v>
      </c>
      <c r="J58" s="9">
        <f t="shared" si="2"/>
        <v>1</v>
      </c>
      <c r="K58" s="9">
        <f t="shared" si="3"/>
        <v>0</v>
      </c>
      <c r="L58" s="9">
        <f t="shared" si="4"/>
        <v>0.20400000000000773</v>
      </c>
      <c r="M58" s="9">
        <f>data!J58</f>
        <v>-2.1</v>
      </c>
      <c r="N58" s="9">
        <f>data!I58</f>
        <v>-2.2000000000000002</v>
      </c>
      <c r="O58" s="9">
        <f>data!L58</f>
        <v>-4.5</v>
      </c>
      <c r="P58" s="9">
        <f>data!K58</f>
        <v>-9.3000000000000007</v>
      </c>
      <c r="Q58" s="9">
        <f>data!R58</f>
        <v>-13</v>
      </c>
      <c r="R58" s="9">
        <f t="shared" si="5"/>
        <v>0.31000000000000005</v>
      </c>
      <c r="S58" s="9">
        <f t="shared" si="6"/>
        <v>0.20000000000000018</v>
      </c>
      <c r="T58" s="9">
        <f t="shared" si="7"/>
        <v>-0.10000000000000009</v>
      </c>
      <c r="U58" s="9">
        <f t="shared" si="8"/>
        <v>-0.10000000000000009</v>
      </c>
      <c r="V58" s="9">
        <f t="shared" si="9"/>
        <v>0.70000000000000018</v>
      </c>
      <c r="W58" s="9">
        <f t="shared" si="10"/>
        <v>0.90000000000000013</v>
      </c>
      <c r="X58" s="9">
        <f t="shared" si="11"/>
        <v>1.1000000000000001</v>
      </c>
      <c r="Y58" s="9">
        <f t="shared" si="12"/>
        <v>1.1800000000000002</v>
      </c>
      <c r="Z58" s="9">
        <f t="shared" si="13"/>
        <v>1.5</v>
      </c>
      <c r="AA58" s="9">
        <f t="shared" si="14"/>
        <v>0</v>
      </c>
      <c r="AB58" s="9">
        <f t="shared" si="15"/>
        <v>0</v>
      </c>
      <c r="AC58" s="9">
        <f t="shared" si="16"/>
        <v>-0.39999999999999991</v>
      </c>
      <c r="AD58" s="9">
        <f t="shared" si="17"/>
        <v>-0.19999999999999973</v>
      </c>
      <c r="AE58" s="9">
        <f t="shared" si="18"/>
        <v>0.32500000000000018</v>
      </c>
      <c r="AF58" s="9">
        <f t="shared" si="19"/>
        <v>0.70000000000000018</v>
      </c>
      <c r="AG58" s="9">
        <f t="shared" si="20"/>
        <v>0.80000000000000027</v>
      </c>
      <c r="AH58" s="9">
        <f t="shared" si="21"/>
        <v>1.1100000000000001</v>
      </c>
      <c r="AI58" s="9">
        <f t="shared" si="22"/>
        <v>1.5000000000000002</v>
      </c>
      <c r="AJ58" s="9">
        <f t="shared" si="23"/>
        <v>-0.54999999999999982</v>
      </c>
      <c r="AK58" s="9">
        <f t="shared" si="24"/>
        <v>-0.79999999999999982</v>
      </c>
      <c r="AL58" s="9">
        <f t="shared" si="25"/>
        <v>-1.5999999999999996</v>
      </c>
      <c r="AM58" s="9">
        <f t="shared" si="26"/>
        <v>-1.25</v>
      </c>
      <c r="AN58" s="9">
        <f t="shared" si="27"/>
        <v>-1.2999999999999998</v>
      </c>
      <c r="AO58" s="9">
        <f t="shared" si="28"/>
        <v>-0.40000000000000036</v>
      </c>
      <c r="AP58" s="9">
        <f t="shared" si="29"/>
        <v>-9.9999999999999645E-2</v>
      </c>
      <c r="AQ58" s="9">
        <f t="shared" si="30"/>
        <v>0.25</v>
      </c>
      <c r="AR58" s="9">
        <f t="shared" si="31"/>
        <v>1</v>
      </c>
      <c r="AS58" s="9">
        <f t="shared" si="32"/>
        <v>-1.2249999999999996</v>
      </c>
      <c r="AT58" s="9">
        <f t="shared" si="33"/>
        <v>-1.0999999999999996</v>
      </c>
      <c r="AU58" s="9">
        <f t="shared" si="34"/>
        <v>-2.3999999999999986</v>
      </c>
      <c r="AV58" s="9">
        <f t="shared" si="35"/>
        <v>-2.5999999999999996</v>
      </c>
      <c r="AW58" s="9">
        <f t="shared" si="36"/>
        <v>-3.5999999999999996</v>
      </c>
      <c r="AX58" s="9">
        <f t="shared" si="37"/>
        <v>-3.1999999999999993</v>
      </c>
      <c r="AY58" s="9">
        <f t="shared" si="38"/>
        <v>-3.1999999999999993</v>
      </c>
      <c r="AZ58" s="9">
        <f t="shared" si="39"/>
        <v>-3.1999999999999993</v>
      </c>
      <c r="BA58" s="9">
        <f t="shared" si="40"/>
        <v>-2.5</v>
      </c>
      <c r="BB58" s="9">
        <f t="shared" si="41"/>
        <v>-0.78999999999999915</v>
      </c>
      <c r="BC58" s="9">
        <f t="shared" si="42"/>
        <v>-0.5</v>
      </c>
      <c r="BD58" s="9">
        <f t="shared" si="43"/>
        <v>-2</v>
      </c>
      <c r="BE58" s="9">
        <f t="shared" si="44"/>
        <v>-3</v>
      </c>
      <c r="BF58" s="9">
        <f t="shared" si="45"/>
        <v>-3.75</v>
      </c>
      <c r="BG58" s="9">
        <f t="shared" si="46"/>
        <v>-3.5</v>
      </c>
      <c r="BH58" s="9">
        <f t="shared" si="47"/>
        <v>-3.6999999999999993</v>
      </c>
      <c r="BI58" s="9">
        <f t="shared" si="48"/>
        <v>-3.75</v>
      </c>
      <c r="BJ58" s="9">
        <f t="shared" si="49"/>
        <v>-3</v>
      </c>
    </row>
    <row r="59" spans="1:62" x14ac:dyDescent="0.2">
      <c r="A59" s="9">
        <f>data!M60-data!M59</f>
        <v>1.839999999999975E-2</v>
      </c>
      <c r="B59" s="9">
        <f>data!C60-data!C59</f>
        <v>-0.85999999999999943</v>
      </c>
      <c r="C59" s="9">
        <f>data!D60-data!D59</f>
        <v>-0.15000000000000036</v>
      </c>
      <c r="D59" s="10">
        <f>data!B60-data!B59</f>
        <v>0</v>
      </c>
      <c r="E59" s="9">
        <f>data!E59-data!G59</f>
        <v>2.9895000000000005</v>
      </c>
      <c r="F59" s="9">
        <f>(data!E59-data!F59)-(data!G59-data!H59)</f>
        <v>-1.3226999999999998</v>
      </c>
      <c r="G59" s="9">
        <f t="shared" si="0"/>
        <v>3.7700000000000067E-2</v>
      </c>
      <c r="H59" s="9">
        <f t="shared" si="1"/>
        <v>9.2499999999999805E-2</v>
      </c>
      <c r="I59" s="9">
        <f>IF(data!M60&gt; 111.81,1,0)</f>
        <v>0</v>
      </c>
      <c r="J59" s="9">
        <f t="shared" si="2"/>
        <v>1</v>
      </c>
      <c r="K59" s="9">
        <f t="shared" si="3"/>
        <v>0</v>
      </c>
      <c r="L59" s="9">
        <f t="shared" si="4"/>
        <v>1.839999999999975E-2</v>
      </c>
      <c r="M59" s="9">
        <f>data!J59</f>
        <v>-1.79</v>
      </c>
      <c r="N59" s="9">
        <f>data!I59</f>
        <v>-2.2000000000000002</v>
      </c>
      <c r="O59" s="9">
        <f>data!L59</f>
        <v>-5.05</v>
      </c>
      <c r="P59" s="9">
        <f>data!K59</f>
        <v>-10.525</v>
      </c>
      <c r="Q59" s="9">
        <f>data!R59</f>
        <v>-13.79</v>
      </c>
      <c r="R59" s="9">
        <f t="shared" si="5"/>
        <v>-0.10999999999999988</v>
      </c>
      <c r="S59" s="9">
        <f t="shared" si="6"/>
        <v>-0.41000000000000014</v>
      </c>
      <c r="T59" s="9">
        <f t="shared" si="7"/>
        <v>-0.41000000000000014</v>
      </c>
      <c r="U59" s="9">
        <f t="shared" si="8"/>
        <v>0.39000000000000012</v>
      </c>
      <c r="V59" s="9">
        <f t="shared" si="9"/>
        <v>0.59000000000000008</v>
      </c>
      <c r="W59" s="9">
        <f t="shared" si="10"/>
        <v>0.79</v>
      </c>
      <c r="X59" s="9">
        <f t="shared" si="11"/>
        <v>0.87</v>
      </c>
      <c r="Y59" s="9">
        <f t="shared" si="12"/>
        <v>1.19</v>
      </c>
      <c r="Z59" s="9">
        <f t="shared" si="13"/>
        <v>0.43999999999999995</v>
      </c>
      <c r="AA59" s="9">
        <f t="shared" si="14"/>
        <v>0</v>
      </c>
      <c r="AB59" s="9">
        <f t="shared" si="15"/>
        <v>-0.39999999999999991</v>
      </c>
      <c r="AC59" s="9">
        <f t="shared" si="16"/>
        <v>-0.19999999999999973</v>
      </c>
      <c r="AD59" s="9">
        <f t="shared" si="17"/>
        <v>0.32500000000000018</v>
      </c>
      <c r="AE59" s="9">
        <f t="shared" si="18"/>
        <v>0.70000000000000018</v>
      </c>
      <c r="AF59" s="9">
        <f t="shared" si="19"/>
        <v>0.80000000000000027</v>
      </c>
      <c r="AG59" s="9">
        <f t="shared" si="20"/>
        <v>1.1100000000000001</v>
      </c>
      <c r="AH59" s="9">
        <f t="shared" si="21"/>
        <v>1.5000000000000002</v>
      </c>
      <c r="AI59" s="9">
        <f t="shared" si="22"/>
        <v>1.5000000000000002</v>
      </c>
      <c r="AJ59" s="9">
        <f t="shared" si="23"/>
        <v>-0.25</v>
      </c>
      <c r="AK59" s="9">
        <f t="shared" si="24"/>
        <v>-1.0499999999999998</v>
      </c>
      <c r="AL59" s="9">
        <f t="shared" si="25"/>
        <v>-0.70000000000000018</v>
      </c>
      <c r="AM59" s="9">
        <f t="shared" si="26"/>
        <v>-0.75</v>
      </c>
      <c r="AN59" s="9">
        <f t="shared" si="27"/>
        <v>0.14999999999999947</v>
      </c>
      <c r="AO59" s="9">
        <f t="shared" si="28"/>
        <v>0.45000000000000018</v>
      </c>
      <c r="AP59" s="9">
        <f t="shared" si="29"/>
        <v>0.79999999999999982</v>
      </c>
      <c r="AQ59" s="9">
        <f t="shared" si="30"/>
        <v>1.5499999999999998</v>
      </c>
      <c r="AR59" s="9">
        <f t="shared" si="31"/>
        <v>2.0499999999999998</v>
      </c>
      <c r="AS59" s="9">
        <f t="shared" si="32"/>
        <v>0.125</v>
      </c>
      <c r="AT59" s="9">
        <f t="shared" si="33"/>
        <v>-1.1749999999999989</v>
      </c>
      <c r="AU59" s="9">
        <f t="shared" si="34"/>
        <v>-1.375</v>
      </c>
      <c r="AV59" s="9">
        <f t="shared" si="35"/>
        <v>-2.375</v>
      </c>
      <c r="AW59" s="9">
        <f t="shared" si="36"/>
        <v>-1.9749999999999996</v>
      </c>
      <c r="AX59" s="9">
        <f t="shared" si="37"/>
        <v>-1.9749999999999996</v>
      </c>
      <c r="AY59" s="9">
        <f t="shared" si="38"/>
        <v>-1.9749999999999996</v>
      </c>
      <c r="AZ59" s="9">
        <f t="shared" si="39"/>
        <v>-1.2750000000000004</v>
      </c>
      <c r="BA59" s="9">
        <f t="shared" si="40"/>
        <v>-0.47499999999999964</v>
      </c>
      <c r="BB59" s="9">
        <f t="shared" si="41"/>
        <v>0.28999999999999915</v>
      </c>
      <c r="BC59" s="9">
        <f t="shared" si="42"/>
        <v>-1.2100000000000009</v>
      </c>
      <c r="BD59" s="9">
        <f t="shared" si="43"/>
        <v>-2.2100000000000009</v>
      </c>
      <c r="BE59" s="9">
        <f t="shared" si="44"/>
        <v>-2.9600000000000009</v>
      </c>
      <c r="BF59" s="9">
        <f t="shared" si="45"/>
        <v>-2.7100000000000009</v>
      </c>
      <c r="BG59" s="9">
        <f t="shared" si="46"/>
        <v>-2.91</v>
      </c>
      <c r="BH59" s="9">
        <f t="shared" si="47"/>
        <v>-2.9600000000000009</v>
      </c>
      <c r="BI59" s="9">
        <f t="shared" si="48"/>
        <v>-2.2100000000000009</v>
      </c>
      <c r="BJ59" s="9">
        <f t="shared" si="49"/>
        <v>-1.3350000000000009</v>
      </c>
    </row>
    <row r="60" spans="1:62" x14ac:dyDescent="0.2">
      <c r="A60" s="9">
        <f>data!M61-data!M60</f>
        <v>-8.100000000000307E-2</v>
      </c>
      <c r="B60" s="9">
        <f>data!C61-data!C60</f>
        <v>-0.54999999999999893</v>
      </c>
      <c r="C60" s="9">
        <f>data!D61-data!D60</f>
        <v>9.9999999999999645E-2</v>
      </c>
      <c r="D60" s="10">
        <f>data!B61-data!B60</f>
        <v>4.9999999999999989E-2</v>
      </c>
      <c r="E60" s="9">
        <f>data!E60-data!G60</f>
        <v>3.0272000000000006</v>
      </c>
      <c r="F60" s="9">
        <f>(data!E60-data!F60)-(data!G60-data!H60)</f>
        <v>-1.2302</v>
      </c>
      <c r="G60" s="9">
        <f t="shared" si="0"/>
        <v>-3.9500000000000313E-2</v>
      </c>
      <c r="H60" s="9">
        <f t="shared" si="1"/>
        <v>-2.9199999999999893E-2</v>
      </c>
      <c r="I60" s="9">
        <f>IF(data!M61&gt; 111.81,1,0)</f>
        <v>0</v>
      </c>
      <c r="J60" s="9">
        <f t="shared" si="2"/>
        <v>1</v>
      </c>
      <c r="K60" s="9">
        <f t="shared" si="3"/>
        <v>0</v>
      </c>
      <c r="L60" s="9">
        <f t="shared" si="4"/>
        <v>-8.100000000000307E-2</v>
      </c>
      <c r="M60" s="9">
        <f>data!J60</f>
        <v>-1.9</v>
      </c>
      <c r="N60" s="9">
        <f>data!I60</f>
        <v>-2.2000000000000002</v>
      </c>
      <c r="O60" s="9">
        <f>data!L60</f>
        <v>-5.3</v>
      </c>
      <c r="P60" s="9">
        <f>data!K60</f>
        <v>-10.4</v>
      </c>
      <c r="Q60" s="9">
        <f>data!R60</f>
        <v>-13.5</v>
      </c>
      <c r="R60" s="9">
        <f t="shared" si="5"/>
        <v>-0.30000000000000027</v>
      </c>
      <c r="S60" s="9">
        <f t="shared" si="6"/>
        <v>-0.30000000000000027</v>
      </c>
      <c r="T60" s="9">
        <f t="shared" si="7"/>
        <v>0.5</v>
      </c>
      <c r="U60" s="9">
        <f t="shared" si="8"/>
        <v>0.7</v>
      </c>
      <c r="V60" s="9">
        <f t="shared" si="9"/>
        <v>0.89999999999999991</v>
      </c>
      <c r="W60" s="9">
        <f t="shared" si="10"/>
        <v>0.97999999999999987</v>
      </c>
      <c r="X60" s="9">
        <f t="shared" si="11"/>
        <v>1.2999999999999998</v>
      </c>
      <c r="Y60" s="9">
        <f t="shared" si="12"/>
        <v>0.54999999999999982</v>
      </c>
      <c r="Z60" s="9">
        <f t="shared" si="13"/>
        <v>0.19999999999999996</v>
      </c>
      <c r="AA60" s="9">
        <f t="shared" si="14"/>
        <v>-0.39999999999999991</v>
      </c>
      <c r="AB60" s="9">
        <f t="shared" si="15"/>
        <v>-0.19999999999999973</v>
      </c>
      <c r="AC60" s="9">
        <f t="shared" si="16"/>
        <v>0.32500000000000018</v>
      </c>
      <c r="AD60" s="9">
        <f t="shared" si="17"/>
        <v>0.70000000000000018</v>
      </c>
      <c r="AE60" s="9">
        <f t="shared" si="18"/>
        <v>0.80000000000000027</v>
      </c>
      <c r="AF60" s="9">
        <f t="shared" si="19"/>
        <v>1.1100000000000001</v>
      </c>
      <c r="AG60" s="9">
        <f t="shared" si="20"/>
        <v>1.5000000000000002</v>
      </c>
      <c r="AH60" s="9">
        <f t="shared" si="21"/>
        <v>1.5000000000000002</v>
      </c>
      <c r="AI60" s="9">
        <f t="shared" si="22"/>
        <v>1.3000000000000003</v>
      </c>
      <c r="AJ60" s="9">
        <f t="shared" si="23"/>
        <v>-0.79999999999999982</v>
      </c>
      <c r="AK60" s="9">
        <f t="shared" si="24"/>
        <v>-0.45000000000000018</v>
      </c>
      <c r="AL60" s="9">
        <f t="shared" si="25"/>
        <v>-0.5</v>
      </c>
      <c r="AM60" s="9">
        <f t="shared" si="26"/>
        <v>0.39999999999999947</v>
      </c>
      <c r="AN60" s="9">
        <f t="shared" si="27"/>
        <v>0.70000000000000018</v>
      </c>
      <c r="AO60" s="9">
        <f t="shared" si="28"/>
        <v>1.0499999999999998</v>
      </c>
      <c r="AP60" s="9">
        <f t="shared" si="29"/>
        <v>1.7999999999999998</v>
      </c>
      <c r="AQ60" s="9">
        <f t="shared" si="30"/>
        <v>2.2999999999999998</v>
      </c>
      <c r="AR60" s="9">
        <f t="shared" si="31"/>
        <v>1.7999999999999998</v>
      </c>
      <c r="AS60" s="9">
        <f t="shared" si="32"/>
        <v>-1.2999999999999989</v>
      </c>
      <c r="AT60" s="9">
        <f t="shared" si="33"/>
        <v>-1.5</v>
      </c>
      <c r="AU60" s="9">
        <f t="shared" si="34"/>
        <v>-2.5</v>
      </c>
      <c r="AV60" s="9">
        <f t="shared" si="35"/>
        <v>-2.0999999999999996</v>
      </c>
      <c r="AW60" s="9">
        <f t="shared" si="36"/>
        <v>-2.0999999999999996</v>
      </c>
      <c r="AX60" s="9">
        <f t="shared" si="37"/>
        <v>-2.0999999999999996</v>
      </c>
      <c r="AY60" s="9">
        <f t="shared" si="38"/>
        <v>-1.4000000000000004</v>
      </c>
      <c r="AZ60" s="9">
        <f t="shared" si="39"/>
        <v>-0.59999999999999964</v>
      </c>
      <c r="BA60" s="9">
        <f t="shared" si="40"/>
        <v>-1</v>
      </c>
      <c r="BB60" s="9">
        <f t="shared" si="41"/>
        <v>-1.5</v>
      </c>
      <c r="BC60" s="9">
        <f t="shared" si="42"/>
        <v>-2.5</v>
      </c>
      <c r="BD60" s="9">
        <f t="shared" si="43"/>
        <v>-3.25</v>
      </c>
      <c r="BE60" s="9">
        <f t="shared" si="44"/>
        <v>-3</v>
      </c>
      <c r="BF60" s="9">
        <f t="shared" si="45"/>
        <v>-3.1999999999999993</v>
      </c>
      <c r="BG60" s="9">
        <f t="shared" si="46"/>
        <v>-3.25</v>
      </c>
      <c r="BH60" s="9">
        <f t="shared" si="47"/>
        <v>-2.5</v>
      </c>
      <c r="BI60" s="9">
        <f t="shared" si="48"/>
        <v>-1.625</v>
      </c>
      <c r="BJ60" s="9">
        <f t="shared" si="49"/>
        <v>-1.9000000000000004</v>
      </c>
    </row>
    <row r="61" spans="1:62" x14ac:dyDescent="0.2">
      <c r="A61" s="9">
        <f>data!M62-data!M61</f>
        <v>-0.55700000000000216</v>
      </c>
      <c r="B61" s="9">
        <f>data!C62-data!C61</f>
        <v>0.5</v>
      </c>
      <c r="C61" s="9">
        <f>data!D62-data!D61</f>
        <v>-4.9999999999998934E-2</v>
      </c>
      <c r="D61" s="10">
        <f>data!B62-data!B61</f>
        <v>4.9999999999999989E-2</v>
      </c>
      <c r="E61" s="9">
        <f>data!E61-data!G61</f>
        <v>2.9877000000000002</v>
      </c>
      <c r="F61" s="9">
        <f>(data!E61-data!F61)-(data!G61-data!H61)</f>
        <v>-1.2593999999999999</v>
      </c>
      <c r="G61" s="9">
        <f t="shared" si="0"/>
        <v>7.240000000000002E-2</v>
      </c>
      <c r="H61" s="9">
        <f t="shared" si="1"/>
        <v>7.8100000000000502E-2</v>
      </c>
      <c r="I61" s="9">
        <f>IF(data!M62&gt; 111.81,1,0)</f>
        <v>0</v>
      </c>
      <c r="J61" s="9">
        <f t="shared" si="2"/>
        <v>1</v>
      </c>
      <c r="K61" s="9">
        <f t="shared" si="3"/>
        <v>0</v>
      </c>
      <c r="L61" s="9">
        <f t="shared" si="4"/>
        <v>-0.55700000000000216</v>
      </c>
      <c r="M61" s="9">
        <f>data!J61</f>
        <v>-2.2000000000000002</v>
      </c>
      <c r="N61" s="9">
        <f>data!I61</f>
        <v>-2.6</v>
      </c>
      <c r="O61" s="9">
        <f>data!L61</f>
        <v>-6.1</v>
      </c>
      <c r="P61" s="9">
        <f>data!K61</f>
        <v>-11.7</v>
      </c>
      <c r="Q61" s="9">
        <f>data!R61</f>
        <v>-15</v>
      </c>
      <c r="R61" s="9">
        <f t="shared" si="5"/>
        <v>0</v>
      </c>
      <c r="S61" s="9">
        <f t="shared" si="6"/>
        <v>0.80000000000000027</v>
      </c>
      <c r="T61" s="9">
        <f t="shared" si="7"/>
        <v>1.0000000000000002</v>
      </c>
      <c r="U61" s="9">
        <f t="shared" si="8"/>
        <v>1.2000000000000002</v>
      </c>
      <c r="V61" s="9">
        <f t="shared" si="9"/>
        <v>1.2800000000000002</v>
      </c>
      <c r="W61" s="9">
        <f t="shared" si="10"/>
        <v>1.6</v>
      </c>
      <c r="X61" s="9">
        <f t="shared" si="11"/>
        <v>0.85000000000000009</v>
      </c>
      <c r="Y61" s="9">
        <f t="shared" si="12"/>
        <v>0.50000000000000022</v>
      </c>
      <c r="Z61" s="9">
        <f t="shared" si="13"/>
        <v>1.5000000000000002</v>
      </c>
      <c r="AA61" s="9">
        <f t="shared" si="14"/>
        <v>0.20000000000000018</v>
      </c>
      <c r="AB61" s="9">
        <f t="shared" si="15"/>
        <v>0.72500000000000009</v>
      </c>
      <c r="AC61" s="9">
        <f t="shared" si="16"/>
        <v>1.1000000000000001</v>
      </c>
      <c r="AD61" s="9">
        <f t="shared" si="17"/>
        <v>1.2000000000000002</v>
      </c>
      <c r="AE61" s="9">
        <f t="shared" si="18"/>
        <v>1.51</v>
      </c>
      <c r="AF61" s="9">
        <f t="shared" si="19"/>
        <v>1.9000000000000001</v>
      </c>
      <c r="AG61" s="9">
        <f t="shared" si="20"/>
        <v>1.9000000000000001</v>
      </c>
      <c r="AH61" s="9">
        <f t="shared" si="21"/>
        <v>1.7000000000000002</v>
      </c>
      <c r="AI61" s="9">
        <f t="shared" si="22"/>
        <v>1.9000000000000001</v>
      </c>
      <c r="AJ61" s="9">
        <f t="shared" si="23"/>
        <v>0.34999999999999964</v>
      </c>
      <c r="AK61" s="9">
        <f t="shared" si="24"/>
        <v>0.29999999999999982</v>
      </c>
      <c r="AL61" s="9">
        <f t="shared" si="25"/>
        <v>1.1999999999999993</v>
      </c>
      <c r="AM61" s="9">
        <f t="shared" si="26"/>
        <v>1.5</v>
      </c>
      <c r="AN61" s="9">
        <f t="shared" si="27"/>
        <v>1.8499999999999996</v>
      </c>
      <c r="AO61" s="9">
        <f t="shared" si="28"/>
        <v>2.5999999999999996</v>
      </c>
      <c r="AP61" s="9">
        <f t="shared" si="29"/>
        <v>3.0999999999999996</v>
      </c>
      <c r="AQ61" s="9">
        <f t="shared" si="30"/>
        <v>2.5999999999999996</v>
      </c>
      <c r="AR61" s="9">
        <f t="shared" si="31"/>
        <v>2.8999999999999995</v>
      </c>
      <c r="AS61" s="9">
        <f t="shared" si="32"/>
        <v>-0.20000000000000107</v>
      </c>
      <c r="AT61" s="9">
        <f t="shared" si="33"/>
        <v>-1.2000000000000011</v>
      </c>
      <c r="AU61" s="9">
        <f t="shared" si="34"/>
        <v>-0.80000000000000071</v>
      </c>
      <c r="AV61" s="9">
        <f t="shared" si="35"/>
        <v>-0.80000000000000071</v>
      </c>
      <c r="AW61" s="9">
        <f t="shared" si="36"/>
        <v>-0.80000000000000071</v>
      </c>
      <c r="AX61" s="9">
        <f t="shared" si="37"/>
        <v>-0.10000000000000142</v>
      </c>
      <c r="AY61" s="9">
        <f t="shared" si="38"/>
        <v>0.69999999999999929</v>
      </c>
      <c r="AZ61" s="9">
        <f t="shared" si="39"/>
        <v>0.29999999999999893</v>
      </c>
      <c r="BA61" s="9">
        <f t="shared" si="40"/>
        <v>0.5</v>
      </c>
      <c r="BB61" s="9">
        <f t="shared" si="41"/>
        <v>-1</v>
      </c>
      <c r="BC61" s="9">
        <f t="shared" si="42"/>
        <v>-1.75</v>
      </c>
      <c r="BD61" s="9">
        <f t="shared" si="43"/>
        <v>-1.5</v>
      </c>
      <c r="BE61" s="9">
        <f t="shared" si="44"/>
        <v>-1.6999999999999993</v>
      </c>
      <c r="BF61" s="9">
        <f t="shared" si="45"/>
        <v>-1.75</v>
      </c>
      <c r="BG61" s="9">
        <f t="shared" si="46"/>
        <v>-1</v>
      </c>
      <c r="BH61" s="9">
        <f t="shared" si="47"/>
        <v>-0.125</v>
      </c>
      <c r="BI61" s="9">
        <f t="shared" si="48"/>
        <v>-0.40000000000000036</v>
      </c>
      <c r="BJ61" s="9">
        <f t="shared" si="49"/>
        <v>-0.19999999999999929</v>
      </c>
    </row>
    <row r="62" spans="1:62" x14ac:dyDescent="0.2">
      <c r="A62" s="9">
        <f>data!M63-data!M62</f>
        <v>1.2541999999999973</v>
      </c>
      <c r="B62" s="9">
        <f>data!C63-data!C62</f>
        <v>-0.11000000000000121</v>
      </c>
      <c r="C62" s="9">
        <f>data!D63-data!D62</f>
        <v>-9.9999999999999645E-2</v>
      </c>
      <c r="D62" s="10">
        <f>data!B63-data!B62</f>
        <v>-9.9999999999999978E-2</v>
      </c>
      <c r="E62" s="9">
        <f>data!E62-data!G62</f>
        <v>3.0601000000000003</v>
      </c>
      <c r="F62" s="9">
        <f>(data!E62-data!F62)-(data!G62-data!H62)</f>
        <v>-1.1812999999999994</v>
      </c>
      <c r="G62" s="9">
        <f t="shared" si="0"/>
        <v>4.6600000000000197E-2</v>
      </c>
      <c r="H62" s="9">
        <f t="shared" si="1"/>
        <v>2.349999999999941E-2</v>
      </c>
      <c r="I62" s="9">
        <f>IF(data!M63&gt; 111.81,1,0)</f>
        <v>0</v>
      </c>
      <c r="J62" s="9">
        <f t="shared" si="2"/>
        <v>1</v>
      </c>
      <c r="K62" s="9">
        <f t="shared" si="3"/>
        <v>0</v>
      </c>
      <c r="L62" s="9">
        <f t="shared" si="4"/>
        <v>1.2541999999999973</v>
      </c>
      <c r="M62" s="9">
        <f>data!J62</f>
        <v>-2.2000000000000002</v>
      </c>
      <c r="N62" s="9">
        <f>data!I62</f>
        <v>-2.4</v>
      </c>
      <c r="O62" s="9">
        <f>data!L62</f>
        <v>-5.75</v>
      </c>
      <c r="P62" s="9">
        <f>data!K62</f>
        <v>-11.9</v>
      </c>
      <c r="Q62" s="9">
        <f>data!R62</f>
        <v>-16</v>
      </c>
      <c r="R62" s="9">
        <f t="shared" si="5"/>
        <v>0.80000000000000027</v>
      </c>
      <c r="S62" s="9">
        <f t="shared" si="6"/>
        <v>1.0000000000000002</v>
      </c>
      <c r="T62" s="9">
        <f t="shared" si="7"/>
        <v>1.2000000000000002</v>
      </c>
      <c r="U62" s="9">
        <f t="shared" si="8"/>
        <v>1.2800000000000002</v>
      </c>
      <c r="V62" s="9">
        <f t="shared" si="9"/>
        <v>1.6</v>
      </c>
      <c r="W62" s="9">
        <f t="shared" si="10"/>
        <v>0.85000000000000009</v>
      </c>
      <c r="X62" s="9">
        <f t="shared" si="11"/>
        <v>0.50000000000000022</v>
      </c>
      <c r="Y62" s="9">
        <f t="shared" si="12"/>
        <v>1.5000000000000002</v>
      </c>
      <c r="Z62" s="9">
        <f t="shared" si="13"/>
        <v>1.5000000000000002</v>
      </c>
      <c r="AA62" s="9">
        <f t="shared" si="14"/>
        <v>0.52499999999999991</v>
      </c>
      <c r="AB62" s="9">
        <f t="shared" si="15"/>
        <v>0.89999999999999991</v>
      </c>
      <c r="AC62" s="9">
        <f t="shared" si="16"/>
        <v>1</v>
      </c>
      <c r="AD62" s="9">
        <f t="shared" si="17"/>
        <v>1.3099999999999998</v>
      </c>
      <c r="AE62" s="9">
        <f t="shared" si="18"/>
        <v>1.7</v>
      </c>
      <c r="AF62" s="9">
        <f t="shared" si="19"/>
        <v>1.7</v>
      </c>
      <c r="AG62" s="9">
        <f t="shared" si="20"/>
        <v>1.5</v>
      </c>
      <c r="AH62" s="9">
        <f t="shared" si="21"/>
        <v>1.7</v>
      </c>
      <c r="AI62" s="9">
        <f t="shared" si="22"/>
        <v>1.7</v>
      </c>
      <c r="AJ62" s="9">
        <f t="shared" si="23"/>
        <v>-4.9999999999999822E-2</v>
      </c>
      <c r="AK62" s="9">
        <f t="shared" si="24"/>
        <v>0.84999999999999964</v>
      </c>
      <c r="AL62" s="9">
        <f t="shared" si="25"/>
        <v>1.1500000000000004</v>
      </c>
      <c r="AM62" s="9">
        <f t="shared" si="26"/>
        <v>1.5</v>
      </c>
      <c r="AN62" s="9">
        <f t="shared" si="27"/>
        <v>2.25</v>
      </c>
      <c r="AO62" s="9">
        <f t="shared" si="28"/>
        <v>2.75</v>
      </c>
      <c r="AP62" s="9">
        <f t="shared" si="29"/>
        <v>2.25</v>
      </c>
      <c r="AQ62" s="9">
        <f t="shared" si="30"/>
        <v>2.5499999999999998</v>
      </c>
      <c r="AR62" s="9">
        <f t="shared" si="31"/>
        <v>2.5499999999999998</v>
      </c>
      <c r="AS62" s="9">
        <f t="shared" si="32"/>
        <v>-1</v>
      </c>
      <c r="AT62" s="9">
        <f t="shared" si="33"/>
        <v>-0.59999999999999964</v>
      </c>
      <c r="AU62" s="9">
        <f t="shared" si="34"/>
        <v>-0.59999999999999964</v>
      </c>
      <c r="AV62" s="9">
        <f t="shared" si="35"/>
        <v>-0.59999999999999964</v>
      </c>
      <c r="AW62" s="9">
        <f t="shared" si="36"/>
        <v>9.9999999999999645E-2</v>
      </c>
      <c r="AX62" s="9">
        <f t="shared" si="37"/>
        <v>0.90000000000000036</v>
      </c>
      <c r="AY62" s="9">
        <f t="shared" si="38"/>
        <v>0.5</v>
      </c>
      <c r="AZ62" s="9">
        <f t="shared" si="39"/>
        <v>0.70000000000000107</v>
      </c>
      <c r="BA62" s="9">
        <f t="shared" si="40"/>
        <v>0.5</v>
      </c>
      <c r="BB62" s="9">
        <f t="shared" si="41"/>
        <v>-0.75</v>
      </c>
      <c r="BC62" s="9">
        <f t="shared" si="42"/>
        <v>-0.5</v>
      </c>
      <c r="BD62" s="9">
        <f t="shared" si="43"/>
        <v>-0.69999999999999929</v>
      </c>
      <c r="BE62" s="9">
        <f t="shared" si="44"/>
        <v>-0.75</v>
      </c>
      <c r="BF62" s="9">
        <f t="shared" si="45"/>
        <v>0</v>
      </c>
      <c r="BG62" s="9">
        <f t="shared" si="46"/>
        <v>0.875</v>
      </c>
      <c r="BH62" s="9">
        <f t="shared" si="47"/>
        <v>0.59999999999999964</v>
      </c>
      <c r="BI62" s="9">
        <f t="shared" si="48"/>
        <v>0.80000000000000071</v>
      </c>
      <c r="BJ62" s="9">
        <f t="shared" si="49"/>
        <v>0.59999999999999964</v>
      </c>
    </row>
    <row r="63" spans="1:62" x14ac:dyDescent="0.2">
      <c r="A63" s="9">
        <f>data!M64-data!M63</f>
        <v>-1.0951999999999913</v>
      </c>
      <c r="B63" s="9">
        <f>data!C64-data!C63</f>
        <v>0.26999999999999957</v>
      </c>
      <c r="C63" s="9">
        <f>data!D64-data!D63</f>
        <v>0.25</v>
      </c>
      <c r="D63" s="10">
        <f>data!B64-data!B63</f>
        <v>2.4999999999999967E-2</v>
      </c>
      <c r="E63" s="9">
        <f>data!E63-data!G63</f>
        <v>3.1067000000000005</v>
      </c>
      <c r="F63" s="9">
        <f>(data!E63-data!F63)-(data!G63-data!H63)</f>
        <v>-1.1577999999999999</v>
      </c>
      <c r="G63" s="9">
        <f t="shared" si="0"/>
        <v>-0.14920000000000089</v>
      </c>
      <c r="H63" s="9">
        <f t="shared" si="1"/>
        <v>2.8199999999999115E-2</v>
      </c>
      <c r="I63" s="9">
        <f>IF(data!M64&gt; 111.81,1,0)</f>
        <v>0</v>
      </c>
      <c r="J63" s="9">
        <f t="shared" si="2"/>
        <v>1</v>
      </c>
      <c r="K63" s="9">
        <f t="shared" si="3"/>
        <v>0</v>
      </c>
      <c r="L63" s="9">
        <f t="shared" si="4"/>
        <v>-1.0951999999999913</v>
      </c>
      <c r="M63" s="9">
        <f>data!J63</f>
        <v>-1.4</v>
      </c>
      <c r="N63" s="9">
        <f>data!I63</f>
        <v>-1.875</v>
      </c>
      <c r="O63" s="9">
        <f>data!L63</f>
        <v>-5.8</v>
      </c>
      <c r="P63" s="9">
        <f>data!K63</f>
        <v>-12.9</v>
      </c>
      <c r="Q63" s="9">
        <f>data!R63</f>
        <v>-16.75</v>
      </c>
      <c r="R63" s="9">
        <f t="shared" si="5"/>
        <v>0.19999999999999996</v>
      </c>
      <c r="S63" s="9">
        <f t="shared" si="6"/>
        <v>0.39999999999999991</v>
      </c>
      <c r="T63" s="9">
        <f t="shared" si="7"/>
        <v>0.47999999999999987</v>
      </c>
      <c r="U63" s="9">
        <f t="shared" si="8"/>
        <v>0.79999999999999993</v>
      </c>
      <c r="V63" s="9">
        <f t="shared" si="9"/>
        <v>4.9999999999999822E-2</v>
      </c>
      <c r="W63" s="9">
        <f t="shared" si="10"/>
        <v>-0.30000000000000004</v>
      </c>
      <c r="X63" s="9">
        <f t="shared" si="11"/>
        <v>0.7</v>
      </c>
      <c r="Y63" s="9">
        <f t="shared" si="12"/>
        <v>0.7</v>
      </c>
      <c r="Z63" s="9">
        <f t="shared" si="13"/>
        <v>3</v>
      </c>
      <c r="AA63" s="9">
        <f t="shared" si="14"/>
        <v>0.375</v>
      </c>
      <c r="AB63" s="9">
        <f t="shared" si="15"/>
        <v>0.47500000000000009</v>
      </c>
      <c r="AC63" s="9">
        <f t="shared" si="16"/>
        <v>0.78499999999999992</v>
      </c>
      <c r="AD63" s="9">
        <f t="shared" si="17"/>
        <v>1.175</v>
      </c>
      <c r="AE63" s="9">
        <f t="shared" si="18"/>
        <v>1.175</v>
      </c>
      <c r="AF63" s="9">
        <f t="shared" si="19"/>
        <v>0.97499999999999998</v>
      </c>
      <c r="AG63" s="9">
        <f t="shared" si="20"/>
        <v>1.175</v>
      </c>
      <c r="AH63" s="9">
        <f t="shared" si="21"/>
        <v>1.175</v>
      </c>
      <c r="AI63" s="9">
        <f t="shared" si="22"/>
        <v>3.5</v>
      </c>
      <c r="AJ63" s="9">
        <f t="shared" si="23"/>
        <v>0.89999999999999947</v>
      </c>
      <c r="AK63" s="9">
        <f t="shared" si="24"/>
        <v>1.2000000000000002</v>
      </c>
      <c r="AL63" s="9">
        <f t="shared" si="25"/>
        <v>1.5499999999999998</v>
      </c>
      <c r="AM63" s="9">
        <f t="shared" si="26"/>
        <v>2.2999999999999998</v>
      </c>
      <c r="AN63" s="9">
        <f t="shared" si="27"/>
        <v>2.8</v>
      </c>
      <c r="AO63" s="9">
        <f t="shared" si="28"/>
        <v>2.2999999999999998</v>
      </c>
      <c r="AP63" s="9">
        <f t="shared" si="29"/>
        <v>2.5999999999999996</v>
      </c>
      <c r="AQ63" s="9">
        <f t="shared" si="30"/>
        <v>2.5999999999999996</v>
      </c>
      <c r="AR63" s="9">
        <f t="shared" si="31"/>
        <v>6</v>
      </c>
      <c r="AS63" s="9">
        <f t="shared" si="32"/>
        <v>0.40000000000000036</v>
      </c>
      <c r="AT63" s="9">
        <f t="shared" si="33"/>
        <v>0.40000000000000036</v>
      </c>
      <c r="AU63" s="9">
        <f t="shared" si="34"/>
        <v>0.40000000000000036</v>
      </c>
      <c r="AV63" s="9">
        <f t="shared" si="35"/>
        <v>1.0999999999999996</v>
      </c>
      <c r="AW63" s="9">
        <f t="shared" si="36"/>
        <v>1.9000000000000004</v>
      </c>
      <c r="AX63" s="9">
        <f t="shared" si="37"/>
        <v>1.5</v>
      </c>
      <c r="AY63" s="9">
        <f t="shared" si="38"/>
        <v>1.7000000000000011</v>
      </c>
      <c r="AZ63" s="9">
        <f t="shared" si="39"/>
        <v>1.5</v>
      </c>
      <c r="BA63" s="9">
        <f t="shared" si="40"/>
        <v>5.65</v>
      </c>
      <c r="BB63" s="9">
        <f t="shared" si="41"/>
        <v>0.25</v>
      </c>
      <c r="BC63" s="9">
        <f t="shared" si="42"/>
        <v>5.0000000000000711E-2</v>
      </c>
      <c r="BD63" s="9">
        <f t="shared" si="43"/>
        <v>0</v>
      </c>
      <c r="BE63" s="9">
        <f t="shared" si="44"/>
        <v>0.75</v>
      </c>
      <c r="BF63" s="9">
        <f t="shared" si="45"/>
        <v>1.625</v>
      </c>
      <c r="BG63" s="9">
        <f t="shared" si="46"/>
        <v>1.3499999999999996</v>
      </c>
      <c r="BH63" s="9">
        <f t="shared" si="47"/>
        <v>1.5500000000000007</v>
      </c>
      <c r="BI63" s="9">
        <f t="shared" si="48"/>
        <v>1.3499999999999996</v>
      </c>
      <c r="BJ63" s="9">
        <f t="shared" si="49"/>
        <v>5</v>
      </c>
    </row>
    <row r="64" spans="1:62" x14ac:dyDescent="0.2">
      <c r="A64" s="9">
        <f>data!M65-data!M64</f>
        <v>0.9158999999999935</v>
      </c>
      <c r="B64" s="9">
        <f>data!C65-data!C64</f>
        <v>-0.92999999999999972</v>
      </c>
      <c r="C64" s="9">
        <f>data!D65-data!D64</f>
        <v>-0.25</v>
      </c>
      <c r="D64" s="10">
        <f>data!B65-data!B64</f>
        <v>-0.35000000000000003</v>
      </c>
      <c r="E64" s="9">
        <f>data!E64-data!G64</f>
        <v>2.9574999999999996</v>
      </c>
      <c r="F64" s="9">
        <f>(data!E64-data!F64)-(data!G64-data!H64)</f>
        <v>-1.1296000000000008</v>
      </c>
      <c r="G64" s="9">
        <f t="shared" si="0"/>
        <v>-1.3900000000000023E-2</v>
      </c>
      <c r="H64" s="9">
        <f t="shared" si="1"/>
        <v>-2.5699999999999612E-2</v>
      </c>
      <c r="I64" s="9">
        <f>IF(data!M65&gt; 111.81,1,0)</f>
        <v>0</v>
      </c>
      <c r="J64" s="9">
        <f t="shared" si="2"/>
        <v>1</v>
      </c>
      <c r="K64" s="9">
        <f t="shared" si="3"/>
        <v>0</v>
      </c>
      <c r="L64" s="9">
        <f t="shared" si="4"/>
        <v>0.9158999999999935</v>
      </c>
      <c r="M64" s="9">
        <f>data!J64</f>
        <v>-1.2</v>
      </c>
      <c r="N64" s="9">
        <f>data!I64</f>
        <v>-1.5</v>
      </c>
      <c r="O64" s="9">
        <f>data!L64</f>
        <v>-4.9000000000000004</v>
      </c>
      <c r="P64" s="9">
        <f>data!K64</f>
        <v>-12.5</v>
      </c>
      <c r="Q64" s="9">
        <f>data!R64</f>
        <v>-16.5</v>
      </c>
      <c r="R64" s="9">
        <f t="shared" si="5"/>
        <v>0.19999999999999996</v>
      </c>
      <c r="S64" s="9">
        <f t="shared" si="6"/>
        <v>0.27999999999999992</v>
      </c>
      <c r="T64" s="9">
        <f t="shared" si="7"/>
        <v>0.6</v>
      </c>
      <c r="U64" s="9">
        <f t="shared" si="8"/>
        <v>-0.15000000000000013</v>
      </c>
      <c r="V64" s="9">
        <f t="shared" si="9"/>
        <v>-0.5</v>
      </c>
      <c r="W64" s="9">
        <f t="shared" si="10"/>
        <v>0.5</v>
      </c>
      <c r="X64" s="9">
        <f t="shared" si="11"/>
        <v>0.5</v>
      </c>
      <c r="Y64" s="9">
        <f t="shared" si="12"/>
        <v>2.8</v>
      </c>
      <c r="Z64" s="9">
        <f t="shared" si="13"/>
        <v>2.09</v>
      </c>
      <c r="AA64" s="9">
        <f t="shared" si="14"/>
        <v>0.10000000000000009</v>
      </c>
      <c r="AB64" s="9">
        <f t="shared" si="15"/>
        <v>0.40999999999999992</v>
      </c>
      <c r="AC64" s="9">
        <f t="shared" si="16"/>
        <v>0.8</v>
      </c>
      <c r="AD64" s="9">
        <f t="shared" si="17"/>
        <v>0.8</v>
      </c>
      <c r="AE64" s="9">
        <f t="shared" si="18"/>
        <v>0.6</v>
      </c>
      <c r="AF64" s="9">
        <f t="shared" si="19"/>
        <v>0.8</v>
      </c>
      <c r="AG64" s="9">
        <f t="shared" si="20"/>
        <v>0.8</v>
      </c>
      <c r="AH64" s="9">
        <f t="shared" si="21"/>
        <v>3.125</v>
      </c>
      <c r="AI64" s="9">
        <f t="shared" si="22"/>
        <v>2.44</v>
      </c>
      <c r="AJ64" s="9">
        <f t="shared" si="23"/>
        <v>0.30000000000000071</v>
      </c>
      <c r="AK64" s="9">
        <f t="shared" si="24"/>
        <v>0.65000000000000036</v>
      </c>
      <c r="AL64" s="9">
        <f t="shared" si="25"/>
        <v>1.4000000000000004</v>
      </c>
      <c r="AM64" s="9">
        <f t="shared" si="26"/>
        <v>1.9000000000000004</v>
      </c>
      <c r="AN64" s="9">
        <f t="shared" si="27"/>
        <v>1.4000000000000004</v>
      </c>
      <c r="AO64" s="9">
        <f t="shared" si="28"/>
        <v>1.7000000000000002</v>
      </c>
      <c r="AP64" s="9">
        <f t="shared" si="29"/>
        <v>1.7000000000000002</v>
      </c>
      <c r="AQ64" s="9">
        <f t="shared" si="30"/>
        <v>5.1000000000000005</v>
      </c>
      <c r="AR64" s="9">
        <f t="shared" si="31"/>
        <v>4.4000000000000004</v>
      </c>
      <c r="AS64" s="9">
        <f t="shared" si="32"/>
        <v>0</v>
      </c>
      <c r="AT64" s="9">
        <f t="shared" si="33"/>
        <v>0</v>
      </c>
      <c r="AU64" s="9">
        <f t="shared" si="34"/>
        <v>0.69999999999999929</v>
      </c>
      <c r="AV64" s="9">
        <f t="shared" si="35"/>
        <v>1.5</v>
      </c>
      <c r="AW64" s="9">
        <f t="shared" si="36"/>
        <v>1.0999999999999996</v>
      </c>
      <c r="AX64" s="9">
        <f t="shared" si="37"/>
        <v>1.3000000000000007</v>
      </c>
      <c r="AY64" s="9">
        <f t="shared" si="38"/>
        <v>1.0999999999999996</v>
      </c>
      <c r="AZ64" s="9">
        <f t="shared" si="39"/>
        <v>5.25</v>
      </c>
      <c r="BA64" s="9">
        <f t="shared" si="40"/>
        <v>4.2750000000000004</v>
      </c>
      <c r="BB64" s="9">
        <f t="shared" si="41"/>
        <v>-0.19999999999999929</v>
      </c>
      <c r="BC64" s="9">
        <f t="shared" si="42"/>
        <v>-0.25</v>
      </c>
      <c r="BD64" s="9">
        <f t="shared" si="43"/>
        <v>0.5</v>
      </c>
      <c r="BE64" s="9">
        <f t="shared" si="44"/>
        <v>1.375</v>
      </c>
      <c r="BF64" s="9">
        <f t="shared" si="45"/>
        <v>1.0999999999999996</v>
      </c>
      <c r="BG64" s="9">
        <f t="shared" si="46"/>
        <v>1.3000000000000007</v>
      </c>
      <c r="BH64" s="9">
        <f t="shared" si="47"/>
        <v>1.0999999999999996</v>
      </c>
      <c r="BI64" s="9">
        <f t="shared" si="48"/>
        <v>4.75</v>
      </c>
      <c r="BJ64" s="9">
        <f t="shared" si="49"/>
        <v>3.6999999999999993</v>
      </c>
    </row>
    <row r="65" spans="1:62" x14ac:dyDescent="0.2">
      <c r="A65" s="9">
        <f>data!M66-data!M65</f>
        <v>-0.2172999999999945</v>
      </c>
      <c r="B65" s="9">
        <f>data!C66-data!C65</f>
        <v>0.20000000000000107</v>
      </c>
      <c r="C65" s="9">
        <f>data!D66-data!D65</f>
        <v>0.125</v>
      </c>
      <c r="D65" s="10">
        <f>data!B66-data!B65</f>
        <v>5.0000000000000044E-2</v>
      </c>
      <c r="E65" s="9">
        <f>data!E65-data!G65</f>
        <v>2.9435999999999996</v>
      </c>
      <c r="F65" s="9">
        <f>(data!E65-data!F65)-(data!G65-data!H65)</f>
        <v>-1.1553000000000004</v>
      </c>
      <c r="G65" s="9">
        <f t="shared" si="0"/>
        <v>0.13360000000000039</v>
      </c>
      <c r="H65" s="9">
        <f t="shared" si="1"/>
        <v>9.6400000000000929E-2</v>
      </c>
      <c r="I65" s="9">
        <f>IF(data!M66&gt; 111.81,1,0)</f>
        <v>0</v>
      </c>
      <c r="J65" s="9">
        <f t="shared" si="2"/>
        <v>1</v>
      </c>
      <c r="K65" s="9">
        <f t="shared" si="3"/>
        <v>0</v>
      </c>
      <c r="L65" s="9">
        <f t="shared" si="4"/>
        <v>-0.2172999999999945</v>
      </c>
      <c r="M65" s="9">
        <f>data!J65</f>
        <v>-1</v>
      </c>
      <c r="N65" s="9">
        <f>data!I65</f>
        <v>-1.4</v>
      </c>
      <c r="O65" s="9">
        <f>data!L65</f>
        <v>-4.5999999999999996</v>
      </c>
      <c r="P65" s="9">
        <f>data!K65</f>
        <v>-12.5</v>
      </c>
      <c r="Q65" s="9">
        <f>data!R65</f>
        <v>-16.7</v>
      </c>
      <c r="R65" s="9">
        <f t="shared" si="5"/>
        <v>7.999999999999996E-2</v>
      </c>
      <c r="S65" s="9">
        <f t="shared" si="6"/>
        <v>0.4</v>
      </c>
      <c r="T65" s="9">
        <f t="shared" si="7"/>
        <v>-0.35000000000000009</v>
      </c>
      <c r="U65" s="9">
        <f t="shared" si="8"/>
        <v>-0.7</v>
      </c>
      <c r="V65" s="9">
        <f t="shared" si="9"/>
        <v>0.30000000000000004</v>
      </c>
      <c r="W65" s="9">
        <f t="shared" si="10"/>
        <v>0.30000000000000004</v>
      </c>
      <c r="X65" s="9">
        <f t="shared" si="11"/>
        <v>2.6</v>
      </c>
      <c r="Y65" s="9">
        <f t="shared" si="12"/>
        <v>1.8900000000000001</v>
      </c>
      <c r="Z65" s="9">
        <f t="shared" si="13"/>
        <v>2.5</v>
      </c>
      <c r="AA65" s="9">
        <f t="shared" si="14"/>
        <v>0.30999999999999983</v>
      </c>
      <c r="AB65" s="9">
        <f t="shared" si="15"/>
        <v>0.7</v>
      </c>
      <c r="AC65" s="9">
        <f t="shared" si="16"/>
        <v>0.7</v>
      </c>
      <c r="AD65" s="9">
        <f t="shared" si="17"/>
        <v>0.49999999999999989</v>
      </c>
      <c r="AE65" s="9">
        <f t="shared" si="18"/>
        <v>0.7</v>
      </c>
      <c r="AF65" s="9">
        <f t="shared" si="19"/>
        <v>0.7</v>
      </c>
      <c r="AG65" s="9">
        <f t="shared" si="20"/>
        <v>3.0249999999999999</v>
      </c>
      <c r="AH65" s="9">
        <f t="shared" si="21"/>
        <v>2.34</v>
      </c>
      <c r="AI65" s="9">
        <f t="shared" si="22"/>
        <v>0.89999999999999991</v>
      </c>
      <c r="AJ65" s="9">
        <f t="shared" si="23"/>
        <v>0.34999999999999964</v>
      </c>
      <c r="AK65" s="9">
        <f t="shared" si="24"/>
        <v>1.0999999999999996</v>
      </c>
      <c r="AL65" s="9">
        <f t="shared" si="25"/>
        <v>1.5999999999999996</v>
      </c>
      <c r="AM65" s="9">
        <f t="shared" si="26"/>
        <v>1.0999999999999996</v>
      </c>
      <c r="AN65" s="9">
        <f t="shared" si="27"/>
        <v>1.3999999999999995</v>
      </c>
      <c r="AO65" s="9">
        <f t="shared" si="28"/>
        <v>1.3999999999999995</v>
      </c>
      <c r="AP65" s="9">
        <f t="shared" si="29"/>
        <v>4.8</v>
      </c>
      <c r="AQ65" s="9">
        <f t="shared" si="30"/>
        <v>4.0999999999999996</v>
      </c>
      <c r="AR65" s="9">
        <f t="shared" si="31"/>
        <v>2.5999999999999996</v>
      </c>
      <c r="AS65" s="9">
        <f t="shared" si="32"/>
        <v>0</v>
      </c>
      <c r="AT65" s="9">
        <f t="shared" si="33"/>
        <v>0.69999999999999929</v>
      </c>
      <c r="AU65" s="9">
        <f t="shared" si="34"/>
        <v>1.5</v>
      </c>
      <c r="AV65" s="9">
        <f t="shared" si="35"/>
        <v>1.0999999999999996</v>
      </c>
      <c r="AW65" s="9">
        <f t="shared" si="36"/>
        <v>1.3000000000000007</v>
      </c>
      <c r="AX65" s="9">
        <f t="shared" si="37"/>
        <v>1.0999999999999996</v>
      </c>
      <c r="AY65" s="9">
        <f t="shared" si="38"/>
        <v>5.25</v>
      </c>
      <c r="AZ65" s="9">
        <f t="shared" si="39"/>
        <v>4.2750000000000004</v>
      </c>
      <c r="BA65" s="9">
        <f t="shared" si="40"/>
        <v>4.0999999999999996</v>
      </c>
      <c r="BB65" s="9">
        <f t="shared" si="41"/>
        <v>-5.0000000000000711E-2</v>
      </c>
      <c r="BC65" s="9">
        <f t="shared" si="42"/>
        <v>0.69999999999999929</v>
      </c>
      <c r="BD65" s="9">
        <f t="shared" si="43"/>
        <v>1.5749999999999993</v>
      </c>
      <c r="BE65" s="9">
        <f t="shared" si="44"/>
        <v>1.2999999999999989</v>
      </c>
      <c r="BF65" s="9">
        <f t="shared" si="45"/>
        <v>1.5</v>
      </c>
      <c r="BG65" s="9">
        <f t="shared" si="46"/>
        <v>1.2999999999999989</v>
      </c>
      <c r="BH65" s="9">
        <f t="shared" si="47"/>
        <v>4.9499999999999993</v>
      </c>
      <c r="BI65" s="9">
        <f t="shared" si="48"/>
        <v>3.8999999999999986</v>
      </c>
      <c r="BJ65" s="9">
        <f t="shared" si="49"/>
        <v>3.6999999999999993</v>
      </c>
    </row>
    <row r="66" spans="1:62" x14ac:dyDescent="0.2">
      <c r="A66" s="9">
        <f>data!M67-data!M66</f>
        <v>-0.14130000000000109</v>
      </c>
      <c r="B66" s="9">
        <f>data!C67-data!C66</f>
        <v>0.86999999999999922</v>
      </c>
      <c r="C66" s="9">
        <f>data!D67-data!D66</f>
        <v>-0.15000000000000036</v>
      </c>
      <c r="D66" s="10">
        <f>data!B67-data!B66</f>
        <v>0.125</v>
      </c>
      <c r="E66" s="9">
        <f>data!E66-data!G66</f>
        <v>3.0771999999999999</v>
      </c>
      <c r="F66" s="9">
        <f>(data!E66-data!F66)-(data!G66-data!H66)</f>
        <v>-1.0588999999999995</v>
      </c>
      <c r="G66" s="9">
        <f t="shared" si="0"/>
        <v>2.6200000000000223E-2</v>
      </c>
      <c r="H66" s="9">
        <f t="shared" si="1"/>
        <v>-5.6900000000000617E-2</v>
      </c>
      <c r="I66" s="9">
        <f>IF(data!M67&gt; 111.81,1,0)</f>
        <v>0</v>
      </c>
      <c r="J66" s="9">
        <f t="shared" si="2"/>
        <v>1</v>
      </c>
      <c r="K66" s="9">
        <f t="shared" si="3"/>
        <v>0</v>
      </c>
      <c r="L66" s="9">
        <f t="shared" si="4"/>
        <v>-0.14130000000000109</v>
      </c>
      <c r="M66" s="9">
        <f>data!J66</f>
        <v>-0.92</v>
      </c>
      <c r="N66" s="9">
        <f>data!I66</f>
        <v>-1.0900000000000001</v>
      </c>
      <c r="O66" s="9">
        <f>data!L66</f>
        <v>-4.25</v>
      </c>
      <c r="P66" s="9">
        <f>data!K66</f>
        <v>-12.5</v>
      </c>
      <c r="Q66" s="9">
        <f>data!R66</f>
        <v>-16.75</v>
      </c>
      <c r="R66" s="9">
        <f t="shared" si="5"/>
        <v>0.32000000000000006</v>
      </c>
      <c r="S66" s="9">
        <f t="shared" si="6"/>
        <v>-0.43000000000000005</v>
      </c>
      <c r="T66" s="9">
        <f t="shared" si="7"/>
        <v>-0.77999999999999992</v>
      </c>
      <c r="U66" s="9">
        <f t="shared" si="8"/>
        <v>0.22000000000000008</v>
      </c>
      <c r="V66" s="9">
        <f t="shared" si="9"/>
        <v>0.22000000000000008</v>
      </c>
      <c r="W66" s="9">
        <f t="shared" si="10"/>
        <v>2.52</v>
      </c>
      <c r="X66" s="9">
        <f t="shared" si="11"/>
        <v>1.81</v>
      </c>
      <c r="Y66" s="9">
        <f t="shared" si="12"/>
        <v>2.42</v>
      </c>
      <c r="Z66" s="9">
        <f t="shared" si="13"/>
        <v>2.42</v>
      </c>
      <c r="AA66" s="9">
        <f t="shared" si="14"/>
        <v>0.39000000000000012</v>
      </c>
      <c r="AB66" s="9">
        <f t="shared" si="15"/>
        <v>0.39000000000000012</v>
      </c>
      <c r="AC66" s="9">
        <f t="shared" si="16"/>
        <v>0.19000000000000006</v>
      </c>
      <c r="AD66" s="9">
        <f t="shared" si="17"/>
        <v>0.39000000000000012</v>
      </c>
      <c r="AE66" s="9">
        <f t="shared" si="18"/>
        <v>0.39000000000000012</v>
      </c>
      <c r="AF66" s="9">
        <f t="shared" si="19"/>
        <v>2.7149999999999999</v>
      </c>
      <c r="AG66" s="9">
        <f t="shared" si="20"/>
        <v>2.0300000000000002</v>
      </c>
      <c r="AH66" s="9">
        <f t="shared" si="21"/>
        <v>0.59000000000000008</v>
      </c>
      <c r="AI66" s="9">
        <f t="shared" si="22"/>
        <v>3.29</v>
      </c>
      <c r="AJ66" s="9">
        <f t="shared" si="23"/>
        <v>0.75</v>
      </c>
      <c r="AK66" s="9">
        <f t="shared" si="24"/>
        <v>1.25</v>
      </c>
      <c r="AL66" s="9">
        <f t="shared" si="25"/>
        <v>0.75</v>
      </c>
      <c r="AM66" s="9">
        <f t="shared" si="26"/>
        <v>1.0499999999999998</v>
      </c>
      <c r="AN66" s="9">
        <f t="shared" si="27"/>
        <v>1.0499999999999998</v>
      </c>
      <c r="AO66" s="9">
        <f t="shared" si="28"/>
        <v>4.45</v>
      </c>
      <c r="AP66" s="9">
        <f t="shared" si="29"/>
        <v>3.75</v>
      </c>
      <c r="AQ66" s="9">
        <f t="shared" si="30"/>
        <v>2.25</v>
      </c>
      <c r="AR66" s="9">
        <f t="shared" si="31"/>
        <v>5.2750000000000004</v>
      </c>
      <c r="AS66" s="9">
        <f t="shared" si="32"/>
        <v>0.69999999999999929</v>
      </c>
      <c r="AT66" s="9">
        <f t="shared" si="33"/>
        <v>1.5</v>
      </c>
      <c r="AU66" s="9">
        <f t="shared" si="34"/>
        <v>1.0999999999999996</v>
      </c>
      <c r="AV66" s="9">
        <f t="shared" si="35"/>
        <v>1.3000000000000007</v>
      </c>
      <c r="AW66" s="9">
        <f t="shared" si="36"/>
        <v>1.0999999999999996</v>
      </c>
      <c r="AX66" s="9">
        <f t="shared" si="37"/>
        <v>5.25</v>
      </c>
      <c r="AY66" s="9">
        <f t="shared" si="38"/>
        <v>4.2750000000000004</v>
      </c>
      <c r="AZ66" s="9">
        <f t="shared" si="39"/>
        <v>4.0999999999999996</v>
      </c>
      <c r="BA66" s="9">
        <f t="shared" si="40"/>
        <v>7.5</v>
      </c>
      <c r="BB66" s="9">
        <f t="shared" si="41"/>
        <v>0.75</v>
      </c>
      <c r="BC66" s="9">
        <f t="shared" si="42"/>
        <v>1.625</v>
      </c>
      <c r="BD66" s="9">
        <f t="shared" si="43"/>
        <v>1.3499999999999996</v>
      </c>
      <c r="BE66" s="9">
        <f t="shared" si="44"/>
        <v>1.5500000000000007</v>
      </c>
      <c r="BF66" s="9">
        <f t="shared" si="45"/>
        <v>1.3499999999999996</v>
      </c>
      <c r="BG66" s="9">
        <f t="shared" si="46"/>
        <v>5</v>
      </c>
      <c r="BH66" s="9">
        <f t="shared" si="47"/>
        <v>3.9499999999999993</v>
      </c>
      <c r="BI66" s="9">
        <f t="shared" si="48"/>
        <v>3.75</v>
      </c>
      <c r="BJ66" s="9">
        <f t="shared" si="49"/>
        <v>7.9499999999999993</v>
      </c>
    </row>
    <row r="67" spans="1:62" x14ac:dyDescent="0.2">
      <c r="A67" s="9">
        <f>data!M68-data!M67</f>
        <v>5.1000000000001933E-2</v>
      </c>
      <c r="B67" s="9">
        <f>data!C68-data!C67</f>
        <v>0.12000000000000099</v>
      </c>
      <c r="C67" s="9">
        <f>data!D68-data!D67</f>
        <v>-0.27500000000000036</v>
      </c>
      <c r="D67" s="10">
        <f>data!B68-data!B67</f>
        <v>5.0000000000000044E-2</v>
      </c>
      <c r="E67" s="9">
        <f>data!E67-data!G67</f>
        <v>3.1034000000000002</v>
      </c>
      <c r="F67" s="9">
        <f>(data!E67-data!F67)-(data!G67-data!H67)</f>
        <v>-1.1158000000000001</v>
      </c>
      <c r="G67" s="9">
        <f t="shared" ref="G67:G130" si="50">E68-E67</f>
        <v>-2.2599999999999731E-2</v>
      </c>
      <c r="H67" s="9">
        <f t="shared" ref="H67:H130" si="51">F68-F67</f>
        <v>-7.5099999999999278E-2</v>
      </c>
      <c r="I67" s="9">
        <f>IF(data!M68&gt; 111.81,1,0)</f>
        <v>0</v>
      </c>
      <c r="J67" s="9">
        <f t="shared" ref="J67:J130" si="52">1-I67</f>
        <v>1</v>
      </c>
      <c r="K67" s="9">
        <f t="shared" ref="K67:K130" si="53">A67*I67</f>
        <v>0</v>
      </c>
      <c r="L67" s="9">
        <f t="shared" ref="L67:L130" si="54">A67*J67</f>
        <v>5.1000000000001933E-2</v>
      </c>
      <c r="M67" s="9">
        <f>data!J67</f>
        <v>-0.6</v>
      </c>
      <c r="N67" s="9">
        <f>data!I67</f>
        <v>-0.7</v>
      </c>
      <c r="O67" s="9">
        <f>data!L67</f>
        <v>-3.5</v>
      </c>
      <c r="P67" s="9">
        <f>data!K67</f>
        <v>-11.8</v>
      </c>
      <c r="Q67" s="9">
        <f>data!R67</f>
        <v>-16</v>
      </c>
      <c r="R67" s="9">
        <f t="shared" ref="R67:R130" si="55">M68-M67</f>
        <v>-0.75000000000000011</v>
      </c>
      <c r="S67" s="9">
        <f t="shared" ref="S67:S130" si="56">M69-M67</f>
        <v>-1.1000000000000001</v>
      </c>
      <c r="T67" s="9">
        <f t="shared" ref="T67:T130" si="57">M70-M67</f>
        <v>-9.9999999999999978E-2</v>
      </c>
      <c r="U67" s="9">
        <f t="shared" ref="U67:U130" si="58">M71-M67</f>
        <v>-9.9999999999999978E-2</v>
      </c>
      <c r="V67" s="9">
        <f t="shared" ref="V67:V130" si="59">M72-M67</f>
        <v>2.2000000000000002</v>
      </c>
      <c r="W67" s="9">
        <f t="shared" ref="W67:W130" si="60">M73-M67</f>
        <v>1.49</v>
      </c>
      <c r="X67" s="9">
        <f t="shared" ref="X67:X130" si="61">M74-M67</f>
        <v>2.1</v>
      </c>
      <c r="Y67" s="9">
        <f t="shared" ref="Y67:Y130" si="62">M75-M67</f>
        <v>2.1</v>
      </c>
      <c r="Z67" s="9">
        <f t="shared" ref="Z67:Z130" si="63">M76-M67</f>
        <v>0.3</v>
      </c>
      <c r="AA67" s="9">
        <f t="shared" ref="AA67:AA130" si="64">N68-N67</f>
        <v>0</v>
      </c>
      <c r="AB67" s="9">
        <f t="shared" ref="AB67:AB130" si="65">N69-N67</f>
        <v>-0.20000000000000007</v>
      </c>
      <c r="AC67" s="9">
        <f t="shared" ref="AC67:AC130" si="66">N70-N67</f>
        <v>0</v>
      </c>
      <c r="AD67" s="9">
        <f t="shared" ref="AD67:AD130" si="67">N71-N67</f>
        <v>0</v>
      </c>
      <c r="AE67" s="9">
        <f t="shared" ref="AE67:AE130" si="68">N72-N67</f>
        <v>2.3250000000000002</v>
      </c>
      <c r="AF67" s="9">
        <f t="shared" ref="AF67:AF130" si="69">N73-N67</f>
        <v>1.64</v>
      </c>
      <c r="AG67" s="9">
        <f t="shared" ref="AG67:AG130" si="70">N74-N67</f>
        <v>0.19999999999999996</v>
      </c>
      <c r="AH67" s="9">
        <f t="shared" ref="AH67:AH130" si="71">N75-N67</f>
        <v>2.9000000000000004</v>
      </c>
      <c r="AI67" s="9">
        <f t="shared" ref="AI67:AI130" si="72">N76-N67</f>
        <v>2.3250000000000002</v>
      </c>
      <c r="AJ67" s="9">
        <f t="shared" ref="AJ67:AJ130" si="73">O68-O67</f>
        <v>0.5</v>
      </c>
      <c r="AK67" s="9">
        <f t="shared" ref="AK67:AK130" si="74">O69-O67</f>
        <v>0</v>
      </c>
      <c r="AL67" s="9">
        <f t="shared" ref="AL67:AL130" si="75">O70-O67</f>
        <v>0.29999999999999982</v>
      </c>
      <c r="AM67" s="9">
        <f t="shared" ref="AM67:AM130" si="76">O71-O67</f>
        <v>0.29999999999999982</v>
      </c>
      <c r="AN67" s="9">
        <f t="shared" ref="AN67:AN130" si="77">O72-O67</f>
        <v>3.7</v>
      </c>
      <c r="AO67" s="9">
        <f t="shared" ref="AO67:AO130" si="78">O73-O67</f>
        <v>3</v>
      </c>
      <c r="AP67" s="9">
        <f t="shared" ref="AP67:AP130" si="79">O74-O67</f>
        <v>1.5</v>
      </c>
      <c r="AQ67" s="9">
        <f t="shared" ref="AQ67:AQ130" si="80">O75-O67</f>
        <v>4.5250000000000004</v>
      </c>
      <c r="AR67" s="9">
        <f t="shared" ref="AR67:AR130" si="81">O76-O67</f>
        <v>4.2</v>
      </c>
      <c r="AS67" s="9">
        <f t="shared" ref="AS67:AS130" si="82">P68 - P67</f>
        <v>0.80000000000000071</v>
      </c>
      <c r="AT67" s="9">
        <f t="shared" ref="AT67:AT130" si="83">P69 - P67</f>
        <v>0.40000000000000036</v>
      </c>
      <c r="AU67" s="9">
        <f t="shared" ref="AU67:AU130" si="84">P70 - P67</f>
        <v>0.60000000000000142</v>
      </c>
      <c r="AV67" s="9">
        <f t="shared" ref="AV67:AV130" si="85">P71 - P67</f>
        <v>0.40000000000000036</v>
      </c>
      <c r="AW67" s="9">
        <f t="shared" ref="AW67:AW130" si="86">P72 - P67</f>
        <v>4.5500000000000007</v>
      </c>
      <c r="AX67" s="9">
        <f t="shared" ref="AX67:AX130" si="87">P73 - P67</f>
        <v>3.5750000000000011</v>
      </c>
      <c r="AY67" s="9">
        <f t="shared" ref="AY67:AY130" si="88">P74 - P67</f>
        <v>3.4000000000000004</v>
      </c>
      <c r="AZ67" s="9">
        <f t="shared" ref="AZ67:AZ130" si="89">P75 - P67</f>
        <v>6.8000000000000007</v>
      </c>
      <c r="BA67" s="9">
        <f t="shared" ref="BA67:BA130" si="90">P76 - P67</f>
        <v>6.9</v>
      </c>
      <c r="BB67" s="9">
        <f t="shared" ref="BB67:BB130" si="91">Q68 - Q67</f>
        <v>0.875</v>
      </c>
      <c r="BC67" s="9">
        <f t="shared" ref="BC67:BC130" si="92">Q69 - Q67</f>
        <v>0.59999999999999964</v>
      </c>
      <c r="BD67" s="9">
        <f t="shared" ref="BD67:BD130" si="93">Q70 - Q67</f>
        <v>0.80000000000000071</v>
      </c>
      <c r="BE67" s="9">
        <f t="shared" ref="BE67:BE130" si="94">Q71 - Q67</f>
        <v>0.59999999999999964</v>
      </c>
      <c r="BF67" s="9">
        <f t="shared" ref="BF67:BF130" si="95">Q72 - Q67</f>
        <v>4.25</v>
      </c>
      <c r="BG67" s="9">
        <f t="shared" ref="BG67:BG130" si="96">Q73 - Q67</f>
        <v>3.1999999999999993</v>
      </c>
      <c r="BH67" s="9">
        <f t="shared" ref="BH67:BH130" si="97">Q74 - Q67</f>
        <v>3</v>
      </c>
      <c r="BI67" s="9">
        <f t="shared" ref="BI67:BI130" si="98">Q75 - Q67</f>
        <v>7.1999999999999993</v>
      </c>
      <c r="BJ67" s="9">
        <f t="shared" ref="BJ67:BJ130" si="99">Q76 - Q67</f>
        <v>7.5</v>
      </c>
    </row>
    <row r="68" spans="1:62" x14ac:dyDescent="0.2">
      <c r="A68" s="9">
        <f>data!M69-data!M68</f>
        <v>-1.0352000000000032</v>
      </c>
      <c r="B68" s="9">
        <f>data!C69-data!C68</f>
        <v>-0.79000000000000092</v>
      </c>
      <c r="C68" s="9">
        <f>data!D69-data!D68</f>
        <v>0.30000000000000071</v>
      </c>
      <c r="D68" s="10">
        <f>data!B69-data!B68</f>
        <v>0.12499999999999994</v>
      </c>
      <c r="E68" s="9">
        <f>data!E68-data!G68</f>
        <v>3.0808000000000004</v>
      </c>
      <c r="F68" s="9">
        <f>(data!E68-data!F68)-(data!G68-data!H68)</f>
        <v>-1.1908999999999994</v>
      </c>
      <c r="G68" s="9">
        <f t="shared" si="50"/>
        <v>2.2099999999999564E-2</v>
      </c>
      <c r="H68" s="9">
        <f t="shared" si="51"/>
        <v>2.1499999999999186E-2</v>
      </c>
      <c r="I68" s="9">
        <f>IF(data!M69&gt; 111.81,1,0)</f>
        <v>0</v>
      </c>
      <c r="J68" s="9">
        <f t="shared" si="52"/>
        <v>1</v>
      </c>
      <c r="K68" s="9">
        <f t="shared" si="53"/>
        <v>0</v>
      </c>
      <c r="L68" s="9">
        <f t="shared" si="54"/>
        <v>-1.0352000000000032</v>
      </c>
      <c r="M68" s="9">
        <f>data!J68</f>
        <v>-1.35</v>
      </c>
      <c r="N68" s="9">
        <f>data!I68</f>
        <v>-0.7</v>
      </c>
      <c r="O68" s="9">
        <f>data!L68</f>
        <v>-3</v>
      </c>
      <c r="P68" s="9">
        <f>data!K68</f>
        <v>-11</v>
      </c>
      <c r="Q68" s="9">
        <f>data!R68</f>
        <v>-15.125</v>
      </c>
      <c r="R68" s="9">
        <f t="shared" si="55"/>
        <v>-0.34999999999999987</v>
      </c>
      <c r="S68" s="9">
        <f t="shared" si="56"/>
        <v>0.65000000000000013</v>
      </c>
      <c r="T68" s="9">
        <f t="shared" si="57"/>
        <v>0.65000000000000013</v>
      </c>
      <c r="U68" s="9">
        <f t="shared" si="58"/>
        <v>2.95</v>
      </c>
      <c r="V68" s="9">
        <f t="shared" si="59"/>
        <v>2.2400000000000002</v>
      </c>
      <c r="W68" s="9">
        <f t="shared" si="60"/>
        <v>2.85</v>
      </c>
      <c r="X68" s="9">
        <f t="shared" si="61"/>
        <v>2.85</v>
      </c>
      <c r="Y68" s="9">
        <f t="shared" si="62"/>
        <v>1.05</v>
      </c>
      <c r="Z68" s="9">
        <f t="shared" si="63"/>
        <v>1.25</v>
      </c>
      <c r="AA68" s="9">
        <f t="shared" si="64"/>
        <v>-0.20000000000000007</v>
      </c>
      <c r="AB68" s="9">
        <f t="shared" si="65"/>
        <v>0</v>
      </c>
      <c r="AC68" s="9">
        <f t="shared" si="66"/>
        <v>0</v>
      </c>
      <c r="AD68" s="9">
        <f t="shared" si="67"/>
        <v>2.3250000000000002</v>
      </c>
      <c r="AE68" s="9">
        <f t="shared" si="68"/>
        <v>1.64</v>
      </c>
      <c r="AF68" s="9">
        <f t="shared" si="69"/>
        <v>0.19999999999999996</v>
      </c>
      <c r="AG68" s="9">
        <f t="shared" si="70"/>
        <v>2.9000000000000004</v>
      </c>
      <c r="AH68" s="9">
        <f t="shared" si="71"/>
        <v>2.3250000000000002</v>
      </c>
      <c r="AI68" s="9">
        <f t="shared" si="72"/>
        <v>7.4999999999999956E-2</v>
      </c>
      <c r="AJ68" s="9">
        <f t="shared" si="73"/>
        <v>-0.5</v>
      </c>
      <c r="AK68" s="9">
        <f t="shared" si="74"/>
        <v>-0.20000000000000018</v>
      </c>
      <c r="AL68" s="9">
        <f t="shared" si="75"/>
        <v>-0.20000000000000018</v>
      </c>
      <c r="AM68" s="9">
        <f t="shared" si="76"/>
        <v>3.2</v>
      </c>
      <c r="AN68" s="9">
        <f t="shared" si="77"/>
        <v>2.5</v>
      </c>
      <c r="AO68" s="9">
        <f t="shared" si="78"/>
        <v>1</v>
      </c>
      <c r="AP68" s="9">
        <f t="shared" si="79"/>
        <v>4.0250000000000004</v>
      </c>
      <c r="AQ68" s="9">
        <f t="shared" si="80"/>
        <v>3.7</v>
      </c>
      <c r="AR68" s="9">
        <f t="shared" si="81"/>
        <v>2.8</v>
      </c>
      <c r="AS68" s="9">
        <f t="shared" si="82"/>
        <v>-0.40000000000000036</v>
      </c>
      <c r="AT68" s="9">
        <f t="shared" si="83"/>
        <v>-0.19999999999999929</v>
      </c>
      <c r="AU68" s="9">
        <f t="shared" si="84"/>
        <v>-0.40000000000000036</v>
      </c>
      <c r="AV68" s="9">
        <f t="shared" si="85"/>
        <v>3.75</v>
      </c>
      <c r="AW68" s="9">
        <f t="shared" si="86"/>
        <v>2.7750000000000004</v>
      </c>
      <c r="AX68" s="9">
        <f t="shared" si="87"/>
        <v>2.5999999999999996</v>
      </c>
      <c r="AY68" s="9">
        <f t="shared" si="88"/>
        <v>6</v>
      </c>
      <c r="AZ68" s="9">
        <f t="shared" si="89"/>
        <v>6.1</v>
      </c>
      <c r="BA68" s="9">
        <f t="shared" si="90"/>
        <v>5.4</v>
      </c>
      <c r="BB68" s="9">
        <f t="shared" si="91"/>
        <v>-0.27500000000000036</v>
      </c>
      <c r="BC68" s="9">
        <f t="shared" si="92"/>
        <v>-7.4999999999999289E-2</v>
      </c>
      <c r="BD68" s="9">
        <f t="shared" si="93"/>
        <v>-0.27500000000000036</v>
      </c>
      <c r="BE68" s="9">
        <f t="shared" si="94"/>
        <v>3.375</v>
      </c>
      <c r="BF68" s="9">
        <f t="shared" si="95"/>
        <v>2.3249999999999993</v>
      </c>
      <c r="BG68" s="9">
        <f t="shared" si="96"/>
        <v>2.125</v>
      </c>
      <c r="BH68" s="9">
        <f t="shared" si="97"/>
        <v>6.3249999999999993</v>
      </c>
      <c r="BI68" s="9">
        <f t="shared" si="98"/>
        <v>6.625</v>
      </c>
      <c r="BJ68" s="9">
        <f t="shared" si="99"/>
        <v>6.5</v>
      </c>
    </row>
    <row r="69" spans="1:62" x14ac:dyDescent="0.2">
      <c r="A69" s="9">
        <f>data!M70-data!M69</f>
        <v>-1.2933000000000021</v>
      </c>
      <c r="B69" s="9">
        <f>data!C70-data!C69</f>
        <v>0</v>
      </c>
      <c r="C69" s="9">
        <f>data!D70-data!D69</f>
        <v>0.59999999999999964</v>
      </c>
      <c r="D69" s="10">
        <f>data!B70-data!B69</f>
        <v>2.5000000000000022E-2</v>
      </c>
      <c r="E69" s="9">
        <f>data!E69-data!G69</f>
        <v>3.1029</v>
      </c>
      <c r="F69" s="9">
        <f>(data!E69-data!F69)-(data!G69-data!H69)</f>
        <v>-1.1694000000000002</v>
      </c>
      <c r="G69" s="9">
        <f t="shared" si="50"/>
        <v>2.7600000000000513E-2</v>
      </c>
      <c r="H69" s="9">
        <f t="shared" si="51"/>
        <v>0.10660000000000092</v>
      </c>
      <c r="I69" s="9">
        <f>IF(data!M70&gt; 111.81,1,0)</f>
        <v>0</v>
      </c>
      <c r="J69" s="9">
        <f t="shared" si="52"/>
        <v>1</v>
      </c>
      <c r="K69" s="9">
        <f t="shared" si="53"/>
        <v>0</v>
      </c>
      <c r="L69" s="9">
        <f t="shared" si="54"/>
        <v>-1.2933000000000021</v>
      </c>
      <c r="M69" s="9">
        <f>data!J69</f>
        <v>-1.7</v>
      </c>
      <c r="N69" s="9">
        <f>data!I69</f>
        <v>-0.9</v>
      </c>
      <c r="O69" s="9">
        <f>data!L69</f>
        <v>-3.5</v>
      </c>
      <c r="P69" s="9">
        <f>data!K69</f>
        <v>-11.4</v>
      </c>
      <c r="Q69" s="9">
        <f>data!R69</f>
        <v>-15.4</v>
      </c>
      <c r="R69" s="9">
        <f t="shared" si="55"/>
        <v>1</v>
      </c>
      <c r="S69" s="9">
        <f t="shared" si="56"/>
        <v>1</v>
      </c>
      <c r="T69" s="9">
        <f t="shared" si="57"/>
        <v>3.3</v>
      </c>
      <c r="U69" s="9">
        <f t="shared" si="58"/>
        <v>2.59</v>
      </c>
      <c r="V69" s="9">
        <f t="shared" si="59"/>
        <v>3.2</v>
      </c>
      <c r="W69" s="9">
        <f t="shared" si="60"/>
        <v>3.2</v>
      </c>
      <c r="X69" s="9">
        <f t="shared" si="61"/>
        <v>1.4</v>
      </c>
      <c r="Y69" s="9">
        <f t="shared" si="62"/>
        <v>1.5999999999999999</v>
      </c>
      <c r="Z69" s="9">
        <f t="shared" si="63"/>
        <v>1.8</v>
      </c>
      <c r="AA69" s="9">
        <f t="shared" si="64"/>
        <v>0.20000000000000007</v>
      </c>
      <c r="AB69" s="9">
        <f t="shared" si="65"/>
        <v>0.20000000000000007</v>
      </c>
      <c r="AC69" s="9">
        <f t="shared" si="66"/>
        <v>2.5249999999999999</v>
      </c>
      <c r="AD69" s="9">
        <f t="shared" si="67"/>
        <v>1.8399999999999999</v>
      </c>
      <c r="AE69" s="9">
        <f t="shared" si="68"/>
        <v>0.4</v>
      </c>
      <c r="AF69" s="9">
        <f t="shared" si="69"/>
        <v>3.1</v>
      </c>
      <c r="AG69" s="9">
        <f t="shared" si="70"/>
        <v>2.5249999999999999</v>
      </c>
      <c r="AH69" s="9">
        <f t="shared" si="71"/>
        <v>0.27500000000000002</v>
      </c>
      <c r="AI69" s="9">
        <f t="shared" si="72"/>
        <v>1.6</v>
      </c>
      <c r="AJ69" s="9">
        <f t="shared" si="73"/>
        <v>0.29999999999999982</v>
      </c>
      <c r="AK69" s="9">
        <f t="shared" si="74"/>
        <v>0.29999999999999982</v>
      </c>
      <c r="AL69" s="9">
        <f t="shared" si="75"/>
        <v>3.7</v>
      </c>
      <c r="AM69" s="9">
        <f t="shared" si="76"/>
        <v>3</v>
      </c>
      <c r="AN69" s="9">
        <f t="shared" si="77"/>
        <v>1.5</v>
      </c>
      <c r="AO69" s="9">
        <f t="shared" si="78"/>
        <v>4.5250000000000004</v>
      </c>
      <c r="AP69" s="9">
        <f t="shared" si="79"/>
        <v>4.2</v>
      </c>
      <c r="AQ69" s="9">
        <f t="shared" si="80"/>
        <v>3.3</v>
      </c>
      <c r="AR69" s="9">
        <f t="shared" si="81"/>
        <v>3.3</v>
      </c>
      <c r="AS69" s="9">
        <f t="shared" si="82"/>
        <v>0.20000000000000107</v>
      </c>
      <c r="AT69" s="9">
        <f t="shared" si="83"/>
        <v>0</v>
      </c>
      <c r="AU69" s="9">
        <f t="shared" si="84"/>
        <v>4.1500000000000004</v>
      </c>
      <c r="AV69" s="9">
        <f t="shared" si="85"/>
        <v>3.1750000000000007</v>
      </c>
      <c r="AW69" s="9">
        <f t="shared" si="86"/>
        <v>3</v>
      </c>
      <c r="AX69" s="9">
        <f t="shared" si="87"/>
        <v>6.4</v>
      </c>
      <c r="AY69" s="9">
        <f t="shared" si="88"/>
        <v>6.5</v>
      </c>
      <c r="AZ69" s="9">
        <f t="shared" si="89"/>
        <v>5.8000000000000007</v>
      </c>
      <c r="BA69" s="9">
        <f t="shared" si="90"/>
        <v>6.4</v>
      </c>
      <c r="BB69" s="9">
        <f t="shared" si="91"/>
        <v>0.20000000000000107</v>
      </c>
      <c r="BC69" s="9">
        <f t="shared" si="92"/>
        <v>0</v>
      </c>
      <c r="BD69" s="9">
        <f t="shared" si="93"/>
        <v>3.6500000000000004</v>
      </c>
      <c r="BE69" s="9">
        <f t="shared" si="94"/>
        <v>2.5999999999999996</v>
      </c>
      <c r="BF69" s="9">
        <f t="shared" si="95"/>
        <v>2.4000000000000004</v>
      </c>
      <c r="BG69" s="9">
        <f t="shared" si="96"/>
        <v>6.6</v>
      </c>
      <c r="BH69" s="9">
        <f t="shared" si="97"/>
        <v>6.9</v>
      </c>
      <c r="BI69" s="9">
        <f t="shared" si="98"/>
        <v>6.7750000000000004</v>
      </c>
      <c r="BJ69" s="9">
        <f t="shared" si="99"/>
        <v>6.7000000000000011</v>
      </c>
    </row>
    <row r="70" spans="1:62" x14ac:dyDescent="0.2">
      <c r="A70" s="9">
        <f>data!M71-data!M70</f>
        <v>-0.88269999999999982</v>
      </c>
      <c r="B70" s="9">
        <f>data!C71-data!C70</f>
        <v>2.9999999999999361E-2</v>
      </c>
      <c r="C70" s="9">
        <f>data!D71-data!D70</f>
        <v>0.29999999999999893</v>
      </c>
      <c r="D70" s="10">
        <f>data!B71-data!B70</f>
        <v>0.122</v>
      </c>
      <c r="E70" s="9">
        <f>data!E70-data!G70</f>
        <v>3.1305000000000005</v>
      </c>
      <c r="F70" s="9">
        <f>(data!E70-data!F70)-(data!G70-data!H70)</f>
        <v>-1.0627999999999993</v>
      </c>
      <c r="G70" s="9">
        <f t="shared" si="50"/>
        <v>4.919999999999991E-2</v>
      </c>
      <c r="H70" s="9">
        <f t="shared" si="51"/>
        <v>-3.2200000000000006E-2</v>
      </c>
      <c r="I70" s="9">
        <f>IF(data!M71&gt; 111.81,1,0)</f>
        <v>0</v>
      </c>
      <c r="J70" s="9">
        <f t="shared" si="52"/>
        <v>1</v>
      </c>
      <c r="K70" s="9">
        <f t="shared" si="53"/>
        <v>0</v>
      </c>
      <c r="L70" s="9">
        <f t="shared" si="54"/>
        <v>-0.88269999999999982</v>
      </c>
      <c r="M70" s="9">
        <f>data!J70</f>
        <v>-0.7</v>
      </c>
      <c r="N70" s="9">
        <f>data!I70</f>
        <v>-0.7</v>
      </c>
      <c r="O70" s="9">
        <f>data!L70</f>
        <v>-3.2</v>
      </c>
      <c r="P70" s="9">
        <f>data!K70</f>
        <v>-11.2</v>
      </c>
      <c r="Q70" s="9">
        <f>data!R70</f>
        <v>-15.2</v>
      </c>
      <c r="R70" s="9">
        <f t="shared" si="55"/>
        <v>0</v>
      </c>
      <c r="S70" s="9">
        <f t="shared" si="56"/>
        <v>2.2999999999999998</v>
      </c>
      <c r="T70" s="9">
        <f t="shared" si="57"/>
        <v>1.5899999999999999</v>
      </c>
      <c r="U70" s="9">
        <f t="shared" si="58"/>
        <v>2.2000000000000002</v>
      </c>
      <c r="V70" s="9">
        <f t="shared" si="59"/>
        <v>2.2000000000000002</v>
      </c>
      <c r="W70" s="9">
        <f t="shared" si="60"/>
        <v>0.39999999999999997</v>
      </c>
      <c r="X70" s="9">
        <f t="shared" si="61"/>
        <v>0.6</v>
      </c>
      <c r="Y70" s="9">
        <f t="shared" si="62"/>
        <v>0.79999999999999993</v>
      </c>
      <c r="Z70" s="9">
        <f t="shared" si="63"/>
        <v>0.79999999999999993</v>
      </c>
      <c r="AA70" s="9">
        <f t="shared" si="64"/>
        <v>0</v>
      </c>
      <c r="AB70" s="9">
        <f t="shared" si="65"/>
        <v>2.3250000000000002</v>
      </c>
      <c r="AC70" s="9">
        <f t="shared" si="66"/>
        <v>1.64</v>
      </c>
      <c r="AD70" s="9">
        <f t="shared" si="67"/>
        <v>0.19999999999999996</v>
      </c>
      <c r="AE70" s="9">
        <f t="shared" si="68"/>
        <v>2.9000000000000004</v>
      </c>
      <c r="AF70" s="9">
        <f t="shared" si="69"/>
        <v>2.3250000000000002</v>
      </c>
      <c r="AG70" s="9">
        <f t="shared" si="70"/>
        <v>7.4999999999999956E-2</v>
      </c>
      <c r="AH70" s="9">
        <f t="shared" si="71"/>
        <v>1.4</v>
      </c>
      <c r="AI70" s="9">
        <f t="shared" si="72"/>
        <v>1.5499999999999998</v>
      </c>
      <c r="AJ70" s="9">
        <f t="shared" si="73"/>
        <v>0</v>
      </c>
      <c r="AK70" s="9">
        <f t="shared" si="74"/>
        <v>3.4000000000000004</v>
      </c>
      <c r="AL70" s="9">
        <f t="shared" si="75"/>
        <v>2.7</v>
      </c>
      <c r="AM70" s="9">
        <f t="shared" si="76"/>
        <v>1.2000000000000002</v>
      </c>
      <c r="AN70" s="9">
        <f t="shared" si="77"/>
        <v>4.2249999999999996</v>
      </c>
      <c r="AO70" s="9">
        <f t="shared" si="78"/>
        <v>3.9000000000000004</v>
      </c>
      <c r="AP70" s="9">
        <f t="shared" si="79"/>
        <v>3</v>
      </c>
      <c r="AQ70" s="9">
        <f t="shared" si="80"/>
        <v>3</v>
      </c>
      <c r="AR70" s="9">
        <f t="shared" si="81"/>
        <v>3.1</v>
      </c>
      <c r="AS70" s="9">
        <f t="shared" si="82"/>
        <v>-0.20000000000000107</v>
      </c>
      <c r="AT70" s="9">
        <f t="shared" si="83"/>
        <v>3.9499999999999993</v>
      </c>
      <c r="AU70" s="9">
        <f t="shared" si="84"/>
        <v>2.9749999999999996</v>
      </c>
      <c r="AV70" s="9">
        <f t="shared" si="85"/>
        <v>2.7999999999999989</v>
      </c>
      <c r="AW70" s="9">
        <f t="shared" si="86"/>
        <v>6.1999999999999993</v>
      </c>
      <c r="AX70" s="9">
        <f t="shared" si="87"/>
        <v>6.2999999999999989</v>
      </c>
      <c r="AY70" s="9">
        <f t="shared" si="88"/>
        <v>5.6</v>
      </c>
      <c r="AZ70" s="9">
        <f t="shared" si="89"/>
        <v>6.1999999999999993</v>
      </c>
      <c r="BA70" s="9">
        <f t="shared" si="90"/>
        <v>6.1</v>
      </c>
      <c r="BB70" s="9">
        <f t="shared" si="91"/>
        <v>-0.20000000000000107</v>
      </c>
      <c r="BC70" s="9">
        <f t="shared" si="92"/>
        <v>3.4499999999999993</v>
      </c>
      <c r="BD70" s="9">
        <f t="shared" si="93"/>
        <v>2.3999999999999986</v>
      </c>
      <c r="BE70" s="9">
        <f t="shared" si="94"/>
        <v>2.1999999999999993</v>
      </c>
      <c r="BF70" s="9">
        <f t="shared" si="95"/>
        <v>6.3999999999999986</v>
      </c>
      <c r="BG70" s="9">
        <f t="shared" si="96"/>
        <v>6.6999999999999993</v>
      </c>
      <c r="BH70" s="9">
        <f t="shared" si="97"/>
        <v>6.5749999999999993</v>
      </c>
      <c r="BI70" s="9">
        <f t="shared" si="98"/>
        <v>6.5</v>
      </c>
      <c r="BJ70" s="9">
        <f t="shared" si="99"/>
        <v>6.4699999999999989</v>
      </c>
    </row>
    <row r="71" spans="1:62" x14ac:dyDescent="0.2">
      <c r="A71" s="9">
        <f>data!M72-data!M71</f>
        <v>-0.3796999999999997</v>
      </c>
      <c r="B71" s="9">
        <f>data!C72-data!C71</f>
        <v>2.5700000000000003</v>
      </c>
      <c r="C71" s="9">
        <f>data!D72-data!D71</f>
        <v>0.90000000000000036</v>
      </c>
      <c r="D71" s="10">
        <f>data!B72-data!B71</f>
        <v>-2.200000000000002E-2</v>
      </c>
      <c r="E71" s="9">
        <f>data!E71-data!G71</f>
        <v>3.1797000000000004</v>
      </c>
      <c r="F71" s="9">
        <f>(data!E71-data!F71)-(data!G71-data!H71)</f>
        <v>-1.0949999999999993</v>
      </c>
      <c r="G71" s="9">
        <f t="shared" si="50"/>
        <v>3.1099999999999905E-2</v>
      </c>
      <c r="H71" s="9">
        <f t="shared" si="51"/>
        <v>9.9899999999999878E-2</v>
      </c>
      <c r="I71" s="9">
        <f>IF(data!M72&gt; 111.81,1,0)</f>
        <v>0</v>
      </c>
      <c r="J71" s="9">
        <f t="shared" si="52"/>
        <v>1</v>
      </c>
      <c r="K71" s="9">
        <f t="shared" si="53"/>
        <v>0</v>
      </c>
      <c r="L71" s="9">
        <f t="shared" si="54"/>
        <v>-0.3796999999999997</v>
      </c>
      <c r="M71" s="9">
        <f>data!J71</f>
        <v>-0.7</v>
      </c>
      <c r="N71" s="9">
        <f>data!I71</f>
        <v>-0.7</v>
      </c>
      <c r="O71" s="9">
        <f>data!L71</f>
        <v>-3.2</v>
      </c>
      <c r="P71" s="9">
        <f>data!K71</f>
        <v>-11.4</v>
      </c>
      <c r="Q71" s="9">
        <f>data!R71</f>
        <v>-15.4</v>
      </c>
      <c r="R71" s="9">
        <f t="shared" si="55"/>
        <v>2.2999999999999998</v>
      </c>
      <c r="S71" s="9">
        <f t="shared" si="56"/>
        <v>1.5899999999999999</v>
      </c>
      <c r="T71" s="9">
        <f t="shared" si="57"/>
        <v>2.2000000000000002</v>
      </c>
      <c r="U71" s="9">
        <f t="shared" si="58"/>
        <v>2.2000000000000002</v>
      </c>
      <c r="V71" s="9">
        <f t="shared" si="59"/>
        <v>0.39999999999999997</v>
      </c>
      <c r="W71" s="9">
        <f t="shared" si="60"/>
        <v>0.6</v>
      </c>
      <c r="X71" s="9">
        <f t="shared" si="61"/>
        <v>0.79999999999999993</v>
      </c>
      <c r="Y71" s="9">
        <f t="shared" si="62"/>
        <v>0.79999999999999993</v>
      </c>
      <c r="Z71" s="9">
        <f t="shared" si="63"/>
        <v>1</v>
      </c>
      <c r="AA71" s="9">
        <f t="shared" si="64"/>
        <v>2.3250000000000002</v>
      </c>
      <c r="AB71" s="9">
        <f t="shared" si="65"/>
        <v>1.64</v>
      </c>
      <c r="AC71" s="9">
        <f t="shared" si="66"/>
        <v>0.19999999999999996</v>
      </c>
      <c r="AD71" s="9">
        <f t="shared" si="67"/>
        <v>2.9000000000000004</v>
      </c>
      <c r="AE71" s="9">
        <f t="shared" si="68"/>
        <v>2.3250000000000002</v>
      </c>
      <c r="AF71" s="9">
        <f t="shared" si="69"/>
        <v>7.4999999999999956E-2</v>
      </c>
      <c r="AG71" s="9">
        <f t="shared" si="70"/>
        <v>1.4</v>
      </c>
      <c r="AH71" s="9">
        <f t="shared" si="71"/>
        <v>1.5499999999999998</v>
      </c>
      <c r="AI71" s="9">
        <f t="shared" si="72"/>
        <v>1.5499999999999998</v>
      </c>
      <c r="AJ71" s="9">
        <f t="shared" si="73"/>
        <v>3.4000000000000004</v>
      </c>
      <c r="AK71" s="9">
        <f t="shared" si="74"/>
        <v>2.7</v>
      </c>
      <c r="AL71" s="9">
        <f t="shared" si="75"/>
        <v>1.2000000000000002</v>
      </c>
      <c r="AM71" s="9">
        <f t="shared" si="76"/>
        <v>4.2249999999999996</v>
      </c>
      <c r="AN71" s="9">
        <f t="shared" si="77"/>
        <v>3.9000000000000004</v>
      </c>
      <c r="AO71" s="9">
        <f t="shared" si="78"/>
        <v>3</v>
      </c>
      <c r="AP71" s="9">
        <f t="shared" si="79"/>
        <v>3</v>
      </c>
      <c r="AQ71" s="9">
        <f t="shared" si="80"/>
        <v>3.1</v>
      </c>
      <c r="AR71" s="9">
        <f t="shared" si="81"/>
        <v>3</v>
      </c>
      <c r="AS71" s="9">
        <f t="shared" si="82"/>
        <v>4.1500000000000004</v>
      </c>
      <c r="AT71" s="9">
        <f t="shared" si="83"/>
        <v>3.1750000000000007</v>
      </c>
      <c r="AU71" s="9">
        <f t="shared" si="84"/>
        <v>3</v>
      </c>
      <c r="AV71" s="9">
        <f t="shared" si="85"/>
        <v>6.4</v>
      </c>
      <c r="AW71" s="9">
        <f t="shared" si="86"/>
        <v>6.5</v>
      </c>
      <c r="AX71" s="9">
        <f t="shared" si="87"/>
        <v>5.8000000000000007</v>
      </c>
      <c r="AY71" s="9">
        <f t="shared" si="88"/>
        <v>6.4</v>
      </c>
      <c r="AZ71" s="9">
        <f t="shared" si="89"/>
        <v>6.3000000000000007</v>
      </c>
      <c r="BA71" s="9">
        <f t="shared" si="90"/>
        <v>6.5</v>
      </c>
      <c r="BB71" s="9">
        <f t="shared" si="91"/>
        <v>3.6500000000000004</v>
      </c>
      <c r="BC71" s="9">
        <f t="shared" si="92"/>
        <v>2.5999999999999996</v>
      </c>
      <c r="BD71" s="9">
        <f t="shared" si="93"/>
        <v>2.4000000000000004</v>
      </c>
      <c r="BE71" s="9">
        <f t="shared" si="94"/>
        <v>6.6</v>
      </c>
      <c r="BF71" s="9">
        <f t="shared" si="95"/>
        <v>6.9</v>
      </c>
      <c r="BG71" s="9">
        <f t="shared" si="96"/>
        <v>6.7750000000000004</v>
      </c>
      <c r="BH71" s="9">
        <f t="shared" si="97"/>
        <v>6.7000000000000011</v>
      </c>
      <c r="BI71" s="9">
        <f t="shared" si="98"/>
        <v>6.67</v>
      </c>
      <c r="BJ71" s="9">
        <f t="shared" si="99"/>
        <v>7.15</v>
      </c>
    </row>
    <row r="72" spans="1:62" x14ac:dyDescent="0.2">
      <c r="A72" s="9">
        <f>data!M73-data!M72</f>
        <v>1.0542000000000087</v>
      </c>
      <c r="B72" s="9">
        <f>data!C73-data!C72</f>
        <v>2.99</v>
      </c>
      <c r="C72" s="9">
        <f>data!D73-data!D72</f>
        <v>-0.375</v>
      </c>
      <c r="D72" s="10">
        <f>data!B73-data!B72</f>
        <v>-0.3</v>
      </c>
      <c r="E72" s="9">
        <f>data!E72-data!G72</f>
        <v>3.2108000000000003</v>
      </c>
      <c r="F72" s="9">
        <f>(data!E72-data!F72)-(data!G72-data!H72)</f>
        <v>-0.99509999999999943</v>
      </c>
      <c r="G72" s="9">
        <f t="shared" si="50"/>
        <v>-5.7400000000000784E-2</v>
      </c>
      <c r="H72" s="9">
        <f t="shared" si="51"/>
        <v>-5.5200000000001026E-2</v>
      </c>
      <c r="I72" s="9">
        <f>IF(data!M73&gt; 111.81,1,0)</f>
        <v>0</v>
      </c>
      <c r="J72" s="9">
        <f t="shared" si="52"/>
        <v>1</v>
      </c>
      <c r="K72" s="9">
        <f t="shared" si="53"/>
        <v>0</v>
      </c>
      <c r="L72" s="9">
        <f t="shared" si="54"/>
        <v>1.0542000000000087</v>
      </c>
      <c r="M72" s="9">
        <f>data!J72</f>
        <v>1.6</v>
      </c>
      <c r="N72" s="9">
        <f>data!I72</f>
        <v>1.625</v>
      </c>
      <c r="O72" s="9">
        <f>data!L72</f>
        <v>0.2</v>
      </c>
      <c r="P72" s="9">
        <f>data!K72</f>
        <v>-7.25</v>
      </c>
      <c r="Q72" s="9">
        <f>data!R72</f>
        <v>-11.75</v>
      </c>
      <c r="R72" s="9">
        <f t="shared" si="55"/>
        <v>-0.71000000000000008</v>
      </c>
      <c r="S72" s="9">
        <f t="shared" si="56"/>
        <v>-0.10000000000000009</v>
      </c>
      <c r="T72" s="9">
        <f t="shared" si="57"/>
        <v>-0.10000000000000009</v>
      </c>
      <c r="U72" s="9">
        <f t="shared" si="58"/>
        <v>-1.9000000000000001</v>
      </c>
      <c r="V72" s="9">
        <f t="shared" si="59"/>
        <v>-1.7000000000000002</v>
      </c>
      <c r="W72" s="9">
        <f t="shared" si="60"/>
        <v>-1.5</v>
      </c>
      <c r="X72" s="9">
        <f t="shared" si="61"/>
        <v>-1.5</v>
      </c>
      <c r="Y72" s="9">
        <f t="shared" si="62"/>
        <v>-1.3</v>
      </c>
      <c r="Z72" s="9">
        <f t="shared" si="63"/>
        <v>-1.35</v>
      </c>
      <c r="AA72" s="9">
        <f t="shared" si="64"/>
        <v>-0.68500000000000005</v>
      </c>
      <c r="AB72" s="9">
        <f t="shared" si="65"/>
        <v>-2.125</v>
      </c>
      <c r="AC72" s="9">
        <f t="shared" si="66"/>
        <v>0.57500000000000018</v>
      </c>
      <c r="AD72" s="9">
        <f t="shared" si="67"/>
        <v>0</v>
      </c>
      <c r="AE72" s="9">
        <f t="shared" si="68"/>
        <v>-2.25</v>
      </c>
      <c r="AF72" s="9">
        <f t="shared" si="69"/>
        <v>-0.92500000000000004</v>
      </c>
      <c r="AG72" s="9">
        <f t="shared" si="70"/>
        <v>-0.77500000000000002</v>
      </c>
      <c r="AH72" s="9">
        <f t="shared" si="71"/>
        <v>-0.77500000000000002</v>
      </c>
      <c r="AI72" s="9">
        <f t="shared" si="72"/>
        <v>-0.77500000000000002</v>
      </c>
      <c r="AJ72" s="9">
        <f t="shared" si="73"/>
        <v>-0.7</v>
      </c>
      <c r="AK72" s="9">
        <f t="shared" si="74"/>
        <v>-2.2000000000000002</v>
      </c>
      <c r="AL72" s="9">
        <f t="shared" si="75"/>
        <v>0.82499999999999996</v>
      </c>
      <c r="AM72" s="9">
        <f t="shared" si="76"/>
        <v>0.49999999999999994</v>
      </c>
      <c r="AN72" s="9">
        <f t="shared" si="77"/>
        <v>-0.4</v>
      </c>
      <c r="AO72" s="9">
        <f t="shared" si="78"/>
        <v>-0.4</v>
      </c>
      <c r="AP72" s="9">
        <f t="shared" si="79"/>
        <v>-0.30000000000000004</v>
      </c>
      <c r="AQ72" s="9">
        <f t="shared" si="80"/>
        <v>-0.4</v>
      </c>
      <c r="AR72" s="9">
        <f t="shared" si="81"/>
        <v>-5.0000000000000017E-2</v>
      </c>
      <c r="AS72" s="9">
        <f t="shared" si="82"/>
        <v>-0.97499999999999964</v>
      </c>
      <c r="AT72" s="9">
        <f t="shared" si="83"/>
        <v>-1.1500000000000004</v>
      </c>
      <c r="AU72" s="9">
        <f t="shared" si="84"/>
        <v>2.25</v>
      </c>
      <c r="AV72" s="9">
        <f t="shared" si="85"/>
        <v>2.3499999999999996</v>
      </c>
      <c r="AW72" s="9">
        <f t="shared" si="86"/>
        <v>1.6500000000000004</v>
      </c>
      <c r="AX72" s="9">
        <f t="shared" si="87"/>
        <v>2.25</v>
      </c>
      <c r="AY72" s="9">
        <f t="shared" si="88"/>
        <v>2.1500000000000004</v>
      </c>
      <c r="AZ72" s="9">
        <f t="shared" si="89"/>
        <v>2.3499999999999996</v>
      </c>
      <c r="BA72" s="9">
        <f t="shared" si="90"/>
        <v>2.5199999999999996</v>
      </c>
      <c r="BB72" s="9">
        <f t="shared" si="91"/>
        <v>-1.0500000000000007</v>
      </c>
      <c r="BC72" s="9">
        <f t="shared" si="92"/>
        <v>-1.25</v>
      </c>
      <c r="BD72" s="9">
        <f t="shared" si="93"/>
        <v>2.9499999999999993</v>
      </c>
      <c r="BE72" s="9">
        <f t="shared" si="94"/>
        <v>3.25</v>
      </c>
      <c r="BF72" s="9">
        <f t="shared" si="95"/>
        <v>3.125</v>
      </c>
      <c r="BG72" s="9">
        <f t="shared" si="96"/>
        <v>3.0500000000000007</v>
      </c>
      <c r="BH72" s="9">
        <f t="shared" si="97"/>
        <v>3.0199999999999996</v>
      </c>
      <c r="BI72" s="9">
        <f t="shared" si="98"/>
        <v>3.5</v>
      </c>
      <c r="BJ72" s="9">
        <f t="shared" si="99"/>
        <v>3.0199999999999996</v>
      </c>
    </row>
    <row r="73" spans="1:62" x14ac:dyDescent="0.2">
      <c r="A73" s="9">
        <f>data!M74-data!M73</f>
        <v>-3.3500000000003638E-2</v>
      </c>
      <c r="B73" s="9">
        <f>data!C74-data!C73</f>
        <v>-2.92</v>
      </c>
      <c r="C73" s="9">
        <f>data!D74-data!D73</f>
        <v>-0.14949999999999974</v>
      </c>
      <c r="D73" s="10">
        <f>data!B74-data!B73</f>
        <v>-5.0000000000000044E-2</v>
      </c>
      <c r="E73" s="9">
        <f>data!E73-data!G73</f>
        <v>3.1533999999999995</v>
      </c>
      <c r="F73" s="9">
        <f>(data!E73-data!F73)-(data!G73-data!H73)</f>
        <v>-1.0503000000000005</v>
      </c>
      <c r="G73" s="9">
        <f t="shared" si="50"/>
        <v>4.3700000000000294E-2</v>
      </c>
      <c r="H73" s="9">
        <f t="shared" si="51"/>
        <v>0.14700000000000046</v>
      </c>
      <c r="I73" s="9">
        <f>IF(data!M74&gt; 111.81,1,0)</f>
        <v>0</v>
      </c>
      <c r="J73" s="9">
        <f t="shared" si="52"/>
        <v>1</v>
      </c>
      <c r="K73" s="9">
        <f t="shared" si="53"/>
        <v>0</v>
      </c>
      <c r="L73" s="9">
        <f t="shared" si="54"/>
        <v>-3.3500000000003638E-2</v>
      </c>
      <c r="M73" s="9">
        <f>data!J73</f>
        <v>0.89</v>
      </c>
      <c r="N73" s="9">
        <f>data!I73</f>
        <v>0.94</v>
      </c>
      <c r="O73" s="9">
        <f>data!L73</f>
        <v>-0.5</v>
      </c>
      <c r="P73" s="9">
        <f>data!K73</f>
        <v>-8.2249999999999996</v>
      </c>
      <c r="Q73" s="9">
        <f>data!R73</f>
        <v>-12.8</v>
      </c>
      <c r="R73" s="9">
        <f t="shared" si="55"/>
        <v>0.61</v>
      </c>
      <c r="S73" s="9">
        <f t="shared" si="56"/>
        <v>0.61</v>
      </c>
      <c r="T73" s="9">
        <f t="shared" si="57"/>
        <v>-1.19</v>
      </c>
      <c r="U73" s="9">
        <f t="shared" si="58"/>
        <v>-0.99</v>
      </c>
      <c r="V73" s="9">
        <f t="shared" si="59"/>
        <v>-0.79</v>
      </c>
      <c r="W73" s="9">
        <f t="shared" si="60"/>
        <v>-0.79</v>
      </c>
      <c r="X73" s="9">
        <f t="shared" si="61"/>
        <v>-0.59000000000000008</v>
      </c>
      <c r="Y73" s="9">
        <f t="shared" si="62"/>
        <v>-0.64</v>
      </c>
      <c r="Z73" s="9">
        <f t="shared" si="63"/>
        <v>-1.29</v>
      </c>
      <c r="AA73" s="9">
        <f t="shared" si="64"/>
        <v>-1.44</v>
      </c>
      <c r="AB73" s="9">
        <f t="shared" si="65"/>
        <v>1.2600000000000002</v>
      </c>
      <c r="AC73" s="9">
        <f t="shared" si="66"/>
        <v>0.68500000000000005</v>
      </c>
      <c r="AD73" s="9">
        <f t="shared" si="67"/>
        <v>-1.5649999999999999</v>
      </c>
      <c r="AE73" s="9">
        <f t="shared" si="68"/>
        <v>-0.24</v>
      </c>
      <c r="AF73" s="9">
        <f t="shared" si="69"/>
        <v>-8.9999999999999969E-2</v>
      </c>
      <c r="AG73" s="9">
        <f t="shared" si="70"/>
        <v>-8.9999999999999969E-2</v>
      </c>
      <c r="AH73" s="9">
        <f t="shared" si="71"/>
        <v>-8.9999999999999969E-2</v>
      </c>
      <c r="AI73" s="9">
        <f t="shared" si="72"/>
        <v>-0.33999999999999997</v>
      </c>
      <c r="AJ73" s="9">
        <f t="shared" si="73"/>
        <v>-1.5</v>
      </c>
      <c r="AK73" s="9">
        <f t="shared" si="74"/>
        <v>1.5249999999999999</v>
      </c>
      <c r="AL73" s="9">
        <f t="shared" si="75"/>
        <v>1.2</v>
      </c>
      <c r="AM73" s="9">
        <f t="shared" si="76"/>
        <v>0.3</v>
      </c>
      <c r="AN73" s="9">
        <f t="shared" si="77"/>
        <v>0.3</v>
      </c>
      <c r="AO73" s="9">
        <f t="shared" si="78"/>
        <v>0.4</v>
      </c>
      <c r="AP73" s="9">
        <f t="shared" si="79"/>
        <v>0.3</v>
      </c>
      <c r="AQ73" s="9">
        <f t="shared" si="80"/>
        <v>0.65</v>
      </c>
      <c r="AR73" s="9">
        <f t="shared" si="81"/>
        <v>0.2</v>
      </c>
      <c r="AS73" s="9">
        <f t="shared" si="82"/>
        <v>-0.17500000000000071</v>
      </c>
      <c r="AT73" s="9">
        <f t="shared" si="83"/>
        <v>3.2249999999999996</v>
      </c>
      <c r="AU73" s="9">
        <f t="shared" si="84"/>
        <v>3.3249999999999993</v>
      </c>
      <c r="AV73" s="9">
        <f t="shared" si="85"/>
        <v>2.625</v>
      </c>
      <c r="AW73" s="9">
        <f t="shared" si="86"/>
        <v>3.2249999999999996</v>
      </c>
      <c r="AX73" s="9">
        <f t="shared" si="87"/>
        <v>3.125</v>
      </c>
      <c r="AY73" s="9">
        <f t="shared" si="88"/>
        <v>3.3249999999999993</v>
      </c>
      <c r="AZ73" s="9">
        <f t="shared" si="89"/>
        <v>3.4949999999999992</v>
      </c>
      <c r="BA73" s="9">
        <f t="shared" si="90"/>
        <v>3.125</v>
      </c>
      <c r="BB73" s="9">
        <f t="shared" si="91"/>
        <v>-0.19999999999999929</v>
      </c>
      <c r="BC73" s="9">
        <f t="shared" si="92"/>
        <v>4</v>
      </c>
      <c r="BD73" s="9">
        <f t="shared" si="93"/>
        <v>4.3000000000000007</v>
      </c>
      <c r="BE73" s="9">
        <f t="shared" si="94"/>
        <v>4.1750000000000007</v>
      </c>
      <c r="BF73" s="9">
        <f t="shared" si="95"/>
        <v>4.1000000000000014</v>
      </c>
      <c r="BG73" s="9">
        <f t="shared" si="96"/>
        <v>4.07</v>
      </c>
      <c r="BH73" s="9">
        <f t="shared" si="97"/>
        <v>4.5500000000000007</v>
      </c>
      <c r="BI73" s="9">
        <f t="shared" si="98"/>
        <v>4.07</v>
      </c>
      <c r="BJ73" s="9">
        <f t="shared" si="99"/>
        <v>5.3000000000000007</v>
      </c>
    </row>
    <row r="74" spans="1:62" x14ac:dyDescent="0.2">
      <c r="A74" s="9">
        <f>data!M75-data!M74</f>
        <v>-0.34510000000000218</v>
      </c>
      <c r="B74" s="9">
        <f>data!C75-data!C74</f>
        <v>6.0000000000000497E-2</v>
      </c>
      <c r="C74" s="9">
        <f>data!D75-data!D74</f>
        <v>-0.27549999999999919</v>
      </c>
      <c r="D74" s="10">
        <f>data!B75-data!B74</f>
        <v>0</v>
      </c>
      <c r="E74" s="9">
        <f>data!E74-data!G74</f>
        <v>3.1970999999999998</v>
      </c>
      <c r="F74" s="9">
        <f>(data!E74-data!F74)-(data!G74-data!H74)</f>
        <v>-0.90329999999999999</v>
      </c>
      <c r="G74" s="9">
        <f t="shared" si="50"/>
        <v>-0.11230000000000029</v>
      </c>
      <c r="H74" s="9">
        <f t="shared" si="51"/>
        <v>-5.9900000000000508E-2</v>
      </c>
      <c r="I74" s="9">
        <f>IF(data!M75&gt; 111.81,1,0)</f>
        <v>0</v>
      </c>
      <c r="J74" s="9">
        <f t="shared" si="52"/>
        <v>1</v>
      </c>
      <c r="K74" s="9">
        <f t="shared" si="53"/>
        <v>0</v>
      </c>
      <c r="L74" s="9">
        <f t="shared" si="54"/>
        <v>-0.34510000000000218</v>
      </c>
      <c r="M74" s="9">
        <f>data!J74</f>
        <v>1.5</v>
      </c>
      <c r="N74" s="9">
        <f>data!I74</f>
        <v>-0.5</v>
      </c>
      <c r="O74" s="9">
        <f>data!L74</f>
        <v>-2</v>
      </c>
      <c r="P74" s="9">
        <f>data!K74</f>
        <v>-8.4</v>
      </c>
      <c r="Q74" s="9">
        <f>data!R74</f>
        <v>-13</v>
      </c>
      <c r="R74" s="9">
        <f t="shared" si="55"/>
        <v>0</v>
      </c>
      <c r="S74" s="9">
        <f t="shared" si="56"/>
        <v>-1.8</v>
      </c>
      <c r="T74" s="9">
        <f t="shared" si="57"/>
        <v>-1.6</v>
      </c>
      <c r="U74" s="9">
        <f t="shared" si="58"/>
        <v>-1.4</v>
      </c>
      <c r="V74" s="9">
        <f t="shared" si="59"/>
        <v>-1.4</v>
      </c>
      <c r="W74" s="9">
        <f t="shared" si="60"/>
        <v>-1.2</v>
      </c>
      <c r="X74" s="9">
        <f t="shared" si="61"/>
        <v>-1.25</v>
      </c>
      <c r="Y74" s="9">
        <f t="shared" si="62"/>
        <v>-1.9</v>
      </c>
      <c r="Z74" s="9">
        <f t="shared" si="63"/>
        <v>-2</v>
      </c>
      <c r="AA74" s="9">
        <f t="shared" si="64"/>
        <v>2.7</v>
      </c>
      <c r="AB74" s="9">
        <f t="shared" si="65"/>
        <v>2.125</v>
      </c>
      <c r="AC74" s="9">
        <f t="shared" si="66"/>
        <v>-0.125</v>
      </c>
      <c r="AD74" s="9">
        <f t="shared" si="67"/>
        <v>1.2</v>
      </c>
      <c r="AE74" s="9">
        <f t="shared" si="68"/>
        <v>1.35</v>
      </c>
      <c r="AF74" s="9">
        <f t="shared" si="69"/>
        <v>1.35</v>
      </c>
      <c r="AG74" s="9">
        <f t="shared" si="70"/>
        <v>1.35</v>
      </c>
      <c r="AH74" s="9">
        <f t="shared" si="71"/>
        <v>1.1000000000000001</v>
      </c>
      <c r="AI74" s="9">
        <f t="shared" si="72"/>
        <v>1.0625</v>
      </c>
      <c r="AJ74" s="9">
        <f t="shared" si="73"/>
        <v>3.0249999999999999</v>
      </c>
      <c r="AK74" s="9">
        <f t="shared" si="74"/>
        <v>2.7</v>
      </c>
      <c r="AL74" s="9">
        <f t="shared" si="75"/>
        <v>1.8</v>
      </c>
      <c r="AM74" s="9">
        <f t="shared" si="76"/>
        <v>1.8</v>
      </c>
      <c r="AN74" s="9">
        <f t="shared" si="77"/>
        <v>1.9</v>
      </c>
      <c r="AO74" s="9">
        <f t="shared" si="78"/>
        <v>1.8</v>
      </c>
      <c r="AP74" s="9">
        <f t="shared" si="79"/>
        <v>2.15</v>
      </c>
      <c r="AQ74" s="9">
        <f t="shared" si="80"/>
        <v>1.7</v>
      </c>
      <c r="AR74" s="9">
        <f t="shared" si="81"/>
        <v>1.5</v>
      </c>
      <c r="AS74" s="9">
        <f t="shared" si="82"/>
        <v>3.4000000000000004</v>
      </c>
      <c r="AT74" s="9">
        <f t="shared" si="83"/>
        <v>3.5</v>
      </c>
      <c r="AU74" s="9">
        <f t="shared" si="84"/>
        <v>2.8000000000000007</v>
      </c>
      <c r="AV74" s="9">
        <f t="shared" si="85"/>
        <v>3.4000000000000004</v>
      </c>
      <c r="AW74" s="9">
        <f t="shared" si="86"/>
        <v>3.3000000000000007</v>
      </c>
      <c r="AX74" s="9">
        <f t="shared" si="87"/>
        <v>3.5</v>
      </c>
      <c r="AY74" s="9">
        <f t="shared" si="88"/>
        <v>3.67</v>
      </c>
      <c r="AZ74" s="9">
        <f t="shared" si="89"/>
        <v>3.3000000000000007</v>
      </c>
      <c r="BA74" s="9">
        <f t="shared" si="90"/>
        <v>3.9000000000000004</v>
      </c>
      <c r="BB74" s="9">
        <f t="shared" si="91"/>
        <v>4.1999999999999993</v>
      </c>
      <c r="BC74" s="9">
        <f t="shared" si="92"/>
        <v>4.5</v>
      </c>
      <c r="BD74" s="9">
        <f t="shared" si="93"/>
        <v>4.375</v>
      </c>
      <c r="BE74" s="9">
        <f t="shared" si="94"/>
        <v>4.3000000000000007</v>
      </c>
      <c r="BF74" s="9">
        <f t="shared" si="95"/>
        <v>4.2699999999999996</v>
      </c>
      <c r="BG74" s="9">
        <f t="shared" si="96"/>
        <v>4.75</v>
      </c>
      <c r="BH74" s="9">
        <f t="shared" si="97"/>
        <v>4.2699999999999996</v>
      </c>
      <c r="BI74" s="9">
        <f t="shared" si="98"/>
        <v>5.5</v>
      </c>
      <c r="BJ74" s="9">
        <f t="shared" si="99"/>
        <v>5.25</v>
      </c>
    </row>
    <row r="75" spans="1:62" x14ac:dyDescent="0.2">
      <c r="A75" s="9">
        <f>data!M76-data!M75</f>
        <v>0.99269999999999925</v>
      </c>
      <c r="B75" s="9">
        <f>data!C76-data!C75</f>
        <v>3.8000000000000007</v>
      </c>
      <c r="C75" s="9">
        <f>data!D76-data!D75</f>
        <v>-0.72500000000000142</v>
      </c>
      <c r="D75" s="10">
        <f>data!B76-data!B75</f>
        <v>2.5000000000000022E-2</v>
      </c>
      <c r="E75" s="9">
        <f>data!E75-data!G75</f>
        <v>3.0847999999999995</v>
      </c>
      <c r="F75" s="9">
        <f>(data!E75-data!F75)-(data!G75-data!H75)</f>
        <v>-0.9632000000000005</v>
      </c>
      <c r="G75" s="9">
        <f t="shared" si="50"/>
        <v>5.06000000000002E-2</v>
      </c>
      <c r="H75" s="9">
        <f t="shared" si="51"/>
        <v>-0.15449999999999919</v>
      </c>
      <c r="I75" s="9">
        <f>IF(data!M76&gt; 111.81,1,0)</f>
        <v>0</v>
      </c>
      <c r="J75" s="9">
        <f t="shared" si="52"/>
        <v>1</v>
      </c>
      <c r="K75" s="9">
        <f t="shared" si="53"/>
        <v>0</v>
      </c>
      <c r="L75" s="9">
        <f t="shared" si="54"/>
        <v>0.99269999999999925</v>
      </c>
      <c r="M75" s="9">
        <f>data!J75</f>
        <v>1.5</v>
      </c>
      <c r="N75" s="9">
        <f>data!I75</f>
        <v>2.2000000000000002</v>
      </c>
      <c r="O75" s="9">
        <f>data!L75</f>
        <v>1.0249999999999999</v>
      </c>
      <c r="P75" s="9">
        <f>data!K75</f>
        <v>-5</v>
      </c>
      <c r="Q75" s="9">
        <f>data!R75</f>
        <v>-8.8000000000000007</v>
      </c>
      <c r="R75" s="9">
        <f t="shared" si="55"/>
        <v>-1.8</v>
      </c>
      <c r="S75" s="9">
        <f t="shared" si="56"/>
        <v>-1.6</v>
      </c>
      <c r="T75" s="9">
        <f t="shared" si="57"/>
        <v>-1.4</v>
      </c>
      <c r="U75" s="9">
        <f t="shared" si="58"/>
        <v>-1.4</v>
      </c>
      <c r="V75" s="9">
        <f t="shared" si="59"/>
        <v>-1.2</v>
      </c>
      <c r="W75" s="9">
        <f t="shared" si="60"/>
        <v>-1.25</v>
      </c>
      <c r="X75" s="9">
        <f t="shared" si="61"/>
        <v>-1.9</v>
      </c>
      <c r="Y75" s="9">
        <f t="shared" si="62"/>
        <v>-2</v>
      </c>
      <c r="Z75" s="9">
        <f t="shared" si="63"/>
        <v>-2</v>
      </c>
      <c r="AA75" s="9">
        <f t="shared" si="64"/>
        <v>-0.57500000000000018</v>
      </c>
      <c r="AB75" s="9">
        <f t="shared" si="65"/>
        <v>-2.8250000000000002</v>
      </c>
      <c r="AC75" s="9">
        <f t="shared" si="66"/>
        <v>-1.5000000000000002</v>
      </c>
      <c r="AD75" s="9">
        <f t="shared" si="67"/>
        <v>-1.35</v>
      </c>
      <c r="AE75" s="9">
        <f t="shared" si="68"/>
        <v>-1.35</v>
      </c>
      <c r="AF75" s="9">
        <f t="shared" si="69"/>
        <v>-1.35</v>
      </c>
      <c r="AG75" s="9">
        <f t="shared" si="70"/>
        <v>-1.6</v>
      </c>
      <c r="AH75" s="9">
        <f t="shared" si="71"/>
        <v>-1.6375000000000002</v>
      </c>
      <c r="AI75" s="9">
        <f t="shared" si="72"/>
        <v>-1.3000000000000003</v>
      </c>
      <c r="AJ75" s="9">
        <f t="shared" si="73"/>
        <v>-0.32499999999999996</v>
      </c>
      <c r="AK75" s="9">
        <f t="shared" si="74"/>
        <v>-1.2249999999999999</v>
      </c>
      <c r="AL75" s="9">
        <f t="shared" si="75"/>
        <v>-1.2249999999999999</v>
      </c>
      <c r="AM75" s="9">
        <f t="shared" si="76"/>
        <v>-1.125</v>
      </c>
      <c r="AN75" s="9">
        <f t="shared" si="77"/>
        <v>-1.2249999999999999</v>
      </c>
      <c r="AO75" s="9">
        <f t="shared" si="78"/>
        <v>-0.87499999999999989</v>
      </c>
      <c r="AP75" s="9">
        <f t="shared" si="79"/>
        <v>-1.325</v>
      </c>
      <c r="AQ75" s="9">
        <f t="shared" si="80"/>
        <v>-1.5249999999999999</v>
      </c>
      <c r="AR75" s="9">
        <f t="shared" si="81"/>
        <v>-1.125</v>
      </c>
      <c r="AS75" s="9">
        <f t="shared" si="82"/>
        <v>9.9999999999999645E-2</v>
      </c>
      <c r="AT75" s="9">
        <f t="shared" si="83"/>
        <v>-0.59999999999999964</v>
      </c>
      <c r="AU75" s="9">
        <f t="shared" si="84"/>
        <v>0</v>
      </c>
      <c r="AV75" s="9">
        <f t="shared" si="85"/>
        <v>-9.9999999999999645E-2</v>
      </c>
      <c r="AW75" s="9">
        <f t="shared" si="86"/>
        <v>9.9999999999999645E-2</v>
      </c>
      <c r="AX75" s="9">
        <f t="shared" si="87"/>
        <v>0.26999999999999957</v>
      </c>
      <c r="AY75" s="9">
        <f t="shared" si="88"/>
        <v>-9.9999999999999645E-2</v>
      </c>
      <c r="AZ75" s="9">
        <f t="shared" si="89"/>
        <v>0.5</v>
      </c>
      <c r="BA75" s="9">
        <f t="shared" si="90"/>
        <v>0.29999999999999982</v>
      </c>
      <c r="BB75" s="9">
        <f t="shared" si="91"/>
        <v>0.30000000000000071</v>
      </c>
      <c r="BC75" s="9">
        <f t="shared" si="92"/>
        <v>0.17500000000000071</v>
      </c>
      <c r="BD75" s="9">
        <f t="shared" si="93"/>
        <v>0.10000000000000142</v>
      </c>
      <c r="BE75" s="9">
        <f t="shared" si="94"/>
        <v>7.0000000000000284E-2</v>
      </c>
      <c r="BF75" s="9">
        <f t="shared" si="95"/>
        <v>0.55000000000000071</v>
      </c>
      <c r="BG75" s="9">
        <f t="shared" si="96"/>
        <v>7.0000000000000284E-2</v>
      </c>
      <c r="BH75" s="9">
        <f t="shared" si="97"/>
        <v>1.3000000000000007</v>
      </c>
      <c r="BI75" s="9">
        <f t="shared" si="98"/>
        <v>1.0500000000000007</v>
      </c>
      <c r="BJ75" s="9">
        <f t="shared" si="99"/>
        <v>1.1000000000000005</v>
      </c>
    </row>
    <row r="76" spans="1:62" x14ac:dyDescent="0.2">
      <c r="A76" s="9">
        <f>data!M77-data!M76</f>
        <v>0.36560000000000059</v>
      </c>
      <c r="B76" s="9">
        <f>data!C77-data!C76</f>
        <v>-0.87000000000000099</v>
      </c>
      <c r="C76" s="9">
        <f>data!D77-data!D76</f>
        <v>-0.34999999999999964</v>
      </c>
      <c r="D76" s="10">
        <f>data!B77-data!B76</f>
        <v>0</v>
      </c>
      <c r="E76" s="9">
        <f>data!E76-data!G76</f>
        <v>3.1353999999999997</v>
      </c>
      <c r="F76" s="9">
        <f>(data!E76-data!F76)-(data!G76-data!H76)</f>
        <v>-1.1176999999999997</v>
      </c>
      <c r="G76" s="9">
        <f t="shared" si="50"/>
        <v>0.18600000000000083</v>
      </c>
      <c r="H76" s="9">
        <f t="shared" si="51"/>
        <v>3.1099999999999905E-2</v>
      </c>
      <c r="I76" s="9">
        <f>IF(data!M77&gt; 111.81,1,0)</f>
        <v>0</v>
      </c>
      <c r="J76" s="9">
        <f t="shared" si="52"/>
        <v>1</v>
      </c>
      <c r="K76" s="9">
        <f t="shared" si="53"/>
        <v>0</v>
      </c>
      <c r="L76" s="9">
        <f t="shared" si="54"/>
        <v>0.36560000000000059</v>
      </c>
      <c r="M76" s="9">
        <f>data!J76</f>
        <v>-0.3</v>
      </c>
      <c r="N76" s="9">
        <f>data!I76</f>
        <v>1.625</v>
      </c>
      <c r="O76" s="9">
        <f>data!L76</f>
        <v>0.7</v>
      </c>
      <c r="P76" s="9">
        <f>data!K76</f>
        <v>-4.9000000000000004</v>
      </c>
      <c r="Q76" s="9">
        <f>data!R76</f>
        <v>-8.5</v>
      </c>
      <c r="R76" s="9">
        <f t="shared" si="55"/>
        <v>0.19999999999999998</v>
      </c>
      <c r="S76" s="9">
        <f t="shared" si="56"/>
        <v>0.4</v>
      </c>
      <c r="T76" s="9">
        <f t="shared" si="57"/>
        <v>0.4</v>
      </c>
      <c r="U76" s="9">
        <f t="shared" si="58"/>
        <v>0.6</v>
      </c>
      <c r="V76" s="9">
        <f t="shared" si="59"/>
        <v>0.55000000000000004</v>
      </c>
      <c r="W76" s="9">
        <f t="shared" si="60"/>
        <v>-0.10000000000000003</v>
      </c>
      <c r="X76" s="9">
        <f t="shared" si="61"/>
        <v>-0.2</v>
      </c>
      <c r="Y76" s="9">
        <f t="shared" si="62"/>
        <v>-0.2</v>
      </c>
      <c r="Z76" s="9">
        <f t="shared" si="63"/>
        <v>4.9999999999999989E-2</v>
      </c>
      <c r="AA76" s="9">
        <f t="shared" si="64"/>
        <v>-2.25</v>
      </c>
      <c r="AB76" s="9">
        <f t="shared" si="65"/>
        <v>-0.92500000000000004</v>
      </c>
      <c r="AC76" s="9">
        <f t="shared" si="66"/>
        <v>-0.77500000000000002</v>
      </c>
      <c r="AD76" s="9">
        <f t="shared" si="67"/>
        <v>-0.77500000000000002</v>
      </c>
      <c r="AE76" s="9">
        <f t="shared" si="68"/>
        <v>-0.77500000000000002</v>
      </c>
      <c r="AF76" s="9">
        <f t="shared" si="69"/>
        <v>-1.0249999999999999</v>
      </c>
      <c r="AG76" s="9">
        <f t="shared" si="70"/>
        <v>-1.0625</v>
      </c>
      <c r="AH76" s="9">
        <f t="shared" si="71"/>
        <v>-0.72499999999999998</v>
      </c>
      <c r="AI76" s="9">
        <f t="shared" si="72"/>
        <v>-0.72499999999999998</v>
      </c>
      <c r="AJ76" s="9">
        <f t="shared" si="73"/>
        <v>-0.89999999999999991</v>
      </c>
      <c r="AK76" s="9">
        <f t="shared" si="74"/>
        <v>-0.89999999999999991</v>
      </c>
      <c r="AL76" s="9">
        <f t="shared" si="75"/>
        <v>-0.79999999999999993</v>
      </c>
      <c r="AM76" s="9">
        <f t="shared" si="76"/>
        <v>-0.89999999999999991</v>
      </c>
      <c r="AN76" s="9">
        <f t="shared" si="77"/>
        <v>-0.54999999999999993</v>
      </c>
      <c r="AO76" s="9">
        <f t="shared" si="78"/>
        <v>-1</v>
      </c>
      <c r="AP76" s="9">
        <f t="shared" si="79"/>
        <v>-1.2</v>
      </c>
      <c r="AQ76" s="9">
        <f t="shared" si="80"/>
        <v>-0.79999999999999993</v>
      </c>
      <c r="AR76" s="9">
        <f t="shared" si="81"/>
        <v>-0.79999999999999993</v>
      </c>
      <c r="AS76" s="9">
        <f t="shared" si="82"/>
        <v>-0.69999999999999929</v>
      </c>
      <c r="AT76" s="9">
        <f t="shared" si="83"/>
        <v>-9.9999999999999645E-2</v>
      </c>
      <c r="AU76" s="9">
        <f t="shared" si="84"/>
        <v>-0.19999999999999929</v>
      </c>
      <c r="AV76" s="9">
        <f t="shared" si="85"/>
        <v>0</v>
      </c>
      <c r="AW76" s="9">
        <f t="shared" si="86"/>
        <v>0.16999999999999993</v>
      </c>
      <c r="AX76" s="9">
        <f t="shared" si="87"/>
        <v>-0.19999999999999929</v>
      </c>
      <c r="AY76" s="9">
        <f t="shared" si="88"/>
        <v>0.40000000000000036</v>
      </c>
      <c r="AZ76" s="9">
        <f t="shared" si="89"/>
        <v>0.20000000000000018</v>
      </c>
      <c r="BA76" s="9">
        <f t="shared" si="90"/>
        <v>0.15000000000000036</v>
      </c>
      <c r="BB76" s="9">
        <f t="shared" si="91"/>
        <v>-0.125</v>
      </c>
      <c r="BC76" s="9">
        <f t="shared" si="92"/>
        <v>-0.19999999999999929</v>
      </c>
      <c r="BD76" s="9">
        <f t="shared" si="93"/>
        <v>-0.23000000000000043</v>
      </c>
      <c r="BE76" s="9">
        <f t="shared" si="94"/>
        <v>0.25</v>
      </c>
      <c r="BF76" s="9">
        <f t="shared" si="95"/>
        <v>-0.23000000000000043</v>
      </c>
      <c r="BG76" s="9">
        <f t="shared" si="96"/>
        <v>1</v>
      </c>
      <c r="BH76" s="9">
        <f t="shared" si="97"/>
        <v>0.75</v>
      </c>
      <c r="BI76" s="9">
        <f t="shared" si="98"/>
        <v>0.79999999999999982</v>
      </c>
      <c r="BJ76" s="9">
        <f t="shared" si="99"/>
        <v>0.5</v>
      </c>
    </row>
    <row r="77" spans="1:62" x14ac:dyDescent="0.2">
      <c r="A77" s="9">
        <f>data!M78-data!M77</f>
        <v>0.50889999999999702</v>
      </c>
      <c r="B77" s="9">
        <f>data!C78-data!C77</f>
        <v>-1.3599999999999994</v>
      </c>
      <c r="C77" s="9">
        <f>data!D78-data!D77</f>
        <v>-4.9999999999998934E-2</v>
      </c>
      <c r="D77" s="10">
        <f>data!B78-data!B77</f>
        <v>2.5000000000000022E-2</v>
      </c>
      <c r="E77" s="9">
        <f>data!E77-data!G77</f>
        <v>3.3214000000000006</v>
      </c>
      <c r="F77" s="9">
        <f>(data!E77-data!F77)-(data!G77-data!H77)</f>
        <v>-1.0865999999999998</v>
      </c>
      <c r="G77" s="9">
        <f t="shared" si="50"/>
        <v>3.0899999999999039E-2</v>
      </c>
      <c r="H77" s="9">
        <f t="shared" si="51"/>
        <v>-3.7100000000000577E-2</v>
      </c>
      <c r="I77" s="9">
        <f>IF(data!M78&gt; 111.81,1,0)</f>
        <v>0</v>
      </c>
      <c r="J77" s="9">
        <f t="shared" si="52"/>
        <v>1</v>
      </c>
      <c r="K77" s="9">
        <f t="shared" si="53"/>
        <v>0</v>
      </c>
      <c r="L77" s="9">
        <f t="shared" si="54"/>
        <v>0.50889999999999702</v>
      </c>
      <c r="M77" s="9">
        <f>data!J77</f>
        <v>-0.1</v>
      </c>
      <c r="N77" s="9">
        <f>data!I77</f>
        <v>-0.625</v>
      </c>
      <c r="O77" s="9">
        <f>data!L77</f>
        <v>-0.2</v>
      </c>
      <c r="P77" s="9">
        <f>data!K77</f>
        <v>-5.6</v>
      </c>
      <c r="Q77" s="9">
        <f>data!R77</f>
        <v>-8.625</v>
      </c>
      <c r="R77" s="9">
        <f t="shared" si="55"/>
        <v>0.2</v>
      </c>
      <c r="S77" s="9">
        <f t="shared" si="56"/>
        <v>0.2</v>
      </c>
      <c r="T77" s="9">
        <f t="shared" si="57"/>
        <v>0.4</v>
      </c>
      <c r="U77" s="9">
        <f t="shared" si="58"/>
        <v>0.35</v>
      </c>
      <c r="V77" s="9">
        <f t="shared" si="59"/>
        <v>-0.30000000000000004</v>
      </c>
      <c r="W77" s="9">
        <f t="shared" si="60"/>
        <v>-0.4</v>
      </c>
      <c r="X77" s="9">
        <f t="shared" si="61"/>
        <v>-0.4</v>
      </c>
      <c r="Y77" s="9">
        <f t="shared" si="62"/>
        <v>-0.15</v>
      </c>
      <c r="Z77" s="9">
        <f t="shared" si="63"/>
        <v>-0.4</v>
      </c>
      <c r="AA77" s="9">
        <f t="shared" si="64"/>
        <v>1.325</v>
      </c>
      <c r="AB77" s="9">
        <f t="shared" si="65"/>
        <v>1.4750000000000001</v>
      </c>
      <c r="AC77" s="9">
        <f t="shared" si="66"/>
        <v>1.4750000000000001</v>
      </c>
      <c r="AD77" s="9">
        <f t="shared" si="67"/>
        <v>1.4750000000000001</v>
      </c>
      <c r="AE77" s="9">
        <f t="shared" si="68"/>
        <v>1.2250000000000001</v>
      </c>
      <c r="AF77" s="9">
        <f t="shared" si="69"/>
        <v>1.1875</v>
      </c>
      <c r="AG77" s="9">
        <f t="shared" si="70"/>
        <v>1.5249999999999999</v>
      </c>
      <c r="AH77" s="9">
        <f t="shared" si="71"/>
        <v>1.5249999999999999</v>
      </c>
      <c r="AI77" s="9">
        <f t="shared" si="72"/>
        <v>1.5249999999999999</v>
      </c>
      <c r="AJ77" s="9">
        <f t="shared" si="73"/>
        <v>0</v>
      </c>
      <c r="AK77" s="9">
        <f t="shared" si="74"/>
        <v>0.1</v>
      </c>
      <c r="AL77" s="9">
        <f t="shared" si="75"/>
        <v>0</v>
      </c>
      <c r="AM77" s="9">
        <f t="shared" si="76"/>
        <v>0.35</v>
      </c>
      <c r="AN77" s="9">
        <f t="shared" si="77"/>
        <v>-9.9999999999999978E-2</v>
      </c>
      <c r="AO77" s="9">
        <f t="shared" si="78"/>
        <v>-0.3</v>
      </c>
      <c r="AP77" s="9">
        <f t="shared" si="79"/>
        <v>0.1</v>
      </c>
      <c r="AQ77" s="9">
        <f t="shared" si="80"/>
        <v>0.1</v>
      </c>
      <c r="AR77" s="9">
        <f t="shared" si="81"/>
        <v>-0.2</v>
      </c>
      <c r="AS77" s="9">
        <f t="shared" si="82"/>
        <v>0.59999999999999964</v>
      </c>
      <c r="AT77" s="9">
        <f t="shared" si="83"/>
        <v>0.5</v>
      </c>
      <c r="AU77" s="9">
        <f t="shared" si="84"/>
        <v>0.69999999999999929</v>
      </c>
      <c r="AV77" s="9">
        <f t="shared" si="85"/>
        <v>0.86999999999999922</v>
      </c>
      <c r="AW77" s="9">
        <f t="shared" si="86"/>
        <v>0.5</v>
      </c>
      <c r="AX77" s="9">
        <f t="shared" si="87"/>
        <v>1.0999999999999996</v>
      </c>
      <c r="AY77" s="9">
        <f t="shared" si="88"/>
        <v>0.89999999999999947</v>
      </c>
      <c r="AZ77" s="9">
        <f t="shared" si="89"/>
        <v>0.84999999999999964</v>
      </c>
      <c r="BA77" s="9">
        <f t="shared" si="90"/>
        <v>0.79999999999999982</v>
      </c>
      <c r="BB77" s="9">
        <f t="shared" si="91"/>
        <v>-7.4999999999999289E-2</v>
      </c>
      <c r="BC77" s="9">
        <f t="shared" si="92"/>
        <v>-0.10500000000000043</v>
      </c>
      <c r="BD77" s="9">
        <f t="shared" si="93"/>
        <v>0.375</v>
      </c>
      <c r="BE77" s="9">
        <f t="shared" si="94"/>
        <v>-0.10500000000000043</v>
      </c>
      <c r="BF77" s="9">
        <f t="shared" si="95"/>
        <v>1.125</v>
      </c>
      <c r="BG77" s="9">
        <f t="shared" si="96"/>
        <v>0.875</v>
      </c>
      <c r="BH77" s="9">
        <f t="shared" si="97"/>
        <v>0.92499999999999982</v>
      </c>
      <c r="BI77" s="9">
        <f t="shared" si="98"/>
        <v>0.625</v>
      </c>
      <c r="BJ77" s="9">
        <f t="shared" si="99"/>
        <v>0.82500000000000018</v>
      </c>
    </row>
    <row r="78" spans="1:62" x14ac:dyDescent="0.2">
      <c r="A78" s="9">
        <f>data!M79-data!M78</f>
        <v>-1.1732999999999976</v>
      </c>
      <c r="B78" s="9">
        <f>data!C79-data!C78</f>
        <v>-2.8100000000000005</v>
      </c>
      <c r="C78" s="9">
        <f>data!D79-data!D78</f>
        <v>0.32499999999999929</v>
      </c>
      <c r="D78" s="10">
        <f>data!B79-data!B78</f>
        <v>0.125</v>
      </c>
      <c r="E78" s="9">
        <f>data!E78-data!G78</f>
        <v>3.3522999999999996</v>
      </c>
      <c r="F78" s="9">
        <f>(data!E78-data!F78)-(data!G78-data!H78)</f>
        <v>-1.1237000000000004</v>
      </c>
      <c r="G78" s="9">
        <f t="shared" si="50"/>
        <v>-0.13589999999999947</v>
      </c>
      <c r="H78" s="9">
        <f t="shared" si="51"/>
        <v>3.0300000000000438E-2</v>
      </c>
      <c r="I78" s="9">
        <f>IF(data!M79&gt; 111.81,1,0)</f>
        <v>0</v>
      </c>
      <c r="J78" s="9">
        <f t="shared" si="52"/>
        <v>1</v>
      </c>
      <c r="K78" s="9">
        <f t="shared" si="53"/>
        <v>0</v>
      </c>
      <c r="L78" s="9">
        <f t="shared" si="54"/>
        <v>-1.1732999999999976</v>
      </c>
      <c r="M78" s="9">
        <f>data!J78</f>
        <v>0.1</v>
      </c>
      <c r="N78" s="9">
        <f>data!I78</f>
        <v>0.7</v>
      </c>
      <c r="O78" s="9">
        <f>data!L78</f>
        <v>-0.2</v>
      </c>
      <c r="P78" s="9">
        <f>data!K78</f>
        <v>-5</v>
      </c>
      <c r="Q78" s="9">
        <f>data!R78</f>
        <v>-8.6999999999999993</v>
      </c>
      <c r="R78" s="9">
        <f t="shared" si="55"/>
        <v>0</v>
      </c>
      <c r="S78" s="9">
        <f t="shared" si="56"/>
        <v>0.19999999999999998</v>
      </c>
      <c r="T78" s="9">
        <f t="shared" si="57"/>
        <v>0.15</v>
      </c>
      <c r="U78" s="9">
        <f t="shared" si="58"/>
        <v>-0.5</v>
      </c>
      <c r="V78" s="9">
        <f t="shared" si="59"/>
        <v>-0.6</v>
      </c>
      <c r="W78" s="9">
        <f t="shared" si="60"/>
        <v>-0.6</v>
      </c>
      <c r="X78" s="9">
        <f t="shared" si="61"/>
        <v>-0.35</v>
      </c>
      <c r="Y78" s="9">
        <f t="shared" si="62"/>
        <v>-0.6</v>
      </c>
      <c r="Z78" s="9">
        <f t="shared" si="63"/>
        <v>-0.6</v>
      </c>
      <c r="AA78" s="9">
        <f t="shared" si="64"/>
        <v>0.15000000000000002</v>
      </c>
      <c r="AB78" s="9">
        <f t="shared" si="65"/>
        <v>0.15000000000000002</v>
      </c>
      <c r="AC78" s="9">
        <f t="shared" si="66"/>
        <v>0.15000000000000002</v>
      </c>
      <c r="AD78" s="9">
        <f t="shared" si="67"/>
        <v>-9.9999999999999978E-2</v>
      </c>
      <c r="AE78" s="9">
        <f t="shared" si="68"/>
        <v>-0.13749999999999996</v>
      </c>
      <c r="AF78" s="9">
        <f t="shared" si="69"/>
        <v>0.20000000000000007</v>
      </c>
      <c r="AG78" s="9">
        <f t="shared" si="70"/>
        <v>0.20000000000000007</v>
      </c>
      <c r="AH78" s="9">
        <f t="shared" si="71"/>
        <v>0.20000000000000007</v>
      </c>
      <c r="AI78" s="9">
        <f t="shared" si="72"/>
        <v>0.20000000000000007</v>
      </c>
      <c r="AJ78" s="9">
        <f t="shared" si="73"/>
        <v>0.1</v>
      </c>
      <c r="AK78" s="9">
        <f t="shared" si="74"/>
        <v>0</v>
      </c>
      <c r="AL78" s="9">
        <f t="shared" si="75"/>
        <v>0.35</v>
      </c>
      <c r="AM78" s="9">
        <f t="shared" si="76"/>
        <v>-9.9999999999999978E-2</v>
      </c>
      <c r="AN78" s="9">
        <f t="shared" si="77"/>
        <v>-0.3</v>
      </c>
      <c r="AO78" s="9">
        <f t="shared" si="78"/>
        <v>0.1</v>
      </c>
      <c r="AP78" s="9">
        <f t="shared" si="79"/>
        <v>0.1</v>
      </c>
      <c r="AQ78" s="9">
        <f t="shared" si="80"/>
        <v>-0.2</v>
      </c>
      <c r="AR78" s="9">
        <f t="shared" si="81"/>
        <v>-9.9999999999999978E-2</v>
      </c>
      <c r="AS78" s="9">
        <f t="shared" si="82"/>
        <v>-9.9999999999999645E-2</v>
      </c>
      <c r="AT78" s="9">
        <f t="shared" si="83"/>
        <v>9.9999999999999645E-2</v>
      </c>
      <c r="AU78" s="9">
        <f t="shared" si="84"/>
        <v>0.26999999999999957</v>
      </c>
      <c r="AV78" s="9">
        <f t="shared" si="85"/>
        <v>-9.9999999999999645E-2</v>
      </c>
      <c r="AW78" s="9">
        <f t="shared" si="86"/>
        <v>0.5</v>
      </c>
      <c r="AX78" s="9">
        <f t="shared" si="87"/>
        <v>0.29999999999999982</v>
      </c>
      <c r="AY78" s="9">
        <f t="shared" si="88"/>
        <v>0.25</v>
      </c>
      <c r="AZ78" s="9">
        <f t="shared" si="89"/>
        <v>0.20000000000000018</v>
      </c>
      <c r="BA78" s="9">
        <f t="shared" si="90"/>
        <v>0.40000000000000036</v>
      </c>
      <c r="BB78" s="9">
        <f t="shared" si="91"/>
        <v>-3.0000000000001137E-2</v>
      </c>
      <c r="BC78" s="9">
        <f t="shared" si="92"/>
        <v>0.44999999999999929</v>
      </c>
      <c r="BD78" s="9">
        <f t="shared" si="93"/>
        <v>-3.0000000000001137E-2</v>
      </c>
      <c r="BE78" s="9">
        <f t="shared" si="94"/>
        <v>1.1999999999999993</v>
      </c>
      <c r="BF78" s="9">
        <f t="shared" si="95"/>
        <v>0.94999999999999929</v>
      </c>
      <c r="BG78" s="9">
        <f t="shared" si="96"/>
        <v>0.99999999999999911</v>
      </c>
      <c r="BH78" s="9">
        <f t="shared" si="97"/>
        <v>0.69999999999999929</v>
      </c>
      <c r="BI78" s="9">
        <f t="shared" si="98"/>
        <v>0.89999999999999947</v>
      </c>
      <c r="BJ78" s="9">
        <f t="shared" si="99"/>
        <v>1.1999999999999993</v>
      </c>
    </row>
    <row r="79" spans="1:62" x14ac:dyDescent="0.2">
      <c r="A79" s="9">
        <f>data!M80-data!M79</f>
        <v>-0.49750000000000227</v>
      </c>
      <c r="B79" s="9">
        <f>data!C80-data!C79</f>
        <v>0.89000000000000057</v>
      </c>
      <c r="C79" s="9">
        <f>data!D80-data!D79</f>
        <v>-0.125</v>
      </c>
      <c r="D79" s="10">
        <f>data!B80-data!B79</f>
        <v>0</v>
      </c>
      <c r="E79" s="9">
        <f>data!E79-data!G79</f>
        <v>3.2164000000000001</v>
      </c>
      <c r="F79" s="9">
        <f>(data!E79-data!F79)-(data!G79-data!H79)</f>
        <v>-1.0933999999999999</v>
      </c>
      <c r="G79" s="9">
        <f t="shared" si="50"/>
        <v>-4.0300000000000225E-2</v>
      </c>
      <c r="H79" s="9">
        <f t="shared" si="51"/>
        <v>-1.7999999999995797E-3</v>
      </c>
      <c r="I79" s="9">
        <f>IF(data!M80&gt; 111.81,1,0)</f>
        <v>0</v>
      </c>
      <c r="J79" s="9">
        <f t="shared" si="52"/>
        <v>1</v>
      </c>
      <c r="K79" s="9">
        <f t="shared" si="53"/>
        <v>0</v>
      </c>
      <c r="L79" s="9">
        <f t="shared" si="54"/>
        <v>-0.49750000000000227</v>
      </c>
      <c r="M79" s="9">
        <f>data!J79</f>
        <v>0.1</v>
      </c>
      <c r="N79" s="9">
        <f>data!I79</f>
        <v>0.85</v>
      </c>
      <c r="O79" s="9">
        <f>data!L79</f>
        <v>-0.1</v>
      </c>
      <c r="P79" s="9">
        <f>data!K79</f>
        <v>-5.0999999999999996</v>
      </c>
      <c r="Q79" s="9">
        <f>data!R79</f>
        <v>-8.73</v>
      </c>
      <c r="R79" s="9">
        <f t="shared" si="55"/>
        <v>0.19999999999999998</v>
      </c>
      <c r="S79" s="9">
        <f t="shared" si="56"/>
        <v>0.15</v>
      </c>
      <c r="T79" s="9">
        <f t="shared" si="57"/>
        <v>-0.5</v>
      </c>
      <c r="U79" s="9">
        <f t="shared" si="58"/>
        <v>-0.6</v>
      </c>
      <c r="V79" s="9">
        <f t="shared" si="59"/>
        <v>-0.6</v>
      </c>
      <c r="W79" s="9">
        <f t="shared" si="60"/>
        <v>-0.35</v>
      </c>
      <c r="X79" s="9">
        <f t="shared" si="61"/>
        <v>-0.6</v>
      </c>
      <c r="Y79" s="9">
        <f t="shared" si="62"/>
        <v>-0.6</v>
      </c>
      <c r="Z79" s="9">
        <f t="shared" si="63"/>
        <v>-0.5</v>
      </c>
      <c r="AA79" s="9">
        <f t="shared" si="64"/>
        <v>0</v>
      </c>
      <c r="AB79" s="9">
        <f t="shared" si="65"/>
        <v>0</v>
      </c>
      <c r="AC79" s="9">
        <f t="shared" si="66"/>
        <v>-0.25</v>
      </c>
      <c r="AD79" s="9">
        <f t="shared" si="67"/>
        <v>-0.28749999999999998</v>
      </c>
      <c r="AE79" s="9">
        <f t="shared" si="68"/>
        <v>5.0000000000000044E-2</v>
      </c>
      <c r="AF79" s="9">
        <f t="shared" si="69"/>
        <v>5.0000000000000044E-2</v>
      </c>
      <c r="AG79" s="9">
        <f t="shared" si="70"/>
        <v>5.0000000000000044E-2</v>
      </c>
      <c r="AH79" s="9">
        <f t="shared" si="71"/>
        <v>5.0000000000000044E-2</v>
      </c>
      <c r="AI79" s="9">
        <f t="shared" si="72"/>
        <v>2.5000000000000022E-2</v>
      </c>
      <c r="AJ79" s="9">
        <f t="shared" si="73"/>
        <v>-0.1</v>
      </c>
      <c r="AK79" s="9">
        <f t="shared" si="74"/>
        <v>0.25</v>
      </c>
      <c r="AL79" s="9">
        <f t="shared" si="75"/>
        <v>-0.19999999999999998</v>
      </c>
      <c r="AM79" s="9">
        <f t="shared" si="76"/>
        <v>-0.4</v>
      </c>
      <c r="AN79" s="9">
        <f t="shared" si="77"/>
        <v>0</v>
      </c>
      <c r="AO79" s="9">
        <f t="shared" si="78"/>
        <v>0</v>
      </c>
      <c r="AP79" s="9">
        <f t="shared" si="79"/>
        <v>-0.30000000000000004</v>
      </c>
      <c r="AQ79" s="9">
        <f t="shared" si="80"/>
        <v>-0.19999999999999998</v>
      </c>
      <c r="AR79" s="9">
        <f t="shared" si="81"/>
        <v>0</v>
      </c>
      <c r="AS79" s="9">
        <f t="shared" si="82"/>
        <v>0.19999999999999929</v>
      </c>
      <c r="AT79" s="9">
        <f t="shared" si="83"/>
        <v>0.36999999999999922</v>
      </c>
      <c r="AU79" s="9">
        <f t="shared" si="84"/>
        <v>0</v>
      </c>
      <c r="AV79" s="9">
        <f t="shared" si="85"/>
        <v>0.59999999999999964</v>
      </c>
      <c r="AW79" s="9">
        <f t="shared" si="86"/>
        <v>0.39999999999999947</v>
      </c>
      <c r="AX79" s="9">
        <f t="shared" si="87"/>
        <v>0.34999999999999964</v>
      </c>
      <c r="AY79" s="9">
        <f t="shared" si="88"/>
        <v>0.29999999999999982</v>
      </c>
      <c r="AZ79" s="9">
        <f t="shared" si="89"/>
        <v>0.5</v>
      </c>
      <c r="BA79" s="9">
        <f t="shared" si="90"/>
        <v>0.69999999999999929</v>
      </c>
      <c r="BB79" s="9">
        <f t="shared" si="91"/>
        <v>0.48000000000000043</v>
      </c>
      <c r="BC79" s="9">
        <f t="shared" si="92"/>
        <v>0</v>
      </c>
      <c r="BD79" s="9">
        <f t="shared" si="93"/>
        <v>1.2300000000000004</v>
      </c>
      <c r="BE79" s="9">
        <f t="shared" si="94"/>
        <v>0.98000000000000043</v>
      </c>
      <c r="BF79" s="9">
        <f t="shared" si="95"/>
        <v>1.0300000000000002</v>
      </c>
      <c r="BG79" s="9">
        <f t="shared" si="96"/>
        <v>0.73000000000000043</v>
      </c>
      <c r="BH79" s="9">
        <f t="shared" si="97"/>
        <v>0.9300000000000006</v>
      </c>
      <c r="BI79" s="9">
        <f t="shared" si="98"/>
        <v>1.2300000000000004</v>
      </c>
      <c r="BJ79" s="9">
        <f t="shared" si="99"/>
        <v>1.4400000000000004</v>
      </c>
    </row>
    <row r="80" spans="1:62" x14ac:dyDescent="0.2">
      <c r="A80" s="9">
        <f>data!M81-data!M80</f>
        <v>0.93059999999999832</v>
      </c>
      <c r="B80" s="9">
        <f>data!C81-data!C80</f>
        <v>4.08</v>
      </c>
      <c r="C80" s="9">
        <f>data!D81-data!D80</f>
        <v>-0.19999999999999929</v>
      </c>
      <c r="D80" s="10">
        <f>data!B81-data!B80</f>
        <v>2.5000000000000022E-2</v>
      </c>
      <c r="E80" s="9">
        <f>data!E80-data!G80</f>
        <v>3.1760999999999999</v>
      </c>
      <c r="F80" s="9">
        <f>(data!E80-data!F80)-(data!G80-data!H80)</f>
        <v>-1.0951999999999995</v>
      </c>
      <c r="G80" s="9">
        <f t="shared" si="50"/>
        <v>4.9800000000000288E-2</v>
      </c>
      <c r="H80" s="9">
        <f t="shared" si="51"/>
        <v>2.2599999999999509E-2</v>
      </c>
      <c r="I80" s="9">
        <f>IF(data!M81&gt; 111.81,1,0)</f>
        <v>0</v>
      </c>
      <c r="J80" s="9">
        <f t="shared" si="52"/>
        <v>1</v>
      </c>
      <c r="K80" s="9">
        <f t="shared" si="53"/>
        <v>0</v>
      </c>
      <c r="L80" s="9">
        <f t="shared" si="54"/>
        <v>0.93059999999999832</v>
      </c>
      <c r="M80" s="9">
        <f>data!J80</f>
        <v>0.3</v>
      </c>
      <c r="N80" s="9">
        <f>data!I80</f>
        <v>0.85</v>
      </c>
      <c r="O80" s="9">
        <f>data!L80</f>
        <v>-0.2</v>
      </c>
      <c r="P80" s="9">
        <f>data!K80</f>
        <v>-4.9000000000000004</v>
      </c>
      <c r="Q80" s="9">
        <f>data!R80</f>
        <v>-8.25</v>
      </c>
      <c r="R80" s="9">
        <f t="shared" si="55"/>
        <v>-4.9999999999999989E-2</v>
      </c>
      <c r="S80" s="9">
        <f t="shared" si="56"/>
        <v>-0.7</v>
      </c>
      <c r="T80" s="9">
        <f t="shared" si="57"/>
        <v>-0.8</v>
      </c>
      <c r="U80" s="9">
        <f t="shared" si="58"/>
        <v>-0.8</v>
      </c>
      <c r="V80" s="9">
        <f t="shared" si="59"/>
        <v>-0.55000000000000004</v>
      </c>
      <c r="W80" s="9">
        <f t="shared" si="60"/>
        <v>-0.8</v>
      </c>
      <c r="X80" s="9">
        <f t="shared" si="61"/>
        <v>-0.8</v>
      </c>
      <c r="Y80" s="9">
        <f t="shared" si="62"/>
        <v>-0.7</v>
      </c>
      <c r="Z80" s="9">
        <f t="shared" si="63"/>
        <v>7.5000000000000011E-2</v>
      </c>
      <c r="AA80" s="9">
        <f t="shared" si="64"/>
        <v>0</v>
      </c>
      <c r="AB80" s="9">
        <f t="shared" si="65"/>
        <v>-0.25</v>
      </c>
      <c r="AC80" s="9">
        <f t="shared" si="66"/>
        <v>-0.28749999999999998</v>
      </c>
      <c r="AD80" s="9">
        <f t="shared" si="67"/>
        <v>5.0000000000000044E-2</v>
      </c>
      <c r="AE80" s="9">
        <f t="shared" si="68"/>
        <v>5.0000000000000044E-2</v>
      </c>
      <c r="AF80" s="9">
        <f t="shared" si="69"/>
        <v>5.0000000000000044E-2</v>
      </c>
      <c r="AG80" s="9">
        <f t="shared" si="70"/>
        <v>5.0000000000000044E-2</v>
      </c>
      <c r="AH80" s="9">
        <f t="shared" si="71"/>
        <v>2.5000000000000022E-2</v>
      </c>
      <c r="AI80" s="9">
        <f t="shared" si="72"/>
        <v>0.15000000000000002</v>
      </c>
      <c r="AJ80" s="9">
        <f t="shared" si="73"/>
        <v>0.35</v>
      </c>
      <c r="AK80" s="9">
        <f t="shared" si="74"/>
        <v>-9.9999999999999978E-2</v>
      </c>
      <c r="AL80" s="9">
        <f t="shared" si="75"/>
        <v>-0.3</v>
      </c>
      <c r="AM80" s="9">
        <f t="shared" si="76"/>
        <v>0.1</v>
      </c>
      <c r="AN80" s="9">
        <f t="shared" si="77"/>
        <v>0.1</v>
      </c>
      <c r="AO80" s="9">
        <f t="shared" si="78"/>
        <v>-0.2</v>
      </c>
      <c r="AP80" s="9">
        <f t="shared" si="79"/>
        <v>-9.9999999999999978E-2</v>
      </c>
      <c r="AQ80" s="9">
        <f t="shared" si="80"/>
        <v>0.1</v>
      </c>
      <c r="AR80" s="9">
        <f t="shared" si="81"/>
        <v>0.57499999999999996</v>
      </c>
      <c r="AS80" s="9">
        <f t="shared" si="82"/>
        <v>0.16999999999999993</v>
      </c>
      <c r="AT80" s="9">
        <f t="shared" si="83"/>
        <v>-0.19999999999999929</v>
      </c>
      <c r="AU80" s="9">
        <f t="shared" si="84"/>
        <v>0.40000000000000036</v>
      </c>
      <c r="AV80" s="9">
        <f t="shared" si="85"/>
        <v>0.20000000000000018</v>
      </c>
      <c r="AW80" s="9">
        <f t="shared" si="86"/>
        <v>0.15000000000000036</v>
      </c>
      <c r="AX80" s="9">
        <f t="shared" si="87"/>
        <v>0.10000000000000053</v>
      </c>
      <c r="AY80" s="9">
        <f t="shared" si="88"/>
        <v>0.30000000000000071</v>
      </c>
      <c r="AZ80" s="9">
        <f t="shared" si="89"/>
        <v>0.5</v>
      </c>
      <c r="BA80" s="9">
        <f t="shared" si="90"/>
        <v>0.65000000000000036</v>
      </c>
      <c r="BB80" s="9">
        <f t="shared" si="91"/>
        <v>-0.48000000000000043</v>
      </c>
      <c r="BC80" s="9">
        <f t="shared" si="92"/>
        <v>0.75</v>
      </c>
      <c r="BD80" s="9">
        <f t="shared" si="93"/>
        <v>0.5</v>
      </c>
      <c r="BE80" s="9">
        <f t="shared" si="94"/>
        <v>0.54999999999999982</v>
      </c>
      <c r="BF80" s="9">
        <f t="shared" si="95"/>
        <v>0.25</v>
      </c>
      <c r="BG80" s="9">
        <f t="shared" si="96"/>
        <v>0.45000000000000018</v>
      </c>
      <c r="BH80" s="9">
        <f t="shared" si="97"/>
        <v>0.75</v>
      </c>
      <c r="BI80" s="9">
        <f t="shared" si="98"/>
        <v>0.96</v>
      </c>
      <c r="BJ80" s="9">
        <f t="shared" si="99"/>
        <v>1.75</v>
      </c>
    </row>
    <row r="81" spans="1:62" x14ac:dyDescent="0.2">
      <c r="A81" s="9">
        <f>data!M82-data!M81</f>
        <v>-0.15930000000000177</v>
      </c>
      <c r="B81" s="9">
        <f>data!C82-data!C81</f>
        <v>-0.65000000000000213</v>
      </c>
      <c r="C81" s="9">
        <f>data!D82-data!D81</f>
        <v>-7.5000000000001066E-2</v>
      </c>
      <c r="D81" s="10">
        <f>data!B82-data!B81</f>
        <v>-7.5000000000000067E-2</v>
      </c>
      <c r="E81" s="9">
        <f>data!E81-data!G81</f>
        <v>3.2259000000000002</v>
      </c>
      <c r="F81" s="9">
        <f>(data!E81-data!F81)-(data!G81-data!H81)</f>
        <v>-1.0726</v>
      </c>
      <c r="G81" s="9">
        <f t="shared" si="50"/>
        <v>4.4999999999997264E-3</v>
      </c>
      <c r="H81" s="9">
        <f t="shared" si="51"/>
        <v>-2.450000000000041E-2</v>
      </c>
      <c r="I81" s="9">
        <f>IF(data!M82&gt; 111.81,1,0)</f>
        <v>0</v>
      </c>
      <c r="J81" s="9">
        <f t="shared" si="52"/>
        <v>1</v>
      </c>
      <c r="K81" s="9">
        <f t="shared" si="53"/>
        <v>0</v>
      </c>
      <c r="L81" s="9">
        <f t="shared" si="54"/>
        <v>-0.15930000000000177</v>
      </c>
      <c r="M81" s="9">
        <f>data!J81</f>
        <v>0.25</v>
      </c>
      <c r="N81" s="9">
        <f>data!I81</f>
        <v>0.85</v>
      </c>
      <c r="O81" s="9">
        <f>data!L81</f>
        <v>0.15</v>
      </c>
      <c r="P81" s="9">
        <f>data!K81</f>
        <v>-4.7300000000000004</v>
      </c>
      <c r="Q81" s="9">
        <f>data!R81</f>
        <v>-8.73</v>
      </c>
      <c r="R81" s="9">
        <f t="shared" si="55"/>
        <v>-0.65</v>
      </c>
      <c r="S81" s="9">
        <f t="shared" si="56"/>
        <v>-0.75</v>
      </c>
      <c r="T81" s="9">
        <f t="shared" si="57"/>
        <v>-0.75</v>
      </c>
      <c r="U81" s="9">
        <f t="shared" si="58"/>
        <v>-0.5</v>
      </c>
      <c r="V81" s="9">
        <f t="shared" si="59"/>
        <v>-0.75</v>
      </c>
      <c r="W81" s="9">
        <f t="shared" si="60"/>
        <v>-0.75</v>
      </c>
      <c r="X81" s="9">
        <f t="shared" si="61"/>
        <v>-0.65</v>
      </c>
      <c r="Y81" s="9">
        <f t="shared" si="62"/>
        <v>0.125</v>
      </c>
      <c r="Z81" s="9">
        <f t="shared" si="63"/>
        <v>0.15000000000000002</v>
      </c>
      <c r="AA81" s="9">
        <f t="shared" si="64"/>
        <v>-0.25</v>
      </c>
      <c r="AB81" s="9">
        <f t="shared" si="65"/>
        <v>-0.28749999999999998</v>
      </c>
      <c r="AC81" s="9">
        <f t="shared" si="66"/>
        <v>5.0000000000000044E-2</v>
      </c>
      <c r="AD81" s="9">
        <f t="shared" si="67"/>
        <v>5.0000000000000044E-2</v>
      </c>
      <c r="AE81" s="9">
        <f t="shared" si="68"/>
        <v>5.0000000000000044E-2</v>
      </c>
      <c r="AF81" s="9">
        <f t="shared" si="69"/>
        <v>5.0000000000000044E-2</v>
      </c>
      <c r="AG81" s="9">
        <f t="shared" si="70"/>
        <v>2.5000000000000022E-2</v>
      </c>
      <c r="AH81" s="9">
        <f t="shared" si="71"/>
        <v>0.15000000000000002</v>
      </c>
      <c r="AI81" s="9">
        <f t="shared" si="72"/>
        <v>0.45000000000000007</v>
      </c>
      <c r="AJ81" s="9">
        <f t="shared" si="73"/>
        <v>-0.44999999999999996</v>
      </c>
      <c r="AK81" s="9">
        <f t="shared" si="74"/>
        <v>-0.65</v>
      </c>
      <c r="AL81" s="9">
        <f t="shared" si="75"/>
        <v>-0.25</v>
      </c>
      <c r="AM81" s="9">
        <f t="shared" si="76"/>
        <v>-0.25</v>
      </c>
      <c r="AN81" s="9">
        <f t="shared" si="77"/>
        <v>-0.55000000000000004</v>
      </c>
      <c r="AO81" s="9">
        <f t="shared" si="78"/>
        <v>-0.44999999999999996</v>
      </c>
      <c r="AP81" s="9">
        <f t="shared" si="79"/>
        <v>-0.25</v>
      </c>
      <c r="AQ81" s="9">
        <f t="shared" si="80"/>
        <v>0.22500000000000001</v>
      </c>
      <c r="AR81" s="9">
        <f t="shared" si="81"/>
        <v>0.25</v>
      </c>
      <c r="AS81" s="9">
        <f t="shared" si="82"/>
        <v>-0.36999999999999922</v>
      </c>
      <c r="AT81" s="9">
        <f t="shared" si="83"/>
        <v>0.23000000000000043</v>
      </c>
      <c r="AU81" s="9">
        <f t="shared" si="84"/>
        <v>3.0000000000000249E-2</v>
      </c>
      <c r="AV81" s="9">
        <f t="shared" si="85"/>
        <v>-1.9999999999999574E-2</v>
      </c>
      <c r="AW81" s="9">
        <f t="shared" si="86"/>
        <v>-6.9999999999999396E-2</v>
      </c>
      <c r="AX81" s="9">
        <f t="shared" si="87"/>
        <v>0.13000000000000078</v>
      </c>
      <c r="AY81" s="9">
        <f t="shared" si="88"/>
        <v>0.33000000000000007</v>
      </c>
      <c r="AZ81" s="9">
        <f t="shared" si="89"/>
        <v>0.48000000000000043</v>
      </c>
      <c r="BA81" s="9">
        <f t="shared" si="90"/>
        <v>0.73000000000000043</v>
      </c>
      <c r="BB81" s="9">
        <f t="shared" si="91"/>
        <v>1.2300000000000004</v>
      </c>
      <c r="BC81" s="9">
        <f t="shared" si="92"/>
        <v>0.98000000000000043</v>
      </c>
      <c r="BD81" s="9">
        <f t="shared" si="93"/>
        <v>1.0300000000000002</v>
      </c>
      <c r="BE81" s="9">
        <f t="shared" si="94"/>
        <v>0.73000000000000043</v>
      </c>
      <c r="BF81" s="9">
        <f t="shared" si="95"/>
        <v>0.9300000000000006</v>
      </c>
      <c r="BG81" s="9">
        <f t="shared" si="96"/>
        <v>1.2300000000000004</v>
      </c>
      <c r="BH81" s="9">
        <f t="shared" si="97"/>
        <v>1.4400000000000004</v>
      </c>
      <c r="BI81" s="9">
        <f t="shared" si="98"/>
        <v>2.2300000000000004</v>
      </c>
      <c r="BJ81" s="9">
        <f t="shared" si="99"/>
        <v>2.33</v>
      </c>
    </row>
    <row r="82" spans="1:62" x14ac:dyDescent="0.2">
      <c r="A82" s="9">
        <f>data!M83-data!M82</f>
        <v>-0.46819999999999595</v>
      </c>
      <c r="B82" s="9">
        <f>data!C83-data!C82</f>
        <v>-3.0699999999999985</v>
      </c>
      <c r="C82" s="9">
        <f>data!D83-data!D82</f>
        <v>0.15000000000000036</v>
      </c>
      <c r="D82" s="10">
        <f>data!B83-data!B82</f>
        <v>0.12500000000000006</v>
      </c>
      <c r="E82" s="9">
        <f>data!E82-data!G82</f>
        <v>3.2303999999999999</v>
      </c>
      <c r="F82" s="9">
        <f>(data!E82-data!F82)-(data!G82-data!H82)</f>
        <v>-1.0971000000000004</v>
      </c>
      <c r="G82" s="9">
        <f t="shared" si="50"/>
        <v>-0.16179999999999994</v>
      </c>
      <c r="H82" s="9">
        <f t="shared" si="51"/>
        <v>9.600000000000275E-3</v>
      </c>
      <c r="I82" s="9">
        <f>IF(data!M83&gt; 111.81,1,0)</f>
        <v>0</v>
      </c>
      <c r="J82" s="9">
        <f t="shared" si="52"/>
        <v>1</v>
      </c>
      <c r="K82" s="9">
        <f t="shared" si="53"/>
        <v>0</v>
      </c>
      <c r="L82" s="9">
        <f t="shared" si="54"/>
        <v>-0.46819999999999595</v>
      </c>
      <c r="M82" s="9">
        <f>data!J82</f>
        <v>-0.4</v>
      </c>
      <c r="N82" s="9">
        <f>data!I82</f>
        <v>0.6</v>
      </c>
      <c r="O82" s="9">
        <f>data!L82</f>
        <v>-0.3</v>
      </c>
      <c r="P82" s="9">
        <f>data!K82</f>
        <v>-5.0999999999999996</v>
      </c>
      <c r="Q82" s="9">
        <f>data!R82</f>
        <v>-7.5</v>
      </c>
      <c r="R82" s="9">
        <f t="shared" si="55"/>
        <v>-9.9999999999999978E-2</v>
      </c>
      <c r="S82" s="9">
        <f t="shared" si="56"/>
        <v>-9.9999999999999978E-2</v>
      </c>
      <c r="T82" s="9">
        <f t="shared" si="57"/>
        <v>0.15000000000000002</v>
      </c>
      <c r="U82" s="9">
        <f t="shared" si="58"/>
        <v>-9.9999999999999978E-2</v>
      </c>
      <c r="V82" s="9">
        <f t="shared" si="59"/>
        <v>-9.9999999999999978E-2</v>
      </c>
      <c r="W82" s="9">
        <f t="shared" si="60"/>
        <v>0</v>
      </c>
      <c r="X82" s="9">
        <f t="shared" si="61"/>
        <v>0.77500000000000002</v>
      </c>
      <c r="Y82" s="9">
        <f t="shared" si="62"/>
        <v>0.8</v>
      </c>
      <c r="Z82" s="9">
        <f t="shared" si="63"/>
        <v>2.0249999999999999</v>
      </c>
      <c r="AA82" s="9">
        <f t="shared" si="64"/>
        <v>-3.7499999999999978E-2</v>
      </c>
      <c r="AB82" s="9">
        <f t="shared" si="65"/>
        <v>0.30000000000000004</v>
      </c>
      <c r="AC82" s="9">
        <f t="shared" si="66"/>
        <v>0.30000000000000004</v>
      </c>
      <c r="AD82" s="9">
        <f t="shared" si="67"/>
        <v>0.30000000000000004</v>
      </c>
      <c r="AE82" s="9">
        <f t="shared" si="68"/>
        <v>0.30000000000000004</v>
      </c>
      <c r="AF82" s="9">
        <f t="shared" si="69"/>
        <v>0.27500000000000002</v>
      </c>
      <c r="AG82" s="9">
        <f t="shared" si="70"/>
        <v>0.4</v>
      </c>
      <c r="AH82" s="9">
        <f t="shared" si="71"/>
        <v>0.70000000000000007</v>
      </c>
      <c r="AI82" s="9">
        <f t="shared" si="72"/>
        <v>1.1499999999999999</v>
      </c>
      <c r="AJ82" s="9">
        <f t="shared" si="73"/>
        <v>-0.2</v>
      </c>
      <c r="AK82" s="9">
        <f t="shared" si="74"/>
        <v>0.19999999999999998</v>
      </c>
      <c r="AL82" s="9">
        <f t="shared" si="75"/>
        <v>0.19999999999999998</v>
      </c>
      <c r="AM82" s="9">
        <f t="shared" si="76"/>
        <v>-0.10000000000000003</v>
      </c>
      <c r="AN82" s="9">
        <f t="shared" si="77"/>
        <v>0</v>
      </c>
      <c r="AO82" s="9">
        <f t="shared" si="78"/>
        <v>0.19999999999999998</v>
      </c>
      <c r="AP82" s="9">
        <f t="shared" si="79"/>
        <v>0.67500000000000004</v>
      </c>
      <c r="AQ82" s="9">
        <f t="shared" si="80"/>
        <v>0.7</v>
      </c>
      <c r="AR82" s="9">
        <f t="shared" si="81"/>
        <v>1.425</v>
      </c>
      <c r="AS82" s="9">
        <f t="shared" si="82"/>
        <v>0.59999999999999964</v>
      </c>
      <c r="AT82" s="9">
        <f t="shared" si="83"/>
        <v>0.39999999999999947</v>
      </c>
      <c r="AU82" s="9">
        <f t="shared" si="84"/>
        <v>0.34999999999999964</v>
      </c>
      <c r="AV82" s="9">
        <f t="shared" si="85"/>
        <v>0.29999999999999982</v>
      </c>
      <c r="AW82" s="9">
        <f t="shared" si="86"/>
        <v>0.5</v>
      </c>
      <c r="AX82" s="9">
        <f t="shared" si="87"/>
        <v>0.69999999999999929</v>
      </c>
      <c r="AY82" s="9">
        <f t="shared" si="88"/>
        <v>0.84999999999999964</v>
      </c>
      <c r="AZ82" s="9">
        <f t="shared" si="89"/>
        <v>1.0999999999999996</v>
      </c>
      <c r="BA82" s="9">
        <f t="shared" si="90"/>
        <v>2.7749999999999995</v>
      </c>
      <c r="BB82" s="9">
        <f t="shared" si="91"/>
        <v>-0.25</v>
      </c>
      <c r="BC82" s="9">
        <f t="shared" si="92"/>
        <v>-0.20000000000000018</v>
      </c>
      <c r="BD82" s="9">
        <f t="shared" si="93"/>
        <v>-0.5</v>
      </c>
      <c r="BE82" s="9">
        <f t="shared" si="94"/>
        <v>-0.29999999999999982</v>
      </c>
      <c r="BF82" s="9">
        <f t="shared" si="95"/>
        <v>0</v>
      </c>
      <c r="BG82" s="9">
        <f t="shared" si="96"/>
        <v>0.20999999999999996</v>
      </c>
      <c r="BH82" s="9">
        <f t="shared" si="97"/>
        <v>1</v>
      </c>
      <c r="BI82" s="9">
        <f t="shared" si="98"/>
        <v>1.0999999999999996</v>
      </c>
      <c r="BJ82" s="9">
        <f t="shared" si="99"/>
        <v>1.7199999999999998</v>
      </c>
    </row>
    <row r="83" spans="1:62" x14ac:dyDescent="0.2">
      <c r="A83" s="9">
        <f>data!M84-data!M83</f>
        <v>-0.45340000000000202</v>
      </c>
      <c r="B83" s="9">
        <f>data!C84-data!C83</f>
        <v>9.9999999999997868E-3</v>
      </c>
      <c r="C83" s="9">
        <f>data!D84-data!D83</f>
        <v>-5.0000000000000711E-2</v>
      </c>
      <c r="D83" s="10">
        <f>data!B84-data!B83</f>
        <v>-2.5000000000000022E-2</v>
      </c>
      <c r="E83" s="9">
        <f>data!E83-data!G83</f>
        <v>3.0686</v>
      </c>
      <c r="F83" s="9">
        <f>(data!E83-data!F83)-(data!G83-data!H83)</f>
        <v>-1.0875000000000001</v>
      </c>
      <c r="G83" s="9">
        <f t="shared" si="50"/>
        <v>-4.1100000000000136E-2</v>
      </c>
      <c r="H83" s="9">
        <f t="shared" si="51"/>
        <v>2.50999999999999E-2</v>
      </c>
      <c r="I83" s="9">
        <f>IF(data!M84&gt; 111.81,1,0)</f>
        <v>0</v>
      </c>
      <c r="J83" s="9">
        <f t="shared" si="52"/>
        <v>1</v>
      </c>
      <c r="K83" s="9">
        <f t="shared" si="53"/>
        <v>0</v>
      </c>
      <c r="L83" s="9">
        <f t="shared" si="54"/>
        <v>-0.45340000000000202</v>
      </c>
      <c r="M83" s="9">
        <f>data!J83</f>
        <v>-0.5</v>
      </c>
      <c r="N83" s="9">
        <f>data!I83</f>
        <v>0.5625</v>
      </c>
      <c r="O83" s="9">
        <f>data!L83</f>
        <v>-0.5</v>
      </c>
      <c r="P83" s="9">
        <f>data!K83</f>
        <v>-4.5</v>
      </c>
      <c r="Q83" s="9">
        <f>data!R83</f>
        <v>-7.75</v>
      </c>
      <c r="R83" s="9">
        <f t="shared" si="55"/>
        <v>0</v>
      </c>
      <c r="S83" s="9">
        <f t="shared" si="56"/>
        <v>0.25</v>
      </c>
      <c r="T83" s="9">
        <f t="shared" si="57"/>
        <v>0</v>
      </c>
      <c r="U83" s="9">
        <f t="shared" si="58"/>
        <v>0</v>
      </c>
      <c r="V83" s="9">
        <f t="shared" si="59"/>
        <v>9.9999999999999978E-2</v>
      </c>
      <c r="W83" s="9">
        <f t="shared" si="60"/>
        <v>0.875</v>
      </c>
      <c r="X83" s="9">
        <f t="shared" si="61"/>
        <v>0.9</v>
      </c>
      <c r="Y83" s="9">
        <f t="shared" si="62"/>
        <v>2.125</v>
      </c>
      <c r="Z83" s="9">
        <f t="shared" si="63"/>
        <v>2</v>
      </c>
      <c r="AA83" s="9">
        <f t="shared" si="64"/>
        <v>0.33750000000000002</v>
      </c>
      <c r="AB83" s="9">
        <f t="shared" si="65"/>
        <v>0.33750000000000002</v>
      </c>
      <c r="AC83" s="9">
        <f t="shared" si="66"/>
        <v>0.33750000000000002</v>
      </c>
      <c r="AD83" s="9">
        <f t="shared" si="67"/>
        <v>0.33750000000000002</v>
      </c>
      <c r="AE83" s="9">
        <f t="shared" si="68"/>
        <v>0.3125</v>
      </c>
      <c r="AF83" s="9">
        <f t="shared" si="69"/>
        <v>0.4375</v>
      </c>
      <c r="AG83" s="9">
        <f t="shared" si="70"/>
        <v>0.73750000000000004</v>
      </c>
      <c r="AH83" s="9">
        <f t="shared" si="71"/>
        <v>1.1875</v>
      </c>
      <c r="AI83" s="9">
        <f t="shared" si="72"/>
        <v>1.5375000000000001</v>
      </c>
      <c r="AJ83" s="9">
        <f t="shared" si="73"/>
        <v>0.4</v>
      </c>
      <c r="AK83" s="9">
        <f t="shared" si="74"/>
        <v>0.4</v>
      </c>
      <c r="AL83" s="9">
        <f t="shared" si="75"/>
        <v>9.9999999999999978E-2</v>
      </c>
      <c r="AM83" s="9">
        <f t="shared" si="76"/>
        <v>0.2</v>
      </c>
      <c r="AN83" s="9">
        <f t="shared" si="77"/>
        <v>0.4</v>
      </c>
      <c r="AO83" s="9">
        <f t="shared" si="78"/>
        <v>0.875</v>
      </c>
      <c r="AP83" s="9">
        <f t="shared" si="79"/>
        <v>0.9</v>
      </c>
      <c r="AQ83" s="9">
        <f t="shared" si="80"/>
        <v>1.625</v>
      </c>
      <c r="AR83" s="9">
        <f t="shared" si="81"/>
        <v>1.9</v>
      </c>
      <c r="AS83" s="9">
        <f t="shared" si="82"/>
        <v>-0.20000000000000018</v>
      </c>
      <c r="AT83" s="9">
        <f t="shared" si="83"/>
        <v>-0.25</v>
      </c>
      <c r="AU83" s="9">
        <f t="shared" si="84"/>
        <v>-0.29999999999999982</v>
      </c>
      <c r="AV83" s="9">
        <f t="shared" si="85"/>
        <v>-9.9999999999999645E-2</v>
      </c>
      <c r="AW83" s="9">
        <f t="shared" si="86"/>
        <v>9.9999999999999645E-2</v>
      </c>
      <c r="AX83" s="9">
        <f t="shared" si="87"/>
        <v>0.25</v>
      </c>
      <c r="AY83" s="9">
        <f t="shared" si="88"/>
        <v>0.5</v>
      </c>
      <c r="AZ83" s="9">
        <f t="shared" si="89"/>
        <v>2.1749999999999998</v>
      </c>
      <c r="BA83" s="9">
        <f t="shared" si="90"/>
        <v>2.2000000000000002</v>
      </c>
      <c r="BB83" s="9">
        <f t="shared" si="91"/>
        <v>4.9999999999999822E-2</v>
      </c>
      <c r="BC83" s="9">
        <f t="shared" si="92"/>
        <v>-0.25</v>
      </c>
      <c r="BD83" s="9">
        <f t="shared" si="93"/>
        <v>-4.9999999999999822E-2</v>
      </c>
      <c r="BE83" s="9">
        <f t="shared" si="94"/>
        <v>0.25</v>
      </c>
      <c r="BF83" s="9">
        <f t="shared" si="95"/>
        <v>0.45999999999999996</v>
      </c>
      <c r="BG83" s="9">
        <f t="shared" si="96"/>
        <v>1.25</v>
      </c>
      <c r="BH83" s="9">
        <f t="shared" si="97"/>
        <v>1.3499999999999996</v>
      </c>
      <c r="BI83" s="9">
        <f t="shared" si="98"/>
        <v>1.9699999999999998</v>
      </c>
      <c r="BJ83" s="9">
        <f t="shared" si="99"/>
        <v>3.25</v>
      </c>
    </row>
    <row r="84" spans="1:62" x14ac:dyDescent="0.2">
      <c r="A84" s="9">
        <f>data!M85-data!M84</f>
        <v>0.18580000000000041</v>
      </c>
      <c r="B84" s="9">
        <f>data!C85-data!C84</f>
        <v>-3.9999999999999147E-2</v>
      </c>
      <c r="C84" s="9">
        <f>data!D85-data!D84</f>
        <v>-0.22499999999999964</v>
      </c>
      <c r="D84" s="10">
        <f>data!B85-data!B84</f>
        <v>0</v>
      </c>
      <c r="E84" s="9">
        <f>data!E84-data!G84</f>
        <v>3.0274999999999999</v>
      </c>
      <c r="F84" s="9">
        <f>(data!E84-data!F84)-(data!G84-data!H84)</f>
        <v>-1.0624000000000002</v>
      </c>
      <c r="G84" s="9">
        <f t="shared" si="50"/>
        <v>0.10860000000000003</v>
      </c>
      <c r="H84" s="9">
        <f t="shared" si="51"/>
        <v>1.9500000000000517E-2</v>
      </c>
      <c r="I84" s="9">
        <f>IF(data!M85&gt; 111.81,1,0)</f>
        <v>0</v>
      </c>
      <c r="J84" s="9">
        <f t="shared" si="52"/>
        <v>1</v>
      </c>
      <c r="K84" s="9">
        <f t="shared" si="53"/>
        <v>0</v>
      </c>
      <c r="L84" s="9">
        <f t="shared" si="54"/>
        <v>0.18580000000000041</v>
      </c>
      <c r="M84" s="9">
        <f>data!J84</f>
        <v>-0.5</v>
      </c>
      <c r="N84" s="9">
        <f>data!I84</f>
        <v>0.9</v>
      </c>
      <c r="O84" s="9">
        <f>data!L84</f>
        <v>-0.1</v>
      </c>
      <c r="P84" s="9">
        <f>data!K84</f>
        <v>-4.7</v>
      </c>
      <c r="Q84" s="9">
        <f>data!R84</f>
        <v>-7.7</v>
      </c>
      <c r="R84" s="9">
        <f t="shared" si="55"/>
        <v>0.25</v>
      </c>
      <c r="S84" s="9">
        <f t="shared" si="56"/>
        <v>0</v>
      </c>
      <c r="T84" s="9">
        <f t="shared" si="57"/>
        <v>0</v>
      </c>
      <c r="U84" s="9">
        <f t="shared" si="58"/>
        <v>9.9999999999999978E-2</v>
      </c>
      <c r="V84" s="9">
        <f t="shared" si="59"/>
        <v>0.875</v>
      </c>
      <c r="W84" s="9">
        <f t="shared" si="60"/>
        <v>0.9</v>
      </c>
      <c r="X84" s="9">
        <f t="shared" si="61"/>
        <v>2.125</v>
      </c>
      <c r="Y84" s="9">
        <f t="shared" si="62"/>
        <v>2</v>
      </c>
      <c r="Z84" s="9">
        <f t="shared" si="63"/>
        <v>2</v>
      </c>
      <c r="AA84" s="9">
        <f t="shared" si="64"/>
        <v>0</v>
      </c>
      <c r="AB84" s="9">
        <f t="shared" si="65"/>
        <v>0</v>
      </c>
      <c r="AC84" s="9">
        <f t="shared" si="66"/>
        <v>0</v>
      </c>
      <c r="AD84" s="9">
        <f t="shared" si="67"/>
        <v>-2.5000000000000022E-2</v>
      </c>
      <c r="AE84" s="9">
        <f t="shared" si="68"/>
        <v>9.9999999999999978E-2</v>
      </c>
      <c r="AF84" s="9">
        <f t="shared" si="69"/>
        <v>0.4</v>
      </c>
      <c r="AG84" s="9">
        <f t="shared" si="70"/>
        <v>0.85</v>
      </c>
      <c r="AH84" s="9">
        <f t="shared" si="71"/>
        <v>1.2000000000000002</v>
      </c>
      <c r="AI84" s="9">
        <f t="shared" si="72"/>
        <v>1.2000000000000002</v>
      </c>
      <c r="AJ84" s="9">
        <f t="shared" si="73"/>
        <v>0</v>
      </c>
      <c r="AK84" s="9">
        <f t="shared" si="74"/>
        <v>-0.30000000000000004</v>
      </c>
      <c r="AL84" s="9">
        <f t="shared" si="75"/>
        <v>-0.19999999999999998</v>
      </c>
      <c r="AM84" s="9">
        <f t="shared" si="76"/>
        <v>0</v>
      </c>
      <c r="AN84" s="9">
        <f t="shared" si="77"/>
        <v>0.47499999999999998</v>
      </c>
      <c r="AO84" s="9">
        <f t="shared" si="78"/>
        <v>0.5</v>
      </c>
      <c r="AP84" s="9">
        <f t="shared" si="79"/>
        <v>1.2250000000000001</v>
      </c>
      <c r="AQ84" s="9">
        <f t="shared" si="80"/>
        <v>1.5</v>
      </c>
      <c r="AR84" s="9">
        <f t="shared" si="81"/>
        <v>1.8</v>
      </c>
      <c r="AS84" s="9">
        <f t="shared" si="82"/>
        <v>-4.9999999999999822E-2</v>
      </c>
      <c r="AT84" s="9">
        <f t="shared" si="83"/>
        <v>-9.9999999999999645E-2</v>
      </c>
      <c r="AU84" s="9">
        <f t="shared" si="84"/>
        <v>0.10000000000000053</v>
      </c>
      <c r="AV84" s="9">
        <f t="shared" si="85"/>
        <v>0.29999999999999982</v>
      </c>
      <c r="AW84" s="9">
        <f t="shared" si="86"/>
        <v>0.45000000000000018</v>
      </c>
      <c r="AX84" s="9">
        <f t="shared" si="87"/>
        <v>0.70000000000000018</v>
      </c>
      <c r="AY84" s="9">
        <f t="shared" si="88"/>
        <v>2.375</v>
      </c>
      <c r="AZ84" s="9">
        <f t="shared" si="89"/>
        <v>2.4000000000000004</v>
      </c>
      <c r="BA84" s="9">
        <f t="shared" si="90"/>
        <v>2.6</v>
      </c>
      <c r="BB84" s="9">
        <f t="shared" si="91"/>
        <v>-0.29999999999999982</v>
      </c>
      <c r="BC84" s="9">
        <f t="shared" si="92"/>
        <v>-9.9999999999999645E-2</v>
      </c>
      <c r="BD84" s="9">
        <f t="shared" si="93"/>
        <v>0.20000000000000018</v>
      </c>
      <c r="BE84" s="9">
        <f t="shared" si="94"/>
        <v>0.41000000000000014</v>
      </c>
      <c r="BF84" s="9">
        <f t="shared" si="95"/>
        <v>1.2000000000000002</v>
      </c>
      <c r="BG84" s="9">
        <f t="shared" si="96"/>
        <v>1.2999999999999998</v>
      </c>
      <c r="BH84" s="9">
        <f t="shared" si="97"/>
        <v>1.92</v>
      </c>
      <c r="BI84" s="9">
        <f t="shared" si="98"/>
        <v>3.2</v>
      </c>
      <c r="BJ84" s="9">
        <f t="shared" si="99"/>
        <v>3.1000000000000005</v>
      </c>
    </row>
    <row r="85" spans="1:62" x14ac:dyDescent="0.2">
      <c r="A85" s="9">
        <f>data!M86-data!M85</f>
        <v>-2.8599999999997294E-2</v>
      </c>
      <c r="B85" s="9">
        <f>data!C86-data!C85</f>
        <v>-2.66</v>
      </c>
      <c r="C85" s="9">
        <f>data!D86-data!D85</f>
        <v>-4.9999999999998934E-2</v>
      </c>
      <c r="D85" s="10">
        <f>data!B86-data!B85</f>
        <v>0</v>
      </c>
      <c r="E85" s="9">
        <f>data!E85-data!G85</f>
        <v>3.1360999999999999</v>
      </c>
      <c r="F85" s="9">
        <f>(data!E85-data!F85)-(data!G85-data!H85)</f>
        <v>-1.0428999999999997</v>
      </c>
      <c r="G85" s="9">
        <f t="shared" si="50"/>
        <v>-0.14409999999999989</v>
      </c>
      <c r="H85" s="9">
        <f t="shared" si="51"/>
        <v>-4.5599999999999863E-2</v>
      </c>
      <c r="I85" s="9">
        <f>IF(data!M86&gt; 111.81,1,0)</f>
        <v>0</v>
      </c>
      <c r="J85" s="9">
        <f t="shared" si="52"/>
        <v>1</v>
      </c>
      <c r="K85" s="9">
        <f t="shared" si="53"/>
        <v>0</v>
      </c>
      <c r="L85" s="9">
        <f t="shared" si="54"/>
        <v>-2.8599999999997294E-2</v>
      </c>
      <c r="M85" s="9">
        <f>data!J85</f>
        <v>-0.25</v>
      </c>
      <c r="N85" s="9">
        <f>data!I85</f>
        <v>0.9</v>
      </c>
      <c r="O85" s="9">
        <f>data!L85</f>
        <v>-0.1</v>
      </c>
      <c r="P85" s="9">
        <f>data!K85</f>
        <v>-4.75</v>
      </c>
      <c r="Q85" s="9">
        <f>data!R85</f>
        <v>-8</v>
      </c>
      <c r="R85" s="9">
        <f t="shared" si="55"/>
        <v>-0.25</v>
      </c>
      <c r="S85" s="9">
        <f t="shared" si="56"/>
        <v>-0.25</v>
      </c>
      <c r="T85" s="9">
        <f t="shared" si="57"/>
        <v>-0.15000000000000002</v>
      </c>
      <c r="U85" s="9">
        <f t="shared" si="58"/>
        <v>0.625</v>
      </c>
      <c r="V85" s="9">
        <f t="shared" si="59"/>
        <v>0.65</v>
      </c>
      <c r="W85" s="9">
        <f t="shared" si="60"/>
        <v>1.875</v>
      </c>
      <c r="X85" s="9">
        <f t="shared" si="61"/>
        <v>1.75</v>
      </c>
      <c r="Y85" s="9">
        <f t="shared" si="62"/>
        <v>1.75</v>
      </c>
      <c r="Z85" s="9">
        <f t="shared" si="63"/>
        <v>1.5649999999999999</v>
      </c>
      <c r="AA85" s="9">
        <f t="shared" si="64"/>
        <v>0</v>
      </c>
      <c r="AB85" s="9">
        <f t="shared" si="65"/>
        <v>0</v>
      </c>
      <c r="AC85" s="9">
        <f t="shared" si="66"/>
        <v>-2.5000000000000022E-2</v>
      </c>
      <c r="AD85" s="9">
        <f t="shared" si="67"/>
        <v>9.9999999999999978E-2</v>
      </c>
      <c r="AE85" s="9">
        <f t="shared" si="68"/>
        <v>0.4</v>
      </c>
      <c r="AF85" s="9">
        <f t="shared" si="69"/>
        <v>0.85</v>
      </c>
      <c r="AG85" s="9">
        <f t="shared" si="70"/>
        <v>1.2000000000000002</v>
      </c>
      <c r="AH85" s="9">
        <f t="shared" si="71"/>
        <v>1.2000000000000002</v>
      </c>
      <c r="AI85" s="9">
        <f t="shared" si="72"/>
        <v>1.69</v>
      </c>
      <c r="AJ85" s="9">
        <f t="shared" si="73"/>
        <v>-0.30000000000000004</v>
      </c>
      <c r="AK85" s="9">
        <f t="shared" si="74"/>
        <v>-0.19999999999999998</v>
      </c>
      <c r="AL85" s="9">
        <f t="shared" si="75"/>
        <v>0</v>
      </c>
      <c r="AM85" s="9">
        <f t="shared" si="76"/>
        <v>0.47499999999999998</v>
      </c>
      <c r="AN85" s="9">
        <f t="shared" si="77"/>
        <v>0.5</v>
      </c>
      <c r="AO85" s="9">
        <f t="shared" si="78"/>
        <v>1.2250000000000001</v>
      </c>
      <c r="AP85" s="9">
        <f t="shared" si="79"/>
        <v>1.5</v>
      </c>
      <c r="AQ85" s="9">
        <f t="shared" si="80"/>
        <v>1.8</v>
      </c>
      <c r="AR85" s="9">
        <f t="shared" si="81"/>
        <v>1.75</v>
      </c>
      <c r="AS85" s="9">
        <f t="shared" si="82"/>
        <v>-4.9999999999999822E-2</v>
      </c>
      <c r="AT85" s="9">
        <f t="shared" si="83"/>
        <v>0.15000000000000036</v>
      </c>
      <c r="AU85" s="9">
        <f t="shared" si="84"/>
        <v>0.34999999999999964</v>
      </c>
      <c r="AV85" s="9">
        <f t="shared" si="85"/>
        <v>0.5</v>
      </c>
      <c r="AW85" s="9">
        <f t="shared" si="86"/>
        <v>0.75</v>
      </c>
      <c r="AX85" s="9">
        <f t="shared" si="87"/>
        <v>2.4249999999999998</v>
      </c>
      <c r="AY85" s="9">
        <f t="shared" si="88"/>
        <v>2.4500000000000002</v>
      </c>
      <c r="AZ85" s="9">
        <f t="shared" si="89"/>
        <v>2.65</v>
      </c>
      <c r="BA85" s="9">
        <f t="shared" si="90"/>
        <v>3.25</v>
      </c>
      <c r="BB85" s="9">
        <f t="shared" si="91"/>
        <v>0.20000000000000018</v>
      </c>
      <c r="BC85" s="9">
        <f t="shared" si="92"/>
        <v>0.5</v>
      </c>
      <c r="BD85" s="9">
        <f t="shared" si="93"/>
        <v>0.71</v>
      </c>
      <c r="BE85" s="9">
        <f t="shared" si="94"/>
        <v>1.5</v>
      </c>
      <c r="BF85" s="9">
        <f t="shared" si="95"/>
        <v>1.5999999999999996</v>
      </c>
      <c r="BG85" s="9">
        <f t="shared" si="96"/>
        <v>2.2199999999999998</v>
      </c>
      <c r="BH85" s="9">
        <f t="shared" si="97"/>
        <v>3.5</v>
      </c>
      <c r="BI85" s="9">
        <f t="shared" si="98"/>
        <v>3.4000000000000004</v>
      </c>
      <c r="BJ85" s="9">
        <f t="shared" si="99"/>
        <v>4.45</v>
      </c>
    </row>
    <row r="86" spans="1:62" x14ac:dyDescent="0.2">
      <c r="A86" s="9">
        <f>data!M87-data!M86</f>
        <v>0.125</v>
      </c>
      <c r="B86" s="9">
        <f>data!C87-data!C86</f>
        <v>0.66999999999999993</v>
      </c>
      <c r="C86" s="9">
        <f>data!D87-data!D86</f>
        <v>-0.17500000000000071</v>
      </c>
      <c r="D86" s="10">
        <f>data!B87-data!B86</f>
        <v>0</v>
      </c>
      <c r="E86" s="9">
        <f>data!E86-data!G86</f>
        <v>2.992</v>
      </c>
      <c r="F86" s="9">
        <f>(data!E86-data!F86)-(data!G86-data!H86)</f>
        <v>-1.0884999999999996</v>
      </c>
      <c r="G86" s="9">
        <f t="shared" si="50"/>
        <v>8.6300000000000043E-2</v>
      </c>
      <c r="H86" s="9">
        <f t="shared" si="51"/>
        <v>-3.0800000000000827E-2</v>
      </c>
      <c r="I86" s="9">
        <f>IF(data!M87&gt; 111.81,1,0)</f>
        <v>0</v>
      </c>
      <c r="J86" s="9">
        <f t="shared" si="52"/>
        <v>1</v>
      </c>
      <c r="K86" s="9">
        <f t="shared" si="53"/>
        <v>0</v>
      </c>
      <c r="L86" s="9">
        <f t="shared" si="54"/>
        <v>0.125</v>
      </c>
      <c r="M86" s="9">
        <f>data!J86</f>
        <v>-0.5</v>
      </c>
      <c r="N86" s="9">
        <f>data!I86</f>
        <v>0.9</v>
      </c>
      <c r="O86" s="9">
        <f>data!L86</f>
        <v>-0.4</v>
      </c>
      <c r="P86" s="9">
        <f>data!K86</f>
        <v>-4.8</v>
      </c>
      <c r="Q86" s="9">
        <f>data!R86</f>
        <v>-7.8</v>
      </c>
      <c r="R86" s="9">
        <f t="shared" si="55"/>
        <v>0</v>
      </c>
      <c r="S86" s="9">
        <f t="shared" si="56"/>
        <v>9.9999999999999978E-2</v>
      </c>
      <c r="T86" s="9">
        <f t="shared" si="57"/>
        <v>0.875</v>
      </c>
      <c r="U86" s="9">
        <f t="shared" si="58"/>
        <v>0.9</v>
      </c>
      <c r="V86" s="9">
        <f t="shared" si="59"/>
        <v>2.125</v>
      </c>
      <c r="W86" s="9">
        <f t="shared" si="60"/>
        <v>2</v>
      </c>
      <c r="X86" s="9">
        <f t="shared" si="61"/>
        <v>2</v>
      </c>
      <c r="Y86" s="9">
        <f t="shared" si="62"/>
        <v>1.8149999999999999</v>
      </c>
      <c r="Z86" s="9">
        <f t="shared" si="63"/>
        <v>1.7</v>
      </c>
      <c r="AA86" s="9">
        <f t="shared" si="64"/>
        <v>0</v>
      </c>
      <c r="AB86" s="9">
        <f t="shared" si="65"/>
        <v>-2.5000000000000022E-2</v>
      </c>
      <c r="AC86" s="9">
        <f t="shared" si="66"/>
        <v>9.9999999999999978E-2</v>
      </c>
      <c r="AD86" s="9">
        <f t="shared" si="67"/>
        <v>0.4</v>
      </c>
      <c r="AE86" s="9">
        <f t="shared" si="68"/>
        <v>0.85</v>
      </c>
      <c r="AF86" s="9">
        <f t="shared" si="69"/>
        <v>1.2000000000000002</v>
      </c>
      <c r="AG86" s="9">
        <f t="shared" si="70"/>
        <v>1.2000000000000002</v>
      </c>
      <c r="AH86" s="9">
        <f t="shared" si="71"/>
        <v>1.69</v>
      </c>
      <c r="AI86" s="9">
        <f t="shared" si="72"/>
        <v>1.5</v>
      </c>
      <c r="AJ86" s="9">
        <f t="shared" si="73"/>
        <v>0.10000000000000003</v>
      </c>
      <c r="AK86" s="9">
        <f t="shared" si="74"/>
        <v>0.30000000000000004</v>
      </c>
      <c r="AL86" s="9">
        <f t="shared" si="75"/>
        <v>0.77500000000000002</v>
      </c>
      <c r="AM86" s="9">
        <f t="shared" si="76"/>
        <v>0.8</v>
      </c>
      <c r="AN86" s="9">
        <f t="shared" si="77"/>
        <v>1.5249999999999999</v>
      </c>
      <c r="AO86" s="9">
        <f t="shared" si="78"/>
        <v>1.7999999999999998</v>
      </c>
      <c r="AP86" s="9">
        <f t="shared" si="79"/>
        <v>2.1</v>
      </c>
      <c r="AQ86" s="9">
        <f t="shared" si="80"/>
        <v>2.0499999999999998</v>
      </c>
      <c r="AR86" s="9">
        <f t="shared" si="81"/>
        <v>2.4</v>
      </c>
      <c r="AS86" s="9">
        <f t="shared" si="82"/>
        <v>0.20000000000000018</v>
      </c>
      <c r="AT86" s="9">
        <f t="shared" si="83"/>
        <v>0.39999999999999947</v>
      </c>
      <c r="AU86" s="9">
        <f t="shared" si="84"/>
        <v>0.54999999999999982</v>
      </c>
      <c r="AV86" s="9">
        <f t="shared" si="85"/>
        <v>0.79999999999999982</v>
      </c>
      <c r="AW86" s="9">
        <f t="shared" si="86"/>
        <v>2.4749999999999996</v>
      </c>
      <c r="AX86" s="9">
        <f t="shared" si="87"/>
        <v>2.5</v>
      </c>
      <c r="AY86" s="9">
        <f t="shared" si="88"/>
        <v>2.6999999999999997</v>
      </c>
      <c r="AZ86" s="9">
        <f t="shared" si="89"/>
        <v>3.3</v>
      </c>
      <c r="BA86" s="9">
        <f t="shared" si="90"/>
        <v>3.55</v>
      </c>
      <c r="BB86" s="9">
        <f t="shared" si="91"/>
        <v>0.29999999999999982</v>
      </c>
      <c r="BC86" s="9">
        <f t="shared" si="92"/>
        <v>0.50999999999999979</v>
      </c>
      <c r="BD86" s="9">
        <f t="shared" si="93"/>
        <v>1.2999999999999998</v>
      </c>
      <c r="BE86" s="9">
        <f t="shared" si="94"/>
        <v>1.3999999999999995</v>
      </c>
      <c r="BF86" s="9">
        <f t="shared" si="95"/>
        <v>2.0199999999999996</v>
      </c>
      <c r="BG86" s="9">
        <f t="shared" si="96"/>
        <v>3.3</v>
      </c>
      <c r="BH86" s="9">
        <f t="shared" si="97"/>
        <v>3.2</v>
      </c>
      <c r="BI86" s="9">
        <f t="shared" si="98"/>
        <v>4.25</v>
      </c>
      <c r="BJ86" s="9">
        <f t="shared" si="99"/>
        <v>4.05</v>
      </c>
    </row>
    <row r="87" spans="1:62" x14ac:dyDescent="0.2">
      <c r="A87" s="9">
        <f>data!M88-data!M87</f>
        <v>-0.37430000000000518</v>
      </c>
      <c r="B87" s="9">
        <f>data!C88-data!C87</f>
        <v>-0.34999999999999964</v>
      </c>
      <c r="C87" s="9">
        <f>data!D88-data!D87</f>
        <v>-7.4999999999999289E-2</v>
      </c>
      <c r="D87" s="10">
        <f>data!B88-data!B87</f>
        <v>0</v>
      </c>
      <c r="E87" s="9">
        <f>data!E87-data!G87</f>
        <v>3.0783</v>
      </c>
      <c r="F87" s="9">
        <f>(data!E87-data!F87)-(data!G87-data!H87)</f>
        <v>-1.1193000000000004</v>
      </c>
      <c r="G87" s="9">
        <f t="shared" si="50"/>
        <v>5.3000000000005265E-3</v>
      </c>
      <c r="H87" s="9">
        <f t="shared" si="51"/>
        <v>8.600000000000052E-2</v>
      </c>
      <c r="I87" s="9">
        <f>IF(data!M88&gt; 111.81,1,0)</f>
        <v>0</v>
      </c>
      <c r="J87" s="9">
        <f t="shared" si="52"/>
        <v>1</v>
      </c>
      <c r="K87" s="9">
        <f t="shared" si="53"/>
        <v>0</v>
      </c>
      <c r="L87" s="9">
        <f t="shared" si="54"/>
        <v>-0.37430000000000518</v>
      </c>
      <c r="M87" s="9">
        <f>data!J87</f>
        <v>-0.5</v>
      </c>
      <c r="N87" s="9">
        <f>data!I87</f>
        <v>0.9</v>
      </c>
      <c r="O87" s="9">
        <f>data!L87</f>
        <v>-0.3</v>
      </c>
      <c r="P87" s="9">
        <f>data!K87</f>
        <v>-4.5999999999999996</v>
      </c>
      <c r="Q87" s="9">
        <f>data!R87</f>
        <v>-7.5</v>
      </c>
      <c r="R87" s="9">
        <f t="shared" si="55"/>
        <v>9.9999999999999978E-2</v>
      </c>
      <c r="S87" s="9">
        <f t="shared" si="56"/>
        <v>0.875</v>
      </c>
      <c r="T87" s="9">
        <f t="shared" si="57"/>
        <v>0.9</v>
      </c>
      <c r="U87" s="9">
        <f t="shared" si="58"/>
        <v>2.125</v>
      </c>
      <c r="V87" s="9">
        <f t="shared" si="59"/>
        <v>2</v>
      </c>
      <c r="W87" s="9">
        <f t="shared" si="60"/>
        <v>2</v>
      </c>
      <c r="X87" s="9">
        <f t="shared" si="61"/>
        <v>1.8149999999999999</v>
      </c>
      <c r="Y87" s="9">
        <f t="shared" si="62"/>
        <v>1.7</v>
      </c>
      <c r="Z87" s="9">
        <f t="shared" si="63"/>
        <v>1</v>
      </c>
      <c r="AA87" s="9">
        <f t="shared" si="64"/>
        <v>-2.5000000000000022E-2</v>
      </c>
      <c r="AB87" s="9">
        <f t="shared" si="65"/>
        <v>9.9999999999999978E-2</v>
      </c>
      <c r="AC87" s="9">
        <f t="shared" si="66"/>
        <v>0.4</v>
      </c>
      <c r="AD87" s="9">
        <f t="shared" si="67"/>
        <v>0.85</v>
      </c>
      <c r="AE87" s="9">
        <f t="shared" si="68"/>
        <v>1.2000000000000002</v>
      </c>
      <c r="AF87" s="9">
        <f t="shared" si="69"/>
        <v>1.2000000000000002</v>
      </c>
      <c r="AG87" s="9">
        <f t="shared" si="70"/>
        <v>1.69</v>
      </c>
      <c r="AH87" s="9">
        <f t="shared" si="71"/>
        <v>1.5</v>
      </c>
      <c r="AI87" s="9">
        <f t="shared" si="72"/>
        <v>0.4</v>
      </c>
      <c r="AJ87" s="9">
        <f t="shared" si="73"/>
        <v>0.19999999999999998</v>
      </c>
      <c r="AK87" s="9">
        <f t="shared" si="74"/>
        <v>0.67500000000000004</v>
      </c>
      <c r="AL87" s="9">
        <f t="shared" si="75"/>
        <v>0.7</v>
      </c>
      <c r="AM87" s="9">
        <f t="shared" si="76"/>
        <v>1.425</v>
      </c>
      <c r="AN87" s="9">
        <f t="shared" si="77"/>
        <v>1.7</v>
      </c>
      <c r="AO87" s="9">
        <f t="shared" si="78"/>
        <v>2</v>
      </c>
      <c r="AP87" s="9">
        <f t="shared" si="79"/>
        <v>1.95</v>
      </c>
      <c r="AQ87" s="9">
        <f t="shared" si="80"/>
        <v>2.2999999999999998</v>
      </c>
      <c r="AR87" s="9">
        <f t="shared" si="81"/>
        <v>0.8</v>
      </c>
      <c r="AS87" s="9">
        <f t="shared" si="82"/>
        <v>0.19999999999999929</v>
      </c>
      <c r="AT87" s="9">
        <f t="shared" si="83"/>
        <v>0.34999999999999964</v>
      </c>
      <c r="AU87" s="9">
        <f t="shared" si="84"/>
        <v>0.59999999999999964</v>
      </c>
      <c r="AV87" s="9">
        <f t="shared" si="85"/>
        <v>2.2749999999999995</v>
      </c>
      <c r="AW87" s="9">
        <f t="shared" si="86"/>
        <v>2.2999999999999998</v>
      </c>
      <c r="AX87" s="9">
        <f t="shared" si="87"/>
        <v>2.4999999999999996</v>
      </c>
      <c r="AY87" s="9">
        <f t="shared" si="88"/>
        <v>3.0999999999999996</v>
      </c>
      <c r="AZ87" s="9">
        <f t="shared" si="89"/>
        <v>3.3499999999999996</v>
      </c>
      <c r="BA87" s="9">
        <f t="shared" si="90"/>
        <v>1.8499999999999996</v>
      </c>
      <c r="BB87" s="9">
        <f t="shared" si="91"/>
        <v>0.20999999999999996</v>
      </c>
      <c r="BC87" s="9">
        <f t="shared" si="92"/>
        <v>1</v>
      </c>
      <c r="BD87" s="9">
        <f t="shared" si="93"/>
        <v>1.0999999999999996</v>
      </c>
      <c r="BE87" s="9">
        <f t="shared" si="94"/>
        <v>1.7199999999999998</v>
      </c>
      <c r="BF87" s="9">
        <f t="shared" si="95"/>
        <v>3</v>
      </c>
      <c r="BG87" s="9">
        <f t="shared" si="96"/>
        <v>2.9000000000000004</v>
      </c>
      <c r="BH87" s="9">
        <f t="shared" si="97"/>
        <v>3.95</v>
      </c>
      <c r="BI87" s="9">
        <f t="shared" si="98"/>
        <v>3.75</v>
      </c>
      <c r="BJ87" s="9">
        <f t="shared" si="99"/>
        <v>2.5</v>
      </c>
    </row>
    <row r="88" spans="1:62" x14ac:dyDescent="0.2">
      <c r="A88" s="9">
        <f>data!M89-data!M88</f>
        <v>0.70350000000000534</v>
      </c>
      <c r="B88" s="9">
        <f>data!C89-data!C88</f>
        <v>1.1999999999999993</v>
      </c>
      <c r="C88" s="9">
        <f>data!D89-data!D88</f>
        <v>7.4999999999999289E-2</v>
      </c>
      <c r="D88" s="10">
        <f>data!B89-data!B88</f>
        <v>0.10000000000000003</v>
      </c>
      <c r="E88" s="9">
        <f>data!E88-data!G88</f>
        <v>3.0836000000000006</v>
      </c>
      <c r="F88" s="9">
        <f>(data!E88-data!F88)-(data!G88-data!H88)</f>
        <v>-1.0332999999999999</v>
      </c>
      <c r="G88" s="9">
        <f t="shared" si="50"/>
        <v>-3.1800000000000495E-2</v>
      </c>
      <c r="H88" s="9">
        <f t="shared" si="51"/>
        <v>-2.7699999999999836E-2</v>
      </c>
      <c r="I88" s="9">
        <f>IF(data!M89&gt; 111.81,1,0)</f>
        <v>0</v>
      </c>
      <c r="J88" s="9">
        <f t="shared" si="52"/>
        <v>1</v>
      </c>
      <c r="K88" s="9">
        <f t="shared" si="53"/>
        <v>0</v>
      </c>
      <c r="L88" s="9">
        <f t="shared" si="54"/>
        <v>0.70350000000000534</v>
      </c>
      <c r="M88" s="9">
        <f>data!J88</f>
        <v>-0.4</v>
      </c>
      <c r="N88" s="9">
        <f>data!I88</f>
        <v>0.875</v>
      </c>
      <c r="O88" s="9">
        <f>data!L88</f>
        <v>-0.1</v>
      </c>
      <c r="P88" s="9">
        <f>data!K88</f>
        <v>-4.4000000000000004</v>
      </c>
      <c r="Q88" s="9">
        <f>data!R88</f>
        <v>-7.29</v>
      </c>
      <c r="R88" s="9">
        <f t="shared" si="55"/>
        <v>0.77500000000000002</v>
      </c>
      <c r="S88" s="9">
        <f t="shared" si="56"/>
        <v>0.8</v>
      </c>
      <c r="T88" s="9">
        <f t="shared" si="57"/>
        <v>2.0249999999999999</v>
      </c>
      <c r="U88" s="9">
        <f t="shared" si="58"/>
        <v>1.9</v>
      </c>
      <c r="V88" s="9">
        <f t="shared" si="59"/>
        <v>1.9</v>
      </c>
      <c r="W88" s="9">
        <f t="shared" si="60"/>
        <v>1.7149999999999999</v>
      </c>
      <c r="X88" s="9">
        <f t="shared" si="61"/>
        <v>1.6</v>
      </c>
      <c r="Y88" s="9">
        <f t="shared" si="62"/>
        <v>0.9</v>
      </c>
      <c r="Z88" s="9">
        <f t="shared" si="63"/>
        <v>0.7</v>
      </c>
      <c r="AA88" s="9">
        <f t="shared" si="64"/>
        <v>0.125</v>
      </c>
      <c r="AB88" s="9">
        <f t="shared" si="65"/>
        <v>0.42500000000000004</v>
      </c>
      <c r="AC88" s="9">
        <f t="shared" si="66"/>
        <v>0.875</v>
      </c>
      <c r="AD88" s="9">
        <f t="shared" si="67"/>
        <v>1.2250000000000001</v>
      </c>
      <c r="AE88" s="9">
        <f t="shared" si="68"/>
        <v>1.2250000000000001</v>
      </c>
      <c r="AF88" s="9">
        <f t="shared" si="69"/>
        <v>1.7149999999999999</v>
      </c>
      <c r="AG88" s="9">
        <f t="shared" si="70"/>
        <v>1.5249999999999999</v>
      </c>
      <c r="AH88" s="9">
        <f t="shared" si="71"/>
        <v>0.42500000000000004</v>
      </c>
      <c r="AI88" s="9">
        <f t="shared" si="72"/>
        <v>0.52499999999999991</v>
      </c>
      <c r="AJ88" s="9">
        <f t="shared" si="73"/>
        <v>0.47499999999999998</v>
      </c>
      <c r="AK88" s="9">
        <f t="shared" si="74"/>
        <v>0.5</v>
      </c>
      <c r="AL88" s="9">
        <f t="shared" si="75"/>
        <v>1.2250000000000001</v>
      </c>
      <c r="AM88" s="9">
        <f t="shared" si="76"/>
        <v>1.5</v>
      </c>
      <c r="AN88" s="9">
        <f t="shared" si="77"/>
        <v>1.8</v>
      </c>
      <c r="AO88" s="9">
        <f t="shared" si="78"/>
        <v>1.75</v>
      </c>
      <c r="AP88" s="9">
        <f t="shared" si="79"/>
        <v>2.1</v>
      </c>
      <c r="AQ88" s="9">
        <f t="shared" si="80"/>
        <v>0.6</v>
      </c>
      <c r="AR88" s="9">
        <f t="shared" si="81"/>
        <v>1.6</v>
      </c>
      <c r="AS88" s="9">
        <f t="shared" si="82"/>
        <v>0.15000000000000036</v>
      </c>
      <c r="AT88" s="9">
        <f t="shared" si="83"/>
        <v>0.40000000000000036</v>
      </c>
      <c r="AU88" s="9">
        <f t="shared" si="84"/>
        <v>2.0750000000000002</v>
      </c>
      <c r="AV88" s="9">
        <f t="shared" si="85"/>
        <v>2.1000000000000005</v>
      </c>
      <c r="AW88" s="9">
        <f t="shared" si="86"/>
        <v>2.3000000000000003</v>
      </c>
      <c r="AX88" s="9">
        <f t="shared" si="87"/>
        <v>2.9000000000000004</v>
      </c>
      <c r="AY88" s="9">
        <f t="shared" si="88"/>
        <v>3.1500000000000004</v>
      </c>
      <c r="AZ88" s="9">
        <f t="shared" si="89"/>
        <v>1.6500000000000004</v>
      </c>
      <c r="BA88" s="9">
        <f t="shared" si="90"/>
        <v>2.9000000000000004</v>
      </c>
      <c r="BB88" s="9">
        <f t="shared" si="91"/>
        <v>0.79</v>
      </c>
      <c r="BC88" s="9">
        <f t="shared" si="92"/>
        <v>0.88999999999999968</v>
      </c>
      <c r="BD88" s="9">
        <f t="shared" si="93"/>
        <v>1.5099999999999998</v>
      </c>
      <c r="BE88" s="9">
        <f t="shared" si="94"/>
        <v>2.79</v>
      </c>
      <c r="BF88" s="9">
        <f t="shared" si="95"/>
        <v>2.6900000000000004</v>
      </c>
      <c r="BG88" s="9">
        <f t="shared" si="96"/>
        <v>3.74</v>
      </c>
      <c r="BH88" s="9">
        <f t="shared" si="97"/>
        <v>3.54</v>
      </c>
      <c r="BI88" s="9">
        <f t="shared" si="98"/>
        <v>2.29</v>
      </c>
      <c r="BJ88" s="9">
        <f t="shared" si="99"/>
        <v>3.49</v>
      </c>
    </row>
    <row r="89" spans="1:62" x14ac:dyDescent="0.2">
      <c r="A89" s="9">
        <f>data!M90-data!M89</f>
        <v>-1.4999999999929514E-3</v>
      </c>
      <c r="B89" s="9">
        <f>data!C90-data!C89</f>
        <v>-1.4000000000000004</v>
      </c>
      <c r="C89" s="9">
        <f>data!D90-data!D89</f>
        <v>-0.125</v>
      </c>
      <c r="D89" s="10">
        <f>data!B90-data!B89</f>
        <v>-0.17500000000000004</v>
      </c>
      <c r="E89" s="9">
        <f>data!E89-data!G89</f>
        <v>3.0518000000000001</v>
      </c>
      <c r="F89" s="9">
        <f>(data!E89-data!F89)-(data!G89-data!H89)</f>
        <v>-1.0609999999999997</v>
      </c>
      <c r="G89" s="9">
        <f t="shared" si="50"/>
        <v>8.1699999999999662E-2</v>
      </c>
      <c r="H89" s="9">
        <f t="shared" si="51"/>
        <v>-2.7100000000000568E-2</v>
      </c>
      <c r="I89" s="9">
        <f>IF(data!M90&gt; 111.81,1,0)</f>
        <v>0</v>
      </c>
      <c r="J89" s="9">
        <f t="shared" si="52"/>
        <v>1</v>
      </c>
      <c r="K89" s="9">
        <f t="shared" si="53"/>
        <v>0</v>
      </c>
      <c r="L89" s="9">
        <f t="shared" si="54"/>
        <v>-1.4999999999929514E-3</v>
      </c>
      <c r="M89" s="9">
        <f>data!J89</f>
        <v>0.375</v>
      </c>
      <c r="N89" s="9">
        <f>data!I89</f>
        <v>1</v>
      </c>
      <c r="O89" s="9">
        <f>data!L89</f>
        <v>0.375</v>
      </c>
      <c r="P89" s="9">
        <f>data!K89</f>
        <v>-4.25</v>
      </c>
      <c r="Q89" s="9">
        <f>data!R89</f>
        <v>-6.5</v>
      </c>
      <c r="R89" s="9">
        <f t="shared" si="55"/>
        <v>2.5000000000000022E-2</v>
      </c>
      <c r="S89" s="9">
        <f t="shared" si="56"/>
        <v>1.25</v>
      </c>
      <c r="T89" s="9">
        <f t="shared" si="57"/>
        <v>1.125</v>
      </c>
      <c r="U89" s="9">
        <f t="shared" si="58"/>
        <v>1.125</v>
      </c>
      <c r="V89" s="9">
        <f t="shared" si="59"/>
        <v>0.94</v>
      </c>
      <c r="W89" s="9">
        <f t="shared" si="60"/>
        <v>0.82499999999999996</v>
      </c>
      <c r="X89" s="9">
        <f t="shared" si="61"/>
        <v>0.125</v>
      </c>
      <c r="Y89" s="9">
        <f t="shared" si="62"/>
        <v>-7.5000000000000011E-2</v>
      </c>
      <c r="Z89" s="9">
        <f t="shared" si="63"/>
        <v>1</v>
      </c>
      <c r="AA89" s="9">
        <f t="shared" si="64"/>
        <v>0.30000000000000004</v>
      </c>
      <c r="AB89" s="9">
        <f t="shared" si="65"/>
        <v>0.75</v>
      </c>
      <c r="AC89" s="9">
        <f t="shared" si="66"/>
        <v>1.1000000000000001</v>
      </c>
      <c r="AD89" s="9">
        <f t="shared" si="67"/>
        <v>1.1000000000000001</v>
      </c>
      <c r="AE89" s="9">
        <f t="shared" si="68"/>
        <v>1.5899999999999999</v>
      </c>
      <c r="AF89" s="9">
        <f t="shared" si="69"/>
        <v>1.4</v>
      </c>
      <c r="AG89" s="9">
        <f t="shared" si="70"/>
        <v>0.30000000000000004</v>
      </c>
      <c r="AH89" s="9">
        <f t="shared" si="71"/>
        <v>0.39999999999999991</v>
      </c>
      <c r="AI89" s="9">
        <f t="shared" si="72"/>
        <v>1.2999999999999998</v>
      </c>
      <c r="AJ89" s="9">
        <f t="shared" si="73"/>
        <v>2.5000000000000022E-2</v>
      </c>
      <c r="AK89" s="9">
        <f t="shared" si="74"/>
        <v>0.75</v>
      </c>
      <c r="AL89" s="9">
        <f t="shared" si="75"/>
        <v>1.0249999999999999</v>
      </c>
      <c r="AM89" s="9">
        <f t="shared" si="76"/>
        <v>1.325</v>
      </c>
      <c r="AN89" s="9">
        <f t="shared" si="77"/>
        <v>1.2749999999999999</v>
      </c>
      <c r="AO89" s="9">
        <f t="shared" si="78"/>
        <v>1.625</v>
      </c>
      <c r="AP89" s="9">
        <f t="shared" si="79"/>
        <v>0.125</v>
      </c>
      <c r="AQ89" s="9">
        <f t="shared" si="80"/>
        <v>1.125</v>
      </c>
      <c r="AR89" s="9">
        <f t="shared" si="81"/>
        <v>1.2250000000000001</v>
      </c>
      <c r="AS89" s="9">
        <f t="shared" si="82"/>
        <v>0.25</v>
      </c>
      <c r="AT89" s="9">
        <f t="shared" si="83"/>
        <v>1.9249999999999998</v>
      </c>
      <c r="AU89" s="9">
        <f t="shared" si="84"/>
        <v>1.9500000000000002</v>
      </c>
      <c r="AV89" s="9">
        <f t="shared" si="85"/>
        <v>2.15</v>
      </c>
      <c r="AW89" s="9">
        <f t="shared" si="86"/>
        <v>2.75</v>
      </c>
      <c r="AX89" s="9">
        <f t="shared" si="87"/>
        <v>3</v>
      </c>
      <c r="AY89" s="9">
        <f t="shared" si="88"/>
        <v>1.5</v>
      </c>
      <c r="AZ89" s="9">
        <f t="shared" si="89"/>
        <v>2.75</v>
      </c>
      <c r="BA89" s="9">
        <f t="shared" si="90"/>
        <v>2.75</v>
      </c>
      <c r="BB89" s="9">
        <f t="shared" si="91"/>
        <v>9.9999999999999645E-2</v>
      </c>
      <c r="BC89" s="9">
        <f t="shared" si="92"/>
        <v>0.71999999999999975</v>
      </c>
      <c r="BD89" s="9">
        <f t="shared" si="93"/>
        <v>2</v>
      </c>
      <c r="BE89" s="9">
        <f t="shared" si="94"/>
        <v>1.9000000000000004</v>
      </c>
      <c r="BF89" s="9">
        <f t="shared" si="95"/>
        <v>2.95</v>
      </c>
      <c r="BG89" s="9">
        <f t="shared" si="96"/>
        <v>2.75</v>
      </c>
      <c r="BH89" s="9">
        <f t="shared" si="97"/>
        <v>1.5</v>
      </c>
      <c r="BI89" s="9">
        <f t="shared" si="98"/>
        <v>2.7</v>
      </c>
      <c r="BJ89" s="9">
        <f t="shared" si="99"/>
        <v>2.7</v>
      </c>
    </row>
    <row r="90" spans="1:62" x14ac:dyDescent="0.2">
      <c r="A90" s="9">
        <f>data!M91-data!M90</f>
        <v>-0.34370000000001255</v>
      </c>
      <c r="B90" s="9">
        <f>data!C91-data!C90</f>
        <v>0.83000000000000007</v>
      </c>
      <c r="C90" s="9">
        <f>data!D91-data!D90</f>
        <v>-0.15000000000000036</v>
      </c>
      <c r="D90" s="10">
        <f>data!B91-data!B90</f>
        <v>2.5000000000000022E-2</v>
      </c>
      <c r="E90" s="9">
        <f>data!E90-data!G90</f>
        <v>3.1334999999999997</v>
      </c>
      <c r="F90" s="9">
        <f>(data!E90-data!F90)-(data!G90-data!H90)</f>
        <v>-1.0881000000000003</v>
      </c>
      <c r="G90" s="9">
        <f t="shared" si="50"/>
        <v>-0.16469999999999985</v>
      </c>
      <c r="H90" s="9">
        <f t="shared" si="51"/>
        <v>1.3100000000000556E-2</v>
      </c>
      <c r="I90" s="9">
        <f>IF(data!M91&gt; 111.81,1,0)</f>
        <v>0</v>
      </c>
      <c r="J90" s="9">
        <f t="shared" si="52"/>
        <v>1</v>
      </c>
      <c r="K90" s="9">
        <f t="shared" si="53"/>
        <v>0</v>
      </c>
      <c r="L90" s="9">
        <f t="shared" si="54"/>
        <v>-0.34370000000001255</v>
      </c>
      <c r="M90" s="9">
        <f>data!J90</f>
        <v>0.4</v>
      </c>
      <c r="N90" s="9">
        <f>data!I90</f>
        <v>1.3</v>
      </c>
      <c r="O90" s="9">
        <f>data!L90</f>
        <v>0.4</v>
      </c>
      <c r="P90" s="9">
        <f>data!K90</f>
        <v>-4</v>
      </c>
      <c r="Q90" s="9">
        <f>data!R90</f>
        <v>-6.4</v>
      </c>
      <c r="R90" s="9">
        <f t="shared" si="55"/>
        <v>1.2250000000000001</v>
      </c>
      <c r="S90" s="9">
        <f t="shared" si="56"/>
        <v>1.1000000000000001</v>
      </c>
      <c r="T90" s="9">
        <f t="shared" si="57"/>
        <v>1.1000000000000001</v>
      </c>
      <c r="U90" s="9">
        <f t="shared" si="58"/>
        <v>0.91499999999999992</v>
      </c>
      <c r="V90" s="9">
        <f t="shared" si="59"/>
        <v>0.79999999999999993</v>
      </c>
      <c r="W90" s="9">
        <f t="shared" si="60"/>
        <v>9.9999999999999978E-2</v>
      </c>
      <c r="X90" s="9">
        <f t="shared" si="61"/>
        <v>-0.10000000000000003</v>
      </c>
      <c r="Y90" s="9">
        <f t="shared" si="62"/>
        <v>0.97499999999999998</v>
      </c>
      <c r="Z90" s="9">
        <f t="shared" si="63"/>
        <v>1.4049999999999998</v>
      </c>
      <c r="AA90" s="9">
        <f t="shared" si="64"/>
        <v>0.44999999999999996</v>
      </c>
      <c r="AB90" s="9">
        <f t="shared" si="65"/>
        <v>0.8</v>
      </c>
      <c r="AC90" s="9">
        <f t="shared" si="66"/>
        <v>0.8</v>
      </c>
      <c r="AD90" s="9">
        <f t="shared" si="67"/>
        <v>1.2899999999999998</v>
      </c>
      <c r="AE90" s="9">
        <f t="shared" si="68"/>
        <v>1.0999999999999999</v>
      </c>
      <c r="AF90" s="9">
        <f t="shared" si="69"/>
        <v>0</v>
      </c>
      <c r="AG90" s="9">
        <f t="shared" si="70"/>
        <v>9.9999999999999867E-2</v>
      </c>
      <c r="AH90" s="9">
        <f t="shared" si="71"/>
        <v>0.99999999999999978</v>
      </c>
      <c r="AI90" s="9">
        <f t="shared" si="72"/>
        <v>1.7499999999999998</v>
      </c>
      <c r="AJ90" s="9">
        <f t="shared" si="73"/>
        <v>0.72499999999999998</v>
      </c>
      <c r="AK90" s="9">
        <f t="shared" si="74"/>
        <v>0.99999999999999989</v>
      </c>
      <c r="AL90" s="9">
        <f t="shared" si="75"/>
        <v>1.2999999999999998</v>
      </c>
      <c r="AM90" s="9">
        <f t="shared" si="76"/>
        <v>1.25</v>
      </c>
      <c r="AN90" s="9">
        <f t="shared" si="77"/>
        <v>1.6</v>
      </c>
      <c r="AO90" s="9">
        <f t="shared" si="78"/>
        <v>9.9999999999999978E-2</v>
      </c>
      <c r="AP90" s="9">
        <f t="shared" si="79"/>
        <v>1.1000000000000001</v>
      </c>
      <c r="AQ90" s="9">
        <f t="shared" si="80"/>
        <v>1.2000000000000002</v>
      </c>
      <c r="AR90" s="9">
        <f t="shared" si="81"/>
        <v>1.6</v>
      </c>
      <c r="AS90" s="9">
        <f t="shared" si="82"/>
        <v>1.6749999999999998</v>
      </c>
      <c r="AT90" s="9">
        <f t="shared" si="83"/>
        <v>1.7000000000000002</v>
      </c>
      <c r="AU90" s="9">
        <f t="shared" si="84"/>
        <v>1.9</v>
      </c>
      <c r="AV90" s="9">
        <f t="shared" si="85"/>
        <v>2.5</v>
      </c>
      <c r="AW90" s="9">
        <f t="shared" si="86"/>
        <v>2.75</v>
      </c>
      <c r="AX90" s="9">
        <f t="shared" si="87"/>
        <v>1.25</v>
      </c>
      <c r="AY90" s="9">
        <f t="shared" si="88"/>
        <v>2.5</v>
      </c>
      <c r="AZ90" s="9">
        <f t="shared" si="89"/>
        <v>2.5</v>
      </c>
      <c r="BA90" s="9">
        <f t="shared" si="90"/>
        <v>2.7850000000000001</v>
      </c>
      <c r="BB90" s="9">
        <f t="shared" si="91"/>
        <v>0.62000000000000011</v>
      </c>
      <c r="BC90" s="9">
        <f t="shared" si="92"/>
        <v>1.9000000000000004</v>
      </c>
      <c r="BD90" s="9">
        <f t="shared" si="93"/>
        <v>1.8000000000000007</v>
      </c>
      <c r="BE90" s="9">
        <f t="shared" si="94"/>
        <v>2.8500000000000005</v>
      </c>
      <c r="BF90" s="9">
        <f t="shared" si="95"/>
        <v>2.6500000000000004</v>
      </c>
      <c r="BG90" s="9">
        <f t="shared" si="96"/>
        <v>1.4000000000000004</v>
      </c>
      <c r="BH90" s="9">
        <f t="shared" si="97"/>
        <v>2.6000000000000005</v>
      </c>
      <c r="BI90" s="9">
        <f t="shared" si="98"/>
        <v>2.6000000000000005</v>
      </c>
      <c r="BJ90" s="9">
        <f t="shared" si="99"/>
        <v>3.6500000000000004</v>
      </c>
    </row>
    <row r="91" spans="1:62" x14ac:dyDescent="0.2">
      <c r="A91" s="9">
        <f>data!M92-data!M91</f>
        <v>0.23870000000000857</v>
      </c>
      <c r="B91" s="9">
        <f>data!C92-data!C91</f>
        <v>-0.60999999999999943</v>
      </c>
      <c r="C91" s="9">
        <f>data!D92-data!D91</f>
        <v>-0.94999999999999929</v>
      </c>
      <c r="D91" s="10">
        <f>data!B92-data!B91</f>
        <v>0</v>
      </c>
      <c r="E91" s="9">
        <f>data!E91-data!G91</f>
        <v>2.9687999999999999</v>
      </c>
      <c r="F91" s="9">
        <f>(data!E91-data!F91)-(data!G91-data!H91)</f>
        <v>-1.0749999999999997</v>
      </c>
      <c r="G91" s="9">
        <f t="shared" si="50"/>
        <v>-6.1999999999997613E-3</v>
      </c>
      <c r="H91" s="9">
        <f t="shared" si="51"/>
        <v>4.6999999999997044E-3</v>
      </c>
      <c r="I91" s="9">
        <f>IF(data!M92&gt; 111.81,1,0)</f>
        <v>0</v>
      </c>
      <c r="J91" s="9">
        <f t="shared" si="52"/>
        <v>1</v>
      </c>
      <c r="K91" s="9">
        <f t="shared" si="53"/>
        <v>0</v>
      </c>
      <c r="L91" s="9">
        <f t="shared" si="54"/>
        <v>0.23870000000000857</v>
      </c>
      <c r="M91" s="9">
        <f>data!J91</f>
        <v>1.625</v>
      </c>
      <c r="N91" s="9">
        <f>data!I91</f>
        <v>1.75</v>
      </c>
      <c r="O91" s="9">
        <f>data!L91</f>
        <v>1.125</v>
      </c>
      <c r="P91" s="9">
        <f>data!K91</f>
        <v>-2.3250000000000002</v>
      </c>
      <c r="Q91" s="9">
        <f>data!R91</f>
        <v>-5.78</v>
      </c>
      <c r="R91" s="9">
        <f t="shared" si="55"/>
        <v>-0.125</v>
      </c>
      <c r="S91" s="9">
        <f t="shared" si="56"/>
        <v>-0.125</v>
      </c>
      <c r="T91" s="9">
        <f t="shared" si="57"/>
        <v>-0.31000000000000005</v>
      </c>
      <c r="U91" s="9">
        <f t="shared" si="58"/>
        <v>-0.42500000000000004</v>
      </c>
      <c r="V91" s="9">
        <f t="shared" si="59"/>
        <v>-1.125</v>
      </c>
      <c r="W91" s="9">
        <f t="shared" si="60"/>
        <v>-1.325</v>
      </c>
      <c r="X91" s="9">
        <f t="shared" si="61"/>
        <v>-0.25</v>
      </c>
      <c r="Y91" s="9">
        <f t="shared" si="62"/>
        <v>0.17999999999999994</v>
      </c>
      <c r="Z91" s="9">
        <f t="shared" si="63"/>
        <v>-7.4999999999999956E-2</v>
      </c>
      <c r="AA91" s="9">
        <f t="shared" si="64"/>
        <v>0.35000000000000009</v>
      </c>
      <c r="AB91" s="9">
        <f t="shared" si="65"/>
        <v>0.35000000000000009</v>
      </c>
      <c r="AC91" s="9">
        <f t="shared" si="66"/>
        <v>0.83999999999999986</v>
      </c>
      <c r="AD91" s="9">
        <f t="shared" si="67"/>
        <v>0.64999999999999991</v>
      </c>
      <c r="AE91" s="9">
        <f t="shared" si="68"/>
        <v>-0.44999999999999996</v>
      </c>
      <c r="AF91" s="9">
        <f t="shared" si="69"/>
        <v>-0.35000000000000009</v>
      </c>
      <c r="AG91" s="9">
        <f t="shared" si="70"/>
        <v>0.54999999999999982</v>
      </c>
      <c r="AH91" s="9">
        <f t="shared" si="71"/>
        <v>1.2999999999999998</v>
      </c>
      <c r="AI91" s="9">
        <f t="shared" si="72"/>
        <v>0.99000000000000021</v>
      </c>
      <c r="AJ91" s="9">
        <f t="shared" si="73"/>
        <v>0.27499999999999991</v>
      </c>
      <c r="AK91" s="9">
        <f t="shared" si="74"/>
        <v>0.57499999999999996</v>
      </c>
      <c r="AL91" s="9">
        <f t="shared" si="75"/>
        <v>0.52499999999999991</v>
      </c>
      <c r="AM91" s="9">
        <f t="shared" si="76"/>
        <v>0.875</v>
      </c>
      <c r="AN91" s="9">
        <f t="shared" si="77"/>
        <v>-0.625</v>
      </c>
      <c r="AO91" s="9">
        <f t="shared" si="78"/>
        <v>0.375</v>
      </c>
      <c r="AP91" s="9">
        <f t="shared" si="79"/>
        <v>0.47500000000000009</v>
      </c>
      <c r="AQ91" s="9">
        <f t="shared" si="80"/>
        <v>0.875</v>
      </c>
      <c r="AR91" s="9">
        <f t="shared" si="81"/>
        <v>0.96499999999999986</v>
      </c>
      <c r="AS91" s="9">
        <f t="shared" si="82"/>
        <v>2.5000000000000355E-2</v>
      </c>
      <c r="AT91" s="9">
        <f t="shared" si="83"/>
        <v>0.22500000000000009</v>
      </c>
      <c r="AU91" s="9">
        <f t="shared" si="84"/>
        <v>0.82500000000000018</v>
      </c>
      <c r="AV91" s="9">
        <f t="shared" si="85"/>
        <v>1.0750000000000002</v>
      </c>
      <c r="AW91" s="9">
        <f t="shared" si="86"/>
        <v>-0.42499999999999982</v>
      </c>
      <c r="AX91" s="9">
        <f t="shared" si="87"/>
        <v>0.82500000000000018</v>
      </c>
      <c r="AY91" s="9">
        <f t="shared" si="88"/>
        <v>0.82500000000000018</v>
      </c>
      <c r="AZ91" s="9">
        <f t="shared" si="89"/>
        <v>1.1100000000000001</v>
      </c>
      <c r="BA91" s="9">
        <f t="shared" si="90"/>
        <v>2.0250000000000004</v>
      </c>
      <c r="BB91" s="9">
        <f t="shared" si="91"/>
        <v>1.2800000000000002</v>
      </c>
      <c r="BC91" s="9">
        <f t="shared" si="92"/>
        <v>1.1800000000000006</v>
      </c>
      <c r="BD91" s="9">
        <f t="shared" si="93"/>
        <v>2.2300000000000004</v>
      </c>
      <c r="BE91" s="9">
        <f t="shared" si="94"/>
        <v>2.0300000000000002</v>
      </c>
      <c r="BF91" s="9">
        <f t="shared" si="95"/>
        <v>0.78000000000000025</v>
      </c>
      <c r="BG91" s="9">
        <f t="shared" si="96"/>
        <v>1.9800000000000004</v>
      </c>
      <c r="BH91" s="9">
        <f t="shared" si="97"/>
        <v>1.9800000000000004</v>
      </c>
      <c r="BI91" s="9">
        <f t="shared" si="98"/>
        <v>3.0300000000000002</v>
      </c>
      <c r="BJ91" s="9">
        <f t="shared" si="99"/>
        <v>3.9400000000000004</v>
      </c>
    </row>
    <row r="92" spans="1:62" x14ac:dyDescent="0.2">
      <c r="A92" s="9">
        <f>data!M93-data!M92</f>
        <v>0.45649999999999125</v>
      </c>
      <c r="B92" s="9">
        <f>data!C93-data!C92</f>
        <v>-0.41999999999999993</v>
      </c>
      <c r="C92" s="9">
        <f>data!D93-data!D92</f>
        <v>0.125</v>
      </c>
      <c r="D92" s="10">
        <f>data!B93-data!B92</f>
        <v>0</v>
      </c>
      <c r="E92" s="9">
        <f>data!E92-data!G92</f>
        <v>2.9626000000000001</v>
      </c>
      <c r="F92" s="9">
        <f>(data!E92-data!F92)-(data!G92-data!H92)</f>
        <v>-1.0703</v>
      </c>
      <c r="G92" s="9">
        <f t="shared" si="50"/>
        <v>3.5700000000000287E-2</v>
      </c>
      <c r="H92" s="9">
        <f t="shared" si="51"/>
        <v>-4.6999999999997044E-3</v>
      </c>
      <c r="I92" s="9">
        <f>IF(data!M93&gt; 111.81,1,0)</f>
        <v>0</v>
      </c>
      <c r="J92" s="9">
        <f t="shared" si="52"/>
        <v>1</v>
      </c>
      <c r="K92" s="9">
        <f t="shared" si="53"/>
        <v>0</v>
      </c>
      <c r="L92" s="9">
        <f t="shared" si="54"/>
        <v>0.45649999999999125</v>
      </c>
      <c r="M92" s="9">
        <f>data!J92</f>
        <v>1.5</v>
      </c>
      <c r="N92" s="9">
        <f>data!I92</f>
        <v>2.1</v>
      </c>
      <c r="O92" s="9">
        <f>data!L92</f>
        <v>1.4</v>
      </c>
      <c r="P92" s="9">
        <f>data!K92</f>
        <v>-2.2999999999999998</v>
      </c>
      <c r="Q92" s="9">
        <f>data!R92</f>
        <v>-4.5</v>
      </c>
      <c r="R92" s="9">
        <f t="shared" si="55"/>
        <v>0</v>
      </c>
      <c r="S92" s="9">
        <f t="shared" si="56"/>
        <v>-0.18500000000000005</v>
      </c>
      <c r="T92" s="9">
        <f t="shared" si="57"/>
        <v>-0.30000000000000004</v>
      </c>
      <c r="U92" s="9">
        <f t="shared" si="58"/>
        <v>-1</v>
      </c>
      <c r="V92" s="9">
        <f t="shared" si="59"/>
        <v>-1.2</v>
      </c>
      <c r="W92" s="9">
        <f t="shared" si="60"/>
        <v>-0.125</v>
      </c>
      <c r="X92" s="9">
        <f t="shared" si="61"/>
        <v>0.30499999999999994</v>
      </c>
      <c r="Y92" s="9">
        <f t="shared" si="62"/>
        <v>5.0000000000000044E-2</v>
      </c>
      <c r="Z92" s="9">
        <f t="shared" si="63"/>
        <v>0.125</v>
      </c>
      <c r="AA92" s="9">
        <f t="shared" si="64"/>
        <v>0</v>
      </c>
      <c r="AB92" s="9">
        <f t="shared" si="65"/>
        <v>0.48999999999999977</v>
      </c>
      <c r="AC92" s="9">
        <f t="shared" si="66"/>
        <v>0.29999999999999982</v>
      </c>
      <c r="AD92" s="9">
        <f t="shared" si="67"/>
        <v>-0.8</v>
      </c>
      <c r="AE92" s="9">
        <f t="shared" si="68"/>
        <v>-0.70000000000000018</v>
      </c>
      <c r="AF92" s="9">
        <f t="shared" si="69"/>
        <v>0.19999999999999973</v>
      </c>
      <c r="AG92" s="9">
        <f t="shared" si="70"/>
        <v>0.94999999999999973</v>
      </c>
      <c r="AH92" s="9">
        <f t="shared" si="71"/>
        <v>0.64000000000000012</v>
      </c>
      <c r="AI92" s="9">
        <f t="shared" si="72"/>
        <v>1.1499999999999999</v>
      </c>
      <c r="AJ92" s="9">
        <f t="shared" si="73"/>
        <v>0.30000000000000004</v>
      </c>
      <c r="AK92" s="9">
        <f t="shared" si="74"/>
        <v>0.25</v>
      </c>
      <c r="AL92" s="9">
        <f t="shared" si="75"/>
        <v>0.60000000000000009</v>
      </c>
      <c r="AM92" s="9">
        <f t="shared" si="76"/>
        <v>-0.89999999999999991</v>
      </c>
      <c r="AN92" s="9">
        <f t="shared" si="77"/>
        <v>0.10000000000000009</v>
      </c>
      <c r="AO92" s="9">
        <f t="shared" si="78"/>
        <v>0.20000000000000018</v>
      </c>
      <c r="AP92" s="9">
        <f t="shared" si="79"/>
        <v>0.60000000000000009</v>
      </c>
      <c r="AQ92" s="9">
        <f t="shared" si="80"/>
        <v>0.69</v>
      </c>
      <c r="AR92" s="9">
        <f t="shared" si="81"/>
        <v>1.35</v>
      </c>
      <c r="AS92" s="9">
        <f t="shared" si="82"/>
        <v>0.19999999999999973</v>
      </c>
      <c r="AT92" s="9">
        <f t="shared" si="83"/>
        <v>0.79999999999999982</v>
      </c>
      <c r="AU92" s="9">
        <f t="shared" si="84"/>
        <v>1.0499999999999998</v>
      </c>
      <c r="AV92" s="9">
        <f t="shared" si="85"/>
        <v>-0.45000000000000018</v>
      </c>
      <c r="AW92" s="9">
        <f t="shared" si="86"/>
        <v>0.79999999999999982</v>
      </c>
      <c r="AX92" s="9">
        <f t="shared" si="87"/>
        <v>0.79999999999999982</v>
      </c>
      <c r="AY92" s="9">
        <f t="shared" si="88"/>
        <v>1.0849999999999997</v>
      </c>
      <c r="AZ92" s="9">
        <f t="shared" si="89"/>
        <v>1.9999999999999998</v>
      </c>
      <c r="BA92" s="9">
        <f t="shared" si="90"/>
        <v>2.5499999999999998</v>
      </c>
      <c r="BB92" s="9">
        <f t="shared" si="91"/>
        <v>-9.9999999999999645E-2</v>
      </c>
      <c r="BC92" s="9">
        <f t="shared" si="92"/>
        <v>0.95000000000000018</v>
      </c>
      <c r="BD92" s="9">
        <f t="shared" si="93"/>
        <v>0.75</v>
      </c>
      <c r="BE92" s="9">
        <f t="shared" si="94"/>
        <v>-0.5</v>
      </c>
      <c r="BF92" s="9">
        <f t="shared" si="95"/>
        <v>0.70000000000000018</v>
      </c>
      <c r="BG92" s="9">
        <f t="shared" si="96"/>
        <v>0.70000000000000018</v>
      </c>
      <c r="BH92" s="9">
        <f t="shared" si="97"/>
        <v>1.75</v>
      </c>
      <c r="BI92" s="9">
        <f t="shared" si="98"/>
        <v>2.66</v>
      </c>
      <c r="BJ92" s="9">
        <f t="shared" si="99"/>
        <v>2.95</v>
      </c>
    </row>
    <row r="93" spans="1:62" x14ac:dyDescent="0.2">
      <c r="A93" s="9">
        <f>data!M94-data!M93</f>
        <v>0.2383000000000095</v>
      </c>
      <c r="B93" s="9">
        <f>data!C94-data!C93</f>
        <v>-0.8100000000000005</v>
      </c>
      <c r="C93" s="9">
        <f>data!D94-data!D93</f>
        <v>0.14999999999999947</v>
      </c>
      <c r="D93" s="10">
        <f>data!B94-data!B93</f>
        <v>0</v>
      </c>
      <c r="E93" s="9">
        <f>data!E93-data!G93</f>
        <v>2.9983000000000004</v>
      </c>
      <c r="F93" s="9">
        <f>(data!E93-data!F93)-(data!G93-data!H93)</f>
        <v>-1.0749999999999997</v>
      </c>
      <c r="G93" s="9">
        <f t="shared" si="50"/>
        <v>3.9399999999999658E-2</v>
      </c>
      <c r="H93" s="9">
        <f t="shared" si="51"/>
        <v>-4.3300000000000338E-2</v>
      </c>
      <c r="I93" s="9">
        <f>IF(data!M94&gt; 111.81,1,0)</f>
        <v>0</v>
      </c>
      <c r="J93" s="9">
        <f t="shared" si="52"/>
        <v>1</v>
      </c>
      <c r="K93" s="9">
        <f t="shared" si="53"/>
        <v>0</v>
      </c>
      <c r="L93" s="9">
        <f t="shared" si="54"/>
        <v>0.2383000000000095</v>
      </c>
      <c r="M93" s="9">
        <f>data!J93</f>
        <v>1.5</v>
      </c>
      <c r="N93" s="9">
        <f>data!I93</f>
        <v>2.1</v>
      </c>
      <c r="O93" s="9">
        <f>data!L93</f>
        <v>1.7</v>
      </c>
      <c r="P93" s="9">
        <f>data!K93</f>
        <v>-2.1</v>
      </c>
      <c r="Q93" s="9">
        <f>data!R93</f>
        <v>-4.5999999999999996</v>
      </c>
      <c r="R93" s="9">
        <f t="shared" si="55"/>
        <v>-0.18500000000000005</v>
      </c>
      <c r="S93" s="9">
        <f t="shared" si="56"/>
        <v>-0.30000000000000004</v>
      </c>
      <c r="T93" s="9">
        <f t="shared" si="57"/>
        <v>-1</v>
      </c>
      <c r="U93" s="9">
        <f t="shared" si="58"/>
        <v>-1.2</v>
      </c>
      <c r="V93" s="9">
        <f t="shared" si="59"/>
        <v>-0.125</v>
      </c>
      <c r="W93" s="9">
        <f t="shared" si="60"/>
        <v>0.30499999999999994</v>
      </c>
      <c r="X93" s="9">
        <f t="shared" si="61"/>
        <v>5.0000000000000044E-2</v>
      </c>
      <c r="Y93" s="9">
        <f t="shared" si="62"/>
        <v>0.125</v>
      </c>
      <c r="Z93" s="9">
        <f t="shared" si="63"/>
        <v>0.70000000000000018</v>
      </c>
      <c r="AA93" s="9">
        <f t="shared" si="64"/>
        <v>0.48999999999999977</v>
      </c>
      <c r="AB93" s="9">
        <f t="shared" si="65"/>
        <v>0.29999999999999982</v>
      </c>
      <c r="AC93" s="9">
        <f t="shared" si="66"/>
        <v>-0.8</v>
      </c>
      <c r="AD93" s="9">
        <f t="shared" si="67"/>
        <v>-0.70000000000000018</v>
      </c>
      <c r="AE93" s="9">
        <f t="shared" si="68"/>
        <v>0.19999999999999973</v>
      </c>
      <c r="AF93" s="9">
        <f t="shared" si="69"/>
        <v>0.94999999999999973</v>
      </c>
      <c r="AG93" s="9">
        <f t="shared" si="70"/>
        <v>0.64000000000000012</v>
      </c>
      <c r="AH93" s="9">
        <f t="shared" si="71"/>
        <v>1.1499999999999999</v>
      </c>
      <c r="AI93" s="9">
        <f t="shared" si="72"/>
        <v>1.5</v>
      </c>
      <c r="AJ93" s="9">
        <f t="shared" si="73"/>
        <v>-5.0000000000000044E-2</v>
      </c>
      <c r="AK93" s="9">
        <f t="shared" si="74"/>
        <v>0.30000000000000004</v>
      </c>
      <c r="AL93" s="9">
        <f t="shared" si="75"/>
        <v>-1.2</v>
      </c>
      <c r="AM93" s="9">
        <f t="shared" si="76"/>
        <v>-0.19999999999999996</v>
      </c>
      <c r="AN93" s="9">
        <f t="shared" si="77"/>
        <v>-9.9999999999999867E-2</v>
      </c>
      <c r="AO93" s="9">
        <f t="shared" si="78"/>
        <v>0.30000000000000004</v>
      </c>
      <c r="AP93" s="9">
        <f t="shared" si="79"/>
        <v>0.3899999999999999</v>
      </c>
      <c r="AQ93" s="9">
        <f t="shared" si="80"/>
        <v>1.05</v>
      </c>
      <c r="AR93" s="9">
        <f t="shared" si="81"/>
        <v>1.8</v>
      </c>
      <c r="AS93" s="9">
        <f t="shared" si="82"/>
        <v>0.60000000000000009</v>
      </c>
      <c r="AT93" s="9">
        <f t="shared" si="83"/>
        <v>0.85000000000000009</v>
      </c>
      <c r="AU93" s="9">
        <f t="shared" si="84"/>
        <v>-0.64999999999999991</v>
      </c>
      <c r="AV93" s="9">
        <f t="shared" si="85"/>
        <v>0.60000000000000009</v>
      </c>
      <c r="AW93" s="9">
        <f t="shared" si="86"/>
        <v>0.60000000000000009</v>
      </c>
      <c r="AX93" s="9">
        <f t="shared" si="87"/>
        <v>0.88500000000000001</v>
      </c>
      <c r="AY93" s="9">
        <f t="shared" si="88"/>
        <v>1.8</v>
      </c>
      <c r="AZ93" s="9">
        <f t="shared" si="89"/>
        <v>2.35</v>
      </c>
      <c r="BA93" s="9">
        <f t="shared" si="90"/>
        <v>3.5</v>
      </c>
      <c r="BB93" s="9">
        <f t="shared" si="91"/>
        <v>1.0499999999999998</v>
      </c>
      <c r="BC93" s="9">
        <f t="shared" si="92"/>
        <v>0.84999999999999964</v>
      </c>
      <c r="BD93" s="9">
        <f t="shared" si="93"/>
        <v>-0.40000000000000036</v>
      </c>
      <c r="BE93" s="9">
        <f t="shared" si="94"/>
        <v>0.79999999999999982</v>
      </c>
      <c r="BF93" s="9">
        <f t="shared" si="95"/>
        <v>0.79999999999999982</v>
      </c>
      <c r="BG93" s="9">
        <f t="shared" si="96"/>
        <v>1.8499999999999996</v>
      </c>
      <c r="BH93" s="9">
        <f t="shared" si="97"/>
        <v>2.76</v>
      </c>
      <c r="BI93" s="9">
        <f t="shared" si="98"/>
        <v>3.05</v>
      </c>
      <c r="BJ93" s="9">
        <f t="shared" si="99"/>
        <v>4.1999999999999993</v>
      </c>
    </row>
    <row r="94" spans="1:62" x14ac:dyDescent="0.2">
      <c r="A94" s="9">
        <f>data!M95-data!M94</f>
        <v>-0.63730000000001041</v>
      </c>
      <c r="B94" s="9">
        <f>data!C95-data!C94</f>
        <v>-0.11999999999999922</v>
      </c>
      <c r="C94" s="9">
        <f>data!D95-data!D94</f>
        <v>-4.9999999999999822E-2</v>
      </c>
      <c r="D94" s="10">
        <f>data!B95-data!B94</f>
        <v>0</v>
      </c>
      <c r="E94" s="9">
        <f>data!E94-data!G94</f>
        <v>3.0377000000000001</v>
      </c>
      <c r="F94" s="9">
        <f>(data!E94-data!F94)-(data!G94-data!H94)</f>
        <v>-1.1183000000000001</v>
      </c>
      <c r="G94" s="9">
        <f t="shared" si="50"/>
        <v>-4.7200000000000131E-2</v>
      </c>
      <c r="H94" s="9">
        <f t="shared" si="51"/>
        <v>1.8500000000000405E-2</v>
      </c>
      <c r="I94" s="9">
        <f>IF(data!M95&gt; 111.81,1,0)</f>
        <v>0</v>
      </c>
      <c r="J94" s="9">
        <f t="shared" si="52"/>
        <v>1</v>
      </c>
      <c r="K94" s="9">
        <f t="shared" si="53"/>
        <v>0</v>
      </c>
      <c r="L94" s="9">
        <f t="shared" si="54"/>
        <v>-0.63730000000001041</v>
      </c>
      <c r="M94" s="9">
        <f>data!J94</f>
        <v>1.3149999999999999</v>
      </c>
      <c r="N94" s="9">
        <f>data!I94</f>
        <v>2.59</v>
      </c>
      <c r="O94" s="9">
        <f>data!L94</f>
        <v>1.65</v>
      </c>
      <c r="P94" s="9">
        <f>data!K94</f>
        <v>-1.5</v>
      </c>
      <c r="Q94" s="9">
        <f>data!R94</f>
        <v>-3.55</v>
      </c>
      <c r="R94" s="9">
        <f t="shared" si="55"/>
        <v>-0.11499999999999999</v>
      </c>
      <c r="S94" s="9">
        <f t="shared" si="56"/>
        <v>-0.81499999999999995</v>
      </c>
      <c r="T94" s="9">
        <f t="shared" si="57"/>
        <v>-1.0149999999999999</v>
      </c>
      <c r="U94" s="9">
        <f t="shared" si="58"/>
        <v>6.0000000000000053E-2</v>
      </c>
      <c r="V94" s="9">
        <f t="shared" si="59"/>
        <v>0.49</v>
      </c>
      <c r="W94" s="9">
        <f t="shared" si="60"/>
        <v>0.2350000000000001</v>
      </c>
      <c r="X94" s="9">
        <f t="shared" si="61"/>
        <v>0.31000000000000005</v>
      </c>
      <c r="Y94" s="9">
        <f t="shared" si="62"/>
        <v>0.88500000000000023</v>
      </c>
      <c r="Z94" s="9">
        <f t="shared" si="63"/>
        <v>0.78500000000000014</v>
      </c>
      <c r="AA94" s="9">
        <f t="shared" si="64"/>
        <v>-0.18999999999999995</v>
      </c>
      <c r="AB94" s="9">
        <f t="shared" si="65"/>
        <v>-1.2899999999999998</v>
      </c>
      <c r="AC94" s="9">
        <f t="shared" si="66"/>
        <v>-1.19</v>
      </c>
      <c r="AD94" s="9">
        <f t="shared" si="67"/>
        <v>-0.29000000000000004</v>
      </c>
      <c r="AE94" s="9">
        <f t="shared" si="68"/>
        <v>0.45999999999999996</v>
      </c>
      <c r="AF94" s="9">
        <f t="shared" si="69"/>
        <v>0.15000000000000036</v>
      </c>
      <c r="AG94" s="9">
        <f t="shared" si="70"/>
        <v>0.66000000000000014</v>
      </c>
      <c r="AH94" s="9">
        <f t="shared" si="71"/>
        <v>1.0100000000000002</v>
      </c>
      <c r="AI94" s="9">
        <f t="shared" si="72"/>
        <v>1.4100000000000001</v>
      </c>
      <c r="AJ94" s="9">
        <f t="shared" si="73"/>
        <v>0.35000000000000009</v>
      </c>
      <c r="AK94" s="9">
        <f t="shared" si="74"/>
        <v>-1.1499999999999999</v>
      </c>
      <c r="AL94" s="9">
        <f t="shared" si="75"/>
        <v>-0.14999999999999991</v>
      </c>
      <c r="AM94" s="9">
        <f t="shared" si="76"/>
        <v>-4.9999999999999822E-2</v>
      </c>
      <c r="AN94" s="9">
        <f t="shared" si="77"/>
        <v>0.35000000000000009</v>
      </c>
      <c r="AO94" s="9">
        <f t="shared" si="78"/>
        <v>0.43999999999999995</v>
      </c>
      <c r="AP94" s="9">
        <f t="shared" si="79"/>
        <v>1.1000000000000001</v>
      </c>
      <c r="AQ94" s="9">
        <f t="shared" si="80"/>
        <v>1.85</v>
      </c>
      <c r="AR94" s="9">
        <f t="shared" si="81"/>
        <v>2.0500000000000003</v>
      </c>
      <c r="AS94" s="9">
        <f t="shared" si="82"/>
        <v>0.25</v>
      </c>
      <c r="AT94" s="9">
        <f t="shared" si="83"/>
        <v>-1.25</v>
      </c>
      <c r="AU94" s="9">
        <f t="shared" si="84"/>
        <v>0</v>
      </c>
      <c r="AV94" s="9">
        <f t="shared" si="85"/>
        <v>0</v>
      </c>
      <c r="AW94" s="9">
        <f t="shared" si="86"/>
        <v>0.28499999999999992</v>
      </c>
      <c r="AX94" s="9">
        <f t="shared" si="87"/>
        <v>1.2</v>
      </c>
      <c r="AY94" s="9">
        <f t="shared" si="88"/>
        <v>1.75</v>
      </c>
      <c r="AZ94" s="9">
        <f t="shared" si="89"/>
        <v>2.9</v>
      </c>
      <c r="BA94" s="9">
        <f t="shared" si="90"/>
        <v>2.6</v>
      </c>
      <c r="BB94" s="9">
        <f t="shared" si="91"/>
        <v>-0.20000000000000018</v>
      </c>
      <c r="BC94" s="9">
        <f t="shared" si="92"/>
        <v>-1.4500000000000002</v>
      </c>
      <c r="BD94" s="9">
        <f t="shared" si="93"/>
        <v>-0.25</v>
      </c>
      <c r="BE94" s="9">
        <f t="shared" si="94"/>
        <v>-0.25</v>
      </c>
      <c r="BF94" s="9">
        <f t="shared" si="95"/>
        <v>0.79999999999999982</v>
      </c>
      <c r="BG94" s="9">
        <f t="shared" si="96"/>
        <v>1.7099999999999997</v>
      </c>
      <c r="BH94" s="9">
        <f t="shared" si="97"/>
        <v>1.9999999999999998</v>
      </c>
      <c r="BI94" s="9">
        <f t="shared" si="98"/>
        <v>3.15</v>
      </c>
      <c r="BJ94" s="9">
        <f t="shared" si="99"/>
        <v>2.9499999999999997</v>
      </c>
    </row>
    <row r="95" spans="1:62" x14ac:dyDescent="0.2">
      <c r="A95" s="9">
        <f>data!M96-data!M95</f>
        <v>-0.67149999999999466</v>
      </c>
      <c r="B95" s="9">
        <f>data!C96-data!C95</f>
        <v>0.16999999999999993</v>
      </c>
      <c r="C95" s="9">
        <f>data!D96-data!D95</f>
        <v>-0.45000000000000018</v>
      </c>
      <c r="D95" s="10">
        <f>data!B96-data!B95</f>
        <v>9.9999999999999978E-2</v>
      </c>
      <c r="E95" s="9">
        <f>data!E95-data!G95</f>
        <v>2.9904999999999999</v>
      </c>
      <c r="F95" s="9">
        <f>(data!E95-data!F95)-(data!G95-data!H95)</f>
        <v>-1.0997999999999997</v>
      </c>
      <c r="G95" s="9">
        <f t="shared" si="50"/>
        <v>-4.9999999999999822E-2</v>
      </c>
      <c r="H95" s="9">
        <f t="shared" si="51"/>
        <v>5.7799999999999851E-2</v>
      </c>
      <c r="I95" s="9">
        <f>IF(data!M96&gt; 111.81,1,0)</f>
        <v>0</v>
      </c>
      <c r="J95" s="9">
        <f t="shared" si="52"/>
        <v>1</v>
      </c>
      <c r="K95" s="9">
        <f t="shared" si="53"/>
        <v>0</v>
      </c>
      <c r="L95" s="9">
        <f t="shared" si="54"/>
        <v>-0.67149999999999466</v>
      </c>
      <c r="M95" s="9">
        <f>data!J95</f>
        <v>1.2</v>
      </c>
      <c r="N95" s="9">
        <f>data!I95</f>
        <v>2.4</v>
      </c>
      <c r="O95" s="9">
        <f>data!L95</f>
        <v>2</v>
      </c>
      <c r="P95" s="9">
        <f>data!K95</f>
        <v>-1.25</v>
      </c>
      <c r="Q95" s="9">
        <f>data!R95</f>
        <v>-3.75</v>
      </c>
      <c r="R95" s="9">
        <f t="shared" si="55"/>
        <v>-0.7</v>
      </c>
      <c r="S95" s="9">
        <f t="shared" si="56"/>
        <v>-0.89999999999999991</v>
      </c>
      <c r="T95" s="9">
        <f t="shared" si="57"/>
        <v>0.17500000000000004</v>
      </c>
      <c r="U95" s="9">
        <f t="shared" si="58"/>
        <v>0.60499999999999998</v>
      </c>
      <c r="V95" s="9">
        <f t="shared" si="59"/>
        <v>0.35000000000000009</v>
      </c>
      <c r="W95" s="9">
        <f t="shared" si="60"/>
        <v>0.42500000000000004</v>
      </c>
      <c r="X95" s="9">
        <f t="shared" si="61"/>
        <v>1.0000000000000002</v>
      </c>
      <c r="Y95" s="9">
        <f t="shared" si="62"/>
        <v>0.90000000000000013</v>
      </c>
      <c r="Z95" s="9">
        <f t="shared" si="63"/>
        <v>0.30000000000000004</v>
      </c>
      <c r="AA95" s="9">
        <f t="shared" si="64"/>
        <v>-1.0999999999999999</v>
      </c>
      <c r="AB95" s="9">
        <f t="shared" si="65"/>
        <v>-1</v>
      </c>
      <c r="AC95" s="9">
        <f t="shared" si="66"/>
        <v>-0.10000000000000009</v>
      </c>
      <c r="AD95" s="9">
        <f t="shared" si="67"/>
        <v>0.64999999999999991</v>
      </c>
      <c r="AE95" s="9">
        <f t="shared" si="68"/>
        <v>0.3400000000000003</v>
      </c>
      <c r="AF95" s="9">
        <f t="shared" si="69"/>
        <v>0.85000000000000009</v>
      </c>
      <c r="AG95" s="9">
        <f t="shared" si="70"/>
        <v>1.2000000000000002</v>
      </c>
      <c r="AH95" s="9">
        <f t="shared" si="71"/>
        <v>1.6</v>
      </c>
      <c r="AI95" s="9">
        <f t="shared" si="72"/>
        <v>0.89999999999999991</v>
      </c>
      <c r="AJ95" s="9">
        <f t="shared" si="73"/>
        <v>-1.5</v>
      </c>
      <c r="AK95" s="9">
        <f t="shared" si="74"/>
        <v>-0.5</v>
      </c>
      <c r="AL95" s="9">
        <f t="shared" si="75"/>
        <v>-0.39999999999999991</v>
      </c>
      <c r="AM95" s="9">
        <f t="shared" si="76"/>
        <v>0</v>
      </c>
      <c r="AN95" s="9">
        <f t="shared" si="77"/>
        <v>8.9999999999999858E-2</v>
      </c>
      <c r="AO95" s="9">
        <f t="shared" si="78"/>
        <v>0.75</v>
      </c>
      <c r="AP95" s="9">
        <f t="shared" si="79"/>
        <v>1.5</v>
      </c>
      <c r="AQ95" s="9">
        <f t="shared" si="80"/>
        <v>1.7000000000000002</v>
      </c>
      <c r="AR95" s="9">
        <f t="shared" si="81"/>
        <v>1</v>
      </c>
      <c r="AS95" s="9">
        <f t="shared" si="82"/>
        <v>-1.5</v>
      </c>
      <c r="AT95" s="9">
        <f t="shared" si="83"/>
        <v>-0.25</v>
      </c>
      <c r="AU95" s="9">
        <f t="shared" si="84"/>
        <v>-0.25</v>
      </c>
      <c r="AV95" s="9">
        <f t="shared" si="85"/>
        <v>3.499999999999992E-2</v>
      </c>
      <c r="AW95" s="9">
        <f t="shared" si="86"/>
        <v>0.95</v>
      </c>
      <c r="AX95" s="9">
        <f t="shared" si="87"/>
        <v>1.5</v>
      </c>
      <c r="AY95" s="9">
        <f t="shared" si="88"/>
        <v>2.65</v>
      </c>
      <c r="AZ95" s="9">
        <f t="shared" si="89"/>
        <v>2.35</v>
      </c>
      <c r="BA95" s="9">
        <f t="shared" si="90"/>
        <v>1.75</v>
      </c>
      <c r="BB95" s="9">
        <f t="shared" si="91"/>
        <v>-1.25</v>
      </c>
      <c r="BC95" s="9">
        <f t="shared" si="92"/>
        <v>-4.9999999999999822E-2</v>
      </c>
      <c r="BD95" s="9">
        <f t="shared" si="93"/>
        <v>-4.9999999999999822E-2</v>
      </c>
      <c r="BE95" s="9">
        <f t="shared" si="94"/>
        <v>1</v>
      </c>
      <c r="BF95" s="9">
        <f t="shared" si="95"/>
        <v>1.91</v>
      </c>
      <c r="BG95" s="9">
        <f t="shared" si="96"/>
        <v>2.2000000000000002</v>
      </c>
      <c r="BH95" s="9">
        <f t="shared" si="97"/>
        <v>3.35</v>
      </c>
      <c r="BI95" s="9">
        <f t="shared" si="98"/>
        <v>3.15</v>
      </c>
      <c r="BJ95" s="9">
        <f t="shared" si="99"/>
        <v>2.95</v>
      </c>
    </row>
    <row r="96" spans="1:62" x14ac:dyDescent="0.2">
      <c r="A96" s="9">
        <f>data!M97-data!M96</f>
        <v>0.22950000000000159</v>
      </c>
      <c r="B96" s="9">
        <f>data!C97-data!C96</f>
        <v>0.35999999999999943</v>
      </c>
      <c r="C96" s="9">
        <f>data!D97-data!D96</f>
        <v>0.375</v>
      </c>
      <c r="D96" s="10">
        <f>data!B97-data!B96</f>
        <v>0</v>
      </c>
      <c r="E96" s="9">
        <f>data!E96-data!G96</f>
        <v>2.9405000000000001</v>
      </c>
      <c r="F96" s="9">
        <f>(data!E96-data!F96)-(data!G96-data!H96)</f>
        <v>-1.0419999999999998</v>
      </c>
      <c r="G96" s="9">
        <f t="shared" si="50"/>
        <v>6.8499999999999783E-2</v>
      </c>
      <c r="H96" s="9">
        <f t="shared" si="51"/>
        <v>-2.3000000000000131E-2</v>
      </c>
      <c r="I96" s="9">
        <f>IF(data!M97&gt; 111.81,1,0)</f>
        <v>0</v>
      </c>
      <c r="J96" s="9">
        <f t="shared" si="52"/>
        <v>1</v>
      </c>
      <c r="K96" s="9">
        <f t="shared" si="53"/>
        <v>0</v>
      </c>
      <c r="L96" s="9">
        <f t="shared" si="54"/>
        <v>0.22950000000000159</v>
      </c>
      <c r="M96" s="9">
        <f>data!J96</f>
        <v>0.5</v>
      </c>
      <c r="N96" s="9">
        <f>data!I96</f>
        <v>1.3</v>
      </c>
      <c r="O96" s="9">
        <f>data!L96</f>
        <v>0.5</v>
      </c>
      <c r="P96" s="9">
        <f>data!K96</f>
        <v>-2.75</v>
      </c>
      <c r="Q96" s="9">
        <f>data!R96</f>
        <v>-5</v>
      </c>
      <c r="R96" s="9">
        <f t="shared" si="55"/>
        <v>-0.2</v>
      </c>
      <c r="S96" s="9">
        <f t="shared" si="56"/>
        <v>0.875</v>
      </c>
      <c r="T96" s="9">
        <f t="shared" si="57"/>
        <v>1.3049999999999999</v>
      </c>
      <c r="U96" s="9">
        <f t="shared" si="58"/>
        <v>1.05</v>
      </c>
      <c r="V96" s="9">
        <f t="shared" si="59"/>
        <v>1.125</v>
      </c>
      <c r="W96" s="9">
        <f t="shared" si="60"/>
        <v>1.7000000000000002</v>
      </c>
      <c r="X96" s="9">
        <f t="shared" si="61"/>
        <v>1.6</v>
      </c>
      <c r="Y96" s="9">
        <f t="shared" si="62"/>
        <v>1</v>
      </c>
      <c r="Z96" s="9">
        <f t="shared" si="63"/>
        <v>1</v>
      </c>
      <c r="AA96" s="9">
        <f t="shared" si="64"/>
        <v>9.9999999999999867E-2</v>
      </c>
      <c r="AB96" s="9">
        <f t="shared" si="65"/>
        <v>0.99999999999999978</v>
      </c>
      <c r="AC96" s="9">
        <f t="shared" si="66"/>
        <v>1.7499999999999998</v>
      </c>
      <c r="AD96" s="9">
        <f t="shared" si="67"/>
        <v>1.4400000000000002</v>
      </c>
      <c r="AE96" s="9">
        <f t="shared" si="68"/>
        <v>1.95</v>
      </c>
      <c r="AF96" s="9">
        <f t="shared" si="69"/>
        <v>2.2999999999999998</v>
      </c>
      <c r="AG96" s="9">
        <f t="shared" si="70"/>
        <v>2.7</v>
      </c>
      <c r="AH96" s="9">
        <f t="shared" si="71"/>
        <v>1.9999999999999998</v>
      </c>
      <c r="AI96" s="9">
        <f t="shared" si="72"/>
        <v>2.2000000000000002</v>
      </c>
      <c r="AJ96" s="9">
        <f t="shared" si="73"/>
        <v>1</v>
      </c>
      <c r="AK96" s="9">
        <f t="shared" si="74"/>
        <v>1.1000000000000001</v>
      </c>
      <c r="AL96" s="9">
        <f t="shared" si="75"/>
        <v>1.5</v>
      </c>
      <c r="AM96" s="9">
        <f t="shared" si="76"/>
        <v>1.5899999999999999</v>
      </c>
      <c r="AN96" s="9">
        <f t="shared" si="77"/>
        <v>2.25</v>
      </c>
      <c r="AO96" s="9">
        <f t="shared" si="78"/>
        <v>3</v>
      </c>
      <c r="AP96" s="9">
        <f t="shared" si="79"/>
        <v>3.2</v>
      </c>
      <c r="AQ96" s="9">
        <f t="shared" si="80"/>
        <v>2.5</v>
      </c>
      <c r="AR96" s="9">
        <f t="shared" si="81"/>
        <v>2.75</v>
      </c>
      <c r="AS96" s="9">
        <f t="shared" si="82"/>
        <v>1.25</v>
      </c>
      <c r="AT96" s="9">
        <f t="shared" si="83"/>
        <v>1.25</v>
      </c>
      <c r="AU96" s="9">
        <f t="shared" si="84"/>
        <v>1.5349999999999999</v>
      </c>
      <c r="AV96" s="9">
        <f t="shared" si="85"/>
        <v>2.4500000000000002</v>
      </c>
      <c r="AW96" s="9">
        <f t="shared" si="86"/>
        <v>3</v>
      </c>
      <c r="AX96" s="9">
        <f t="shared" si="87"/>
        <v>4.1500000000000004</v>
      </c>
      <c r="AY96" s="9">
        <f t="shared" si="88"/>
        <v>3.85</v>
      </c>
      <c r="AZ96" s="9">
        <f t="shared" si="89"/>
        <v>3.25</v>
      </c>
      <c r="BA96" s="9">
        <f t="shared" si="90"/>
        <v>3.25</v>
      </c>
      <c r="BB96" s="9">
        <f t="shared" si="91"/>
        <v>1.2000000000000002</v>
      </c>
      <c r="BC96" s="9">
        <f t="shared" si="92"/>
        <v>1.2000000000000002</v>
      </c>
      <c r="BD96" s="9">
        <f t="shared" si="93"/>
        <v>2.25</v>
      </c>
      <c r="BE96" s="9">
        <f t="shared" si="94"/>
        <v>3.16</v>
      </c>
      <c r="BF96" s="9">
        <f t="shared" si="95"/>
        <v>3.45</v>
      </c>
      <c r="BG96" s="9">
        <f t="shared" si="96"/>
        <v>4.5999999999999996</v>
      </c>
      <c r="BH96" s="9">
        <f t="shared" si="97"/>
        <v>4.4000000000000004</v>
      </c>
      <c r="BI96" s="9">
        <f t="shared" si="98"/>
        <v>4.2</v>
      </c>
      <c r="BJ96" s="9">
        <f t="shared" si="99"/>
        <v>4.25</v>
      </c>
    </row>
    <row r="97" spans="1:62" x14ac:dyDescent="0.2">
      <c r="A97" s="9">
        <f>data!M98-data!M97</f>
        <v>-0.25709999999999411</v>
      </c>
      <c r="B97" s="9">
        <f>data!C98-data!C97</f>
        <v>-0.37000000000000099</v>
      </c>
      <c r="C97" s="9">
        <f>data!D98-data!D97</f>
        <v>-4.9999999999999822E-2</v>
      </c>
      <c r="D97" s="10">
        <f>data!B98-data!B97</f>
        <v>0</v>
      </c>
      <c r="E97" s="9">
        <f>data!E97-data!G97</f>
        <v>3.0089999999999999</v>
      </c>
      <c r="F97" s="9">
        <f>(data!E97-data!F97)-(data!G97-data!H97)</f>
        <v>-1.0649999999999999</v>
      </c>
      <c r="G97" s="9">
        <f t="shared" si="50"/>
        <v>-9.9299999999999944E-2</v>
      </c>
      <c r="H97" s="9">
        <f t="shared" si="51"/>
        <v>-1.100000000000545E-3</v>
      </c>
      <c r="I97" s="9">
        <f>IF(data!M98&gt; 111.81,1,0)</f>
        <v>0</v>
      </c>
      <c r="J97" s="9">
        <f t="shared" si="52"/>
        <v>1</v>
      </c>
      <c r="K97" s="9">
        <f t="shared" si="53"/>
        <v>0</v>
      </c>
      <c r="L97" s="9">
        <f t="shared" si="54"/>
        <v>-0.25709999999999411</v>
      </c>
      <c r="M97" s="9">
        <f>data!J97</f>
        <v>0.3</v>
      </c>
      <c r="N97" s="9">
        <f>data!I97</f>
        <v>1.4</v>
      </c>
      <c r="O97" s="9">
        <f>data!L97</f>
        <v>1.5</v>
      </c>
      <c r="P97" s="9">
        <f>data!K97</f>
        <v>-1.5</v>
      </c>
      <c r="Q97" s="9">
        <f>data!R97</f>
        <v>-3.8</v>
      </c>
      <c r="R97" s="9">
        <f t="shared" si="55"/>
        <v>1.075</v>
      </c>
      <c r="S97" s="9">
        <f t="shared" si="56"/>
        <v>1.5049999999999999</v>
      </c>
      <c r="T97" s="9">
        <f t="shared" si="57"/>
        <v>1.25</v>
      </c>
      <c r="U97" s="9">
        <f t="shared" si="58"/>
        <v>1.325</v>
      </c>
      <c r="V97" s="9">
        <f t="shared" si="59"/>
        <v>1.9000000000000001</v>
      </c>
      <c r="W97" s="9">
        <f t="shared" si="60"/>
        <v>1.8</v>
      </c>
      <c r="X97" s="9">
        <f t="shared" si="61"/>
        <v>1.2</v>
      </c>
      <c r="Y97" s="9">
        <f t="shared" si="62"/>
        <v>1.2</v>
      </c>
      <c r="Z97" s="9">
        <f t="shared" si="63"/>
        <v>1.2</v>
      </c>
      <c r="AA97" s="9">
        <f t="shared" si="64"/>
        <v>0.89999999999999991</v>
      </c>
      <c r="AB97" s="9">
        <f t="shared" si="65"/>
        <v>1.65</v>
      </c>
      <c r="AC97" s="9">
        <f t="shared" si="66"/>
        <v>1.3400000000000003</v>
      </c>
      <c r="AD97" s="9">
        <f t="shared" si="67"/>
        <v>1.85</v>
      </c>
      <c r="AE97" s="9">
        <f t="shared" si="68"/>
        <v>2.2000000000000002</v>
      </c>
      <c r="AF97" s="9">
        <f t="shared" si="69"/>
        <v>2.6</v>
      </c>
      <c r="AG97" s="9">
        <f t="shared" si="70"/>
        <v>1.9</v>
      </c>
      <c r="AH97" s="9">
        <f t="shared" si="71"/>
        <v>2.1</v>
      </c>
      <c r="AI97" s="9">
        <f t="shared" si="72"/>
        <v>2.1</v>
      </c>
      <c r="AJ97" s="9">
        <f t="shared" si="73"/>
        <v>0.10000000000000009</v>
      </c>
      <c r="AK97" s="9">
        <f t="shared" si="74"/>
        <v>0.5</v>
      </c>
      <c r="AL97" s="9">
        <f t="shared" si="75"/>
        <v>0.58999999999999986</v>
      </c>
      <c r="AM97" s="9">
        <f t="shared" si="76"/>
        <v>1.25</v>
      </c>
      <c r="AN97" s="9">
        <f t="shared" si="77"/>
        <v>2</v>
      </c>
      <c r="AO97" s="9">
        <f t="shared" si="78"/>
        <v>2.2000000000000002</v>
      </c>
      <c r="AP97" s="9">
        <f t="shared" si="79"/>
        <v>1.5</v>
      </c>
      <c r="AQ97" s="9">
        <f t="shared" si="80"/>
        <v>1.75</v>
      </c>
      <c r="AR97" s="9">
        <f t="shared" si="81"/>
        <v>1.6</v>
      </c>
      <c r="AS97" s="9">
        <f t="shared" si="82"/>
        <v>0</v>
      </c>
      <c r="AT97" s="9">
        <f t="shared" si="83"/>
        <v>0.28499999999999992</v>
      </c>
      <c r="AU97" s="9">
        <f t="shared" si="84"/>
        <v>1.2</v>
      </c>
      <c r="AV97" s="9">
        <f t="shared" si="85"/>
        <v>1.75</v>
      </c>
      <c r="AW97" s="9">
        <f t="shared" si="86"/>
        <v>2.9</v>
      </c>
      <c r="AX97" s="9">
        <f t="shared" si="87"/>
        <v>2.6</v>
      </c>
      <c r="AY97" s="9">
        <f t="shared" si="88"/>
        <v>2</v>
      </c>
      <c r="AZ97" s="9">
        <f t="shared" si="89"/>
        <v>2</v>
      </c>
      <c r="BA97" s="9">
        <f t="shared" si="90"/>
        <v>2.2000000000000002</v>
      </c>
      <c r="BB97" s="9">
        <f t="shared" si="91"/>
        <v>0</v>
      </c>
      <c r="BC97" s="9">
        <f t="shared" si="92"/>
        <v>1.0499999999999998</v>
      </c>
      <c r="BD97" s="9">
        <f t="shared" si="93"/>
        <v>1.9599999999999997</v>
      </c>
      <c r="BE97" s="9">
        <f t="shared" si="94"/>
        <v>2.25</v>
      </c>
      <c r="BF97" s="9">
        <f t="shared" si="95"/>
        <v>3.4</v>
      </c>
      <c r="BG97" s="9">
        <f t="shared" si="96"/>
        <v>3.1999999999999997</v>
      </c>
      <c r="BH97" s="9">
        <f t="shared" si="97"/>
        <v>3</v>
      </c>
      <c r="BI97" s="9">
        <f t="shared" si="98"/>
        <v>3.05</v>
      </c>
      <c r="BJ97" s="9">
        <f t="shared" si="99"/>
        <v>3</v>
      </c>
    </row>
    <row r="98" spans="1:62" x14ac:dyDescent="0.2">
      <c r="A98" s="9">
        <f>data!M99-data!M98</f>
        <v>0.52169999999999561</v>
      </c>
      <c r="B98" s="9">
        <f>data!C99-data!C98</f>
        <v>-0.73999999999999844</v>
      </c>
      <c r="C98" s="9">
        <f>data!D99-data!D98</f>
        <v>-0.42499999999999982</v>
      </c>
      <c r="D98" s="10">
        <f>data!B99-data!B98</f>
        <v>0</v>
      </c>
      <c r="E98" s="9">
        <f>data!E98-data!G98</f>
        <v>2.9097</v>
      </c>
      <c r="F98" s="9">
        <f>(data!E98-data!F98)-(data!G98-data!H98)</f>
        <v>-1.0661000000000005</v>
      </c>
      <c r="G98" s="9">
        <f t="shared" si="50"/>
        <v>-1.839999999999975E-2</v>
      </c>
      <c r="H98" s="9">
        <f t="shared" si="51"/>
        <v>5.0000000000083311E-4</v>
      </c>
      <c r="I98" s="9">
        <f>IF(data!M99&gt; 111.81,1,0)</f>
        <v>0</v>
      </c>
      <c r="J98" s="9">
        <f t="shared" si="52"/>
        <v>1</v>
      </c>
      <c r="K98" s="9">
        <f t="shared" si="53"/>
        <v>0</v>
      </c>
      <c r="L98" s="9">
        <f t="shared" si="54"/>
        <v>0.52169999999999561</v>
      </c>
      <c r="M98" s="9">
        <f>data!J98</f>
        <v>1.375</v>
      </c>
      <c r="N98" s="9">
        <f>data!I98</f>
        <v>2.2999999999999998</v>
      </c>
      <c r="O98" s="9">
        <f>data!L98</f>
        <v>1.6</v>
      </c>
      <c r="P98" s="9">
        <f>data!K98</f>
        <v>-1.5</v>
      </c>
      <c r="Q98" s="9">
        <f>data!R98</f>
        <v>-3.8</v>
      </c>
      <c r="R98" s="9">
        <f t="shared" si="55"/>
        <v>0.42999999999999994</v>
      </c>
      <c r="S98" s="9">
        <f t="shared" si="56"/>
        <v>0.17500000000000004</v>
      </c>
      <c r="T98" s="9">
        <f t="shared" si="57"/>
        <v>0.25</v>
      </c>
      <c r="U98" s="9">
        <f t="shared" si="58"/>
        <v>0.82500000000000018</v>
      </c>
      <c r="V98" s="9">
        <f t="shared" si="59"/>
        <v>0.72500000000000009</v>
      </c>
      <c r="W98" s="9">
        <f t="shared" si="60"/>
        <v>0.125</v>
      </c>
      <c r="X98" s="9">
        <f t="shared" si="61"/>
        <v>0.125</v>
      </c>
      <c r="Y98" s="9">
        <f t="shared" si="62"/>
        <v>0.125</v>
      </c>
      <c r="Z98" s="9">
        <f t="shared" si="63"/>
        <v>-0.41000000000000003</v>
      </c>
      <c r="AA98" s="9">
        <f t="shared" si="64"/>
        <v>0.75</v>
      </c>
      <c r="AB98" s="9">
        <f t="shared" si="65"/>
        <v>0.44000000000000039</v>
      </c>
      <c r="AC98" s="9">
        <f t="shared" si="66"/>
        <v>0.95000000000000018</v>
      </c>
      <c r="AD98" s="9">
        <f t="shared" si="67"/>
        <v>1.3000000000000003</v>
      </c>
      <c r="AE98" s="9">
        <f t="shared" si="68"/>
        <v>1.7000000000000002</v>
      </c>
      <c r="AF98" s="9">
        <f t="shared" si="69"/>
        <v>1</v>
      </c>
      <c r="AG98" s="9">
        <f t="shared" si="70"/>
        <v>1.2000000000000002</v>
      </c>
      <c r="AH98" s="9">
        <f t="shared" si="71"/>
        <v>1.2000000000000002</v>
      </c>
      <c r="AI98" s="9">
        <f t="shared" si="72"/>
        <v>0.31500000000000039</v>
      </c>
      <c r="AJ98" s="9">
        <f t="shared" si="73"/>
        <v>0.39999999999999991</v>
      </c>
      <c r="AK98" s="9">
        <f t="shared" si="74"/>
        <v>0.48999999999999977</v>
      </c>
      <c r="AL98" s="9">
        <f t="shared" si="75"/>
        <v>1.1499999999999999</v>
      </c>
      <c r="AM98" s="9">
        <f t="shared" si="76"/>
        <v>1.9</v>
      </c>
      <c r="AN98" s="9">
        <f t="shared" si="77"/>
        <v>2.1</v>
      </c>
      <c r="AO98" s="9">
        <f t="shared" si="78"/>
        <v>1.4</v>
      </c>
      <c r="AP98" s="9">
        <f t="shared" si="79"/>
        <v>1.65</v>
      </c>
      <c r="AQ98" s="9">
        <f t="shared" si="80"/>
        <v>1.5</v>
      </c>
      <c r="AR98" s="9">
        <f t="shared" si="81"/>
        <v>0.72500000000000009</v>
      </c>
      <c r="AS98" s="9">
        <f t="shared" si="82"/>
        <v>0.28499999999999992</v>
      </c>
      <c r="AT98" s="9">
        <f t="shared" si="83"/>
        <v>1.2</v>
      </c>
      <c r="AU98" s="9">
        <f t="shared" si="84"/>
        <v>1.75</v>
      </c>
      <c r="AV98" s="9">
        <f t="shared" si="85"/>
        <v>2.9</v>
      </c>
      <c r="AW98" s="9">
        <f t="shared" si="86"/>
        <v>2.6</v>
      </c>
      <c r="AX98" s="9">
        <f t="shared" si="87"/>
        <v>2</v>
      </c>
      <c r="AY98" s="9">
        <f t="shared" si="88"/>
        <v>2</v>
      </c>
      <c r="AZ98" s="9">
        <f t="shared" si="89"/>
        <v>2.2000000000000002</v>
      </c>
      <c r="BA98" s="9">
        <f t="shared" si="90"/>
        <v>1.45</v>
      </c>
      <c r="BB98" s="9">
        <f t="shared" si="91"/>
        <v>1.0499999999999998</v>
      </c>
      <c r="BC98" s="9">
        <f t="shared" si="92"/>
        <v>1.9599999999999997</v>
      </c>
      <c r="BD98" s="9">
        <f t="shared" si="93"/>
        <v>2.25</v>
      </c>
      <c r="BE98" s="9">
        <f t="shared" si="94"/>
        <v>3.4</v>
      </c>
      <c r="BF98" s="9">
        <f t="shared" si="95"/>
        <v>3.1999999999999997</v>
      </c>
      <c r="BG98" s="9">
        <f t="shared" si="96"/>
        <v>3</v>
      </c>
      <c r="BH98" s="9">
        <f t="shared" si="97"/>
        <v>3.05</v>
      </c>
      <c r="BI98" s="9">
        <f t="shared" si="98"/>
        <v>3</v>
      </c>
      <c r="BJ98" s="9">
        <f t="shared" si="99"/>
        <v>2.4</v>
      </c>
    </row>
    <row r="99" spans="1:62" x14ac:dyDescent="0.2">
      <c r="A99" s="9">
        <f>data!M100-data!M99</f>
        <v>-0.91979999999999507</v>
      </c>
      <c r="B99" s="9">
        <f>data!C100-data!C99</f>
        <v>0.67999999999999972</v>
      </c>
      <c r="C99" s="9">
        <f>data!D100-data!D99</f>
        <v>0.79999999999999982</v>
      </c>
      <c r="D99" s="10">
        <f>data!B100-data!B99</f>
        <v>0.10000000000000003</v>
      </c>
      <c r="E99" s="9">
        <f>data!E99-data!G99</f>
        <v>2.8913000000000002</v>
      </c>
      <c r="F99" s="9">
        <f>(data!E99-data!F99)-(data!G99-data!H99)</f>
        <v>-1.0655999999999997</v>
      </c>
      <c r="G99" s="9">
        <f t="shared" si="50"/>
        <v>2.6999999999999247E-3</v>
      </c>
      <c r="H99" s="9">
        <f t="shared" si="51"/>
        <v>3.279999999999994E-2</v>
      </c>
      <c r="I99" s="9">
        <f>IF(data!M100&gt; 111.81,1,0)</f>
        <v>0</v>
      </c>
      <c r="J99" s="9">
        <f t="shared" si="52"/>
        <v>1</v>
      </c>
      <c r="K99" s="9">
        <f t="shared" si="53"/>
        <v>0</v>
      </c>
      <c r="L99" s="9">
        <f t="shared" si="54"/>
        <v>-0.91979999999999507</v>
      </c>
      <c r="M99" s="9">
        <f>data!J99</f>
        <v>1.8049999999999999</v>
      </c>
      <c r="N99" s="9">
        <f>data!I99</f>
        <v>3.05</v>
      </c>
      <c r="O99" s="9">
        <f>data!L99</f>
        <v>2</v>
      </c>
      <c r="P99" s="9">
        <f>data!K99</f>
        <v>-1.2150000000000001</v>
      </c>
      <c r="Q99" s="9">
        <f>data!R99</f>
        <v>-2.75</v>
      </c>
      <c r="R99" s="9">
        <f t="shared" si="55"/>
        <v>-0.25499999999999989</v>
      </c>
      <c r="S99" s="9">
        <f t="shared" si="56"/>
        <v>-0.17999999999999994</v>
      </c>
      <c r="T99" s="9">
        <f t="shared" si="57"/>
        <v>0.39500000000000024</v>
      </c>
      <c r="U99" s="9">
        <f t="shared" si="58"/>
        <v>0.29500000000000015</v>
      </c>
      <c r="V99" s="9">
        <f t="shared" si="59"/>
        <v>-0.30499999999999994</v>
      </c>
      <c r="W99" s="9">
        <f t="shared" si="60"/>
        <v>-0.30499999999999994</v>
      </c>
      <c r="X99" s="9">
        <f t="shared" si="61"/>
        <v>-0.30499999999999994</v>
      </c>
      <c r="Y99" s="9">
        <f t="shared" si="62"/>
        <v>-0.84</v>
      </c>
      <c r="Z99" s="9">
        <f t="shared" si="63"/>
        <v>-1.4049999999999998</v>
      </c>
      <c r="AA99" s="9">
        <f t="shared" si="64"/>
        <v>-0.30999999999999961</v>
      </c>
      <c r="AB99" s="9">
        <f t="shared" si="65"/>
        <v>0.20000000000000018</v>
      </c>
      <c r="AC99" s="9">
        <f t="shared" si="66"/>
        <v>0.55000000000000027</v>
      </c>
      <c r="AD99" s="9">
        <f t="shared" si="67"/>
        <v>0.95000000000000018</v>
      </c>
      <c r="AE99" s="9">
        <f t="shared" si="68"/>
        <v>0.25</v>
      </c>
      <c r="AF99" s="9">
        <f t="shared" si="69"/>
        <v>0.45000000000000018</v>
      </c>
      <c r="AG99" s="9">
        <f t="shared" si="70"/>
        <v>0.45000000000000018</v>
      </c>
      <c r="AH99" s="9">
        <f t="shared" si="71"/>
        <v>-0.43499999999999961</v>
      </c>
      <c r="AI99" s="9">
        <f t="shared" si="72"/>
        <v>-0.52499999999999991</v>
      </c>
      <c r="AJ99" s="9">
        <f t="shared" si="73"/>
        <v>8.9999999999999858E-2</v>
      </c>
      <c r="AK99" s="9">
        <f t="shared" si="74"/>
        <v>0.75</v>
      </c>
      <c r="AL99" s="9">
        <f t="shared" si="75"/>
        <v>1.5</v>
      </c>
      <c r="AM99" s="9">
        <f t="shared" si="76"/>
        <v>1.7000000000000002</v>
      </c>
      <c r="AN99" s="9">
        <f t="shared" si="77"/>
        <v>1</v>
      </c>
      <c r="AO99" s="9">
        <f t="shared" si="78"/>
        <v>1.25</v>
      </c>
      <c r="AP99" s="9">
        <f t="shared" si="79"/>
        <v>1.1000000000000001</v>
      </c>
      <c r="AQ99" s="9">
        <f t="shared" si="80"/>
        <v>0.32500000000000018</v>
      </c>
      <c r="AR99" s="9">
        <f t="shared" si="81"/>
        <v>-1.0350000000000001</v>
      </c>
      <c r="AS99" s="9">
        <f t="shared" si="82"/>
        <v>0.91500000000000004</v>
      </c>
      <c r="AT99" s="9">
        <f t="shared" si="83"/>
        <v>1.4650000000000001</v>
      </c>
      <c r="AU99" s="9">
        <f t="shared" si="84"/>
        <v>2.6150000000000002</v>
      </c>
      <c r="AV99" s="9">
        <f t="shared" si="85"/>
        <v>2.3150000000000004</v>
      </c>
      <c r="AW99" s="9">
        <f t="shared" si="86"/>
        <v>1.7150000000000001</v>
      </c>
      <c r="AX99" s="9">
        <f t="shared" si="87"/>
        <v>1.7150000000000001</v>
      </c>
      <c r="AY99" s="9">
        <f t="shared" si="88"/>
        <v>1.915</v>
      </c>
      <c r="AZ99" s="9">
        <f t="shared" si="89"/>
        <v>1.165</v>
      </c>
      <c r="BA99" s="9">
        <f t="shared" si="90"/>
        <v>0.31500000000000006</v>
      </c>
      <c r="BB99" s="9">
        <f t="shared" si="91"/>
        <v>0.90999999999999992</v>
      </c>
      <c r="BC99" s="9">
        <f t="shared" si="92"/>
        <v>1.2</v>
      </c>
      <c r="BD99" s="9">
        <f t="shared" si="93"/>
        <v>2.35</v>
      </c>
      <c r="BE99" s="9">
        <f t="shared" si="94"/>
        <v>2.15</v>
      </c>
      <c r="BF99" s="9">
        <f t="shared" si="95"/>
        <v>1.95</v>
      </c>
      <c r="BG99" s="9">
        <f t="shared" si="96"/>
        <v>2</v>
      </c>
      <c r="BH99" s="9">
        <f t="shared" si="97"/>
        <v>1.95</v>
      </c>
      <c r="BI99" s="9">
        <f t="shared" si="98"/>
        <v>1.35</v>
      </c>
      <c r="BJ99" s="9">
        <f t="shared" si="99"/>
        <v>0.35000000000000009</v>
      </c>
    </row>
    <row r="100" spans="1:62" x14ac:dyDescent="0.2">
      <c r="A100" s="9">
        <f>data!M101-data!M100</f>
        <v>-0.60720000000000596</v>
      </c>
      <c r="B100" s="9">
        <f>data!C101-data!C100</f>
        <v>0.92999999999999972</v>
      </c>
      <c r="C100" s="9">
        <f>data!D101-data!D100</f>
        <v>0.15000000000000036</v>
      </c>
      <c r="D100" s="10">
        <f>data!B101-data!B100</f>
        <v>0</v>
      </c>
      <c r="E100" s="9">
        <f>data!E100-data!G100</f>
        <v>2.8940000000000001</v>
      </c>
      <c r="F100" s="9">
        <f>(data!E100-data!F100)-(data!G100-data!H100)</f>
        <v>-1.0327999999999997</v>
      </c>
      <c r="G100" s="9">
        <f t="shared" si="50"/>
        <v>-6.8300000000000693E-2</v>
      </c>
      <c r="H100" s="9">
        <f t="shared" si="51"/>
        <v>0.1516999999999995</v>
      </c>
      <c r="I100" s="9">
        <f>IF(data!M101&gt; 111.81,1,0)</f>
        <v>0</v>
      </c>
      <c r="J100" s="9">
        <f t="shared" si="52"/>
        <v>1</v>
      </c>
      <c r="K100" s="9">
        <f t="shared" si="53"/>
        <v>0</v>
      </c>
      <c r="L100" s="9">
        <f t="shared" si="54"/>
        <v>-0.60720000000000596</v>
      </c>
      <c r="M100" s="9">
        <f>data!J100</f>
        <v>1.55</v>
      </c>
      <c r="N100" s="9">
        <f>data!I100</f>
        <v>2.74</v>
      </c>
      <c r="O100" s="9">
        <f>data!L100</f>
        <v>2.09</v>
      </c>
      <c r="P100" s="9">
        <f>data!K100</f>
        <v>-0.3</v>
      </c>
      <c r="Q100" s="9">
        <f>data!R100</f>
        <v>-1.84</v>
      </c>
      <c r="R100" s="9">
        <f t="shared" si="55"/>
        <v>7.4999999999999956E-2</v>
      </c>
      <c r="S100" s="9">
        <f t="shared" si="56"/>
        <v>0.65000000000000013</v>
      </c>
      <c r="T100" s="9">
        <f t="shared" si="57"/>
        <v>0.55000000000000004</v>
      </c>
      <c r="U100" s="9">
        <f t="shared" si="58"/>
        <v>-5.0000000000000044E-2</v>
      </c>
      <c r="V100" s="9">
        <f t="shared" si="59"/>
        <v>-5.0000000000000044E-2</v>
      </c>
      <c r="W100" s="9">
        <f t="shared" si="60"/>
        <v>-5.0000000000000044E-2</v>
      </c>
      <c r="X100" s="9">
        <f t="shared" si="61"/>
        <v>-0.58500000000000008</v>
      </c>
      <c r="Y100" s="9">
        <f t="shared" si="62"/>
        <v>-1.1499999999999999</v>
      </c>
      <c r="Z100" s="9">
        <f t="shared" si="63"/>
        <v>-0.92500000000000004</v>
      </c>
      <c r="AA100" s="9">
        <f t="shared" si="64"/>
        <v>0.50999999999999979</v>
      </c>
      <c r="AB100" s="9">
        <f t="shared" si="65"/>
        <v>0.85999999999999988</v>
      </c>
      <c r="AC100" s="9">
        <f t="shared" si="66"/>
        <v>1.2599999999999998</v>
      </c>
      <c r="AD100" s="9">
        <f t="shared" si="67"/>
        <v>0.55999999999999961</v>
      </c>
      <c r="AE100" s="9">
        <f t="shared" si="68"/>
        <v>0.75999999999999979</v>
      </c>
      <c r="AF100" s="9">
        <f t="shared" si="69"/>
        <v>0.75999999999999979</v>
      </c>
      <c r="AG100" s="9">
        <f t="shared" si="70"/>
        <v>-0.125</v>
      </c>
      <c r="AH100" s="9">
        <f t="shared" si="71"/>
        <v>-0.2150000000000003</v>
      </c>
      <c r="AI100" s="9">
        <f t="shared" si="72"/>
        <v>-0.11500000000000021</v>
      </c>
      <c r="AJ100" s="9">
        <f t="shared" si="73"/>
        <v>0.66000000000000014</v>
      </c>
      <c r="AK100" s="9">
        <f t="shared" si="74"/>
        <v>1.4100000000000001</v>
      </c>
      <c r="AL100" s="9">
        <f t="shared" si="75"/>
        <v>1.6100000000000003</v>
      </c>
      <c r="AM100" s="9">
        <f t="shared" si="76"/>
        <v>0.91000000000000014</v>
      </c>
      <c r="AN100" s="9">
        <f t="shared" si="77"/>
        <v>1.1600000000000001</v>
      </c>
      <c r="AO100" s="9">
        <f t="shared" si="78"/>
        <v>1.0100000000000002</v>
      </c>
      <c r="AP100" s="9">
        <f t="shared" si="79"/>
        <v>0.23500000000000032</v>
      </c>
      <c r="AQ100" s="9">
        <f t="shared" si="80"/>
        <v>-1.125</v>
      </c>
      <c r="AR100" s="9">
        <f t="shared" si="81"/>
        <v>-0.27499999999999991</v>
      </c>
      <c r="AS100" s="9">
        <f t="shared" si="82"/>
        <v>0.55000000000000004</v>
      </c>
      <c r="AT100" s="9">
        <f t="shared" si="83"/>
        <v>1.7</v>
      </c>
      <c r="AU100" s="9">
        <f t="shared" si="84"/>
        <v>1.4000000000000001</v>
      </c>
      <c r="AV100" s="9">
        <f t="shared" si="85"/>
        <v>0.8</v>
      </c>
      <c r="AW100" s="9">
        <f t="shared" si="86"/>
        <v>0.8</v>
      </c>
      <c r="AX100" s="9">
        <f t="shared" si="87"/>
        <v>1</v>
      </c>
      <c r="AY100" s="9">
        <f t="shared" si="88"/>
        <v>0.25</v>
      </c>
      <c r="AZ100" s="9">
        <f t="shared" si="89"/>
        <v>-0.60000000000000009</v>
      </c>
      <c r="BA100" s="9">
        <f t="shared" si="90"/>
        <v>-1</v>
      </c>
      <c r="BB100" s="9">
        <f t="shared" si="91"/>
        <v>0.29000000000000004</v>
      </c>
      <c r="BC100" s="9">
        <f t="shared" si="92"/>
        <v>1.44</v>
      </c>
      <c r="BD100" s="9">
        <f t="shared" si="93"/>
        <v>1.2400000000000002</v>
      </c>
      <c r="BE100" s="9">
        <f t="shared" si="94"/>
        <v>1.04</v>
      </c>
      <c r="BF100" s="9">
        <f t="shared" si="95"/>
        <v>1.0900000000000001</v>
      </c>
      <c r="BG100" s="9">
        <f t="shared" si="96"/>
        <v>1.04</v>
      </c>
      <c r="BH100" s="9">
        <f t="shared" si="97"/>
        <v>0.44000000000000017</v>
      </c>
      <c r="BI100" s="9">
        <f t="shared" si="98"/>
        <v>-0.55999999999999983</v>
      </c>
      <c r="BJ100" s="9">
        <f t="shared" si="99"/>
        <v>0.21500000000000008</v>
      </c>
    </row>
    <row r="101" spans="1:62" x14ac:dyDescent="0.2">
      <c r="A101" s="9">
        <f>data!M102-data!M101</f>
        <v>0.15380000000000393</v>
      </c>
      <c r="B101" s="9">
        <f>data!C102-data!C101</f>
        <v>0.41000000000000014</v>
      </c>
      <c r="C101" s="9">
        <f>data!D102-data!D101</f>
        <v>4.9999999999999822E-2</v>
      </c>
      <c r="D101" s="10">
        <f>data!B102-data!B101</f>
        <v>4.9999999999999989E-2</v>
      </c>
      <c r="E101" s="9">
        <f>data!E101-data!G101</f>
        <v>2.8256999999999994</v>
      </c>
      <c r="F101" s="9">
        <f>(data!E101-data!F101)-(data!G101-data!H101)</f>
        <v>-0.88110000000000022</v>
      </c>
      <c r="G101" s="9">
        <f t="shared" si="50"/>
        <v>1.8000000000000682E-2</v>
      </c>
      <c r="H101" s="9">
        <f t="shared" si="51"/>
        <v>-8.6399999999999366E-2</v>
      </c>
      <c r="I101" s="9">
        <f>IF(data!M102&gt; 111.81,1,0)</f>
        <v>0</v>
      </c>
      <c r="J101" s="9">
        <f t="shared" si="52"/>
        <v>1</v>
      </c>
      <c r="K101" s="9">
        <f t="shared" si="53"/>
        <v>0</v>
      </c>
      <c r="L101" s="9">
        <f t="shared" si="54"/>
        <v>0.15380000000000393</v>
      </c>
      <c r="M101" s="9">
        <f>data!J101</f>
        <v>1.625</v>
      </c>
      <c r="N101" s="9">
        <f>data!I101</f>
        <v>3.25</v>
      </c>
      <c r="O101" s="9">
        <f>data!L101</f>
        <v>2.75</v>
      </c>
      <c r="P101" s="9">
        <f>data!K101</f>
        <v>0.25</v>
      </c>
      <c r="Q101" s="9">
        <f>data!R101</f>
        <v>-1.55</v>
      </c>
      <c r="R101" s="9">
        <f t="shared" si="55"/>
        <v>0.57500000000000018</v>
      </c>
      <c r="S101" s="9">
        <f t="shared" si="56"/>
        <v>0.47500000000000009</v>
      </c>
      <c r="T101" s="9">
        <f t="shared" si="57"/>
        <v>-0.125</v>
      </c>
      <c r="U101" s="9">
        <f t="shared" si="58"/>
        <v>-0.125</v>
      </c>
      <c r="V101" s="9">
        <f t="shared" si="59"/>
        <v>-0.125</v>
      </c>
      <c r="W101" s="9">
        <f t="shared" si="60"/>
        <v>-0.66</v>
      </c>
      <c r="X101" s="9">
        <f t="shared" si="61"/>
        <v>-1.2250000000000001</v>
      </c>
      <c r="Y101" s="9">
        <f t="shared" si="62"/>
        <v>-1</v>
      </c>
      <c r="Z101" s="9">
        <f t="shared" si="63"/>
        <v>-1.425</v>
      </c>
      <c r="AA101" s="9">
        <f t="shared" si="64"/>
        <v>0.35000000000000009</v>
      </c>
      <c r="AB101" s="9">
        <f t="shared" si="65"/>
        <v>0.75</v>
      </c>
      <c r="AC101" s="9">
        <f t="shared" si="66"/>
        <v>4.9999999999999822E-2</v>
      </c>
      <c r="AD101" s="9">
        <f t="shared" si="67"/>
        <v>0.25</v>
      </c>
      <c r="AE101" s="9">
        <f t="shared" si="68"/>
        <v>0.25</v>
      </c>
      <c r="AF101" s="9">
        <f t="shared" si="69"/>
        <v>-0.63499999999999979</v>
      </c>
      <c r="AG101" s="9">
        <f t="shared" si="70"/>
        <v>-0.72500000000000009</v>
      </c>
      <c r="AH101" s="9">
        <f t="shared" si="71"/>
        <v>-0.625</v>
      </c>
      <c r="AI101" s="9">
        <f t="shared" si="72"/>
        <v>-1.25</v>
      </c>
      <c r="AJ101" s="9">
        <f t="shared" si="73"/>
        <v>0.75</v>
      </c>
      <c r="AK101" s="9">
        <f t="shared" si="74"/>
        <v>0.95000000000000018</v>
      </c>
      <c r="AL101" s="9">
        <f t="shared" si="75"/>
        <v>0.25</v>
      </c>
      <c r="AM101" s="9">
        <f t="shared" si="76"/>
        <v>0.5</v>
      </c>
      <c r="AN101" s="9">
        <f t="shared" si="77"/>
        <v>0.35000000000000009</v>
      </c>
      <c r="AO101" s="9">
        <f t="shared" si="78"/>
        <v>-0.42499999999999982</v>
      </c>
      <c r="AP101" s="9">
        <f t="shared" si="79"/>
        <v>-1.7850000000000001</v>
      </c>
      <c r="AQ101" s="9">
        <f t="shared" si="80"/>
        <v>-0.93500000000000005</v>
      </c>
      <c r="AR101" s="9">
        <f t="shared" si="81"/>
        <v>-1.45</v>
      </c>
      <c r="AS101" s="9">
        <f t="shared" si="82"/>
        <v>1.1499999999999999</v>
      </c>
      <c r="AT101" s="9">
        <f t="shared" si="83"/>
        <v>0.85000000000000009</v>
      </c>
      <c r="AU101" s="9">
        <f t="shared" si="84"/>
        <v>0.25</v>
      </c>
      <c r="AV101" s="9">
        <f t="shared" si="85"/>
        <v>0.25</v>
      </c>
      <c r="AW101" s="9">
        <f t="shared" si="86"/>
        <v>0.44999999999999996</v>
      </c>
      <c r="AX101" s="9">
        <f t="shared" si="87"/>
        <v>-0.3</v>
      </c>
      <c r="AY101" s="9">
        <f t="shared" si="88"/>
        <v>-1.1499999999999999</v>
      </c>
      <c r="AZ101" s="9">
        <f t="shared" si="89"/>
        <v>-1.55</v>
      </c>
      <c r="BA101" s="9">
        <f t="shared" si="90"/>
        <v>-1.05</v>
      </c>
      <c r="BB101" s="9">
        <f t="shared" si="91"/>
        <v>1.1499999999999999</v>
      </c>
      <c r="BC101" s="9">
        <f t="shared" si="92"/>
        <v>0.95000000000000007</v>
      </c>
      <c r="BD101" s="9">
        <f t="shared" si="93"/>
        <v>0.75</v>
      </c>
      <c r="BE101" s="9">
        <f t="shared" si="94"/>
        <v>0.8</v>
      </c>
      <c r="BF101" s="9">
        <f t="shared" si="95"/>
        <v>0.75</v>
      </c>
      <c r="BG101" s="9">
        <f t="shared" si="96"/>
        <v>0.15000000000000013</v>
      </c>
      <c r="BH101" s="9">
        <f t="shared" si="97"/>
        <v>-0.84999999999999987</v>
      </c>
      <c r="BI101" s="9">
        <f t="shared" si="98"/>
        <v>-7.4999999999999956E-2</v>
      </c>
      <c r="BJ101" s="9">
        <f t="shared" si="99"/>
        <v>-0.49999999999999978</v>
      </c>
    </row>
    <row r="102" spans="1:62" x14ac:dyDescent="0.2">
      <c r="A102" s="9">
        <f>data!M103-data!M102</f>
        <v>0.37339999999998952</v>
      </c>
      <c r="B102" s="9">
        <f>data!C103-data!C102</f>
        <v>-2.0199999999999996</v>
      </c>
      <c r="C102" s="9">
        <f>data!D103-data!D102</f>
        <v>-0.79999999999999982</v>
      </c>
      <c r="D102" s="10">
        <f>data!B103-data!B102</f>
        <v>0</v>
      </c>
      <c r="E102" s="9">
        <f>data!E102-data!G102</f>
        <v>2.8437000000000001</v>
      </c>
      <c r="F102" s="9">
        <f>(data!E102-data!F102)-(data!G102-data!H102)</f>
        <v>-0.96749999999999958</v>
      </c>
      <c r="G102" s="9">
        <f t="shared" si="50"/>
        <v>7.9100000000000392E-2</v>
      </c>
      <c r="H102" s="9">
        <f t="shared" si="51"/>
        <v>-9.6999999999995978E-3</v>
      </c>
      <c r="I102" s="9">
        <f>IF(data!M103&gt; 111.81,1,0)</f>
        <v>0</v>
      </c>
      <c r="J102" s="9">
        <f t="shared" si="52"/>
        <v>1</v>
      </c>
      <c r="K102" s="9">
        <f t="shared" si="53"/>
        <v>0</v>
      </c>
      <c r="L102" s="9">
        <f t="shared" si="54"/>
        <v>0.37339999999998952</v>
      </c>
      <c r="M102" s="9">
        <f>data!J102</f>
        <v>2.2000000000000002</v>
      </c>
      <c r="N102" s="9">
        <f>data!I102</f>
        <v>3.6</v>
      </c>
      <c r="O102" s="9">
        <f>data!L102</f>
        <v>3.5</v>
      </c>
      <c r="P102" s="9">
        <f>data!K102</f>
        <v>1.4</v>
      </c>
      <c r="Q102" s="9">
        <f>data!R102</f>
        <v>-0.4</v>
      </c>
      <c r="R102" s="9">
        <f t="shared" si="55"/>
        <v>-0.10000000000000009</v>
      </c>
      <c r="S102" s="9">
        <f t="shared" si="56"/>
        <v>-0.70000000000000018</v>
      </c>
      <c r="T102" s="9">
        <f t="shared" si="57"/>
        <v>-0.70000000000000018</v>
      </c>
      <c r="U102" s="9">
        <f t="shared" si="58"/>
        <v>-0.70000000000000018</v>
      </c>
      <c r="V102" s="9">
        <f t="shared" si="59"/>
        <v>-1.2350000000000003</v>
      </c>
      <c r="W102" s="9">
        <f t="shared" si="60"/>
        <v>-1.8000000000000003</v>
      </c>
      <c r="X102" s="9">
        <f t="shared" si="61"/>
        <v>-1.5750000000000002</v>
      </c>
      <c r="Y102" s="9">
        <f t="shared" si="62"/>
        <v>-2</v>
      </c>
      <c r="Z102" s="9">
        <f t="shared" si="63"/>
        <v>-1.7000000000000002</v>
      </c>
      <c r="AA102" s="9">
        <f t="shared" si="64"/>
        <v>0.39999999999999991</v>
      </c>
      <c r="AB102" s="9">
        <f t="shared" si="65"/>
        <v>-0.30000000000000027</v>
      </c>
      <c r="AC102" s="9">
        <f t="shared" si="66"/>
        <v>-0.10000000000000009</v>
      </c>
      <c r="AD102" s="9">
        <f t="shared" si="67"/>
        <v>-0.10000000000000009</v>
      </c>
      <c r="AE102" s="9">
        <f t="shared" si="68"/>
        <v>-0.98499999999999988</v>
      </c>
      <c r="AF102" s="9">
        <f t="shared" si="69"/>
        <v>-1.0750000000000002</v>
      </c>
      <c r="AG102" s="9">
        <f t="shared" si="70"/>
        <v>-0.97500000000000009</v>
      </c>
      <c r="AH102" s="9">
        <f t="shared" si="71"/>
        <v>-1.6</v>
      </c>
      <c r="AI102" s="9">
        <f t="shared" si="72"/>
        <v>-0.89999999999999991</v>
      </c>
      <c r="AJ102" s="9">
        <f t="shared" si="73"/>
        <v>0.20000000000000018</v>
      </c>
      <c r="AK102" s="9">
        <f t="shared" si="74"/>
        <v>-0.5</v>
      </c>
      <c r="AL102" s="9">
        <f t="shared" si="75"/>
        <v>-0.25</v>
      </c>
      <c r="AM102" s="9">
        <f t="shared" si="76"/>
        <v>-0.39999999999999991</v>
      </c>
      <c r="AN102" s="9">
        <f t="shared" si="77"/>
        <v>-1.1749999999999998</v>
      </c>
      <c r="AO102" s="9">
        <f t="shared" si="78"/>
        <v>-2.5350000000000001</v>
      </c>
      <c r="AP102" s="9">
        <f t="shared" si="79"/>
        <v>-1.6850000000000001</v>
      </c>
      <c r="AQ102" s="9">
        <f t="shared" si="80"/>
        <v>-2.2000000000000002</v>
      </c>
      <c r="AR102" s="9">
        <f t="shared" si="81"/>
        <v>-1.4</v>
      </c>
      <c r="AS102" s="9">
        <f t="shared" si="82"/>
        <v>-0.29999999999999982</v>
      </c>
      <c r="AT102" s="9">
        <f t="shared" si="83"/>
        <v>-0.89999999999999991</v>
      </c>
      <c r="AU102" s="9">
        <f t="shared" si="84"/>
        <v>-0.89999999999999991</v>
      </c>
      <c r="AV102" s="9">
        <f t="shared" si="85"/>
        <v>-0.7</v>
      </c>
      <c r="AW102" s="9">
        <f t="shared" si="86"/>
        <v>-1.45</v>
      </c>
      <c r="AX102" s="9">
        <f t="shared" si="87"/>
        <v>-2.2999999999999998</v>
      </c>
      <c r="AY102" s="9">
        <f t="shared" si="88"/>
        <v>-2.7</v>
      </c>
      <c r="AZ102" s="9">
        <f t="shared" si="89"/>
        <v>-2.2000000000000002</v>
      </c>
      <c r="BA102" s="9">
        <f t="shared" si="90"/>
        <v>-1.5</v>
      </c>
      <c r="BB102" s="9">
        <f t="shared" si="91"/>
        <v>-0.19999999999999996</v>
      </c>
      <c r="BC102" s="9">
        <f t="shared" si="92"/>
        <v>-0.4</v>
      </c>
      <c r="BD102" s="9">
        <f t="shared" si="93"/>
        <v>-0.35</v>
      </c>
      <c r="BE102" s="9">
        <f t="shared" si="94"/>
        <v>-0.4</v>
      </c>
      <c r="BF102" s="9">
        <f t="shared" si="95"/>
        <v>-0.99999999999999989</v>
      </c>
      <c r="BG102" s="9">
        <f t="shared" si="96"/>
        <v>-2</v>
      </c>
      <c r="BH102" s="9">
        <f t="shared" si="97"/>
        <v>-1.2250000000000001</v>
      </c>
      <c r="BI102" s="9">
        <f t="shared" si="98"/>
        <v>-1.65</v>
      </c>
      <c r="BJ102" s="9">
        <f t="shared" si="99"/>
        <v>-0.79999999999999993</v>
      </c>
    </row>
    <row r="103" spans="1:62" x14ac:dyDescent="0.2">
      <c r="A103" s="9">
        <f>data!M104-data!M103</f>
        <v>0.12560000000000571</v>
      </c>
      <c r="B103" s="9">
        <f>data!C104-data!C103</f>
        <v>1.3099999999999987</v>
      </c>
      <c r="C103" s="9">
        <f>data!D104-data!D103</f>
        <v>-0.30000000000000071</v>
      </c>
      <c r="D103" s="10">
        <f>data!B104-data!B103</f>
        <v>-4.9999999999999989E-2</v>
      </c>
      <c r="E103" s="9">
        <f>data!E103-data!G103</f>
        <v>2.9228000000000005</v>
      </c>
      <c r="F103" s="9">
        <f>(data!E103-data!F103)-(data!G103-data!H103)</f>
        <v>-0.97719999999999918</v>
      </c>
      <c r="G103" s="9">
        <f t="shared" si="50"/>
        <v>9.6699999999999342E-2</v>
      </c>
      <c r="H103" s="9">
        <f t="shared" si="51"/>
        <v>5.9199999999999031E-2</v>
      </c>
      <c r="I103" s="9">
        <f>IF(data!M104&gt; 111.81,1,0)</f>
        <v>0</v>
      </c>
      <c r="J103" s="9">
        <f t="shared" si="52"/>
        <v>1</v>
      </c>
      <c r="K103" s="9">
        <f t="shared" si="53"/>
        <v>0</v>
      </c>
      <c r="L103" s="9">
        <f t="shared" si="54"/>
        <v>0.12560000000000571</v>
      </c>
      <c r="M103" s="9">
        <f>data!J103</f>
        <v>2.1</v>
      </c>
      <c r="N103" s="9">
        <f>data!I103</f>
        <v>4</v>
      </c>
      <c r="O103" s="9">
        <f>data!L103</f>
        <v>3.7</v>
      </c>
      <c r="P103" s="9">
        <f>data!K103</f>
        <v>1.1000000000000001</v>
      </c>
      <c r="Q103" s="9">
        <f>data!R103</f>
        <v>-0.6</v>
      </c>
      <c r="R103" s="9">
        <f t="shared" si="55"/>
        <v>-0.60000000000000009</v>
      </c>
      <c r="S103" s="9">
        <f t="shared" si="56"/>
        <v>-0.60000000000000009</v>
      </c>
      <c r="T103" s="9">
        <f t="shared" si="57"/>
        <v>-0.60000000000000009</v>
      </c>
      <c r="U103" s="9">
        <f t="shared" si="58"/>
        <v>-1.1350000000000002</v>
      </c>
      <c r="V103" s="9">
        <f t="shared" si="59"/>
        <v>-1.7000000000000002</v>
      </c>
      <c r="W103" s="9">
        <f t="shared" si="60"/>
        <v>-1.4750000000000001</v>
      </c>
      <c r="X103" s="9">
        <f t="shared" si="61"/>
        <v>-1.9000000000000001</v>
      </c>
      <c r="Y103" s="9">
        <f t="shared" si="62"/>
        <v>-1.6</v>
      </c>
      <c r="Z103" s="9">
        <f t="shared" si="63"/>
        <v>-0.85000000000000009</v>
      </c>
      <c r="AA103" s="9">
        <f t="shared" si="64"/>
        <v>-0.70000000000000018</v>
      </c>
      <c r="AB103" s="9">
        <f t="shared" si="65"/>
        <v>-0.5</v>
      </c>
      <c r="AC103" s="9">
        <f t="shared" si="66"/>
        <v>-0.5</v>
      </c>
      <c r="AD103" s="9">
        <f t="shared" si="67"/>
        <v>-1.3849999999999998</v>
      </c>
      <c r="AE103" s="9">
        <f t="shared" si="68"/>
        <v>-1.4750000000000001</v>
      </c>
      <c r="AF103" s="9">
        <f t="shared" si="69"/>
        <v>-1.375</v>
      </c>
      <c r="AG103" s="9">
        <f t="shared" si="70"/>
        <v>-2</v>
      </c>
      <c r="AH103" s="9">
        <f t="shared" si="71"/>
        <v>-1.2999999999999998</v>
      </c>
      <c r="AI103" s="9">
        <f t="shared" si="72"/>
        <v>-1.2999999999999998</v>
      </c>
      <c r="AJ103" s="9">
        <f t="shared" si="73"/>
        <v>-0.70000000000000018</v>
      </c>
      <c r="AK103" s="9">
        <f t="shared" si="74"/>
        <v>-0.45000000000000018</v>
      </c>
      <c r="AL103" s="9">
        <f t="shared" si="75"/>
        <v>-0.60000000000000009</v>
      </c>
      <c r="AM103" s="9">
        <f t="shared" si="76"/>
        <v>-1.375</v>
      </c>
      <c r="AN103" s="9">
        <f t="shared" si="77"/>
        <v>-2.7350000000000003</v>
      </c>
      <c r="AO103" s="9">
        <f t="shared" si="78"/>
        <v>-1.8850000000000002</v>
      </c>
      <c r="AP103" s="9">
        <f t="shared" si="79"/>
        <v>-2.4000000000000004</v>
      </c>
      <c r="AQ103" s="9">
        <f t="shared" si="80"/>
        <v>-1.6</v>
      </c>
      <c r="AR103" s="9">
        <f t="shared" si="81"/>
        <v>-1.7000000000000002</v>
      </c>
      <c r="AS103" s="9">
        <f t="shared" si="82"/>
        <v>-0.60000000000000009</v>
      </c>
      <c r="AT103" s="9">
        <f t="shared" si="83"/>
        <v>-0.60000000000000009</v>
      </c>
      <c r="AU103" s="9">
        <f t="shared" si="84"/>
        <v>-0.40000000000000013</v>
      </c>
      <c r="AV103" s="9">
        <f t="shared" si="85"/>
        <v>-1.1500000000000001</v>
      </c>
      <c r="AW103" s="9">
        <f t="shared" si="86"/>
        <v>-2</v>
      </c>
      <c r="AX103" s="9">
        <f t="shared" si="87"/>
        <v>-2.4000000000000004</v>
      </c>
      <c r="AY103" s="9">
        <f t="shared" si="88"/>
        <v>-1.9000000000000001</v>
      </c>
      <c r="AZ103" s="9">
        <f t="shared" si="89"/>
        <v>-1.2000000000000002</v>
      </c>
      <c r="BA103" s="9">
        <f t="shared" si="90"/>
        <v>-1.1500000000000001</v>
      </c>
      <c r="BB103" s="9">
        <f t="shared" si="91"/>
        <v>-0.20000000000000007</v>
      </c>
      <c r="BC103" s="9">
        <f t="shared" si="92"/>
        <v>-0.15000000000000002</v>
      </c>
      <c r="BD103" s="9">
        <f t="shared" si="93"/>
        <v>-0.20000000000000007</v>
      </c>
      <c r="BE103" s="9">
        <f t="shared" si="94"/>
        <v>-0.79999999999999993</v>
      </c>
      <c r="BF103" s="9">
        <f t="shared" si="95"/>
        <v>-1.7999999999999998</v>
      </c>
      <c r="BG103" s="9">
        <f t="shared" si="96"/>
        <v>-1.0249999999999999</v>
      </c>
      <c r="BH103" s="9">
        <f t="shared" si="97"/>
        <v>-1.4499999999999997</v>
      </c>
      <c r="BI103" s="9">
        <f t="shared" si="98"/>
        <v>-0.6</v>
      </c>
      <c r="BJ103" s="9">
        <f t="shared" si="99"/>
        <v>-1.0299999999999998</v>
      </c>
    </row>
    <row r="104" spans="1:62" x14ac:dyDescent="0.2">
      <c r="A104" s="9">
        <f>data!M105-data!M104</f>
        <v>-8.0100000000001614E-2</v>
      </c>
      <c r="B104" s="9">
        <f>data!C105-data!C104</f>
        <v>0.20000000000000107</v>
      </c>
      <c r="C104" s="9">
        <f>data!D105-data!D104</f>
        <v>2.5000000000000355E-2</v>
      </c>
      <c r="D104" s="10">
        <f>data!B105-data!B104</f>
        <v>0</v>
      </c>
      <c r="E104" s="9">
        <f>data!E104-data!G104</f>
        <v>3.0194999999999999</v>
      </c>
      <c r="F104" s="9">
        <f>(data!E104-data!F104)-(data!G104-data!H104)</f>
        <v>-0.91800000000000015</v>
      </c>
      <c r="G104" s="9">
        <f t="shared" si="50"/>
        <v>-2.2999999999995246E-3</v>
      </c>
      <c r="H104" s="9">
        <f t="shared" si="51"/>
        <v>-6.7799999999999305E-2</v>
      </c>
      <c r="I104" s="9">
        <f>IF(data!M105&gt; 111.81,1,0)</f>
        <v>0</v>
      </c>
      <c r="J104" s="9">
        <f t="shared" si="52"/>
        <v>1</v>
      </c>
      <c r="K104" s="9">
        <f t="shared" si="53"/>
        <v>0</v>
      </c>
      <c r="L104" s="9">
        <f t="shared" si="54"/>
        <v>-8.0100000000001614E-2</v>
      </c>
      <c r="M104" s="9">
        <f>data!J104</f>
        <v>1.5</v>
      </c>
      <c r="N104" s="9">
        <f>data!I104</f>
        <v>3.3</v>
      </c>
      <c r="O104" s="9">
        <f>data!L104</f>
        <v>3</v>
      </c>
      <c r="P104" s="9">
        <f>data!K104</f>
        <v>0.5</v>
      </c>
      <c r="Q104" s="9">
        <f>data!R104</f>
        <v>-0.8</v>
      </c>
      <c r="R104" s="9">
        <f t="shared" si="55"/>
        <v>0</v>
      </c>
      <c r="S104" s="9">
        <f t="shared" si="56"/>
        <v>0</v>
      </c>
      <c r="T104" s="9">
        <f t="shared" si="57"/>
        <v>-0.53500000000000003</v>
      </c>
      <c r="U104" s="9">
        <f t="shared" si="58"/>
        <v>-1.1000000000000001</v>
      </c>
      <c r="V104" s="9">
        <f t="shared" si="59"/>
        <v>-0.875</v>
      </c>
      <c r="W104" s="9">
        <f t="shared" si="60"/>
        <v>-1.3</v>
      </c>
      <c r="X104" s="9">
        <f t="shared" si="61"/>
        <v>-1</v>
      </c>
      <c r="Y104" s="9">
        <f t="shared" si="62"/>
        <v>-0.25</v>
      </c>
      <c r="Z104" s="9">
        <f t="shared" si="63"/>
        <v>-0.7</v>
      </c>
      <c r="AA104" s="9">
        <f t="shared" si="64"/>
        <v>0.20000000000000018</v>
      </c>
      <c r="AB104" s="9">
        <f t="shared" si="65"/>
        <v>0.20000000000000018</v>
      </c>
      <c r="AC104" s="9">
        <f t="shared" si="66"/>
        <v>-0.68499999999999961</v>
      </c>
      <c r="AD104" s="9">
        <f t="shared" si="67"/>
        <v>-0.77499999999999991</v>
      </c>
      <c r="AE104" s="9">
        <f t="shared" si="68"/>
        <v>-0.67499999999999982</v>
      </c>
      <c r="AF104" s="9">
        <f t="shared" si="69"/>
        <v>-1.2999999999999998</v>
      </c>
      <c r="AG104" s="9">
        <f t="shared" si="70"/>
        <v>-0.59999999999999964</v>
      </c>
      <c r="AH104" s="9">
        <f t="shared" si="71"/>
        <v>-0.59999999999999964</v>
      </c>
      <c r="AI104" s="9">
        <f t="shared" si="72"/>
        <v>-0.5</v>
      </c>
      <c r="AJ104" s="9">
        <f t="shared" si="73"/>
        <v>0.25</v>
      </c>
      <c r="AK104" s="9">
        <f t="shared" si="74"/>
        <v>0.10000000000000009</v>
      </c>
      <c r="AL104" s="9">
        <f t="shared" si="75"/>
        <v>-0.67499999999999982</v>
      </c>
      <c r="AM104" s="9">
        <f t="shared" si="76"/>
        <v>-2.0350000000000001</v>
      </c>
      <c r="AN104" s="9">
        <f t="shared" si="77"/>
        <v>-1.1850000000000001</v>
      </c>
      <c r="AO104" s="9">
        <f t="shared" si="78"/>
        <v>-1.7</v>
      </c>
      <c r="AP104" s="9">
        <f t="shared" si="79"/>
        <v>-0.89999999999999991</v>
      </c>
      <c r="AQ104" s="9">
        <f t="shared" si="80"/>
        <v>-1</v>
      </c>
      <c r="AR104" s="9">
        <f t="shared" si="81"/>
        <v>-1.1000000000000001</v>
      </c>
      <c r="AS104" s="9">
        <f t="shared" si="82"/>
        <v>0</v>
      </c>
      <c r="AT104" s="9">
        <f t="shared" si="83"/>
        <v>0.19999999999999996</v>
      </c>
      <c r="AU104" s="9">
        <f t="shared" si="84"/>
        <v>-0.55000000000000004</v>
      </c>
      <c r="AV104" s="9">
        <f t="shared" si="85"/>
        <v>-1.4</v>
      </c>
      <c r="AW104" s="9">
        <f t="shared" si="86"/>
        <v>-1.8</v>
      </c>
      <c r="AX104" s="9">
        <f t="shared" si="87"/>
        <v>-1.3</v>
      </c>
      <c r="AY104" s="9">
        <f t="shared" si="88"/>
        <v>-0.6</v>
      </c>
      <c r="AZ104" s="9">
        <f t="shared" si="89"/>
        <v>-0.55000000000000004</v>
      </c>
      <c r="BA104" s="9">
        <f t="shared" si="90"/>
        <v>-0.6</v>
      </c>
      <c r="BB104" s="9">
        <f t="shared" si="91"/>
        <v>5.0000000000000044E-2</v>
      </c>
      <c r="BC104" s="9">
        <f t="shared" si="92"/>
        <v>0</v>
      </c>
      <c r="BD104" s="9">
        <f t="shared" si="93"/>
        <v>-0.59999999999999987</v>
      </c>
      <c r="BE104" s="9">
        <f t="shared" si="94"/>
        <v>-1.5999999999999999</v>
      </c>
      <c r="BF104" s="9">
        <f t="shared" si="95"/>
        <v>-0.82499999999999996</v>
      </c>
      <c r="BG104" s="9">
        <f t="shared" si="96"/>
        <v>-1.2499999999999998</v>
      </c>
      <c r="BH104" s="9">
        <f t="shared" si="97"/>
        <v>-0.39999999999999991</v>
      </c>
      <c r="BI104" s="9">
        <f t="shared" si="98"/>
        <v>-0.82999999999999985</v>
      </c>
      <c r="BJ104" s="9">
        <f t="shared" si="99"/>
        <v>-0.39999999999999991</v>
      </c>
    </row>
    <row r="105" spans="1:62" x14ac:dyDescent="0.2">
      <c r="A105" s="9">
        <f>data!M106-data!M105</f>
        <v>0.74890000000000612</v>
      </c>
      <c r="B105" s="9">
        <f>data!C106-data!C105</f>
        <v>0.58000000000000007</v>
      </c>
      <c r="C105" s="9">
        <f>data!D106-data!D105</f>
        <v>0.375</v>
      </c>
      <c r="D105" s="10">
        <f>data!B106-data!B105</f>
        <v>0</v>
      </c>
      <c r="E105" s="9">
        <f>data!E105-data!G105</f>
        <v>3.0172000000000003</v>
      </c>
      <c r="F105" s="9">
        <f>(data!E105-data!F105)-(data!G105-data!H105)</f>
        <v>-0.98579999999999945</v>
      </c>
      <c r="G105" s="9">
        <f t="shared" si="50"/>
        <v>-9.200000000000097E-2</v>
      </c>
      <c r="H105" s="9">
        <f t="shared" si="51"/>
        <v>-3.4000000000006247E-3</v>
      </c>
      <c r="I105" s="9">
        <f>IF(data!M106&gt; 111.81,1,0)</f>
        <v>0</v>
      </c>
      <c r="J105" s="9">
        <f t="shared" si="52"/>
        <v>1</v>
      </c>
      <c r="K105" s="9">
        <f t="shared" si="53"/>
        <v>0</v>
      </c>
      <c r="L105" s="9">
        <f t="shared" si="54"/>
        <v>0.74890000000000612</v>
      </c>
      <c r="M105" s="9">
        <f>data!J105</f>
        <v>1.5</v>
      </c>
      <c r="N105" s="9">
        <f>data!I105</f>
        <v>3.5</v>
      </c>
      <c r="O105" s="9">
        <f>data!L105</f>
        <v>3.25</v>
      </c>
      <c r="P105" s="9">
        <f>data!K105</f>
        <v>0.5</v>
      </c>
      <c r="Q105" s="9">
        <f>data!R105</f>
        <v>-0.75</v>
      </c>
      <c r="R105" s="9">
        <f t="shared" si="55"/>
        <v>0</v>
      </c>
      <c r="S105" s="9">
        <f t="shared" si="56"/>
        <v>-0.53500000000000003</v>
      </c>
      <c r="T105" s="9">
        <f t="shared" si="57"/>
        <v>-1.1000000000000001</v>
      </c>
      <c r="U105" s="9">
        <f t="shared" si="58"/>
        <v>-0.875</v>
      </c>
      <c r="V105" s="9">
        <f t="shared" si="59"/>
        <v>-1.3</v>
      </c>
      <c r="W105" s="9">
        <f t="shared" si="60"/>
        <v>-1</v>
      </c>
      <c r="X105" s="9">
        <f t="shared" si="61"/>
        <v>-0.25</v>
      </c>
      <c r="Y105" s="9">
        <f t="shared" si="62"/>
        <v>-0.7</v>
      </c>
      <c r="Z105" s="9">
        <f t="shared" si="63"/>
        <v>0</v>
      </c>
      <c r="AA105" s="9">
        <f t="shared" si="64"/>
        <v>0</v>
      </c>
      <c r="AB105" s="9">
        <f t="shared" si="65"/>
        <v>-0.88499999999999979</v>
      </c>
      <c r="AC105" s="9">
        <f t="shared" si="66"/>
        <v>-0.97500000000000009</v>
      </c>
      <c r="AD105" s="9">
        <f t="shared" si="67"/>
        <v>-0.875</v>
      </c>
      <c r="AE105" s="9">
        <f t="shared" si="68"/>
        <v>-1.5</v>
      </c>
      <c r="AF105" s="9">
        <f t="shared" si="69"/>
        <v>-0.79999999999999982</v>
      </c>
      <c r="AG105" s="9">
        <f t="shared" si="70"/>
        <v>-0.79999999999999982</v>
      </c>
      <c r="AH105" s="9">
        <f t="shared" si="71"/>
        <v>-0.70000000000000018</v>
      </c>
      <c r="AI105" s="9">
        <f t="shared" si="72"/>
        <v>0.14999999999999991</v>
      </c>
      <c r="AJ105" s="9">
        <f t="shared" si="73"/>
        <v>-0.14999999999999991</v>
      </c>
      <c r="AK105" s="9">
        <f t="shared" si="74"/>
        <v>-0.92499999999999982</v>
      </c>
      <c r="AL105" s="9">
        <f t="shared" si="75"/>
        <v>-2.2850000000000001</v>
      </c>
      <c r="AM105" s="9">
        <f t="shared" si="76"/>
        <v>-1.4350000000000001</v>
      </c>
      <c r="AN105" s="9">
        <f t="shared" si="77"/>
        <v>-1.95</v>
      </c>
      <c r="AO105" s="9">
        <f t="shared" si="78"/>
        <v>-1.1499999999999999</v>
      </c>
      <c r="AP105" s="9">
        <f t="shared" si="79"/>
        <v>-1.25</v>
      </c>
      <c r="AQ105" s="9">
        <f t="shared" si="80"/>
        <v>-1.35</v>
      </c>
      <c r="AR105" s="9">
        <f t="shared" si="81"/>
        <v>-0.75</v>
      </c>
      <c r="AS105" s="9">
        <f t="shared" si="82"/>
        <v>0.19999999999999996</v>
      </c>
      <c r="AT105" s="9">
        <f t="shared" si="83"/>
        <v>-0.55000000000000004</v>
      </c>
      <c r="AU105" s="9">
        <f t="shared" si="84"/>
        <v>-1.4</v>
      </c>
      <c r="AV105" s="9">
        <f t="shared" si="85"/>
        <v>-1.8</v>
      </c>
      <c r="AW105" s="9">
        <f t="shared" si="86"/>
        <v>-1.3</v>
      </c>
      <c r="AX105" s="9">
        <f t="shared" si="87"/>
        <v>-0.6</v>
      </c>
      <c r="AY105" s="9">
        <f t="shared" si="88"/>
        <v>-0.55000000000000004</v>
      </c>
      <c r="AZ105" s="9">
        <f t="shared" si="89"/>
        <v>-0.6</v>
      </c>
      <c r="BA105" s="9">
        <f t="shared" si="90"/>
        <v>-0.4</v>
      </c>
      <c r="BB105" s="9">
        <f t="shared" si="91"/>
        <v>-5.0000000000000044E-2</v>
      </c>
      <c r="BC105" s="9">
        <f t="shared" si="92"/>
        <v>-0.64999999999999991</v>
      </c>
      <c r="BD105" s="9">
        <f t="shared" si="93"/>
        <v>-1.65</v>
      </c>
      <c r="BE105" s="9">
        <f t="shared" si="94"/>
        <v>-0.875</v>
      </c>
      <c r="BF105" s="9">
        <f t="shared" si="95"/>
        <v>-1.2999999999999998</v>
      </c>
      <c r="BG105" s="9">
        <f t="shared" si="96"/>
        <v>-0.44999999999999996</v>
      </c>
      <c r="BH105" s="9">
        <f t="shared" si="97"/>
        <v>-0.87999999999999989</v>
      </c>
      <c r="BI105" s="9">
        <f t="shared" si="98"/>
        <v>-0.44999999999999996</v>
      </c>
      <c r="BJ105" s="9">
        <f t="shared" si="99"/>
        <v>-0.44999999999999996</v>
      </c>
    </row>
    <row r="106" spans="1:62" x14ac:dyDescent="0.2">
      <c r="A106" s="9">
        <f>data!M107-data!M106</f>
        <v>0.14090000000000202</v>
      </c>
      <c r="B106" s="9">
        <f>data!C107-data!C106</f>
        <v>-1.9900000000000002</v>
      </c>
      <c r="C106" s="9">
        <f>data!D107-data!D106</f>
        <v>-0.27500000000000036</v>
      </c>
      <c r="D106" s="10">
        <f>data!B107-data!B106</f>
        <v>-8.7500000000000022E-2</v>
      </c>
      <c r="E106" s="9">
        <f>data!E106-data!G106</f>
        <v>2.9251999999999994</v>
      </c>
      <c r="F106" s="9">
        <f>(data!E106-data!F106)-(data!G106-data!H106)</f>
        <v>-0.98920000000000008</v>
      </c>
      <c r="G106" s="9">
        <f t="shared" si="50"/>
        <v>0.10580000000000123</v>
      </c>
      <c r="H106" s="9">
        <f t="shared" si="51"/>
        <v>-3.0599999999999516E-2</v>
      </c>
      <c r="I106" s="9">
        <f>IF(data!M107&gt; 111.81,1,0)</f>
        <v>0</v>
      </c>
      <c r="J106" s="9">
        <f t="shared" si="52"/>
        <v>1</v>
      </c>
      <c r="K106" s="9">
        <f t="shared" si="53"/>
        <v>0</v>
      </c>
      <c r="L106" s="9">
        <f t="shared" si="54"/>
        <v>0.14090000000000202</v>
      </c>
      <c r="M106" s="9">
        <f>data!J106</f>
        <v>1.5</v>
      </c>
      <c r="N106" s="9">
        <f>data!I106</f>
        <v>3.5</v>
      </c>
      <c r="O106" s="9">
        <f>data!L106</f>
        <v>3.1</v>
      </c>
      <c r="P106" s="9">
        <f>data!K106</f>
        <v>0.7</v>
      </c>
      <c r="Q106" s="9">
        <f>data!R106</f>
        <v>-0.8</v>
      </c>
      <c r="R106" s="9">
        <f t="shared" si="55"/>
        <v>-0.53500000000000003</v>
      </c>
      <c r="S106" s="9">
        <f t="shared" si="56"/>
        <v>-1.1000000000000001</v>
      </c>
      <c r="T106" s="9">
        <f t="shared" si="57"/>
        <v>-0.875</v>
      </c>
      <c r="U106" s="9">
        <f t="shared" si="58"/>
        <v>-1.3</v>
      </c>
      <c r="V106" s="9">
        <f t="shared" si="59"/>
        <v>-1</v>
      </c>
      <c r="W106" s="9">
        <f t="shared" si="60"/>
        <v>-0.25</v>
      </c>
      <c r="X106" s="9">
        <f t="shared" si="61"/>
        <v>-0.7</v>
      </c>
      <c r="Y106" s="9">
        <f t="shared" si="62"/>
        <v>0</v>
      </c>
      <c r="Z106" s="9">
        <f t="shared" si="63"/>
        <v>0.10000000000000009</v>
      </c>
      <c r="AA106" s="9">
        <f t="shared" si="64"/>
        <v>-0.88499999999999979</v>
      </c>
      <c r="AB106" s="9">
        <f t="shared" si="65"/>
        <v>-0.97500000000000009</v>
      </c>
      <c r="AC106" s="9">
        <f t="shared" si="66"/>
        <v>-0.875</v>
      </c>
      <c r="AD106" s="9">
        <f t="shared" si="67"/>
        <v>-1.5</v>
      </c>
      <c r="AE106" s="9">
        <f t="shared" si="68"/>
        <v>-0.79999999999999982</v>
      </c>
      <c r="AF106" s="9">
        <f t="shared" si="69"/>
        <v>-0.79999999999999982</v>
      </c>
      <c r="AG106" s="9">
        <f t="shared" si="70"/>
        <v>-0.70000000000000018</v>
      </c>
      <c r="AH106" s="9">
        <f t="shared" si="71"/>
        <v>0.14999999999999991</v>
      </c>
      <c r="AI106" s="9">
        <f t="shared" si="72"/>
        <v>0.625</v>
      </c>
      <c r="AJ106" s="9">
        <f t="shared" si="73"/>
        <v>-0.77499999999999991</v>
      </c>
      <c r="AK106" s="9">
        <f t="shared" si="74"/>
        <v>-2.1350000000000002</v>
      </c>
      <c r="AL106" s="9">
        <f t="shared" si="75"/>
        <v>-1.2850000000000001</v>
      </c>
      <c r="AM106" s="9">
        <f t="shared" si="76"/>
        <v>-1.8</v>
      </c>
      <c r="AN106" s="9">
        <f t="shared" si="77"/>
        <v>-1</v>
      </c>
      <c r="AO106" s="9">
        <f t="shared" si="78"/>
        <v>-1.1000000000000001</v>
      </c>
      <c r="AP106" s="9">
        <f t="shared" si="79"/>
        <v>-1.2000000000000002</v>
      </c>
      <c r="AQ106" s="9">
        <f t="shared" si="80"/>
        <v>-0.60000000000000009</v>
      </c>
      <c r="AR106" s="9">
        <f t="shared" si="81"/>
        <v>0.52499999999999991</v>
      </c>
      <c r="AS106" s="9">
        <f t="shared" si="82"/>
        <v>-0.75</v>
      </c>
      <c r="AT106" s="9">
        <f t="shared" si="83"/>
        <v>-1.6</v>
      </c>
      <c r="AU106" s="9">
        <f t="shared" si="84"/>
        <v>-2</v>
      </c>
      <c r="AV106" s="9">
        <f t="shared" si="85"/>
        <v>-1.5</v>
      </c>
      <c r="AW106" s="9">
        <f t="shared" si="86"/>
        <v>-0.79999999999999993</v>
      </c>
      <c r="AX106" s="9">
        <f t="shared" si="87"/>
        <v>-0.75</v>
      </c>
      <c r="AY106" s="9">
        <f t="shared" si="88"/>
        <v>-0.79999999999999993</v>
      </c>
      <c r="AZ106" s="9">
        <f t="shared" si="89"/>
        <v>-0.6</v>
      </c>
      <c r="BA106" s="9">
        <f t="shared" si="90"/>
        <v>0.55000000000000004</v>
      </c>
      <c r="BB106" s="9">
        <f t="shared" si="91"/>
        <v>-0.59999999999999987</v>
      </c>
      <c r="BC106" s="9">
        <f t="shared" si="92"/>
        <v>-1.5999999999999999</v>
      </c>
      <c r="BD106" s="9">
        <f t="shared" si="93"/>
        <v>-0.82499999999999996</v>
      </c>
      <c r="BE106" s="9">
        <f t="shared" si="94"/>
        <v>-1.2499999999999998</v>
      </c>
      <c r="BF106" s="9">
        <f t="shared" si="95"/>
        <v>-0.39999999999999991</v>
      </c>
      <c r="BG106" s="9">
        <f t="shared" si="96"/>
        <v>-0.82999999999999985</v>
      </c>
      <c r="BH106" s="9">
        <f t="shared" si="97"/>
        <v>-0.39999999999999991</v>
      </c>
      <c r="BI106" s="9">
        <f t="shared" si="98"/>
        <v>-0.39999999999999991</v>
      </c>
      <c r="BJ106" s="9">
        <f t="shared" si="99"/>
        <v>0.92500000000000004</v>
      </c>
    </row>
    <row r="107" spans="1:62" x14ac:dyDescent="0.2">
      <c r="A107" s="9">
        <f>data!M108-data!M107</f>
        <v>-0.2342000000000013</v>
      </c>
      <c r="B107" s="9">
        <f>data!C108-data!C107</f>
        <v>0.25</v>
      </c>
      <c r="C107" s="9">
        <f>data!D108-data!D107</f>
        <v>-4.9999999999999822E-2</v>
      </c>
      <c r="D107" s="10">
        <f>data!B108-data!B107</f>
        <v>0</v>
      </c>
      <c r="E107" s="9">
        <f>data!E107-data!G107</f>
        <v>3.0310000000000006</v>
      </c>
      <c r="F107" s="9">
        <f>(data!E107-data!F107)-(data!G107-data!H107)</f>
        <v>-1.0197999999999996</v>
      </c>
      <c r="G107" s="9">
        <f t="shared" si="50"/>
        <v>7.9199999999999271E-2</v>
      </c>
      <c r="H107" s="9">
        <f t="shared" si="51"/>
        <v>-1.8700000000000827E-2</v>
      </c>
      <c r="I107" s="9">
        <f>IF(data!M108&gt; 111.81,1,0)</f>
        <v>0</v>
      </c>
      <c r="J107" s="9">
        <f t="shared" si="52"/>
        <v>1</v>
      </c>
      <c r="K107" s="9">
        <f t="shared" si="53"/>
        <v>0</v>
      </c>
      <c r="L107" s="9">
        <f t="shared" si="54"/>
        <v>-0.2342000000000013</v>
      </c>
      <c r="M107" s="9">
        <f>data!J107</f>
        <v>0.96499999999999997</v>
      </c>
      <c r="N107" s="9">
        <f>data!I107</f>
        <v>2.6150000000000002</v>
      </c>
      <c r="O107" s="9">
        <f>data!L107</f>
        <v>2.3250000000000002</v>
      </c>
      <c r="P107" s="9">
        <f>data!K107</f>
        <v>-0.05</v>
      </c>
      <c r="Q107" s="9">
        <f>data!R107</f>
        <v>-1.4</v>
      </c>
      <c r="R107" s="9">
        <f t="shared" si="55"/>
        <v>-0.56499999999999995</v>
      </c>
      <c r="S107" s="9">
        <f t="shared" si="56"/>
        <v>-0.33999999999999997</v>
      </c>
      <c r="T107" s="9">
        <f t="shared" si="57"/>
        <v>-0.7649999999999999</v>
      </c>
      <c r="U107" s="9">
        <f t="shared" si="58"/>
        <v>-0.46499999999999997</v>
      </c>
      <c r="V107" s="9">
        <f t="shared" si="59"/>
        <v>0.28500000000000003</v>
      </c>
      <c r="W107" s="9">
        <f t="shared" si="60"/>
        <v>-0.16499999999999992</v>
      </c>
      <c r="X107" s="9">
        <f t="shared" si="61"/>
        <v>0.53500000000000003</v>
      </c>
      <c r="Y107" s="9">
        <f t="shared" si="62"/>
        <v>0.63500000000000012</v>
      </c>
      <c r="Z107" s="9">
        <f t="shared" si="63"/>
        <v>1.7350000000000003</v>
      </c>
      <c r="AA107" s="9">
        <f t="shared" si="64"/>
        <v>-9.0000000000000302E-2</v>
      </c>
      <c r="AB107" s="9">
        <f t="shared" si="65"/>
        <v>9.9999999999997868E-3</v>
      </c>
      <c r="AC107" s="9">
        <f t="shared" si="66"/>
        <v>-0.61500000000000021</v>
      </c>
      <c r="AD107" s="9">
        <f t="shared" si="67"/>
        <v>8.4999999999999964E-2</v>
      </c>
      <c r="AE107" s="9">
        <f t="shared" si="68"/>
        <v>8.4999999999999964E-2</v>
      </c>
      <c r="AF107" s="9">
        <f t="shared" si="69"/>
        <v>0.18499999999999961</v>
      </c>
      <c r="AG107" s="9">
        <f t="shared" si="70"/>
        <v>1.0349999999999997</v>
      </c>
      <c r="AH107" s="9">
        <f t="shared" si="71"/>
        <v>1.5099999999999998</v>
      </c>
      <c r="AI107" s="9">
        <f t="shared" si="72"/>
        <v>1.4849999999999994</v>
      </c>
      <c r="AJ107" s="9">
        <f t="shared" si="73"/>
        <v>-1.3600000000000003</v>
      </c>
      <c r="AK107" s="9">
        <f t="shared" si="74"/>
        <v>-0.51000000000000023</v>
      </c>
      <c r="AL107" s="9">
        <f t="shared" si="75"/>
        <v>-1.0250000000000001</v>
      </c>
      <c r="AM107" s="9">
        <f t="shared" si="76"/>
        <v>-0.22500000000000009</v>
      </c>
      <c r="AN107" s="9">
        <f t="shared" si="77"/>
        <v>-0.32500000000000018</v>
      </c>
      <c r="AO107" s="9">
        <f t="shared" si="78"/>
        <v>-0.42500000000000027</v>
      </c>
      <c r="AP107" s="9">
        <f t="shared" si="79"/>
        <v>0.17499999999999982</v>
      </c>
      <c r="AQ107" s="9">
        <f t="shared" si="80"/>
        <v>1.2999999999999998</v>
      </c>
      <c r="AR107" s="9">
        <f t="shared" si="81"/>
        <v>1.2749999999999999</v>
      </c>
      <c r="AS107" s="9">
        <f t="shared" si="82"/>
        <v>-0.85</v>
      </c>
      <c r="AT107" s="9">
        <f t="shared" si="83"/>
        <v>-1.25</v>
      </c>
      <c r="AU107" s="9">
        <f t="shared" si="84"/>
        <v>-0.75</v>
      </c>
      <c r="AV107" s="9">
        <f t="shared" si="85"/>
        <v>-0.05</v>
      </c>
      <c r="AW107" s="9">
        <f t="shared" si="86"/>
        <v>0</v>
      </c>
      <c r="AX107" s="9">
        <f t="shared" si="87"/>
        <v>-0.05</v>
      </c>
      <c r="AY107" s="9">
        <f t="shared" si="88"/>
        <v>0.15000000000000002</v>
      </c>
      <c r="AZ107" s="9">
        <f t="shared" si="89"/>
        <v>1.3</v>
      </c>
      <c r="BA107" s="9">
        <f t="shared" si="90"/>
        <v>0.8</v>
      </c>
      <c r="BB107" s="9">
        <f t="shared" si="91"/>
        <v>-1</v>
      </c>
      <c r="BC107" s="9">
        <f t="shared" si="92"/>
        <v>-0.22500000000000009</v>
      </c>
      <c r="BD107" s="9">
        <f t="shared" si="93"/>
        <v>-0.64999999999999991</v>
      </c>
      <c r="BE107" s="9">
        <f t="shared" si="94"/>
        <v>0.19999999999999996</v>
      </c>
      <c r="BF107" s="9">
        <f t="shared" si="95"/>
        <v>-0.22999999999999998</v>
      </c>
      <c r="BG107" s="9">
        <f t="shared" si="96"/>
        <v>0.19999999999999996</v>
      </c>
      <c r="BH107" s="9">
        <f t="shared" si="97"/>
        <v>0.19999999999999996</v>
      </c>
      <c r="BI107" s="9">
        <f t="shared" si="98"/>
        <v>1.5249999999999999</v>
      </c>
      <c r="BJ107" s="9">
        <f t="shared" si="99"/>
        <v>0.77499999999999991</v>
      </c>
    </row>
    <row r="108" spans="1:62" x14ac:dyDescent="0.2">
      <c r="A108" s="9">
        <f>data!M109-data!M108</f>
        <v>0.46229999999999905</v>
      </c>
      <c r="B108" s="9">
        <f>data!C109-data!C108</f>
        <v>0.73000000000000043</v>
      </c>
      <c r="C108" s="9">
        <f>data!D109-data!D108</f>
        <v>0.5</v>
      </c>
      <c r="D108" s="10">
        <f>data!B109-data!B108</f>
        <v>-8.7499999999999967E-2</v>
      </c>
      <c r="E108" s="9">
        <f>data!E108-data!G108</f>
        <v>3.1101999999999999</v>
      </c>
      <c r="F108" s="9">
        <f>(data!E108-data!F108)-(data!G108-data!H108)</f>
        <v>-1.0385000000000004</v>
      </c>
      <c r="G108" s="9">
        <f t="shared" si="50"/>
        <v>7.2100000000000719E-2</v>
      </c>
      <c r="H108" s="9">
        <f t="shared" si="51"/>
        <v>-1.9499999999999629E-2</v>
      </c>
      <c r="I108" s="9">
        <f>IF(data!M109&gt; 111.81,1,0)</f>
        <v>0</v>
      </c>
      <c r="J108" s="9">
        <f t="shared" si="52"/>
        <v>1</v>
      </c>
      <c r="K108" s="9">
        <f t="shared" si="53"/>
        <v>0</v>
      </c>
      <c r="L108" s="9">
        <f t="shared" si="54"/>
        <v>0.46229999999999905</v>
      </c>
      <c r="M108" s="9">
        <f>data!J108</f>
        <v>0.4</v>
      </c>
      <c r="N108" s="9">
        <f>data!I108</f>
        <v>2.5249999999999999</v>
      </c>
      <c r="O108" s="9">
        <f>data!L108</f>
        <v>0.96499999999999997</v>
      </c>
      <c r="P108" s="9">
        <f>data!K108</f>
        <v>-0.9</v>
      </c>
      <c r="Q108" s="9">
        <f>data!R108</f>
        <v>-2.4</v>
      </c>
      <c r="R108" s="9">
        <f t="shared" si="55"/>
        <v>0.22499999999999998</v>
      </c>
      <c r="S108" s="9">
        <f t="shared" si="56"/>
        <v>-0.2</v>
      </c>
      <c r="T108" s="9">
        <f t="shared" si="57"/>
        <v>9.9999999999999978E-2</v>
      </c>
      <c r="U108" s="9">
        <f t="shared" si="58"/>
        <v>0.85</v>
      </c>
      <c r="V108" s="9">
        <f t="shared" si="59"/>
        <v>0.4</v>
      </c>
      <c r="W108" s="9">
        <f t="shared" si="60"/>
        <v>1.1000000000000001</v>
      </c>
      <c r="X108" s="9">
        <f t="shared" si="61"/>
        <v>1.2000000000000002</v>
      </c>
      <c r="Y108" s="9">
        <f t="shared" si="62"/>
        <v>2.3000000000000003</v>
      </c>
      <c r="Z108" s="9">
        <f t="shared" si="63"/>
        <v>1.6</v>
      </c>
      <c r="AA108" s="9">
        <f t="shared" si="64"/>
        <v>0.10000000000000009</v>
      </c>
      <c r="AB108" s="9">
        <f t="shared" si="65"/>
        <v>-0.52499999999999991</v>
      </c>
      <c r="AC108" s="9">
        <f t="shared" si="66"/>
        <v>0.17500000000000027</v>
      </c>
      <c r="AD108" s="9">
        <f t="shared" si="67"/>
        <v>0.17500000000000027</v>
      </c>
      <c r="AE108" s="9">
        <f t="shared" si="68"/>
        <v>0.27499999999999991</v>
      </c>
      <c r="AF108" s="9">
        <f t="shared" si="69"/>
        <v>1.125</v>
      </c>
      <c r="AG108" s="9">
        <f t="shared" si="70"/>
        <v>1.6</v>
      </c>
      <c r="AH108" s="9">
        <f t="shared" si="71"/>
        <v>1.5749999999999997</v>
      </c>
      <c r="AI108" s="9">
        <f t="shared" si="72"/>
        <v>1.35</v>
      </c>
      <c r="AJ108" s="9">
        <f t="shared" si="73"/>
        <v>0.85</v>
      </c>
      <c r="AK108" s="9">
        <f t="shared" si="74"/>
        <v>0.33500000000000008</v>
      </c>
      <c r="AL108" s="9">
        <f t="shared" si="75"/>
        <v>1.1350000000000002</v>
      </c>
      <c r="AM108" s="9">
        <f t="shared" si="76"/>
        <v>1.0350000000000001</v>
      </c>
      <c r="AN108" s="9">
        <f t="shared" si="77"/>
        <v>0.93499999999999994</v>
      </c>
      <c r="AO108" s="9">
        <f t="shared" si="78"/>
        <v>1.5350000000000001</v>
      </c>
      <c r="AP108" s="9">
        <f t="shared" si="79"/>
        <v>2.66</v>
      </c>
      <c r="AQ108" s="9">
        <f t="shared" si="80"/>
        <v>2.6350000000000002</v>
      </c>
      <c r="AR108" s="9">
        <f t="shared" si="81"/>
        <v>2.16</v>
      </c>
      <c r="AS108" s="9">
        <f t="shared" si="82"/>
        <v>-0.4</v>
      </c>
      <c r="AT108" s="9">
        <f t="shared" si="83"/>
        <v>9.9999999999999978E-2</v>
      </c>
      <c r="AU108" s="9">
        <f t="shared" si="84"/>
        <v>0.8</v>
      </c>
      <c r="AV108" s="9">
        <f t="shared" si="85"/>
        <v>0.85</v>
      </c>
      <c r="AW108" s="9">
        <f t="shared" si="86"/>
        <v>0.8</v>
      </c>
      <c r="AX108" s="9">
        <f t="shared" si="87"/>
        <v>1</v>
      </c>
      <c r="AY108" s="9">
        <f t="shared" si="88"/>
        <v>2.15</v>
      </c>
      <c r="AZ108" s="9">
        <f t="shared" si="89"/>
        <v>1.65</v>
      </c>
      <c r="BA108" s="9">
        <f t="shared" si="90"/>
        <v>1.4</v>
      </c>
      <c r="BB108" s="9">
        <f t="shared" si="91"/>
        <v>0.77499999999999991</v>
      </c>
      <c r="BC108" s="9">
        <f t="shared" si="92"/>
        <v>0.35000000000000009</v>
      </c>
      <c r="BD108" s="9">
        <f t="shared" si="93"/>
        <v>1.2</v>
      </c>
      <c r="BE108" s="9">
        <f t="shared" si="94"/>
        <v>0.77</v>
      </c>
      <c r="BF108" s="9">
        <f t="shared" si="95"/>
        <v>1.2</v>
      </c>
      <c r="BG108" s="9">
        <f t="shared" si="96"/>
        <v>1.2</v>
      </c>
      <c r="BH108" s="9">
        <f t="shared" si="97"/>
        <v>2.5249999999999999</v>
      </c>
      <c r="BI108" s="9">
        <f t="shared" si="98"/>
        <v>1.7749999999999999</v>
      </c>
      <c r="BJ108" s="9">
        <f t="shared" si="99"/>
        <v>1.7749999999999999</v>
      </c>
    </row>
    <row r="109" spans="1:62" x14ac:dyDescent="0.2">
      <c r="A109" s="9">
        <f>data!M110-data!M109</f>
        <v>-0.17480000000000473</v>
      </c>
      <c r="B109" s="9">
        <f>data!C110-data!C109</f>
        <v>-1.0500000000000007</v>
      </c>
      <c r="C109" s="9">
        <f>data!D110-data!D109</f>
        <v>0.22500000000000053</v>
      </c>
      <c r="D109" s="10">
        <f>data!B110-data!B109</f>
        <v>7.4999999999999956E-2</v>
      </c>
      <c r="E109" s="9">
        <f>data!E109-data!G109</f>
        <v>3.1823000000000006</v>
      </c>
      <c r="F109" s="9">
        <f>(data!E109-data!F109)-(data!G109-data!H109)</f>
        <v>-1.0580000000000001</v>
      </c>
      <c r="G109" s="9">
        <f t="shared" si="50"/>
        <v>-9.1900000000000315E-2</v>
      </c>
      <c r="H109" s="9">
        <f t="shared" si="51"/>
        <v>-2.4699999999999278E-2</v>
      </c>
      <c r="I109" s="9">
        <f>IF(data!M110&gt; 111.81,1,0)</f>
        <v>0</v>
      </c>
      <c r="J109" s="9">
        <f t="shared" si="52"/>
        <v>1</v>
      </c>
      <c r="K109" s="9">
        <f t="shared" si="53"/>
        <v>0</v>
      </c>
      <c r="L109" s="9">
        <f t="shared" si="54"/>
        <v>-0.17480000000000473</v>
      </c>
      <c r="M109" s="9">
        <f>data!J109</f>
        <v>0.625</v>
      </c>
      <c r="N109" s="9">
        <f>data!I109</f>
        <v>2.625</v>
      </c>
      <c r="O109" s="9">
        <f>data!L109</f>
        <v>1.8149999999999999</v>
      </c>
      <c r="P109" s="9">
        <f>data!K109</f>
        <v>-1.3</v>
      </c>
      <c r="Q109" s="9">
        <f>data!R109</f>
        <v>-1.625</v>
      </c>
      <c r="R109" s="9">
        <f t="shared" si="55"/>
        <v>-0.42499999999999999</v>
      </c>
      <c r="S109" s="9">
        <f t="shared" si="56"/>
        <v>-0.125</v>
      </c>
      <c r="T109" s="9">
        <f t="shared" si="57"/>
        <v>0.625</v>
      </c>
      <c r="U109" s="9">
        <f t="shared" si="58"/>
        <v>0.17500000000000004</v>
      </c>
      <c r="V109" s="9">
        <f t="shared" si="59"/>
        <v>0.875</v>
      </c>
      <c r="W109" s="9">
        <f t="shared" si="60"/>
        <v>0.97500000000000009</v>
      </c>
      <c r="X109" s="9">
        <f t="shared" si="61"/>
        <v>2.0750000000000002</v>
      </c>
      <c r="Y109" s="9">
        <f t="shared" si="62"/>
        <v>1.375</v>
      </c>
      <c r="Z109" s="9">
        <f t="shared" si="63"/>
        <v>0.57499999999999996</v>
      </c>
      <c r="AA109" s="9">
        <f t="shared" si="64"/>
        <v>-0.625</v>
      </c>
      <c r="AB109" s="9">
        <f t="shared" si="65"/>
        <v>7.5000000000000178E-2</v>
      </c>
      <c r="AC109" s="9">
        <f t="shared" si="66"/>
        <v>7.5000000000000178E-2</v>
      </c>
      <c r="AD109" s="9">
        <f t="shared" si="67"/>
        <v>0.17499999999999982</v>
      </c>
      <c r="AE109" s="9">
        <f t="shared" si="68"/>
        <v>1.0249999999999999</v>
      </c>
      <c r="AF109" s="9">
        <f t="shared" si="69"/>
        <v>1.5</v>
      </c>
      <c r="AG109" s="9">
        <f t="shared" si="70"/>
        <v>1.4749999999999996</v>
      </c>
      <c r="AH109" s="9">
        <f t="shared" si="71"/>
        <v>1.25</v>
      </c>
      <c r="AI109" s="9">
        <f t="shared" si="72"/>
        <v>0.75</v>
      </c>
      <c r="AJ109" s="9">
        <f t="shared" si="73"/>
        <v>-0.5149999999999999</v>
      </c>
      <c r="AK109" s="9">
        <f t="shared" si="74"/>
        <v>0.28500000000000014</v>
      </c>
      <c r="AL109" s="9">
        <f t="shared" si="75"/>
        <v>0.18500000000000005</v>
      </c>
      <c r="AM109" s="9">
        <f t="shared" si="76"/>
        <v>8.4999999999999964E-2</v>
      </c>
      <c r="AN109" s="9">
        <f t="shared" si="77"/>
        <v>0.68500000000000005</v>
      </c>
      <c r="AO109" s="9">
        <f t="shared" si="78"/>
        <v>1.81</v>
      </c>
      <c r="AP109" s="9">
        <f t="shared" si="79"/>
        <v>1.7850000000000001</v>
      </c>
      <c r="AQ109" s="9">
        <f t="shared" si="80"/>
        <v>1.31</v>
      </c>
      <c r="AR109" s="9">
        <f t="shared" si="81"/>
        <v>1.1850000000000001</v>
      </c>
      <c r="AS109" s="9">
        <f t="shared" si="82"/>
        <v>0.5</v>
      </c>
      <c r="AT109" s="9">
        <f t="shared" si="83"/>
        <v>1.2</v>
      </c>
      <c r="AU109" s="9">
        <f t="shared" si="84"/>
        <v>1.25</v>
      </c>
      <c r="AV109" s="9">
        <f t="shared" si="85"/>
        <v>1.2</v>
      </c>
      <c r="AW109" s="9">
        <f t="shared" si="86"/>
        <v>1.4000000000000001</v>
      </c>
      <c r="AX109" s="9">
        <f t="shared" si="87"/>
        <v>2.5499999999999998</v>
      </c>
      <c r="AY109" s="9">
        <f t="shared" si="88"/>
        <v>2.0499999999999998</v>
      </c>
      <c r="AZ109" s="9">
        <f t="shared" si="89"/>
        <v>1.8</v>
      </c>
      <c r="BA109" s="9">
        <f t="shared" si="90"/>
        <v>1.45</v>
      </c>
      <c r="BB109" s="9">
        <f t="shared" si="91"/>
        <v>-0.42499999999999982</v>
      </c>
      <c r="BC109" s="9">
        <f t="shared" si="92"/>
        <v>0.42500000000000004</v>
      </c>
      <c r="BD109" s="9">
        <f t="shared" si="93"/>
        <v>-4.9999999999998934E-3</v>
      </c>
      <c r="BE109" s="9">
        <f t="shared" si="94"/>
        <v>0.42500000000000004</v>
      </c>
      <c r="BF109" s="9">
        <f t="shared" si="95"/>
        <v>0.42500000000000004</v>
      </c>
      <c r="BG109" s="9">
        <f t="shared" si="96"/>
        <v>1.75</v>
      </c>
      <c r="BH109" s="9">
        <f t="shared" si="97"/>
        <v>1</v>
      </c>
      <c r="BI109" s="9">
        <f t="shared" si="98"/>
        <v>1</v>
      </c>
      <c r="BJ109" s="9">
        <f t="shared" si="99"/>
        <v>0.5</v>
      </c>
    </row>
    <row r="110" spans="1:62" x14ac:dyDescent="0.2">
      <c r="A110" s="9">
        <f>data!M111-data!M110</f>
        <v>-0.26670000000000016</v>
      </c>
      <c r="B110" s="9">
        <f>data!C111-data!C110</f>
        <v>1.0199999999999996</v>
      </c>
      <c r="C110" s="9">
        <f>data!D111-data!D110</f>
        <v>-0.22500000000000053</v>
      </c>
      <c r="D110" s="10">
        <f>data!B111-data!B110</f>
        <v>0</v>
      </c>
      <c r="E110" s="9">
        <f>data!E110-data!G110</f>
        <v>3.0904000000000003</v>
      </c>
      <c r="F110" s="9">
        <f>(data!E110-data!F110)-(data!G110-data!H110)</f>
        <v>-1.0826999999999993</v>
      </c>
      <c r="G110" s="9">
        <f t="shared" si="50"/>
        <v>-1.0700000000000376E-2</v>
      </c>
      <c r="H110" s="9">
        <f t="shared" si="51"/>
        <v>9.0999999999992198E-3</v>
      </c>
      <c r="I110" s="9">
        <f>IF(data!M111&gt; 111.81,1,0)</f>
        <v>0</v>
      </c>
      <c r="J110" s="9">
        <f t="shared" si="52"/>
        <v>1</v>
      </c>
      <c r="K110" s="9">
        <f t="shared" si="53"/>
        <v>0</v>
      </c>
      <c r="L110" s="9">
        <f t="shared" si="54"/>
        <v>-0.26670000000000016</v>
      </c>
      <c r="M110" s="9">
        <f>data!J110</f>
        <v>0.2</v>
      </c>
      <c r="N110" s="9">
        <f>data!I110</f>
        <v>2</v>
      </c>
      <c r="O110" s="9">
        <f>data!L110</f>
        <v>1.3</v>
      </c>
      <c r="P110" s="9">
        <f>data!K110</f>
        <v>-0.8</v>
      </c>
      <c r="Q110" s="9">
        <f>data!R110</f>
        <v>-2.0499999999999998</v>
      </c>
      <c r="R110" s="9">
        <f t="shared" si="55"/>
        <v>0.3</v>
      </c>
      <c r="S110" s="9">
        <f t="shared" si="56"/>
        <v>1.05</v>
      </c>
      <c r="T110" s="9">
        <f t="shared" si="57"/>
        <v>0.60000000000000009</v>
      </c>
      <c r="U110" s="9">
        <f t="shared" si="58"/>
        <v>1.3</v>
      </c>
      <c r="V110" s="9">
        <f t="shared" si="59"/>
        <v>1.4000000000000001</v>
      </c>
      <c r="W110" s="9">
        <f t="shared" si="60"/>
        <v>2.5</v>
      </c>
      <c r="X110" s="9">
        <f t="shared" si="61"/>
        <v>1.8</v>
      </c>
      <c r="Y110" s="9">
        <f t="shared" si="62"/>
        <v>1</v>
      </c>
      <c r="Z110" s="9">
        <f t="shared" si="63"/>
        <v>1.5</v>
      </c>
      <c r="AA110" s="9">
        <f t="shared" si="64"/>
        <v>0.70000000000000018</v>
      </c>
      <c r="AB110" s="9">
        <f t="shared" si="65"/>
        <v>0.70000000000000018</v>
      </c>
      <c r="AC110" s="9">
        <f t="shared" si="66"/>
        <v>0.79999999999999982</v>
      </c>
      <c r="AD110" s="9">
        <f t="shared" si="67"/>
        <v>1.65</v>
      </c>
      <c r="AE110" s="9">
        <f t="shared" si="68"/>
        <v>2.125</v>
      </c>
      <c r="AF110" s="9">
        <f t="shared" si="69"/>
        <v>2.0999999999999996</v>
      </c>
      <c r="AG110" s="9">
        <f t="shared" si="70"/>
        <v>1.875</v>
      </c>
      <c r="AH110" s="9">
        <f t="shared" si="71"/>
        <v>1.375</v>
      </c>
      <c r="AI110" s="9">
        <f t="shared" si="72"/>
        <v>1.4</v>
      </c>
      <c r="AJ110" s="9">
        <f t="shared" si="73"/>
        <v>0.8</v>
      </c>
      <c r="AK110" s="9">
        <f t="shared" si="74"/>
        <v>0.7</v>
      </c>
      <c r="AL110" s="9">
        <f t="shared" si="75"/>
        <v>0.59999999999999987</v>
      </c>
      <c r="AM110" s="9">
        <f t="shared" si="76"/>
        <v>1.2</v>
      </c>
      <c r="AN110" s="9">
        <f t="shared" si="77"/>
        <v>2.3250000000000002</v>
      </c>
      <c r="AO110" s="9">
        <f t="shared" si="78"/>
        <v>2.2999999999999998</v>
      </c>
      <c r="AP110" s="9">
        <f t="shared" si="79"/>
        <v>1.825</v>
      </c>
      <c r="AQ110" s="9">
        <f t="shared" si="80"/>
        <v>1.7</v>
      </c>
      <c r="AR110" s="9">
        <f t="shared" si="81"/>
        <v>1.4999999999999998</v>
      </c>
      <c r="AS110" s="9">
        <f t="shared" si="82"/>
        <v>0.70000000000000007</v>
      </c>
      <c r="AT110" s="9">
        <f t="shared" si="83"/>
        <v>0.75</v>
      </c>
      <c r="AU110" s="9">
        <f t="shared" si="84"/>
        <v>0.70000000000000007</v>
      </c>
      <c r="AV110" s="9">
        <f t="shared" si="85"/>
        <v>0.9</v>
      </c>
      <c r="AW110" s="9">
        <f t="shared" si="86"/>
        <v>2.0499999999999998</v>
      </c>
      <c r="AX110" s="9">
        <f t="shared" si="87"/>
        <v>1.55</v>
      </c>
      <c r="AY110" s="9">
        <f t="shared" si="88"/>
        <v>1.3</v>
      </c>
      <c r="AZ110" s="9">
        <f t="shared" si="89"/>
        <v>0.95000000000000007</v>
      </c>
      <c r="BA110" s="9">
        <f t="shared" si="90"/>
        <v>0.85000000000000009</v>
      </c>
      <c r="BB110" s="9">
        <f t="shared" si="91"/>
        <v>0.84999999999999987</v>
      </c>
      <c r="BC110" s="9">
        <f t="shared" si="92"/>
        <v>0.41999999999999993</v>
      </c>
      <c r="BD110" s="9">
        <f t="shared" si="93"/>
        <v>0.84999999999999987</v>
      </c>
      <c r="BE110" s="9">
        <f t="shared" si="94"/>
        <v>0.84999999999999987</v>
      </c>
      <c r="BF110" s="9">
        <f t="shared" si="95"/>
        <v>2.1749999999999998</v>
      </c>
      <c r="BG110" s="9">
        <f t="shared" si="96"/>
        <v>1.4249999999999998</v>
      </c>
      <c r="BH110" s="9">
        <f t="shared" si="97"/>
        <v>1.4249999999999998</v>
      </c>
      <c r="BI110" s="9">
        <f t="shared" si="98"/>
        <v>0.92499999999999982</v>
      </c>
      <c r="BJ110" s="9">
        <f t="shared" si="99"/>
        <v>0.67499999999999982</v>
      </c>
    </row>
    <row r="111" spans="1:62" x14ac:dyDescent="0.2">
      <c r="A111" s="9">
        <f>data!M112-data!M111</f>
        <v>-0.54359999999999786</v>
      </c>
      <c r="B111" s="9">
        <f>data!C112-data!C111</f>
        <v>-1.08</v>
      </c>
      <c r="C111" s="9">
        <f>data!D112-data!D111</f>
        <v>0.27500000000000036</v>
      </c>
      <c r="D111" s="10">
        <f>data!B112-data!B111</f>
        <v>-7.4999999999999956E-2</v>
      </c>
      <c r="E111" s="9">
        <f>data!E111-data!G111</f>
        <v>3.0796999999999999</v>
      </c>
      <c r="F111" s="9">
        <f>(data!E111-data!F111)-(data!G111-data!H111)</f>
        <v>-1.0736000000000001</v>
      </c>
      <c r="G111" s="9">
        <f t="shared" si="50"/>
        <v>-0.1014999999999997</v>
      </c>
      <c r="H111" s="9">
        <f t="shared" si="51"/>
        <v>1.1400000000000299E-2</v>
      </c>
      <c r="I111" s="9">
        <f>IF(data!M112&gt; 111.81,1,0)</f>
        <v>0</v>
      </c>
      <c r="J111" s="9">
        <f t="shared" si="52"/>
        <v>1</v>
      </c>
      <c r="K111" s="9">
        <f t="shared" si="53"/>
        <v>0</v>
      </c>
      <c r="L111" s="9">
        <f t="shared" si="54"/>
        <v>-0.54359999999999786</v>
      </c>
      <c r="M111" s="9">
        <f>data!J111</f>
        <v>0.5</v>
      </c>
      <c r="N111" s="9">
        <f>data!I111</f>
        <v>2.7</v>
      </c>
      <c r="O111" s="9">
        <f>data!L111</f>
        <v>2.1</v>
      </c>
      <c r="P111" s="9">
        <f>data!K111</f>
        <v>-0.1</v>
      </c>
      <c r="Q111" s="9">
        <f>data!R111</f>
        <v>-1.2</v>
      </c>
      <c r="R111" s="9">
        <f t="shared" si="55"/>
        <v>0.75</v>
      </c>
      <c r="S111" s="9">
        <f t="shared" si="56"/>
        <v>0.30000000000000004</v>
      </c>
      <c r="T111" s="9">
        <f t="shared" si="57"/>
        <v>1</v>
      </c>
      <c r="U111" s="9">
        <f t="shared" si="58"/>
        <v>1.1000000000000001</v>
      </c>
      <c r="V111" s="9">
        <f t="shared" si="59"/>
        <v>2.2000000000000002</v>
      </c>
      <c r="W111" s="9">
        <f t="shared" si="60"/>
        <v>1.5</v>
      </c>
      <c r="X111" s="9">
        <f t="shared" si="61"/>
        <v>0.7</v>
      </c>
      <c r="Y111" s="9">
        <f t="shared" si="62"/>
        <v>1.2</v>
      </c>
      <c r="Z111" s="9">
        <f t="shared" si="63"/>
        <v>1.2250000000000001</v>
      </c>
      <c r="AA111" s="9">
        <f t="shared" si="64"/>
        <v>0</v>
      </c>
      <c r="AB111" s="9">
        <f t="shared" si="65"/>
        <v>9.9999999999999645E-2</v>
      </c>
      <c r="AC111" s="9">
        <f t="shared" si="66"/>
        <v>0.94999999999999973</v>
      </c>
      <c r="AD111" s="9">
        <f t="shared" si="67"/>
        <v>1.4249999999999998</v>
      </c>
      <c r="AE111" s="9">
        <f t="shared" si="68"/>
        <v>1.3999999999999995</v>
      </c>
      <c r="AF111" s="9">
        <f t="shared" si="69"/>
        <v>1.1749999999999998</v>
      </c>
      <c r="AG111" s="9">
        <f t="shared" si="70"/>
        <v>0.67499999999999982</v>
      </c>
      <c r="AH111" s="9">
        <f t="shared" si="71"/>
        <v>0.69999999999999973</v>
      </c>
      <c r="AI111" s="9">
        <f t="shared" si="72"/>
        <v>0.79999999999999982</v>
      </c>
      <c r="AJ111" s="9">
        <f t="shared" si="73"/>
        <v>-0.10000000000000009</v>
      </c>
      <c r="AK111" s="9">
        <f t="shared" si="74"/>
        <v>-0.20000000000000018</v>
      </c>
      <c r="AL111" s="9">
        <f t="shared" si="75"/>
        <v>0.39999999999999991</v>
      </c>
      <c r="AM111" s="9">
        <f t="shared" si="76"/>
        <v>1.5249999999999999</v>
      </c>
      <c r="AN111" s="9">
        <f t="shared" si="77"/>
        <v>1.5</v>
      </c>
      <c r="AO111" s="9">
        <f t="shared" si="78"/>
        <v>1.0249999999999999</v>
      </c>
      <c r="AP111" s="9">
        <f t="shared" si="79"/>
        <v>0.89999999999999991</v>
      </c>
      <c r="AQ111" s="9">
        <f t="shared" si="80"/>
        <v>0.69999999999999973</v>
      </c>
      <c r="AR111" s="9">
        <f t="shared" si="81"/>
        <v>1.1000000000000001</v>
      </c>
      <c r="AS111" s="9">
        <f t="shared" si="82"/>
        <v>0.05</v>
      </c>
      <c r="AT111" s="9">
        <f t="shared" si="83"/>
        <v>0</v>
      </c>
      <c r="AU111" s="9">
        <f t="shared" si="84"/>
        <v>0.2</v>
      </c>
      <c r="AV111" s="9">
        <f t="shared" si="85"/>
        <v>1.35</v>
      </c>
      <c r="AW111" s="9">
        <f t="shared" si="86"/>
        <v>0.85</v>
      </c>
      <c r="AX111" s="9">
        <f t="shared" si="87"/>
        <v>0.6</v>
      </c>
      <c r="AY111" s="9">
        <f t="shared" si="88"/>
        <v>0.25</v>
      </c>
      <c r="AZ111" s="9">
        <f t="shared" si="89"/>
        <v>0.15000000000000002</v>
      </c>
      <c r="BA111" s="9">
        <f t="shared" si="90"/>
        <v>1.075</v>
      </c>
      <c r="BB111" s="9">
        <f t="shared" si="91"/>
        <v>-0.42999999999999994</v>
      </c>
      <c r="BC111" s="9">
        <f t="shared" si="92"/>
        <v>0</v>
      </c>
      <c r="BD111" s="9">
        <f t="shared" si="93"/>
        <v>0</v>
      </c>
      <c r="BE111" s="9">
        <f t="shared" si="94"/>
        <v>1.325</v>
      </c>
      <c r="BF111" s="9">
        <f t="shared" si="95"/>
        <v>0.57499999999999996</v>
      </c>
      <c r="BG111" s="9">
        <f t="shared" si="96"/>
        <v>0.57499999999999996</v>
      </c>
      <c r="BH111" s="9">
        <f t="shared" si="97"/>
        <v>7.4999999999999956E-2</v>
      </c>
      <c r="BI111" s="9">
        <f t="shared" si="98"/>
        <v>-0.17500000000000004</v>
      </c>
      <c r="BJ111" s="9">
        <f t="shared" si="99"/>
        <v>1.0649999999999999</v>
      </c>
    </row>
    <row r="112" spans="1:62" x14ac:dyDescent="0.2">
      <c r="A112" s="9">
        <f>data!M113-data!M112</f>
        <v>1.1600000000001387E-2</v>
      </c>
      <c r="B112" s="9">
        <f>data!C113-data!C112</f>
        <v>0.5600000000000005</v>
      </c>
      <c r="C112" s="9">
        <f>data!D113-data!D112</f>
        <v>-0.65000000000000036</v>
      </c>
      <c r="D112" s="10">
        <f>data!B113-data!B112</f>
        <v>9.9999999999999978E-2</v>
      </c>
      <c r="E112" s="9">
        <f>data!E112-data!G112</f>
        <v>2.9782000000000002</v>
      </c>
      <c r="F112" s="9">
        <f>(data!E112-data!F112)-(data!G112-data!H112)</f>
        <v>-1.0621999999999998</v>
      </c>
      <c r="G112" s="9">
        <f t="shared" si="50"/>
        <v>1.2100000000000222E-2</v>
      </c>
      <c r="H112" s="9">
        <f t="shared" si="51"/>
        <v>9.5800000000000329E-2</v>
      </c>
      <c r="I112" s="9">
        <f>IF(data!M113&gt; 111.81,1,0)</f>
        <v>0</v>
      </c>
      <c r="J112" s="9">
        <f t="shared" si="52"/>
        <v>1</v>
      </c>
      <c r="K112" s="9">
        <f t="shared" si="53"/>
        <v>0</v>
      </c>
      <c r="L112" s="9">
        <f t="shared" si="54"/>
        <v>1.1600000000001387E-2</v>
      </c>
      <c r="M112" s="9">
        <f>data!J112</f>
        <v>1.25</v>
      </c>
      <c r="N112" s="9">
        <f>data!I112</f>
        <v>2.7</v>
      </c>
      <c r="O112" s="9">
        <f>data!L112</f>
        <v>2</v>
      </c>
      <c r="P112" s="9">
        <f>data!K112</f>
        <v>-0.05</v>
      </c>
      <c r="Q112" s="9">
        <f>data!R112</f>
        <v>-1.63</v>
      </c>
      <c r="R112" s="9">
        <f t="shared" si="55"/>
        <v>-0.44999999999999996</v>
      </c>
      <c r="S112" s="9">
        <f t="shared" si="56"/>
        <v>0.25</v>
      </c>
      <c r="T112" s="9">
        <f t="shared" si="57"/>
        <v>0.35000000000000009</v>
      </c>
      <c r="U112" s="9">
        <f t="shared" si="58"/>
        <v>1.4500000000000002</v>
      </c>
      <c r="V112" s="9">
        <f t="shared" si="59"/>
        <v>0.75</v>
      </c>
      <c r="W112" s="9">
        <f t="shared" si="60"/>
        <v>-5.0000000000000044E-2</v>
      </c>
      <c r="X112" s="9">
        <f t="shared" si="61"/>
        <v>0.44999999999999996</v>
      </c>
      <c r="Y112" s="9">
        <f t="shared" si="62"/>
        <v>0.47500000000000009</v>
      </c>
      <c r="Z112" s="9">
        <f t="shared" si="63"/>
        <v>0.75</v>
      </c>
      <c r="AA112" s="9">
        <f t="shared" si="64"/>
        <v>9.9999999999999645E-2</v>
      </c>
      <c r="AB112" s="9">
        <f t="shared" si="65"/>
        <v>0.94999999999999973</v>
      </c>
      <c r="AC112" s="9">
        <f t="shared" si="66"/>
        <v>1.4249999999999998</v>
      </c>
      <c r="AD112" s="9">
        <f t="shared" si="67"/>
        <v>1.3999999999999995</v>
      </c>
      <c r="AE112" s="9">
        <f t="shared" si="68"/>
        <v>1.1749999999999998</v>
      </c>
      <c r="AF112" s="9">
        <f t="shared" si="69"/>
        <v>0.67499999999999982</v>
      </c>
      <c r="AG112" s="9">
        <f t="shared" si="70"/>
        <v>0.69999999999999973</v>
      </c>
      <c r="AH112" s="9">
        <f t="shared" si="71"/>
        <v>0.79999999999999982</v>
      </c>
      <c r="AI112" s="9">
        <f t="shared" si="72"/>
        <v>1.0499999999999998</v>
      </c>
      <c r="AJ112" s="9">
        <f t="shared" si="73"/>
        <v>-0.10000000000000009</v>
      </c>
      <c r="AK112" s="9">
        <f t="shared" si="74"/>
        <v>0.5</v>
      </c>
      <c r="AL112" s="9">
        <f t="shared" si="75"/>
        <v>1.625</v>
      </c>
      <c r="AM112" s="9">
        <f t="shared" si="76"/>
        <v>1.6</v>
      </c>
      <c r="AN112" s="9">
        <f t="shared" si="77"/>
        <v>1.125</v>
      </c>
      <c r="AO112" s="9">
        <f t="shared" si="78"/>
        <v>1</v>
      </c>
      <c r="AP112" s="9">
        <f t="shared" si="79"/>
        <v>0.79999999999999982</v>
      </c>
      <c r="AQ112" s="9">
        <f t="shared" si="80"/>
        <v>1.2000000000000002</v>
      </c>
      <c r="AR112" s="9">
        <f t="shared" si="81"/>
        <v>1.375</v>
      </c>
      <c r="AS112" s="9">
        <f t="shared" si="82"/>
        <v>-0.05</v>
      </c>
      <c r="AT112" s="9">
        <f t="shared" si="83"/>
        <v>0.15000000000000002</v>
      </c>
      <c r="AU112" s="9">
        <f t="shared" si="84"/>
        <v>1.3</v>
      </c>
      <c r="AV112" s="9">
        <f t="shared" si="85"/>
        <v>0.8</v>
      </c>
      <c r="AW112" s="9">
        <f t="shared" si="86"/>
        <v>0.55000000000000004</v>
      </c>
      <c r="AX112" s="9">
        <f t="shared" si="87"/>
        <v>0.2</v>
      </c>
      <c r="AY112" s="9">
        <f t="shared" si="88"/>
        <v>0.1</v>
      </c>
      <c r="AZ112" s="9">
        <f t="shared" si="89"/>
        <v>1.0249999999999999</v>
      </c>
      <c r="BA112" s="9">
        <f t="shared" si="90"/>
        <v>0.95000000000000007</v>
      </c>
      <c r="BB112" s="9">
        <f t="shared" si="91"/>
        <v>0.42999999999999994</v>
      </c>
      <c r="BC112" s="9">
        <f t="shared" si="92"/>
        <v>0.42999999999999994</v>
      </c>
      <c r="BD112" s="9">
        <f t="shared" si="93"/>
        <v>1.7549999999999999</v>
      </c>
      <c r="BE112" s="9">
        <f t="shared" si="94"/>
        <v>1.0049999999999999</v>
      </c>
      <c r="BF112" s="9">
        <f t="shared" si="95"/>
        <v>1.0049999999999999</v>
      </c>
      <c r="BG112" s="9">
        <f t="shared" si="96"/>
        <v>0.50499999999999989</v>
      </c>
      <c r="BH112" s="9">
        <f t="shared" si="97"/>
        <v>0.25499999999999989</v>
      </c>
      <c r="BI112" s="9">
        <f t="shared" si="98"/>
        <v>1.4949999999999999</v>
      </c>
      <c r="BJ112" s="9">
        <f t="shared" si="99"/>
        <v>1.5299999999999998</v>
      </c>
    </row>
    <row r="113" spans="1:62" x14ac:dyDescent="0.2">
      <c r="A113" s="9">
        <f>data!M114-data!M113</f>
        <v>0.19350000000000023</v>
      </c>
      <c r="B113" s="9">
        <f>data!C114-data!C113</f>
        <v>8.0299999999999994</v>
      </c>
      <c r="C113" s="9">
        <f>data!D114-data!D113</f>
        <v>1.0750000000000002</v>
      </c>
      <c r="D113" s="10">
        <f>data!B114-data!B113</f>
        <v>-0.19999999999999996</v>
      </c>
      <c r="E113" s="9">
        <f>data!E113-data!G113</f>
        <v>2.9903000000000004</v>
      </c>
      <c r="F113" s="9">
        <f>(data!E113-data!F113)-(data!G113-data!H113)</f>
        <v>-0.96639999999999948</v>
      </c>
      <c r="G113" s="9">
        <f t="shared" si="50"/>
        <v>-0.16730000000000045</v>
      </c>
      <c r="H113" s="9">
        <f t="shared" si="51"/>
        <v>9.3199999999999505E-2</v>
      </c>
      <c r="I113" s="9">
        <f>IF(data!M114&gt; 111.81,1,0)</f>
        <v>0</v>
      </c>
      <c r="J113" s="9">
        <f t="shared" si="52"/>
        <v>1</v>
      </c>
      <c r="K113" s="9">
        <f t="shared" si="53"/>
        <v>0</v>
      </c>
      <c r="L113" s="9">
        <f t="shared" si="54"/>
        <v>0.19350000000000023</v>
      </c>
      <c r="M113" s="9">
        <f>data!J113</f>
        <v>0.8</v>
      </c>
      <c r="N113" s="9">
        <f>data!I113</f>
        <v>2.8</v>
      </c>
      <c r="O113" s="9">
        <f>data!L113</f>
        <v>1.9</v>
      </c>
      <c r="P113" s="9">
        <f>data!K113</f>
        <v>-0.1</v>
      </c>
      <c r="Q113" s="9">
        <f>data!R113</f>
        <v>-1.2</v>
      </c>
      <c r="R113" s="9">
        <f t="shared" si="55"/>
        <v>0.7</v>
      </c>
      <c r="S113" s="9">
        <f t="shared" si="56"/>
        <v>0.8</v>
      </c>
      <c r="T113" s="9">
        <f t="shared" si="57"/>
        <v>1.9000000000000001</v>
      </c>
      <c r="U113" s="9">
        <f t="shared" si="58"/>
        <v>1.2</v>
      </c>
      <c r="V113" s="9">
        <f t="shared" si="59"/>
        <v>0.39999999999999991</v>
      </c>
      <c r="W113" s="9">
        <f t="shared" si="60"/>
        <v>0.89999999999999991</v>
      </c>
      <c r="X113" s="9">
        <f t="shared" si="61"/>
        <v>0.92500000000000004</v>
      </c>
      <c r="Y113" s="9">
        <f t="shared" si="62"/>
        <v>1.2</v>
      </c>
      <c r="Z113" s="9">
        <f t="shared" si="63"/>
        <v>1.2</v>
      </c>
      <c r="AA113" s="9">
        <f t="shared" si="64"/>
        <v>0.85000000000000009</v>
      </c>
      <c r="AB113" s="9">
        <f t="shared" si="65"/>
        <v>1.3250000000000002</v>
      </c>
      <c r="AC113" s="9">
        <f t="shared" si="66"/>
        <v>1.2999999999999998</v>
      </c>
      <c r="AD113" s="9">
        <f t="shared" si="67"/>
        <v>1.0750000000000002</v>
      </c>
      <c r="AE113" s="9">
        <f t="shared" si="68"/>
        <v>0.57500000000000018</v>
      </c>
      <c r="AF113" s="9">
        <f t="shared" si="69"/>
        <v>0.60000000000000009</v>
      </c>
      <c r="AG113" s="9">
        <f t="shared" si="70"/>
        <v>0.70000000000000018</v>
      </c>
      <c r="AH113" s="9">
        <f t="shared" si="71"/>
        <v>0.95000000000000018</v>
      </c>
      <c r="AI113" s="9">
        <f t="shared" si="72"/>
        <v>0.75</v>
      </c>
      <c r="AJ113" s="9">
        <f t="shared" si="73"/>
        <v>0.60000000000000009</v>
      </c>
      <c r="AK113" s="9">
        <f t="shared" si="74"/>
        <v>1.7250000000000001</v>
      </c>
      <c r="AL113" s="9">
        <f t="shared" si="75"/>
        <v>1.7000000000000002</v>
      </c>
      <c r="AM113" s="9">
        <f t="shared" si="76"/>
        <v>1.2250000000000001</v>
      </c>
      <c r="AN113" s="9">
        <f t="shared" si="77"/>
        <v>1.1000000000000001</v>
      </c>
      <c r="AO113" s="9">
        <f t="shared" si="78"/>
        <v>0.89999999999999991</v>
      </c>
      <c r="AP113" s="9">
        <f t="shared" si="79"/>
        <v>1.3000000000000003</v>
      </c>
      <c r="AQ113" s="9">
        <f t="shared" si="80"/>
        <v>1.4750000000000001</v>
      </c>
      <c r="AR113" s="9">
        <f t="shared" si="81"/>
        <v>1.2000000000000002</v>
      </c>
      <c r="AS113" s="9">
        <f t="shared" si="82"/>
        <v>0.2</v>
      </c>
      <c r="AT113" s="9">
        <f t="shared" si="83"/>
        <v>1.35</v>
      </c>
      <c r="AU113" s="9">
        <f t="shared" si="84"/>
        <v>0.85</v>
      </c>
      <c r="AV113" s="9">
        <f t="shared" si="85"/>
        <v>0.6</v>
      </c>
      <c r="AW113" s="9">
        <f t="shared" si="86"/>
        <v>0.25</v>
      </c>
      <c r="AX113" s="9">
        <f t="shared" si="87"/>
        <v>0.15000000000000002</v>
      </c>
      <c r="AY113" s="9">
        <f t="shared" si="88"/>
        <v>1.075</v>
      </c>
      <c r="AZ113" s="9">
        <f t="shared" si="89"/>
        <v>1</v>
      </c>
      <c r="BA113" s="9">
        <f t="shared" si="90"/>
        <v>0.6</v>
      </c>
      <c r="BB113" s="9">
        <f t="shared" si="91"/>
        <v>0</v>
      </c>
      <c r="BC113" s="9">
        <f t="shared" si="92"/>
        <v>1.325</v>
      </c>
      <c r="BD113" s="9">
        <f t="shared" si="93"/>
        <v>0.57499999999999996</v>
      </c>
      <c r="BE113" s="9">
        <f t="shared" si="94"/>
        <v>0.57499999999999996</v>
      </c>
      <c r="BF113" s="9">
        <f t="shared" si="95"/>
        <v>7.4999999999999956E-2</v>
      </c>
      <c r="BG113" s="9">
        <f t="shared" si="96"/>
        <v>-0.17500000000000004</v>
      </c>
      <c r="BH113" s="9">
        <f t="shared" si="97"/>
        <v>1.0649999999999999</v>
      </c>
      <c r="BI113" s="9">
        <f t="shared" si="98"/>
        <v>1.0999999999999999</v>
      </c>
      <c r="BJ113" s="9">
        <f t="shared" si="99"/>
        <v>0.7</v>
      </c>
    </row>
    <row r="114" spans="1:62" x14ac:dyDescent="0.2">
      <c r="A114" s="9">
        <f>data!M115-data!M114</f>
        <v>8.6799999999996658E-2</v>
      </c>
      <c r="B114" s="9">
        <f>data!C115-data!C114</f>
        <v>-4.5199999999999996</v>
      </c>
      <c r="C114" s="9">
        <f>data!D115-data!D114</f>
        <v>-0.125</v>
      </c>
      <c r="D114" s="10">
        <f>data!B115-data!B114</f>
        <v>-0.17500000000000004</v>
      </c>
      <c r="E114" s="9">
        <f>data!E114-data!G114</f>
        <v>2.823</v>
      </c>
      <c r="F114" s="9">
        <f>(data!E114-data!F114)-(data!G114-data!H114)</f>
        <v>-0.87319999999999998</v>
      </c>
      <c r="G114" s="9">
        <f t="shared" si="50"/>
        <v>0.14910000000000023</v>
      </c>
      <c r="H114" s="9">
        <f t="shared" si="51"/>
        <v>-2.5799999999999379E-2</v>
      </c>
      <c r="I114" s="9">
        <f>IF(data!M115&gt; 111.81,1,0)</f>
        <v>0</v>
      </c>
      <c r="J114" s="9">
        <f t="shared" si="52"/>
        <v>1</v>
      </c>
      <c r="K114" s="9">
        <f t="shared" si="53"/>
        <v>0</v>
      </c>
      <c r="L114" s="9">
        <f t="shared" si="54"/>
        <v>8.6799999999996658E-2</v>
      </c>
      <c r="M114" s="9">
        <f>data!J114</f>
        <v>1.5</v>
      </c>
      <c r="N114" s="9">
        <f>data!I114</f>
        <v>3.65</v>
      </c>
      <c r="O114" s="9">
        <f>data!L114</f>
        <v>2.5</v>
      </c>
      <c r="P114" s="9">
        <f>data!K114</f>
        <v>0.1</v>
      </c>
      <c r="Q114" s="9">
        <f>data!R114</f>
        <v>-1.2</v>
      </c>
      <c r="R114" s="9">
        <f t="shared" si="55"/>
        <v>0.10000000000000009</v>
      </c>
      <c r="S114" s="9">
        <f t="shared" si="56"/>
        <v>1.2000000000000002</v>
      </c>
      <c r="T114" s="9">
        <f t="shared" si="57"/>
        <v>0.5</v>
      </c>
      <c r="U114" s="9">
        <f t="shared" si="58"/>
        <v>-0.30000000000000004</v>
      </c>
      <c r="V114" s="9">
        <f t="shared" si="59"/>
        <v>0.19999999999999996</v>
      </c>
      <c r="W114" s="9">
        <f t="shared" si="60"/>
        <v>0.22500000000000009</v>
      </c>
      <c r="X114" s="9">
        <f t="shared" si="61"/>
        <v>0.5</v>
      </c>
      <c r="Y114" s="9">
        <f t="shared" si="62"/>
        <v>0.5</v>
      </c>
      <c r="Z114" s="9">
        <f t="shared" si="63"/>
        <v>0.25</v>
      </c>
      <c r="AA114" s="9">
        <f t="shared" si="64"/>
        <v>0.47500000000000009</v>
      </c>
      <c r="AB114" s="9">
        <f t="shared" si="65"/>
        <v>0.44999999999999973</v>
      </c>
      <c r="AC114" s="9">
        <f t="shared" si="66"/>
        <v>0.22500000000000009</v>
      </c>
      <c r="AD114" s="9">
        <f t="shared" si="67"/>
        <v>-0.27499999999999991</v>
      </c>
      <c r="AE114" s="9">
        <f t="shared" si="68"/>
        <v>-0.25</v>
      </c>
      <c r="AF114" s="9">
        <f t="shared" si="69"/>
        <v>-0.14999999999999991</v>
      </c>
      <c r="AG114" s="9">
        <f t="shared" si="70"/>
        <v>0.10000000000000009</v>
      </c>
      <c r="AH114" s="9">
        <f t="shared" si="71"/>
        <v>-0.10000000000000009</v>
      </c>
      <c r="AI114" s="9">
        <f t="shared" si="72"/>
        <v>0</v>
      </c>
      <c r="AJ114" s="9">
        <f t="shared" si="73"/>
        <v>1.125</v>
      </c>
      <c r="AK114" s="9">
        <f t="shared" si="74"/>
        <v>1.1000000000000001</v>
      </c>
      <c r="AL114" s="9">
        <f t="shared" si="75"/>
        <v>0.625</v>
      </c>
      <c r="AM114" s="9">
        <f t="shared" si="76"/>
        <v>0.5</v>
      </c>
      <c r="AN114" s="9">
        <f t="shared" si="77"/>
        <v>0.29999999999999982</v>
      </c>
      <c r="AO114" s="9">
        <f t="shared" si="78"/>
        <v>0.70000000000000018</v>
      </c>
      <c r="AP114" s="9">
        <f t="shared" si="79"/>
        <v>0.875</v>
      </c>
      <c r="AQ114" s="9">
        <f t="shared" si="80"/>
        <v>0.60000000000000009</v>
      </c>
      <c r="AR114" s="9">
        <f t="shared" si="81"/>
        <v>0.75</v>
      </c>
      <c r="AS114" s="9">
        <f t="shared" si="82"/>
        <v>1.1499999999999999</v>
      </c>
      <c r="AT114" s="9">
        <f t="shared" si="83"/>
        <v>0.65</v>
      </c>
      <c r="AU114" s="9">
        <f t="shared" si="84"/>
        <v>0.4</v>
      </c>
      <c r="AV114" s="9">
        <f t="shared" si="85"/>
        <v>4.9999999999999989E-2</v>
      </c>
      <c r="AW114" s="9">
        <f t="shared" si="86"/>
        <v>-0.05</v>
      </c>
      <c r="AX114" s="9">
        <f t="shared" si="87"/>
        <v>0.875</v>
      </c>
      <c r="AY114" s="9">
        <f t="shared" si="88"/>
        <v>0.8</v>
      </c>
      <c r="AZ114" s="9">
        <f t="shared" si="89"/>
        <v>0.4</v>
      </c>
      <c r="BA114" s="9">
        <f t="shared" si="90"/>
        <v>0.4</v>
      </c>
      <c r="BB114" s="9">
        <f t="shared" si="91"/>
        <v>1.325</v>
      </c>
      <c r="BC114" s="9">
        <f t="shared" si="92"/>
        <v>0.57499999999999996</v>
      </c>
      <c r="BD114" s="9">
        <f t="shared" si="93"/>
        <v>0.57499999999999996</v>
      </c>
      <c r="BE114" s="9">
        <f t="shared" si="94"/>
        <v>7.4999999999999956E-2</v>
      </c>
      <c r="BF114" s="9">
        <f t="shared" si="95"/>
        <v>-0.17500000000000004</v>
      </c>
      <c r="BG114" s="9">
        <f t="shared" si="96"/>
        <v>1.0649999999999999</v>
      </c>
      <c r="BH114" s="9">
        <f t="shared" si="97"/>
        <v>1.0999999999999999</v>
      </c>
      <c r="BI114" s="9">
        <f t="shared" si="98"/>
        <v>0.7</v>
      </c>
      <c r="BJ114" s="9">
        <f t="shared" si="99"/>
        <v>0.7</v>
      </c>
    </row>
    <row r="115" spans="1:62" x14ac:dyDescent="0.2">
      <c r="A115" s="9">
        <f>data!M116-data!M115</f>
        <v>-0.41519999999999868</v>
      </c>
      <c r="B115" s="9">
        <f>data!C116-data!C115</f>
        <v>2.6999999999999993</v>
      </c>
      <c r="C115" s="9">
        <f>data!D116-data!D115</f>
        <v>0.77500000000000036</v>
      </c>
      <c r="D115" s="10">
        <f>data!B116-data!B115</f>
        <v>0.15000000000000002</v>
      </c>
      <c r="E115" s="9">
        <f>data!E115-data!G115</f>
        <v>2.9721000000000002</v>
      </c>
      <c r="F115" s="9">
        <f>(data!E115-data!F115)-(data!G115-data!H115)</f>
        <v>-0.89899999999999936</v>
      </c>
      <c r="G115" s="9">
        <f t="shared" si="50"/>
        <v>-1.3600000000000279E-2</v>
      </c>
      <c r="H115" s="9">
        <f t="shared" si="51"/>
        <v>4.9899999999999167E-2</v>
      </c>
      <c r="I115" s="9">
        <f>IF(data!M116&gt; 111.81,1,0)</f>
        <v>0</v>
      </c>
      <c r="J115" s="9">
        <f t="shared" si="52"/>
        <v>1</v>
      </c>
      <c r="K115" s="9">
        <f t="shared" si="53"/>
        <v>0</v>
      </c>
      <c r="L115" s="9">
        <f t="shared" si="54"/>
        <v>-0.41519999999999868</v>
      </c>
      <c r="M115" s="9">
        <f>data!J115</f>
        <v>1.6</v>
      </c>
      <c r="N115" s="9">
        <f>data!I115</f>
        <v>4.125</v>
      </c>
      <c r="O115" s="9">
        <f>data!L115</f>
        <v>3.625</v>
      </c>
      <c r="P115" s="9">
        <f>data!K115</f>
        <v>1.25</v>
      </c>
      <c r="Q115" s="9">
        <f>data!R115</f>
        <v>0.125</v>
      </c>
      <c r="R115" s="9">
        <f t="shared" si="55"/>
        <v>1.1000000000000001</v>
      </c>
      <c r="S115" s="9">
        <f t="shared" si="56"/>
        <v>0.39999999999999991</v>
      </c>
      <c r="T115" s="9">
        <f t="shared" si="57"/>
        <v>-0.40000000000000013</v>
      </c>
      <c r="U115" s="9">
        <f t="shared" si="58"/>
        <v>9.9999999999999867E-2</v>
      </c>
      <c r="V115" s="9">
        <f t="shared" si="59"/>
        <v>0.125</v>
      </c>
      <c r="W115" s="9">
        <f t="shared" si="60"/>
        <v>0.39999999999999991</v>
      </c>
      <c r="X115" s="9">
        <f t="shared" si="61"/>
        <v>0.39999999999999991</v>
      </c>
      <c r="Y115" s="9">
        <f t="shared" si="62"/>
        <v>0.14999999999999991</v>
      </c>
      <c r="Z115" s="9">
        <f t="shared" si="63"/>
        <v>0.39999999999999991</v>
      </c>
      <c r="AA115" s="9">
        <f t="shared" si="64"/>
        <v>-2.5000000000000355E-2</v>
      </c>
      <c r="AB115" s="9">
        <f t="shared" si="65"/>
        <v>-0.25</v>
      </c>
      <c r="AC115" s="9">
        <f t="shared" si="66"/>
        <v>-0.75</v>
      </c>
      <c r="AD115" s="9">
        <f t="shared" si="67"/>
        <v>-0.72500000000000009</v>
      </c>
      <c r="AE115" s="9">
        <f t="shared" si="68"/>
        <v>-0.625</v>
      </c>
      <c r="AF115" s="9">
        <f t="shared" si="69"/>
        <v>-0.375</v>
      </c>
      <c r="AG115" s="9">
        <f t="shared" si="70"/>
        <v>-0.57500000000000018</v>
      </c>
      <c r="AH115" s="9">
        <f t="shared" si="71"/>
        <v>-0.47500000000000009</v>
      </c>
      <c r="AI115" s="9">
        <f t="shared" si="72"/>
        <v>-0.375</v>
      </c>
      <c r="AJ115" s="9">
        <f t="shared" si="73"/>
        <v>-2.4999999999999911E-2</v>
      </c>
      <c r="AK115" s="9">
        <f t="shared" si="74"/>
        <v>-0.5</v>
      </c>
      <c r="AL115" s="9">
        <f t="shared" si="75"/>
        <v>-0.625</v>
      </c>
      <c r="AM115" s="9">
        <f t="shared" si="76"/>
        <v>-0.82500000000000018</v>
      </c>
      <c r="AN115" s="9">
        <f t="shared" si="77"/>
        <v>-0.42499999999999982</v>
      </c>
      <c r="AO115" s="9">
        <f t="shared" si="78"/>
        <v>-0.25</v>
      </c>
      <c r="AP115" s="9">
        <f t="shared" si="79"/>
        <v>-0.52499999999999991</v>
      </c>
      <c r="AQ115" s="9">
        <f t="shared" si="80"/>
        <v>-0.375</v>
      </c>
      <c r="AR115" s="9">
        <f t="shared" si="81"/>
        <v>-0.125</v>
      </c>
      <c r="AS115" s="9">
        <f t="shared" si="82"/>
        <v>-0.5</v>
      </c>
      <c r="AT115" s="9">
        <f t="shared" si="83"/>
        <v>-0.75</v>
      </c>
      <c r="AU115" s="9">
        <f t="shared" si="84"/>
        <v>-1.1000000000000001</v>
      </c>
      <c r="AV115" s="9">
        <f t="shared" si="85"/>
        <v>-1.2</v>
      </c>
      <c r="AW115" s="9">
        <f t="shared" si="86"/>
        <v>-0.27500000000000002</v>
      </c>
      <c r="AX115" s="9">
        <f t="shared" si="87"/>
        <v>-0.35</v>
      </c>
      <c r="AY115" s="9">
        <f t="shared" si="88"/>
        <v>-0.75</v>
      </c>
      <c r="AZ115" s="9">
        <f t="shared" si="89"/>
        <v>-0.75</v>
      </c>
      <c r="BA115" s="9">
        <f t="shared" si="90"/>
        <v>-0.25</v>
      </c>
      <c r="BB115" s="9">
        <f t="shared" si="91"/>
        <v>-0.75</v>
      </c>
      <c r="BC115" s="9">
        <f t="shared" si="92"/>
        <v>-0.75</v>
      </c>
      <c r="BD115" s="9">
        <f t="shared" si="93"/>
        <v>-1.25</v>
      </c>
      <c r="BE115" s="9">
        <f t="shared" si="94"/>
        <v>-1.5</v>
      </c>
      <c r="BF115" s="9">
        <f t="shared" si="95"/>
        <v>-0.26</v>
      </c>
      <c r="BG115" s="9">
        <f t="shared" si="96"/>
        <v>-0.22500000000000001</v>
      </c>
      <c r="BH115" s="9">
        <f t="shared" si="97"/>
        <v>-0.625</v>
      </c>
      <c r="BI115" s="9">
        <f t="shared" si="98"/>
        <v>-0.625</v>
      </c>
      <c r="BJ115" s="9">
        <f t="shared" si="99"/>
        <v>-0.375</v>
      </c>
    </row>
    <row r="116" spans="1:62" x14ac:dyDescent="0.2">
      <c r="A116" s="9">
        <f>data!M117-data!M116</f>
        <v>-0.47450000000000614</v>
      </c>
      <c r="B116" s="9">
        <f>data!C117-data!C116</f>
        <v>-3.84</v>
      </c>
      <c r="C116" s="9">
        <f>data!D117-data!D116</f>
        <v>-0.65000000000000036</v>
      </c>
      <c r="D116" s="10">
        <f>data!B117-data!B116</f>
        <v>0.44999999999999996</v>
      </c>
      <c r="E116" s="9">
        <f>data!E116-data!G116</f>
        <v>2.9584999999999999</v>
      </c>
      <c r="F116" s="9">
        <f>(data!E116-data!F116)-(data!G116-data!H116)</f>
        <v>-0.84910000000000019</v>
      </c>
      <c r="G116" s="9">
        <f t="shared" si="50"/>
        <v>3.6999999999999922E-2</v>
      </c>
      <c r="H116" s="9">
        <f t="shared" si="51"/>
        <v>4.9800000000000066E-2</v>
      </c>
      <c r="I116" s="9">
        <f>IF(data!M117&gt; 111.81,1,0)</f>
        <v>0</v>
      </c>
      <c r="J116" s="9">
        <f t="shared" si="52"/>
        <v>1</v>
      </c>
      <c r="K116" s="9">
        <f t="shared" si="53"/>
        <v>0</v>
      </c>
      <c r="L116" s="9">
        <f t="shared" si="54"/>
        <v>-0.47450000000000614</v>
      </c>
      <c r="M116" s="9">
        <f>data!J116</f>
        <v>2.7</v>
      </c>
      <c r="N116" s="9">
        <f>data!I116</f>
        <v>4.0999999999999996</v>
      </c>
      <c r="O116" s="9">
        <f>data!L116</f>
        <v>3.6</v>
      </c>
      <c r="P116" s="9">
        <f>data!K116</f>
        <v>0.75</v>
      </c>
      <c r="Q116" s="9">
        <f>data!R116</f>
        <v>-0.625</v>
      </c>
      <c r="R116" s="9">
        <f t="shared" si="55"/>
        <v>-0.70000000000000018</v>
      </c>
      <c r="S116" s="9">
        <f t="shared" si="56"/>
        <v>-1.5000000000000002</v>
      </c>
      <c r="T116" s="9">
        <f t="shared" si="57"/>
        <v>-1.0000000000000002</v>
      </c>
      <c r="U116" s="9">
        <f t="shared" si="58"/>
        <v>-0.97500000000000009</v>
      </c>
      <c r="V116" s="9">
        <f t="shared" si="59"/>
        <v>-0.70000000000000018</v>
      </c>
      <c r="W116" s="9">
        <f t="shared" si="60"/>
        <v>-0.70000000000000018</v>
      </c>
      <c r="X116" s="9">
        <f t="shared" si="61"/>
        <v>-0.95000000000000018</v>
      </c>
      <c r="Y116" s="9">
        <f t="shared" si="62"/>
        <v>-0.70000000000000018</v>
      </c>
      <c r="Z116" s="9">
        <f t="shared" si="63"/>
        <v>-0.55000000000000027</v>
      </c>
      <c r="AA116" s="9">
        <f t="shared" si="64"/>
        <v>-0.22499999999999964</v>
      </c>
      <c r="AB116" s="9">
        <f t="shared" si="65"/>
        <v>-0.72499999999999964</v>
      </c>
      <c r="AC116" s="9">
        <f t="shared" si="66"/>
        <v>-0.69999999999999973</v>
      </c>
      <c r="AD116" s="9">
        <f t="shared" si="67"/>
        <v>-0.59999999999999964</v>
      </c>
      <c r="AE116" s="9">
        <f t="shared" si="68"/>
        <v>-0.34999999999999964</v>
      </c>
      <c r="AF116" s="9">
        <f t="shared" si="69"/>
        <v>-0.54999999999999982</v>
      </c>
      <c r="AG116" s="9">
        <f t="shared" si="70"/>
        <v>-0.44999999999999973</v>
      </c>
      <c r="AH116" s="9">
        <f t="shared" si="71"/>
        <v>-0.34999999999999964</v>
      </c>
      <c r="AI116" s="9">
        <f t="shared" si="72"/>
        <v>-0.44999999999999973</v>
      </c>
      <c r="AJ116" s="9">
        <f t="shared" si="73"/>
        <v>-0.47500000000000009</v>
      </c>
      <c r="AK116" s="9">
        <f t="shared" si="74"/>
        <v>-0.60000000000000009</v>
      </c>
      <c r="AL116" s="9">
        <f t="shared" si="75"/>
        <v>-0.80000000000000027</v>
      </c>
      <c r="AM116" s="9">
        <f t="shared" si="76"/>
        <v>-0.39999999999999991</v>
      </c>
      <c r="AN116" s="9">
        <f t="shared" si="77"/>
        <v>-0.22500000000000009</v>
      </c>
      <c r="AO116" s="9">
        <f t="shared" si="78"/>
        <v>-0.5</v>
      </c>
      <c r="AP116" s="9">
        <f t="shared" si="79"/>
        <v>-0.35000000000000009</v>
      </c>
      <c r="AQ116" s="9">
        <f t="shared" si="80"/>
        <v>-0.10000000000000009</v>
      </c>
      <c r="AR116" s="9">
        <f t="shared" si="81"/>
        <v>-0.35000000000000009</v>
      </c>
      <c r="AS116" s="9">
        <f t="shared" si="82"/>
        <v>-0.25</v>
      </c>
      <c r="AT116" s="9">
        <f t="shared" si="83"/>
        <v>-0.6</v>
      </c>
      <c r="AU116" s="9">
        <f t="shared" si="84"/>
        <v>-0.7</v>
      </c>
      <c r="AV116" s="9">
        <f t="shared" si="85"/>
        <v>0.22499999999999998</v>
      </c>
      <c r="AW116" s="9">
        <f t="shared" si="86"/>
        <v>0.15000000000000002</v>
      </c>
      <c r="AX116" s="9">
        <f t="shared" si="87"/>
        <v>-0.25</v>
      </c>
      <c r="AY116" s="9">
        <f t="shared" si="88"/>
        <v>-0.25</v>
      </c>
      <c r="AZ116" s="9">
        <f t="shared" si="89"/>
        <v>0.25</v>
      </c>
      <c r="BA116" s="9">
        <f t="shared" si="90"/>
        <v>9.9999999999999978E-2</v>
      </c>
      <c r="BB116" s="9">
        <f t="shared" si="91"/>
        <v>0</v>
      </c>
      <c r="BC116" s="9">
        <f t="shared" si="92"/>
        <v>-0.5</v>
      </c>
      <c r="BD116" s="9">
        <f t="shared" si="93"/>
        <v>-0.75</v>
      </c>
      <c r="BE116" s="9">
        <f t="shared" si="94"/>
        <v>0.49</v>
      </c>
      <c r="BF116" s="9">
        <f t="shared" si="95"/>
        <v>0.52500000000000002</v>
      </c>
      <c r="BG116" s="9">
        <f t="shared" si="96"/>
        <v>0.125</v>
      </c>
      <c r="BH116" s="9">
        <f t="shared" si="97"/>
        <v>0.125</v>
      </c>
      <c r="BI116" s="9">
        <f t="shared" si="98"/>
        <v>0.375</v>
      </c>
      <c r="BJ116" s="9">
        <f t="shared" si="99"/>
        <v>0.375</v>
      </c>
    </row>
    <row r="117" spans="1:62" x14ac:dyDescent="0.2">
      <c r="A117" s="9">
        <f>data!M118-data!M117</f>
        <v>-0.24790000000000134</v>
      </c>
      <c r="B117" s="9">
        <f>data!C118-data!C117</f>
        <v>1.6900000000000013</v>
      </c>
      <c r="C117" s="9">
        <f>data!D118-data!D117</f>
        <v>0.27500000000000036</v>
      </c>
      <c r="D117" s="10">
        <f>data!B118-data!B117</f>
        <v>-5.0000000000000017E-2</v>
      </c>
      <c r="E117" s="9">
        <f>data!E117-data!G117</f>
        <v>2.9954999999999998</v>
      </c>
      <c r="F117" s="9">
        <f>(data!E117-data!F117)-(data!G117-data!H117)</f>
        <v>-0.79930000000000012</v>
      </c>
      <c r="G117" s="9">
        <f t="shared" si="50"/>
        <v>-1.0199999999999321E-2</v>
      </c>
      <c r="H117" s="9">
        <f t="shared" si="51"/>
        <v>3.020000000000056E-2</v>
      </c>
      <c r="I117" s="9">
        <f>IF(data!M118&gt; 111.81,1,0)</f>
        <v>0</v>
      </c>
      <c r="J117" s="9">
        <f t="shared" si="52"/>
        <v>1</v>
      </c>
      <c r="K117" s="9">
        <f t="shared" si="53"/>
        <v>0</v>
      </c>
      <c r="L117" s="9">
        <f t="shared" si="54"/>
        <v>-0.24790000000000134</v>
      </c>
      <c r="M117" s="9">
        <f>data!J117</f>
        <v>2</v>
      </c>
      <c r="N117" s="9">
        <f>data!I117</f>
        <v>3.875</v>
      </c>
      <c r="O117" s="9">
        <f>data!L117</f>
        <v>3.125</v>
      </c>
      <c r="P117" s="9">
        <f>data!K117</f>
        <v>0.5</v>
      </c>
      <c r="Q117" s="9">
        <f>data!R117</f>
        <v>-0.625</v>
      </c>
      <c r="R117" s="9">
        <f t="shared" si="55"/>
        <v>-0.8</v>
      </c>
      <c r="S117" s="9">
        <f t="shared" si="56"/>
        <v>-0.30000000000000004</v>
      </c>
      <c r="T117" s="9">
        <f t="shared" si="57"/>
        <v>-0.27499999999999991</v>
      </c>
      <c r="U117" s="9">
        <f t="shared" si="58"/>
        <v>0</v>
      </c>
      <c r="V117" s="9">
        <f t="shared" si="59"/>
        <v>0</v>
      </c>
      <c r="W117" s="9">
        <f t="shared" si="60"/>
        <v>-0.25</v>
      </c>
      <c r="X117" s="9">
        <f t="shared" si="61"/>
        <v>0</v>
      </c>
      <c r="Y117" s="9">
        <f t="shared" si="62"/>
        <v>0.14999999999999991</v>
      </c>
      <c r="Z117" s="9">
        <f t="shared" si="63"/>
        <v>0</v>
      </c>
      <c r="AA117" s="9">
        <f t="shared" si="64"/>
        <v>-0.5</v>
      </c>
      <c r="AB117" s="9">
        <f t="shared" si="65"/>
        <v>-0.47500000000000009</v>
      </c>
      <c r="AC117" s="9">
        <f t="shared" si="66"/>
        <v>-0.375</v>
      </c>
      <c r="AD117" s="9">
        <f t="shared" si="67"/>
        <v>-0.125</v>
      </c>
      <c r="AE117" s="9">
        <f t="shared" si="68"/>
        <v>-0.32500000000000018</v>
      </c>
      <c r="AF117" s="9">
        <f t="shared" si="69"/>
        <v>-0.22500000000000009</v>
      </c>
      <c r="AG117" s="9">
        <f t="shared" si="70"/>
        <v>-0.125</v>
      </c>
      <c r="AH117" s="9">
        <f t="shared" si="71"/>
        <v>-0.22500000000000009</v>
      </c>
      <c r="AI117" s="9">
        <f t="shared" si="72"/>
        <v>-0.47500000000000009</v>
      </c>
      <c r="AJ117" s="9">
        <f t="shared" si="73"/>
        <v>-0.125</v>
      </c>
      <c r="AK117" s="9">
        <f t="shared" si="74"/>
        <v>-0.32500000000000018</v>
      </c>
      <c r="AL117" s="9">
        <f t="shared" si="75"/>
        <v>7.5000000000000178E-2</v>
      </c>
      <c r="AM117" s="9">
        <f t="shared" si="76"/>
        <v>0.25</v>
      </c>
      <c r="AN117" s="9">
        <f t="shared" si="77"/>
        <v>-2.4999999999999911E-2</v>
      </c>
      <c r="AO117" s="9">
        <f t="shared" si="78"/>
        <v>0.125</v>
      </c>
      <c r="AP117" s="9">
        <f t="shared" si="79"/>
        <v>0.375</v>
      </c>
      <c r="AQ117" s="9">
        <f t="shared" si="80"/>
        <v>0.125</v>
      </c>
      <c r="AR117" s="9">
        <f t="shared" si="81"/>
        <v>-0.125</v>
      </c>
      <c r="AS117" s="9">
        <f t="shared" si="82"/>
        <v>-0.35</v>
      </c>
      <c r="AT117" s="9">
        <f t="shared" si="83"/>
        <v>-0.45</v>
      </c>
      <c r="AU117" s="9">
        <f t="shared" si="84"/>
        <v>0.47499999999999998</v>
      </c>
      <c r="AV117" s="9">
        <f t="shared" si="85"/>
        <v>0.4</v>
      </c>
      <c r="AW117" s="9">
        <f t="shared" si="86"/>
        <v>0</v>
      </c>
      <c r="AX117" s="9">
        <f t="shared" si="87"/>
        <v>0</v>
      </c>
      <c r="AY117" s="9">
        <f t="shared" si="88"/>
        <v>0.5</v>
      </c>
      <c r="AZ117" s="9">
        <f t="shared" si="89"/>
        <v>0.35</v>
      </c>
      <c r="BA117" s="9">
        <f t="shared" si="90"/>
        <v>0.19999999999999996</v>
      </c>
      <c r="BB117" s="9">
        <f t="shared" si="91"/>
        <v>-0.5</v>
      </c>
      <c r="BC117" s="9">
        <f t="shared" si="92"/>
        <v>-0.75</v>
      </c>
      <c r="BD117" s="9">
        <f t="shared" si="93"/>
        <v>0.49</v>
      </c>
      <c r="BE117" s="9">
        <f t="shared" si="94"/>
        <v>0.52500000000000002</v>
      </c>
      <c r="BF117" s="9">
        <f t="shared" si="95"/>
        <v>0.125</v>
      </c>
      <c r="BG117" s="9">
        <f t="shared" si="96"/>
        <v>0.125</v>
      </c>
      <c r="BH117" s="9">
        <f t="shared" si="97"/>
        <v>0.375</v>
      </c>
      <c r="BI117" s="9">
        <f t="shared" si="98"/>
        <v>0.375</v>
      </c>
      <c r="BJ117" s="9">
        <f t="shared" si="99"/>
        <v>0.375</v>
      </c>
    </row>
    <row r="118" spans="1:62" x14ac:dyDescent="0.2">
      <c r="A118" s="9">
        <f>data!M119-data!M118</f>
        <v>-6.5699999999992542E-2</v>
      </c>
      <c r="B118" s="9">
        <f>data!C119-data!C118</f>
        <v>-1.4100000000000001</v>
      </c>
      <c r="C118" s="9">
        <f>data!D119-data!D118</f>
        <v>-0.32500000000000018</v>
      </c>
      <c r="D118" s="10">
        <f>data!B119-data!B118</f>
        <v>-2.4999999999999994E-2</v>
      </c>
      <c r="E118" s="9">
        <f>data!E118-data!G118</f>
        <v>2.9853000000000005</v>
      </c>
      <c r="F118" s="9">
        <f>(data!E118-data!F118)-(data!G118-data!H118)</f>
        <v>-0.76909999999999956</v>
      </c>
      <c r="G118" s="9">
        <f t="shared" si="50"/>
        <v>8.8199999999999612E-2</v>
      </c>
      <c r="H118" s="9">
        <f t="shared" si="51"/>
        <v>-8.1600000000000894E-2</v>
      </c>
      <c r="I118" s="9">
        <f>IF(data!M119&gt; 111.81,1,0)</f>
        <v>0</v>
      </c>
      <c r="J118" s="9">
        <f t="shared" si="52"/>
        <v>1</v>
      </c>
      <c r="K118" s="9">
        <f t="shared" si="53"/>
        <v>0</v>
      </c>
      <c r="L118" s="9">
        <f t="shared" si="54"/>
        <v>-6.5699999999992542E-2</v>
      </c>
      <c r="M118" s="9">
        <f>data!J118</f>
        <v>1.2</v>
      </c>
      <c r="N118" s="9">
        <f>data!I118</f>
        <v>3.375</v>
      </c>
      <c r="O118" s="9">
        <f>data!L118</f>
        <v>3</v>
      </c>
      <c r="P118" s="9">
        <f>data!K118</f>
        <v>0.15</v>
      </c>
      <c r="Q118" s="9">
        <f>data!R118</f>
        <v>-1.125</v>
      </c>
      <c r="R118" s="9">
        <f t="shared" si="55"/>
        <v>0.5</v>
      </c>
      <c r="S118" s="9">
        <f t="shared" si="56"/>
        <v>0.52500000000000013</v>
      </c>
      <c r="T118" s="9">
        <f t="shared" si="57"/>
        <v>0.8</v>
      </c>
      <c r="U118" s="9">
        <f t="shared" si="58"/>
        <v>0.8</v>
      </c>
      <c r="V118" s="9">
        <f t="shared" si="59"/>
        <v>0.55000000000000004</v>
      </c>
      <c r="W118" s="9">
        <f t="shared" si="60"/>
        <v>0.8</v>
      </c>
      <c r="X118" s="9">
        <f t="shared" si="61"/>
        <v>0.95</v>
      </c>
      <c r="Y118" s="9">
        <f t="shared" si="62"/>
        <v>0.8</v>
      </c>
      <c r="Z118" s="9">
        <f t="shared" si="63"/>
        <v>1.05</v>
      </c>
      <c r="AA118" s="9">
        <f t="shared" si="64"/>
        <v>2.4999999999999911E-2</v>
      </c>
      <c r="AB118" s="9">
        <f t="shared" si="65"/>
        <v>0.125</v>
      </c>
      <c r="AC118" s="9">
        <f t="shared" si="66"/>
        <v>0.375</v>
      </c>
      <c r="AD118" s="9">
        <f t="shared" si="67"/>
        <v>0.17499999999999982</v>
      </c>
      <c r="AE118" s="9">
        <f t="shared" si="68"/>
        <v>0.27499999999999991</v>
      </c>
      <c r="AF118" s="9">
        <f t="shared" si="69"/>
        <v>0.375</v>
      </c>
      <c r="AG118" s="9">
        <f t="shared" si="70"/>
        <v>0.27499999999999991</v>
      </c>
      <c r="AH118" s="9">
        <f t="shared" si="71"/>
        <v>2.4999999999999911E-2</v>
      </c>
      <c r="AI118" s="9">
        <f t="shared" si="72"/>
        <v>-0.125</v>
      </c>
      <c r="AJ118" s="9">
        <f t="shared" si="73"/>
        <v>-0.20000000000000018</v>
      </c>
      <c r="AK118" s="9">
        <f t="shared" si="74"/>
        <v>0.20000000000000018</v>
      </c>
      <c r="AL118" s="9">
        <f t="shared" si="75"/>
        <v>0.375</v>
      </c>
      <c r="AM118" s="9">
        <f t="shared" si="76"/>
        <v>0.10000000000000009</v>
      </c>
      <c r="AN118" s="9">
        <f t="shared" si="77"/>
        <v>0.25</v>
      </c>
      <c r="AO118" s="9">
        <f t="shared" si="78"/>
        <v>0.5</v>
      </c>
      <c r="AP118" s="9">
        <f t="shared" si="79"/>
        <v>0.25</v>
      </c>
      <c r="AQ118" s="9">
        <f t="shared" si="80"/>
        <v>0</v>
      </c>
      <c r="AR118" s="9">
        <f t="shared" si="81"/>
        <v>-4.9999999999999822E-2</v>
      </c>
      <c r="AS118" s="9">
        <f t="shared" si="82"/>
        <v>-9.9999999999999992E-2</v>
      </c>
      <c r="AT118" s="9">
        <f t="shared" si="83"/>
        <v>0.82499999999999996</v>
      </c>
      <c r="AU118" s="9">
        <f t="shared" si="84"/>
        <v>0.75</v>
      </c>
      <c r="AV118" s="9">
        <f t="shared" si="85"/>
        <v>0.35</v>
      </c>
      <c r="AW118" s="9">
        <f t="shared" si="86"/>
        <v>0.35</v>
      </c>
      <c r="AX118" s="9">
        <f t="shared" si="87"/>
        <v>0.85</v>
      </c>
      <c r="AY118" s="9">
        <f t="shared" si="88"/>
        <v>0.7</v>
      </c>
      <c r="AZ118" s="9">
        <f t="shared" si="89"/>
        <v>0.54999999999999993</v>
      </c>
      <c r="BA118" s="9">
        <f t="shared" si="90"/>
        <v>0.30000000000000004</v>
      </c>
      <c r="BB118" s="9">
        <f t="shared" si="91"/>
        <v>-0.25</v>
      </c>
      <c r="BC118" s="9">
        <f t="shared" si="92"/>
        <v>0.99</v>
      </c>
      <c r="BD118" s="9">
        <f t="shared" si="93"/>
        <v>1.0249999999999999</v>
      </c>
      <c r="BE118" s="9">
        <f t="shared" si="94"/>
        <v>0.625</v>
      </c>
      <c r="BF118" s="9">
        <f t="shared" si="95"/>
        <v>0.625</v>
      </c>
      <c r="BG118" s="9">
        <f t="shared" si="96"/>
        <v>0.875</v>
      </c>
      <c r="BH118" s="9">
        <f t="shared" si="97"/>
        <v>0.875</v>
      </c>
      <c r="BI118" s="9">
        <f t="shared" si="98"/>
        <v>0.875</v>
      </c>
      <c r="BJ118" s="9">
        <f t="shared" si="99"/>
        <v>0.625</v>
      </c>
    </row>
    <row r="119" spans="1:62" x14ac:dyDescent="0.2">
      <c r="A119" s="9">
        <f>data!M120-data!M119</f>
        <v>-0.54160000000000252</v>
      </c>
      <c r="B119" s="9">
        <f>data!C120-data!C119</f>
        <v>-1.0300000000000011</v>
      </c>
      <c r="C119" s="9">
        <f>data!D120-data!D119</f>
        <v>-0.40000000000000036</v>
      </c>
      <c r="D119" s="10">
        <f>data!B120-data!B119</f>
        <v>2.4999999999999994E-2</v>
      </c>
      <c r="E119" s="9">
        <f>data!E119-data!G119</f>
        <v>3.0735000000000001</v>
      </c>
      <c r="F119" s="9">
        <f>(data!E119-data!F119)-(data!G119-data!H119)</f>
        <v>-0.85070000000000046</v>
      </c>
      <c r="G119" s="9">
        <f t="shared" si="50"/>
        <v>1.7299999999999649E-2</v>
      </c>
      <c r="H119" s="9">
        <f t="shared" si="51"/>
        <v>-4.5999999999997154E-3</v>
      </c>
      <c r="I119" s="9">
        <f>IF(data!M120&gt; 111.81,1,0)</f>
        <v>0</v>
      </c>
      <c r="J119" s="9">
        <f t="shared" si="52"/>
        <v>1</v>
      </c>
      <c r="K119" s="9">
        <f t="shared" si="53"/>
        <v>0</v>
      </c>
      <c r="L119" s="9">
        <f t="shared" si="54"/>
        <v>-0.54160000000000252</v>
      </c>
      <c r="M119" s="9">
        <f>data!J119</f>
        <v>1.7</v>
      </c>
      <c r="N119" s="9">
        <f>data!I119</f>
        <v>3.4</v>
      </c>
      <c r="O119" s="9">
        <f>data!L119</f>
        <v>2.8</v>
      </c>
      <c r="P119" s="9">
        <f>data!K119</f>
        <v>0.05</v>
      </c>
      <c r="Q119" s="9">
        <f>data!R119</f>
        <v>-1.375</v>
      </c>
      <c r="R119" s="9">
        <f t="shared" si="55"/>
        <v>2.5000000000000133E-2</v>
      </c>
      <c r="S119" s="9">
        <f t="shared" si="56"/>
        <v>0.30000000000000004</v>
      </c>
      <c r="T119" s="9">
        <f t="shared" si="57"/>
        <v>0.30000000000000004</v>
      </c>
      <c r="U119" s="9">
        <f t="shared" si="58"/>
        <v>5.0000000000000044E-2</v>
      </c>
      <c r="V119" s="9">
        <f t="shared" si="59"/>
        <v>0.30000000000000004</v>
      </c>
      <c r="W119" s="9">
        <f t="shared" si="60"/>
        <v>0.44999999999999996</v>
      </c>
      <c r="X119" s="9">
        <f t="shared" si="61"/>
        <v>0.30000000000000004</v>
      </c>
      <c r="Y119" s="9">
        <f t="shared" si="62"/>
        <v>0.55000000000000004</v>
      </c>
      <c r="Z119" s="9">
        <f t="shared" si="63"/>
        <v>0.17500000000000004</v>
      </c>
      <c r="AA119" s="9">
        <f t="shared" si="64"/>
        <v>0.10000000000000009</v>
      </c>
      <c r="AB119" s="9">
        <f t="shared" si="65"/>
        <v>0.35000000000000009</v>
      </c>
      <c r="AC119" s="9">
        <f t="shared" si="66"/>
        <v>0.14999999999999991</v>
      </c>
      <c r="AD119" s="9">
        <f t="shared" si="67"/>
        <v>0.25</v>
      </c>
      <c r="AE119" s="9">
        <f t="shared" si="68"/>
        <v>0.35000000000000009</v>
      </c>
      <c r="AF119" s="9">
        <f t="shared" si="69"/>
        <v>0.25</v>
      </c>
      <c r="AG119" s="9">
        <f t="shared" si="70"/>
        <v>0</v>
      </c>
      <c r="AH119" s="9">
        <f t="shared" si="71"/>
        <v>-0.14999999999999991</v>
      </c>
      <c r="AI119" s="9">
        <f t="shared" si="72"/>
        <v>-0.39999999999999991</v>
      </c>
      <c r="AJ119" s="9">
        <f t="shared" si="73"/>
        <v>0.40000000000000036</v>
      </c>
      <c r="AK119" s="9">
        <f t="shared" si="74"/>
        <v>0.57500000000000018</v>
      </c>
      <c r="AL119" s="9">
        <f t="shared" si="75"/>
        <v>0.30000000000000027</v>
      </c>
      <c r="AM119" s="9">
        <f t="shared" si="76"/>
        <v>0.45000000000000018</v>
      </c>
      <c r="AN119" s="9">
        <f t="shared" si="77"/>
        <v>0.70000000000000018</v>
      </c>
      <c r="AO119" s="9">
        <f t="shared" si="78"/>
        <v>0.45000000000000018</v>
      </c>
      <c r="AP119" s="9">
        <f t="shared" si="79"/>
        <v>0.20000000000000018</v>
      </c>
      <c r="AQ119" s="9">
        <f t="shared" si="80"/>
        <v>0.15000000000000036</v>
      </c>
      <c r="AR119" s="9">
        <f t="shared" si="81"/>
        <v>-0.29999999999999982</v>
      </c>
      <c r="AS119" s="9">
        <f t="shared" si="82"/>
        <v>0.92499999999999993</v>
      </c>
      <c r="AT119" s="9">
        <f t="shared" si="83"/>
        <v>0.85</v>
      </c>
      <c r="AU119" s="9">
        <f t="shared" si="84"/>
        <v>0.45</v>
      </c>
      <c r="AV119" s="9">
        <f t="shared" si="85"/>
        <v>0.45</v>
      </c>
      <c r="AW119" s="9">
        <f t="shared" si="86"/>
        <v>0.95</v>
      </c>
      <c r="AX119" s="9">
        <f t="shared" si="87"/>
        <v>0.79999999999999993</v>
      </c>
      <c r="AY119" s="9">
        <f t="shared" si="88"/>
        <v>0.64999999999999991</v>
      </c>
      <c r="AZ119" s="9">
        <f t="shared" si="89"/>
        <v>0.4</v>
      </c>
      <c r="BA119" s="9">
        <f t="shared" si="90"/>
        <v>0.3</v>
      </c>
      <c r="BB119" s="9">
        <f t="shared" si="91"/>
        <v>1.24</v>
      </c>
      <c r="BC119" s="9">
        <f t="shared" si="92"/>
        <v>1.2749999999999999</v>
      </c>
      <c r="BD119" s="9">
        <f t="shared" si="93"/>
        <v>0.875</v>
      </c>
      <c r="BE119" s="9">
        <f t="shared" si="94"/>
        <v>0.875</v>
      </c>
      <c r="BF119" s="9">
        <f t="shared" si="95"/>
        <v>1.125</v>
      </c>
      <c r="BG119" s="9">
        <f t="shared" si="96"/>
        <v>1.125</v>
      </c>
      <c r="BH119" s="9">
        <f t="shared" si="97"/>
        <v>1.125</v>
      </c>
      <c r="BI119" s="9">
        <f t="shared" si="98"/>
        <v>0.875</v>
      </c>
      <c r="BJ119" s="9">
        <f t="shared" si="99"/>
        <v>0.25</v>
      </c>
    </row>
    <row r="120" spans="1:62" x14ac:dyDescent="0.2">
      <c r="A120" s="9">
        <f>data!M121-data!M120</f>
        <v>-0.54179999999999495</v>
      </c>
      <c r="B120" s="9">
        <f>data!C121-data!C120</f>
        <v>-0.12999999999999901</v>
      </c>
      <c r="C120" s="9">
        <f>data!D121-data!D120</f>
        <v>0.10000000000000053</v>
      </c>
      <c r="D120" s="10">
        <f>data!B121-data!B120</f>
        <v>-0.14999999999999997</v>
      </c>
      <c r="E120" s="9">
        <f>data!E120-data!G120</f>
        <v>3.0907999999999998</v>
      </c>
      <c r="F120" s="9">
        <f>(data!E120-data!F120)-(data!G120-data!H120)</f>
        <v>-0.85530000000000017</v>
      </c>
      <c r="G120" s="9">
        <f t="shared" si="50"/>
        <v>-0.1144999999999996</v>
      </c>
      <c r="H120" s="9">
        <f t="shared" si="51"/>
        <v>4.7200000000000575E-2</v>
      </c>
      <c r="I120" s="9">
        <f>IF(data!M121&gt; 111.81,1,0)</f>
        <v>0</v>
      </c>
      <c r="J120" s="9">
        <f t="shared" si="52"/>
        <v>1</v>
      </c>
      <c r="K120" s="9">
        <f t="shared" si="53"/>
        <v>0</v>
      </c>
      <c r="L120" s="9">
        <f t="shared" si="54"/>
        <v>-0.54179999999999495</v>
      </c>
      <c r="M120" s="9">
        <f>data!J120</f>
        <v>1.7250000000000001</v>
      </c>
      <c r="N120" s="9">
        <f>data!I120</f>
        <v>3.5</v>
      </c>
      <c r="O120" s="9">
        <f>data!L120</f>
        <v>3.2</v>
      </c>
      <c r="P120" s="9">
        <f>data!K120</f>
        <v>0.97499999999999998</v>
      </c>
      <c r="Q120" s="9">
        <f>data!R120</f>
        <v>-0.13500000000000001</v>
      </c>
      <c r="R120" s="9">
        <f t="shared" si="55"/>
        <v>0.27499999999999991</v>
      </c>
      <c r="S120" s="9">
        <f t="shared" si="56"/>
        <v>0.27499999999999991</v>
      </c>
      <c r="T120" s="9">
        <f t="shared" si="57"/>
        <v>2.4999999999999911E-2</v>
      </c>
      <c r="U120" s="9">
        <f t="shared" si="58"/>
        <v>0.27499999999999991</v>
      </c>
      <c r="V120" s="9">
        <f t="shared" si="59"/>
        <v>0.42499999999999982</v>
      </c>
      <c r="W120" s="9">
        <f t="shared" si="60"/>
        <v>0.27499999999999991</v>
      </c>
      <c r="X120" s="9">
        <f t="shared" si="61"/>
        <v>0.52499999999999991</v>
      </c>
      <c r="Y120" s="9">
        <f t="shared" si="62"/>
        <v>0.14999999999999991</v>
      </c>
      <c r="Z120" s="9">
        <f t="shared" si="63"/>
        <v>-2.5000000000000133E-2</v>
      </c>
      <c r="AA120" s="9">
        <f t="shared" si="64"/>
        <v>0.25</v>
      </c>
      <c r="AB120" s="9">
        <f t="shared" si="65"/>
        <v>4.9999999999999822E-2</v>
      </c>
      <c r="AC120" s="9">
        <f t="shared" si="66"/>
        <v>0.14999999999999991</v>
      </c>
      <c r="AD120" s="9">
        <f t="shared" si="67"/>
        <v>0.25</v>
      </c>
      <c r="AE120" s="9">
        <f t="shared" si="68"/>
        <v>0.14999999999999991</v>
      </c>
      <c r="AF120" s="9">
        <f t="shared" si="69"/>
        <v>-0.10000000000000009</v>
      </c>
      <c r="AG120" s="9">
        <f t="shared" si="70"/>
        <v>-0.25</v>
      </c>
      <c r="AH120" s="9">
        <f t="shared" si="71"/>
        <v>-0.5</v>
      </c>
      <c r="AI120" s="9">
        <f t="shared" si="72"/>
        <v>-1</v>
      </c>
      <c r="AJ120" s="9">
        <f t="shared" si="73"/>
        <v>0.17499999999999982</v>
      </c>
      <c r="AK120" s="9">
        <f t="shared" si="74"/>
        <v>-0.10000000000000009</v>
      </c>
      <c r="AL120" s="9">
        <f t="shared" si="75"/>
        <v>4.9999999999999822E-2</v>
      </c>
      <c r="AM120" s="9">
        <f t="shared" si="76"/>
        <v>0.29999999999999982</v>
      </c>
      <c r="AN120" s="9">
        <f t="shared" si="77"/>
        <v>4.9999999999999822E-2</v>
      </c>
      <c r="AO120" s="9">
        <f t="shared" si="78"/>
        <v>-0.20000000000000018</v>
      </c>
      <c r="AP120" s="9">
        <f t="shared" si="79"/>
        <v>-0.25</v>
      </c>
      <c r="AQ120" s="9">
        <f t="shared" si="80"/>
        <v>-0.70000000000000018</v>
      </c>
      <c r="AR120" s="9">
        <f t="shared" si="81"/>
        <v>-0.95000000000000018</v>
      </c>
      <c r="AS120" s="9">
        <f t="shared" si="82"/>
        <v>-7.4999999999999956E-2</v>
      </c>
      <c r="AT120" s="9">
        <f t="shared" si="83"/>
        <v>-0.47499999999999998</v>
      </c>
      <c r="AU120" s="9">
        <f t="shared" si="84"/>
        <v>-0.47499999999999998</v>
      </c>
      <c r="AV120" s="9">
        <f t="shared" si="85"/>
        <v>2.5000000000000022E-2</v>
      </c>
      <c r="AW120" s="9">
        <f t="shared" si="86"/>
        <v>-0.125</v>
      </c>
      <c r="AX120" s="9">
        <f t="shared" si="87"/>
        <v>-0.27500000000000002</v>
      </c>
      <c r="AY120" s="9">
        <f t="shared" si="88"/>
        <v>-0.52499999999999991</v>
      </c>
      <c r="AZ120" s="9">
        <f t="shared" si="89"/>
        <v>-0.625</v>
      </c>
      <c r="BA120" s="9">
        <f t="shared" si="90"/>
        <v>-1.2250000000000001</v>
      </c>
      <c r="BB120" s="9">
        <f t="shared" si="91"/>
        <v>3.5000000000000003E-2</v>
      </c>
      <c r="BC120" s="9">
        <f t="shared" si="92"/>
        <v>-0.36499999999999999</v>
      </c>
      <c r="BD120" s="9">
        <f t="shared" si="93"/>
        <v>-0.36499999999999999</v>
      </c>
      <c r="BE120" s="9">
        <f t="shared" si="94"/>
        <v>-0.11499999999999999</v>
      </c>
      <c r="BF120" s="9">
        <f t="shared" si="95"/>
        <v>-0.11499999999999999</v>
      </c>
      <c r="BG120" s="9">
        <f t="shared" si="96"/>
        <v>-0.11499999999999999</v>
      </c>
      <c r="BH120" s="9">
        <f t="shared" si="97"/>
        <v>-0.36499999999999999</v>
      </c>
      <c r="BI120" s="9">
        <f t="shared" si="98"/>
        <v>-0.99</v>
      </c>
      <c r="BJ120" s="9">
        <f t="shared" si="99"/>
        <v>-1.2150000000000001</v>
      </c>
    </row>
    <row r="121" spans="1:62" x14ac:dyDescent="0.2">
      <c r="A121" s="9">
        <f>data!M122-data!M121</f>
        <v>-0.15890000000000271</v>
      </c>
      <c r="B121" s="9">
        <f>data!C122-data!C121</f>
        <v>0.37999999999999901</v>
      </c>
      <c r="C121" s="9">
        <f>data!D122-data!D121</f>
        <v>-0.35000000000000053</v>
      </c>
      <c r="D121" s="10">
        <f>data!B122-data!B121</f>
        <v>-7.5000000000000011E-2</v>
      </c>
      <c r="E121" s="9">
        <f>data!E121-data!G121</f>
        <v>2.9763000000000002</v>
      </c>
      <c r="F121" s="9">
        <f>(data!E121-data!F121)-(data!G121-data!H121)</f>
        <v>-0.8080999999999996</v>
      </c>
      <c r="G121" s="9">
        <f t="shared" si="50"/>
        <v>8.7099999999999955E-2</v>
      </c>
      <c r="H121" s="9">
        <f t="shared" si="51"/>
        <v>8.7599999999999456E-2</v>
      </c>
      <c r="I121" s="9">
        <f>IF(data!M122&gt; 111.81,1,0)</f>
        <v>0</v>
      </c>
      <c r="J121" s="9">
        <f t="shared" si="52"/>
        <v>1</v>
      </c>
      <c r="K121" s="9">
        <f t="shared" si="53"/>
        <v>0</v>
      </c>
      <c r="L121" s="9">
        <f t="shared" si="54"/>
        <v>-0.15890000000000271</v>
      </c>
      <c r="M121" s="9">
        <f>data!J121</f>
        <v>2</v>
      </c>
      <c r="N121" s="9">
        <f>data!I121</f>
        <v>3.75</v>
      </c>
      <c r="O121" s="9">
        <f>data!L121</f>
        <v>3.375</v>
      </c>
      <c r="P121" s="9">
        <f>data!K121</f>
        <v>0.9</v>
      </c>
      <c r="Q121" s="9">
        <f>data!R121</f>
        <v>-0.1</v>
      </c>
      <c r="R121" s="9">
        <f t="shared" si="55"/>
        <v>0</v>
      </c>
      <c r="S121" s="9">
        <f t="shared" si="56"/>
        <v>-0.25</v>
      </c>
      <c r="T121" s="9">
        <f t="shared" si="57"/>
        <v>0</v>
      </c>
      <c r="U121" s="9">
        <f t="shared" si="58"/>
        <v>0.14999999999999991</v>
      </c>
      <c r="V121" s="9">
        <f t="shared" si="59"/>
        <v>0</v>
      </c>
      <c r="W121" s="9">
        <f t="shared" si="60"/>
        <v>0.25</v>
      </c>
      <c r="X121" s="9">
        <f t="shared" si="61"/>
        <v>-0.125</v>
      </c>
      <c r="Y121" s="9">
        <f t="shared" si="62"/>
        <v>-0.30000000000000004</v>
      </c>
      <c r="Z121" s="9">
        <f t="shared" si="63"/>
        <v>-1.4</v>
      </c>
      <c r="AA121" s="9">
        <f t="shared" si="64"/>
        <v>-0.20000000000000018</v>
      </c>
      <c r="AB121" s="9">
        <f t="shared" si="65"/>
        <v>-0.10000000000000009</v>
      </c>
      <c r="AC121" s="9">
        <f t="shared" si="66"/>
        <v>0</v>
      </c>
      <c r="AD121" s="9">
        <f t="shared" si="67"/>
        <v>-0.10000000000000009</v>
      </c>
      <c r="AE121" s="9">
        <f t="shared" si="68"/>
        <v>-0.35000000000000009</v>
      </c>
      <c r="AF121" s="9">
        <f t="shared" si="69"/>
        <v>-0.5</v>
      </c>
      <c r="AG121" s="9">
        <f t="shared" si="70"/>
        <v>-0.75</v>
      </c>
      <c r="AH121" s="9">
        <f t="shared" si="71"/>
        <v>-1.25</v>
      </c>
      <c r="AI121" s="9">
        <f t="shared" si="72"/>
        <v>-2.35</v>
      </c>
      <c r="AJ121" s="9">
        <f t="shared" si="73"/>
        <v>-0.27499999999999991</v>
      </c>
      <c r="AK121" s="9">
        <f t="shared" si="74"/>
        <v>-0.125</v>
      </c>
      <c r="AL121" s="9">
        <f t="shared" si="75"/>
        <v>0.125</v>
      </c>
      <c r="AM121" s="9">
        <f t="shared" si="76"/>
        <v>-0.125</v>
      </c>
      <c r="AN121" s="9">
        <f t="shared" si="77"/>
        <v>-0.375</v>
      </c>
      <c r="AO121" s="9">
        <f t="shared" si="78"/>
        <v>-0.42499999999999982</v>
      </c>
      <c r="AP121" s="9">
        <f t="shared" si="79"/>
        <v>-0.875</v>
      </c>
      <c r="AQ121" s="9">
        <f t="shared" si="80"/>
        <v>-1.125</v>
      </c>
      <c r="AR121" s="9">
        <f t="shared" si="81"/>
        <v>-2.7250000000000001</v>
      </c>
      <c r="AS121" s="9">
        <f t="shared" si="82"/>
        <v>-0.4</v>
      </c>
      <c r="AT121" s="9">
        <f t="shared" si="83"/>
        <v>-0.4</v>
      </c>
      <c r="AU121" s="9">
        <f t="shared" si="84"/>
        <v>9.9999999999999978E-2</v>
      </c>
      <c r="AV121" s="9">
        <f t="shared" si="85"/>
        <v>-5.0000000000000044E-2</v>
      </c>
      <c r="AW121" s="9">
        <f t="shared" si="86"/>
        <v>-0.20000000000000007</v>
      </c>
      <c r="AX121" s="9">
        <f t="shared" si="87"/>
        <v>-0.45</v>
      </c>
      <c r="AY121" s="9">
        <f t="shared" si="88"/>
        <v>-0.55000000000000004</v>
      </c>
      <c r="AZ121" s="9">
        <f t="shared" si="89"/>
        <v>-1.1499999999999999</v>
      </c>
      <c r="BA121" s="9">
        <f t="shared" si="90"/>
        <v>-2.9</v>
      </c>
      <c r="BB121" s="9">
        <f t="shared" si="91"/>
        <v>-0.4</v>
      </c>
      <c r="BC121" s="9">
        <f t="shared" si="92"/>
        <v>-0.4</v>
      </c>
      <c r="BD121" s="9">
        <f t="shared" si="93"/>
        <v>-0.15</v>
      </c>
      <c r="BE121" s="9">
        <f t="shared" si="94"/>
        <v>-0.15</v>
      </c>
      <c r="BF121" s="9">
        <f t="shared" si="95"/>
        <v>-0.15</v>
      </c>
      <c r="BG121" s="9">
        <f t="shared" si="96"/>
        <v>-0.4</v>
      </c>
      <c r="BH121" s="9">
        <f t="shared" si="97"/>
        <v>-1.0249999999999999</v>
      </c>
      <c r="BI121" s="9">
        <f t="shared" si="98"/>
        <v>-1.25</v>
      </c>
      <c r="BJ121" s="9">
        <f t="shared" si="99"/>
        <v>-3.15</v>
      </c>
    </row>
    <row r="122" spans="1:62" x14ac:dyDescent="0.2">
      <c r="A122" s="9">
        <f>data!M123-data!M122</f>
        <v>-9.8500000000001364E-2</v>
      </c>
      <c r="B122" s="9">
        <f>data!C123-data!C122</f>
        <v>0.46000000000000085</v>
      </c>
      <c r="C122" s="9">
        <f>data!D123-data!D122</f>
        <v>-4.9999999999999822E-2</v>
      </c>
      <c r="D122" s="10">
        <f>data!B123-data!B122</f>
        <v>0</v>
      </c>
      <c r="E122" s="9">
        <f>data!E122-data!G122</f>
        <v>3.0634000000000001</v>
      </c>
      <c r="F122" s="9">
        <f>(data!E122-data!F122)-(data!G122-data!H122)</f>
        <v>-0.72050000000000014</v>
      </c>
      <c r="G122" s="9">
        <f t="shared" si="50"/>
        <v>-6.0199999999999587E-2</v>
      </c>
      <c r="H122" s="9">
        <f t="shared" si="51"/>
        <v>-8.6799999999999655E-2</v>
      </c>
      <c r="I122" s="9">
        <f>IF(data!M123&gt; 111.81,1,0)</f>
        <v>0</v>
      </c>
      <c r="J122" s="9">
        <f t="shared" si="52"/>
        <v>1</v>
      </c>
      <c r="K122" s="9">
        <f t="shared" si="53"/>
        <v>0</v>
      </c>
      <c r="L122" s="9">
        <f t="shared" si="54"/>
        <v>-9.8500000000001364E-2</v>
      </c>
      <c r="M122" s="9">
        <f>data!J122</f>
        <v>2</v>
      </c>
      <c r="N122" s="9">
        <f>data!I122</f>
        <v>3.55</v>
      </c>
      <c r="O122" s="9">
        <f>data!L122</f>
        <v>3.1</v>
      </c>
      <c r="P122" s="9">
        <f>data!K122</f>
        <v>0.5</v>
      </c>
      <c r="Q122" s="9">
        <f>data!R122</f>
        <v>-0.5</v>
      </c>
      <c r="R122" s="9">
        <f t="shared" si="55"/>
        <v>-0.25</v>
      </c>
      <c r="S122" s="9">
        <f t="shared" si="56"/>
        <v>0</v>
      </c>
      <c r="T122" s="9">
        <f t="shared" si="57"/>
        <v>0.14999999999999991</v>
      </c>
      <c r="U122" s="9">
        <f t="shared" si="58"/>
        <v>0</v>
      </c>
      <c r="V122" s="9">
        <f t="shared" si="59"/>
        <v>0.25</v>
      </c>
      <c r="W122" s="9">
        <f t="shared" si="60"/>
        <v>-0.125</v>
      </c>
      <c r="X122" s="9">
        <f t="shared" si="61"/>
        <v>-0.30000000000000004</v>
      </c>
      <c r="Y122" s="9">
        <f t="shared" si="62"/>
        <v>-1.4</v>
      </c>
      <c r="Z122" s="9">
        <f t="shared" si="63"/>
        <v>-2.375</v>
      </c>
      <c r="AA122" s="9">
        <f t="shared" si="64"/>
        <v>0.10000000000000009</v>
      </c>
      <c r="AB122" s="9">
        <f t="shared" si="65"/>
        <v>0.20000000000000018</v>
      </c>
      <c r="AC122" s="9">
        <f t="shared" si="66"/>
        <v>0.10000000000000009</v>
      </c>
      <c r="AD122" s="9">
        <f t="shared" si="67"/>
        <v>-0.14999999999999991</v>
      </c>
      <c r="AE122" s="9">
        <f t="shared" si="68"/>
        <v>-0.29999999999999982</v>
      </c>
      <c r="AF122" s="9">
        <f t="shared" si="69"/>
        <v>-0.54999999999999982</v>
      </c>
      <c r="AG122" s="9">
        <f t="shared" si="70"/>
        <v>-1.0499999999999998</v>
      </c>
      <c r="AH122" s="9">
        <f t="shared" si="71"/>
        <v>-2.15</v>
      </c>
      <c r="AI122" s="9">
        <f t="shared" si="72"/>
        <v>-3.0999999999999996</v>
      </c>
      <c r="AJ122" s="9">
        <f t="shared" si="73"/>
        <v>0.14999999999999991</v>
      </c>
      <c r="AK122" s="9">
        <f t="shared" si="74"/>
        <v>0.39999999999999991</v>
      </c>
      <c r="AL122" s="9">
        <f t="shared" si="75"/>
        <v>0.14999999999999991</v>
      </c>
      <c r="AM122" s="9">
        <f t="shared" si="76"/>
        <v>-0.10000000000000009</v>
      </c>
      <c r="AN122" s="9">
        <f t="shared" si="77"/>
        <v>-0.14999999999999991</v>
      </c>
      <c r="AO122" s="9">
        <f t="shared" si="78"/>
        <v>-0.60000000000000009</v>
      </c>
      <c r="AP122" s="9">
        <f t="shared" si="79"/>
        <v>-0.85000000000000009</v>
      </c>
      <c r="AQ122" s="9">
        <f t="shared" si="80"/>
        <v>-2.4500000000000002</v>
      </c>
      <c r="AR122" s="9">
        <f t="shared" si="81"/>
        <v>-4.9749999999999996</v>
      </c>
      <c r="AS122" s="9">
        <f t="shared" si="82"/>
        <v>0</v>
      </c>
      <c r="AT122" s="9">
        <f t="shared" si="83"/>
        <v>0.5</v>
      </c>
      <c r="AU122" s="9">
        <f t="shared" si="84"/>
        <v>0.35</v>
      </c>
      <c r="AV122" s="9">
        <f t="shared" si="85"/>
        <v>0.19999999999999996</v>
      </c>
      <c r="AW122" s="9">
        <f t="shared" si="86"/>
        <v>-4.9999999999999989E-2</v>
      </c>
      <c r="AX122" s="9">
        <f t="shared" si="87"/>
        <v>-0.15000000000000002</v>
      </c>
      <c r="AY122" s="9">
        <f t="shared" si="88"/>
        <v>-0.75</v>
      </c>
      <c r="AZ122" s="9">
        <f t="shared" si="89"/>
        <v>-2.5</v>
      </c>
      <c r="BA122" s="9">
        <f t="shared" si="90"/>
        <v>-5.125</v>
      </c>
      <c r="BB122" s="9">
        <f t="shared" si="91"/>
        <v>0</v>
      </c>
      <c r="BC122" s="9">
        <f t="shared" si="92"/>
        <v>0.25</v>
      </c>
      <c r="BD122" s="9">
        <f t="shared" si="93"/>
        <v>0.25</v>
      </c>
      <c r="BE122" s="9">
        <f t="shared" si="94"/>
        <v>0.25</v>
      </c>
      <c r="BF122" s="9">
        <f t="shared" si="95"/>
        <v>0</v>
      </c>
      <c r="BG122" s="9">
        <f t="shared" si="96"/>
        <v>-0.625</v>
      </c>
      <c r="BH122" s="9">
        <f t="shared" si="97"/>
        <v>-0.85000000000000009</v>
      </c>
      <c r="BI122" s="9">
        <f t="shared" si="98"/>
        <v>-2.75</v>
      </c>
      <c r="BJ122" s="9">
        <f t="shared" si="99"/>
        <v>-6.0750000000000002</v>
      </c>
    </row>
    <row r="123" spans="1:62" x14ac:dyDescent="0.2">
      <c r="A123" s="9">
        <f>data!M124-data!M123</f>
        <v>9.1700000000003001E-2</v>
      </c>
      <c r="B123" s="9">
        <f>data!C124-data!C123</f>
        <v>3.9999999999999147E-2</v>
      </c>
      <c r="C123" s="9">
        <f>data!D124-data!D123</f>
        <v>-0.125</v>
      </c>
      <c r="D123" s="10">
        <f>data!B124-data!B123</f>
        <v>9.9999999999999978E-2</v>
      </c>
      <c r="E123" s="9">
        <f>data!E123-data!G123</f>
        <v>3.0032000000000005</v>
      </c>
      <c r="F123" s="9">
        <f>(data!E123-data!F123)-(data!G123-data!H123)</f>
        <v>-0.8072999999999998</v>
      </c>
      <c r="G123" s="9">
        <f t="shared" si="50"/>
        <v>1.5499999999999847E-2</v>
      </c>
      <c r="H123" s="9">
        <f t="shared" si="51"/>
        <v>-2.9999999999963389E-4</v>
      </c>
      <c r="I123" s="9">
        <f>IF(data!M124&gt; 111.81,1,0)</f>
        <v>0</v>
      </c>
      <c r="J123" s="9">
        <f t="shared" si="52"/>
        <v>1</v>
      </c>
      <c r="K123" s="9">
        <f t="shared" si="53"/>
        <v>0</v>
      </c>
      <c r="L123" s="9">
        <f t="shared" si="54"/>
        <v>9.1700000000003001E-2</v>
      </c>
      <c r="M123" s="9">
        <f>data!J123</f>
        <v>1.75</v>
      </c>
      <c r="N123" s="9">
        <f>data!I123</f>
        <v>3.65</v>
      </c>
      <c r="O123" s="9">
        <f>data!L123</f>
        <v>3.25</v>
      </c>
      <c r="P123" s="9">
        <f>data!K123</f>
        <v>0.5</v>
      </c>
      <c r="Q123" s="9">
        <f>data!R123</f>
        <v>-0.5</v>
      </c>
      <c r="R123" s="9">
        <f t="shared" si="55"/>
        <v>0.25</v>
      </c>
      <c r="S123" s="9">
        <f t="shared" si="56"/>
        <v>0.39999999999999991</v>
      </c>
      <c r="T123" s="9">
        <f t="shared" si="57"/>
        <v>0.25</v>
      </c>
      <c r="U123" s="9">
        <f t="shared" si="58"/>
        <v>0.5</v>
      </c>
      <c r="V123" s="9">
        <f t="shared" si="59"/>
        <v>0.125</v>
      </c>
      <c r="W123" s="9">
        <f t="shared" si="60"/>
        <v>-5.0000000000000044E-2</v>
      </c>
      <c r="X123" s="9">
        <f t="shared" si="61"/>
        <v>-1.1499999999999999</v>
      </c>
      <c r="Y123" s="9">
        <f t="shared" si="62"/>
        <v>-2.125</v>
      </c>
      <c r="Z123" s="9">
        <f t="shared" si="63"/>
        <v>-1.25</v>
      </c>
      <c r="AA123" s="9">
        <f t="shared" si="64"/>
        <v>0.10000000000000009</v>
      </c>
      <c r="AB123" s="9">
        <f t="shared" si="65"/>
        <v>0</v>
      </c>
      <c r="AC123" s="9">
        <f t="shared" si="66"/>
        <v>-0.25</v>
      </c>
      <c r="AD123" s="9">
        <f t="shared" si="67"/>
        <v>-0.39999999999999991</v>
      </c>
      <c r="AE123" s="9">
        <f t="shared" si="68"/>
        <v>-0.64999999999999991</v>
      </c>
      <c r="AF123" s="9">
        <f t="shared" si="69"/>
        <v>-1.1499999999999999</v>
      </c>
      <c r="AG123" s="9">
        <f t="shared" si="70"/>
        <v>-2.25</v>
      </c>
      <c r="AH123" s="9">
        <f t="shared" si="71"/>
        <v>-3.1999999999999997</v>
      </c>
      <c r="AI123" s="9">
        <f t="shared" si="72"/>
        <v>-2.4</v>
      </c>
      <c r="AJ123" s="9">
        <f t="shared" si="73"/>
        <v>0.25</v>
      </c>
      <c r="AK123" s="9">
        <f t="shared" si="74"/>
        <v>0</v>
      </c>
      <c r="AL123" s="9">
        <f t="shared" si="75"/>
        <v>-0.25</v>
      </c>
      <c r="AM123" s="9">
        <f t="shared" si="76"/>
        <v>-0.29999999999999982</v>
      </c>
      <c r="AN123" s="9">
        <f t="shared" si="77"/>
        <v>-0.75</v>
      </c>
      <c r="AO123" s="9">
        <f t="shared" si="78"/>
        <v>-1</v>
      </c>
      <c r="AP123" s="9">
        <f t="shared" si="79"/>
        <v>-2.6</v>
      </c>
      <c r="AQ123" s="9">
        <f t="shared" si="80"/>
        <v>-5.125</v>
      </c>
      <c r="AR123" s="9">
        <f t="shared" si="81"/>
        <v>-3.3</v>
      </c>
      <c r="AS123" s="9">
        <f t="shared" si="82"/>
        <v>0.5</v>
      </c>
      <c r="AT123" s="9">
        <f t="shared" si="83"/>
        <v>0.35</v>
      </c>
      <c r="AU123" s="9">
        <f t="shared" si="84"/>
        <v>0.19999999999999996</v>
      </c>
      <c r="AV123" s="9">
        <f t="shared" si="85"/>
        <v>-4.9999999999999989E-2</v>
      </c>
      <c r="AW123" s="9">
        <f t="shared" si="86"/>
        <v>-0.15000000000000002</v>
      </c>
      <c r="AX123" s="9">
        <f t="shared" si="87"/>
        <v>-0.75</v>
      </c>
      <c r="AY123" s="9">
        <f t="shared" si="88"/>
        <v>-2.5</v>
      </c>
      <c r="AZ123" s="9">
        <f t="shared" si="89"/>
        <v>-5.125</v>
      </c>
      <c r="BA123" s="9">
        <f t="shared" si="90"/>
        <v>-4.0625</v>
      </c>
      <c r="BB123" s="9">
        <f t="shared" si="91"/>
        <v>0.25</v>
      </c>
      <c r="BC123" s="9">
        <f t="shared" si="92"/>
        <v>0.25</v>
      </c>
      <c r="BD123" s="9">
        <f t="shared" si="93"/>
        <v>0.25</v>
      </c>
      <c r="BE123" s="9">
        <f t="shared" si="94"/>
        <v>0</v>
      </c>
      <c r="BF123" s="9">
        <f t="shared" si="95"/>
        <v>-0.625</v>
      </c>
      <c r="BG123" s="9">
        <f t="shared" si="96"/>
        <v>-0.85000000000000009</v>
      </c>
      <c r="BH123" s="9">
        <f t="shared" si="97"/>
        <v>-2.75</v>
      </c>
      <c r="BI123" s="9">
        <f t="shared" si="98"/>
        <v>-6.0750000000000002</v>
      </c>
      <c r="BJ123" s="9">
        <f t="shared" si="99"/>
        <v>-4.25</v>
      </c>
    </row>
    <row r="124" spans="1:62" x14ac:dyDescent="0.2">
      <c r="A124" s="9">
        <f>data!M125-data!M124</f>
        <v>-0.34619999999999607</v>
      </c>
      <c r="B124" s="9">
        <f>data!C125-data!C124</f>
        <v>-0.1899999999999995</v>
      </c>
      <c r="C124" s="9">
        <f>data!D125-data!D124</f>
        <v>-0.34999999999999964</v>
      </c>
      <c r="D124" s="10">
        <f>data!B125-data!B124</f>
        <v>-4.9999999999999989E-2</v>
      </c>
      <c r="E124" s="9">
        <f>data!E124-data!G124</f>
        <v>3.0187000000000004</v>
      </c>
      <c r="F124" s="9">
        <f>(data!E124-data!F124)-(data!G124-data!H124)</f>
        <v>-0.80759999999999943</v>
      </c>
      <c r="G124" s="9">
        <f t="shared" si="50"/>
        <v>0.13639999999999919</v>
      </c>
      <c r="H124" s="9">
        <f t="shared" si="51"/>
        <v>2.789999999999937E-2</v>
      </c>
      <c r="I124" s="9">
        <f>IF(data!M125&gt; 111.81,1,0)</f>
        <v>0</v>
      </c>
      <c r="J124" s="9">
        <f t="shared" si="52"/>
        <v>1</v>
      </c>
      <c r="K124" s="9">
        <f t="shared" si="53"/>
        <v>0</v>
      </c>
      <c r="L124" s="9">
        <f t="shared" si="54"/>
        <v>-0.34619999999999607</v>
      </c>
      <c r="M124" s="9">
        <f>data!J124</f>
        <v>2</v>
      </c>
      <c r="N124" s="9">
        <f>data!I124</f>
        <v>3.75</v>
      </c>
      <c r="O124" s="9">
        <f>data!L124</f>
        <v>3.5</v>
      </c>
      <c r="P124" s="9">
        <f>data!K124</f>
        <v>1</v>
      </c>
      <c r="Q124" s="9">
        <f>data!R124</f>
        <v>-0.25</v>
      </c>
      <c r="R124" s="9">
        <f t="shared" si="55"/>
        <v>0.14999999999999991</v>
      </c>
      <c r="S124" s="9">
        <f t="shared" si="56"/>
        <v>0</v>
      </c>
      <c r="T124" s="9">
        <f t="shared" si="57"/>
        <v>0.25</v>
      </c>
      <c r="U124" s="9">
        <f t="shared" si="58"/>
        <v>-0.125</v>
      </c>
      <c r="V124" s="9">
        <f t="shared" si="59"/>
        <v>-0.30000000000000004</v>
      </c>
      <c r="W124" s="9">
        <f t="shared" si="60"/>
        <v>-1.4</v>
      </c>
      <c r="X124" s="9">
        <f t="shared" si="61"/>
        <v>-2.375</v>
      </c>
      <c r="Y124" s="9">
        <f t="shared" si="62"/>
        <v>-1.5</v>
      </c>
      <c r="Z124" s="9">
        <f t="shared" si="63"/>
        <v>-1.5</v>
      </c>
      <c r="AA124" s="9">
        <f t="shared" si="64"/>
        <v>-0.10000000000000009</v>
      </c>
      <c r="AB124" s="9">
        <f t="shared" si="65"/>
        <v>-0.35000000000000009</v>
      </c>
      <c r="AC124" s="9">
        <f t="shared" si="66"/>
        <v>-0.5</v>
      </c>
      <c r="AD124" s="9">
        <f t="shared" si="67"/>
        <v>-0.75</v>
      </c>
      <c r="AE124" s="9">
        <f t="shared" si="68"/>
        <v>-1.25</v>
      </c>
      <c r="AF124" s="9">
        <f t="shared" si="69"/>
        <v>-2.35</v>
      </c>
      <c r="AG124" s="9">
        <f t="shared" si="70"/>
        <v>-3.3</v>
      </c>
      <c r="AH124" s="9">
        <f t="shared" si="71"/>
        <v>-2.5</v>
      </c>
      <c r="AI124" s="9">
        <f t="shared" si="72"/>
        <v>-2.35</v>
      </c>
      <c r="AJ124" s="9">
        <f t="shared" si="73"/>
        <v>-0.25</v>
      </c>
      <c r="AK124" s="9">
        <f t="shared" si="74"/>
        <v>-0.5</v>
      </c>
      <c r="AL124" s="9">
        <f t="shared" si="75"/>
        <v>-0.54999999999999982</v>
      </c>
      <c r="AM124" s="9">
        <f t="shared" si="76"/>
        <v>-1</v>
      </c>
      <c r="AN124" s="9">
        <f t="shared" si="77"/>
        <v>-1.25</v>
      </c>
      <c r="AO124" s="9">
        <f t="shared" si="78"/>
        <v>-2.85</v>
      </c>
      <c r="AP124" s="9">
        <f t="shared" si="79"/>
        <v>-5.375</v>
      </c>
      <c r="AQ124" s="9">
        <f t="shared" si="80"/>
        <v>-3.55</v>
      </c>
      <c r="AR124" s="9">
        <f t="shared" si="81"/>
        <v>-3.3</v>
      </c>
      <c r="AS124" s="9">
        <f t="shared" si="82"/>
        <v>-0.15000000000000002</v>
      </c>
      <c r="AT124" s="9">
        <f t="shared" si="83"/>
        <v>-0.30000000000000004</v>
      </c>
      <c r="AU124" s="9">
        <f t="shared" si="84"/>
        <v>-0.55000000000000004</v>
      </c>
      <c r="AV124" s="9">
        <f t="shared" si="85"/>
        <v>-0.65</v>
      </c>
      <c r="AW124" s="9">
        <f t="shared" si="86"/>
        <v>-1.25</v>
      </c>
      <c r="AX124" s="9">
        <f t="shared" si="87"/>
        <v>-3</v>
      </c>
      <c r="AY124" s="9">
        <f t="shared" si="88"/>
        <v>-5.625</v>
      </c>
      <c r="AZ124" s="9">
        <f t="shared" si="89"/>
        <v>-4.5625</v>
      </c>
      <c r="BA124" s="9">
        <f t="shared" si="90"/>
        <v>-4.5</v>
      </c>
      <c r="BB124" s="9">
        <f t="shared" si="91"/>
        <v>0</v>
      </c>
      <c r="BC124" s="9">
        <f t="shared" si="92"/>
        <v>0</v>
      </c>
      <c r="BD124" s="9">
        <f t="shared" si="93"/>
        <v>-0.25</v>
      </c>
      <c r="BE124" s="9">
        <f t="shared" si="94"/>
        <v>-0.875</v>
      </c>
      <c r="BF124" s="9">
        <f t="shared" si="95"/>
        <v>-1.1000000000000001</v>
      </c>
      <c r="BG124" s="9">
        <f t="shared" si="96"/>
        <v>-3</v>
      </c>
      <c r="BH124" s="9">
        <f t="shared" si="97"/>
        <v>-6.3250000000000002</v>
      </c>
      <c r="BI124" s="9">
        <f t="shared" si="98"/>
        <v>-4.5</v>
      </c>
      <c r="BJ124" s="9">
        <f t="shared" si="99"/>
        <v>-4.5</v>
      </c>
    </row>
    <row r="125" spans="1:62" x14ac:dyDescent="0.2">
      <c r="A125" s="9">
        <f>data!M126-data!M125</f>
        <v>-0.15510000000000446</v>
      </c>
      <c r="B125" s="9">
        <f>data!C126-data!C125</f>
        <v>0.58000000000000007</v>
      </c>
      <c r="C125" s="9">
        <f>data!D126-data!D125</f>
        <v>0.125</v>
      </c>
      <c r="D125" s="10">
        <f>data!B126-data!B125</f>
        <v>-2.5000000000000022E-2</v>
      </c>
      <c r="E125" s="9">
        <f>data!E125-data!G125</f>
        <v>3.1550999999999996</v>
      </c>
      <c r="F125" s="9">
        <f>(data!E125-data!F125)-(data!G125-data!H125)</f>
        <v>-0.77970000000000006</v>
      </c>
      <c r="G125" s="9">
        <f t="shared" si="50"/>
        <v>-2.589999999999959E-2</v>
      </c>
      <c r="H125" s="9">
        <f t="shared" si="51"/>
        <v>-1.9400000000000306E-2</v>
      </c>
      <c r="I125" s="9">
        <f>IF(data!M126&gt; 111.81,1,0)</f>
        <v>0</v>
      </c>
      <c r="J125" s="9">
        <f t="shared" si="52"/>
        <v>1</v>
      </c>
      <c r="K125" s="9">
        <f t="shared" si="53"/>
        <v>0</v>
      </c>
      <c r="L125" s="9">
        <f t="shared" si="54"/>
        <v>-0.15510000000000446</v>
      </c>
      <c r="M125" s="9">
        <f>data!J125</f>
        <v>2.15</v>
      </c>
      <c r="N125" s="9">
        <f>data!I125</f>
        <v>3.65</v>
      </c>
      <c r="O125" s="9">
        <f>data!L125</f>
        <v>3.25</v>
      </c>
      <c r="P125" s="9">
        <f>data!K125</f>
        <v>0.85</v>
      </c>
      <c r="Q125" s="9">
        <f>data!R125</f>
        <v>-0.25</v>
      </c>
      <c r="R125" s="9">
        <f t="shared" si="55"/>
        <v>-0.14999999999999991</v>
      </c>
      <c r="S125" s="9">
        <f t="shared" si="56"/>
        <v>0.10000000000000009</v>
      </c>
      <c r="T125" s="9">
        <f t="shared" si="57"/>
        <v>-0.27499999999999991</v>
      </c>
      <c r="U125" s="9">
        <f t="shared" si="58"/>
        <v>-0.44999999999999996</v>
      </c>
      <c r="V125" s="9">
        <f t="shared" si="59"/>
        <v>-1.5499999999999998</v>
      </c>
      <c r="W125" s="9">
        <f t="shared" si="60"/>
        <v>-2.5249999999999999</v>
      </c>
      <c r="X125" s="9">
        <f t="shared" si="61"/>
        <v>-1.65</v>
      </c>
      <c r="Y125" s="9">
        <f t="shared" si="62"/>
        <v>-1.65</v>
      </c>
      <c r="Z125" s="9">
        <f t="shared" si="63"/>
        <v>-1.65</v>
      </c>
      <c r="AA125" s="9">
        <f t="shared" si="64"/>
        <v>-0.25</v>
      </c>
      <c r="AB125" s="9">
        <f t="shared" si="65"/>
        <v>-0.39999999999999991</v>
      </c>
      <c r="AC125" s="9">
        <f t="shared" si="66"/>
        <v>-0.64999999999999991</v>
      </c>
      <c r="AD125" s="9">
        <f t="shared" si="67"/>
        <v>-1.1499999999999999</v>
      </c>
      <c r="AE125" s="9">
        <f t="shared" si="68"/>
        <v>-2.25</v>
      </c>
      <c r="AF125" s="9">
        <f t="shared" si="69"/>
        <v>-3.1999999999999997</v>
      </c>
      <c r="AG125" s="9">
        <f t="shared" si="70"/>
        <v>-2.4</v>
      </c>
      <c r="AH125" s="9">
        <f t="shared" si="71"/>
        <v>-2.25</v>
      </c>
      <c r="AI125" s="9">
        <f t="shared" si="72"/>
        <v>-2.65</v>
      </c>
      <c r="AJ125" s="9">
        <f t="shared" si="73"/>
        <v>-0.25</v>
      </c>
      <c r="AK125" s="9">
        <f t="shared" si="74"/>
        <v>-0.29999999999999982</v>
      </c>
      <c r="AL125" s="9">
        <f t="shared" si="75"/>
        <v>-0.75</v>
      </c>
      <c r="AM125" s="9">
        <f t="shared" si="76"/>
        <v>-1</v>
      </c>
      <c r="AN125" s="9">
        <f t="shared" si="77"/>
        <v>-2.6</v>
      </c>
      <c r="AO125" s="9">
        <f t="shared" si="78"/>
        <v>-5.125</v>
      </c>
      <c r="AP125" s="9">
        <f t="shared" si="79"/>
        <v>-3.3</v>
      </c>
      <c r="AQ125" s="9">
        <f t="shared" si="80"/>
        <v>-3.05</v>
      </c>
      <c r="AR125" s="9">
        <f t="shared" si="81"/>
        <v>-3.45</v>
      </c>
      <c r="AS125" s="9">
        <f t="shared" si="82"/>
        <v>-0.15000000000000002</v>
      </c>
      <c r="AT125" s="9">
        <f t="shared" si="83"/>
        <v>-0.39999999999999997</v>
      </c>
      <c r="AU125" s="9">
        <f t="shared" si="84"/>
        <v>-0.5</v>
      </c>
      <c r="AV125" s="9">
        <f t="shared" si="85"/>
        <v>-1.1000000000000001</v>
      </c>
      <c r="AW125" s="9">
        <f t="shared" si="86"/>
        <v>-2.85</v>
      </c>
      <c r="AX125" s="9">
        <f t="shared" si="87"/>
        <v>-5.4749999999999996</v>
      </c>
      <c r="AY125" s="9">
        <f t="shared" si="88"/>
        <v>-4.4124999999999996</v>
      </c>
      <c r="AZ125" s="9">
        <f t="shared" si="89"/>
        <v>-4.3499999999999996</v>
      </c>
      <c r="BA125" s="9">
        <f t="shared" si="90"/>
        <v>-4.6499999999999995</v>
      </c>
      <c r="BB125" s="9">
        <f t="shared" si="91"/>
        <v>0</v>
      </c>
      <c r="BC125" s="9">
        <f t="shared" si="92"/>
        <v>-0.25</v>
      </c>
      <c r="BD125" s="9">
        <f t="shared" si="93"/>
        <v>-0.875</v>
      </c>
      <c r="BE125" s="9">
        <f t="shared" si="94"/>
        <v>-1.1000000000000001</v>
      </c>
      <c r="BF125" s="9">
        <f t="shared" si="95"/>
        <v>-3</v>
      </c>
      <c r="BG125" s="9">
        <f t="shared" si="96"/>
        <v>-6.3250000000000002</v>
      </c>
      <c r="BH125" s="9">
        <f t="shared" si="97"/>
        <v>-4.5</v>
      </c>
      <c r="BI125" s="9">
        <f t="shared" si="98"/>
        <v>-4.5</v>
      </c>
      <c r="BJ125" s="9">
        <f t="shared" si="99"/>
        <v>-4.9000000000000004</v>
      </c>
    </row>
    <row r="126" spans="1:62" x14ac:dyDescent="0.2">
      <c r="A126" s="9">
        <f>data!M127-data!M126</f>
        <v>-0.37019999999999698</v>
      </c>
      <c r="B126" s="9">
        <f>data!C127-data!C126</f>
        <v>-0.5600000000000005</v>
      </c>
      <c r="C126" s="9">
        <f>data!D127-data!D126</f>
        <v>-0.22500000000000053</v>
      </c>
      <c r="D126" s="10">
        <f>data!B127-data!B126</f>
        <v>2.5000000000000022E-2</v>
      </c>
      <c r="E126" s="9">
        <f>data!E126-data!G126</f>
        <v>3.1292</v>
      </c>
      <c r="F126" s="9">
        <f>(data!E126-data!F126)-(data!G126-data!H126)</f>
        <v>-0.79910000000000037</v>
      </c>
      <c r="G126" s="9">
        <f t="shared" si="50"/>
        <v>4.0399999999999991E-2</v>
      </c>
      <c r="H126" s="9">
        <f t="shared" si="51"/>
        <v>-7.799999999999585E-3</v>
      </c>
      <c r="I126" s="9">
        <f>IF(data!M127&gt; 111.81,1,0)</f>
        <v>0</v>
      </c>
      <c r="J126" s="9">
        <f t="shared" si="52"/>
        <v>1</v>
      </c>
      <c r="K126" s="9">
        <f t="shared" si="53"/>
        <v>0</v>
      </c>
      <c r="L126" s="9">
        <f t="shared" si="54"/>
        <v>-0.37019999999999698</v>
      </c>
      <c r="M126" s="9">
        <f>data!J126</f>
        <v>2</v>
      </c>
      <c r="N126" s="9">
        <f>data!I126</f>
        <v>3.4</v>
      </c>
      <c r="O126" s="9">
        <f>data!L126</f>
        <v>3</v>
      </c>
      <c r="P126" s="9">
        <f>data!K126</f>
        <v>0.7</v>
      </c>
      <c r="Q126" s="9">
        <f>data!R126</f>
        <v>-0.25</v>
      </c>
      <c r="R126" s="9">
        <f t="shared" si="55"/>
        <v>0.25</v>
      </c>
      <c r="S126" s="9">
        <f t="shared" si="56"/>
        <v>-0.125</v>
      </c>
      <c r="T126" s="9">
        <f t="shared" si="57"/>
        <v>-0.30000000000000004</v>
      </c>
      <c r="U126" s="9">
        <f t="shared" si="58"/>
        <v>-1.4</v>
      </c>
      <c r="V126" s="9">
        <f t="shared" si="59"/>
        <v>-2.375</v>
      </c>
      <c r="W126" s="9">
        <f t="shared" si="60"/>
        <v>-1.5</v>
      </c>
      <c r="X126" s="9">
        <f t="shared" si="61"/>
        <v>-1.5</v>
      </c>
      <c r="Y126" s="9">
        <f t="shared" si="62"/>
        <v>-1.5</v>
      </c>
      <c r="Z126" s="9">
        <f t="shared" si="63"/>
        <v>-0.8</v>
      </c>
      <c r="AA126" s="9">
        <f t="shared" si="64"/>
        <v>-0.14999999999999991</v>
      </c>
      <c r="AB126" s="9">
        <f t="shared" si="65"/>
        <v>-0.39999999999999991</v>
      </c>
      <c r="AC126" s="9">
        <f t="shared" si="66"/>
        <v>-0.89999999999999991</v>
      </c>
      <c r="AD126" s="9">
        <f t="shared" si="67"/>
        <v>-2</v>
      </c>
      <c r="AE126" s="9">
        <f t="shared" si="68"/>
        <v>-2.9499999999999997</v>
      </c>
      <c r="AF126" s="9">
        <f t="shared" si="69"/>
        <v>-2.15</v>
      </c>
      <c r="AG126" s="9">
        <f t="shared" si="70"/>
        <v>-2</v>
      </c>
      <c r="AH126" s="9">
        <f t="shared" si="71"/>
        <v>-2.4</v>
      </c>
      <c r="AI126" s="9">
        <f t="shared" si="72"/>
        <v>-0.39999999999999991</v>
      </c>
      <c r="AJ126" s="9">
        <f t="shared" si="73"/>
        <v>-4.9999999999999822E-2</v>
      </c>
      <c r="AK126" s="9">
        <f t="shared" si="74"/>
        <v>-0.5</v>
      </c>
      <c r="AL126" s="9">
        <f t="shared" si="75"/>
        <v>-0.75</v>
      </c>
      <c r="AM126" s="9">
        <f t="shared" si="76"/>
        <v>-2.35</v>
      </c>
      <c r="AN126" s="9">
        <f t="shared" si="77"/>
        <v>-4.875</v>
      </c>
      <c r="AO126" s="9">
        <f t="shared" si="78"/>
        <v>-3.05</v>
      </c>
      <c r="AP126" s="9">
        <f t="shared" si="79"/>
        <v>-2.8</v>
      </c>
      <c r="AQ126" s="9">
        <f t="shared" si="80"/>
        <v>-3.2</v>
      </c>
      <c r="AR126" s="9">
        <f t="shared" si="81"/>
        <v>-1.36</v>
      </c>
      <c r="AS126" s="9">
        <f t="shared" si="82"/>
        <v>-0.24999999999999994</v>
      </c>
      <c r="AT126" s="9">
        <f t="shared" si="83"/>
        <v>-0.35</v>
      </c>
      <c r="AU126" s="9">
        <f t="shared" si="84"/>
        <v>-0.95</v>
      </c>
      <c r="AV126" s="9">
        <f t="shared" si="85"/>
        <v>-2.7</v>
      </c>
      <c r="AW126" s="9">
        <f t="shared" si="86"/>
        <v>-5.3250000000000002</v>
      </c>
      <c r="AX126" s="9">
        <f t="shared" si="87"/>
        <v>-4.2625000000000002</v>
      </c>
      <c r="AY126" s="9">
        <f t="shared" si="88"/>
        <v>-4.2</v>
      </c>
      <c r="AZ126" s="9">
        <f t="shared" si="89"/>
        <v>-4.5</v>
      </c>
      <c r="BA126" s="9">
        <f t="shared" si="90"/>
        <v>-2.9000000000000004</v>
      </c>
      <c r="BB126" s="9">
        <f t="shared" si="91"/>
        <v>-0.25</v>
      </c>
      <c r="BC126" s="9">
        <f t="shared" si="92"/>
        <v>-0.875</v>
      </c>
      <c r="BD126" s="9">
        <f t="shared" si="93"/>
        <v>-1.1000000000000001</v>
      </c>
      <c r="BE126" s="9">
        <f t="shared" si="94"/>
        <v>-3</v>
      </c>
      <c r="BF126" s="9">
        <f t="shared" si="95"/>
        <v>-6.3250000000000002</v>
      </c>
      <c r="BG126" s="9">
        <f t="shared" si="96"/>
        <v>-4.5</v>
      </c>
      <c r="BH126" s="9">
        <f t="shared" si="97"/>
        <v>-4.5</v>
      </c>
      <c r="BI126" s="9">
        <f t="shared" si="98"/>
        <v>-4.9000000000000004</v>
      </c>
      <c r="BJ126" s="9">
        <f t="shared" si="99"/>
        <v>-3.43</v>
      </c>
    </row>
    <row r="127" spans="1:62" x14ac:dyDescent="0.2">
      <c r="A127" s="9">
        <f>data!M128-data!M127</f>
        <v>0.62789999999999679</v>
      </c>
      <c r="B127" s="9">
        <f>data!C128-data!C127</f>
        <v>2.0600000000000005</v>
      </c>
      <c r="C127" s="9">
        <f>data!D128-data!D127</f>
        <v>0.42499999999999982</v>
      </c>
      <c r="D127" s="10">
        <f>data!B128-data!B127</f>
        <v>4.9999999999999989E-2</v>
      </c>
      <c r="E127" s="9">
        <f>data!E127-data!G127</f>
        <v>3.1696</v>
      </c>
      <c r="F127" s="9">
        <f>(data!E127-data!F127)-(data!G127-data!H127)</f>
        <v>-0.80689999999999995</v>
      </c>
      <c r="G127" s="9">
        <f t="shared" si="50"/>
        <v>3.1500000000000306E-2</v>
      </c>
      <c r="H127" s="9">
        <f t="shared" si="51"/>
        <v>7.1399999999999908E-2</v>
      </c>
      <c r="I127" s="9">
        <f>IF(data!M128&gt; 111.81,1,0)</f>
        <v>0</v>
      </c>
      <c r="J127" s="9">
        <f t="shared" si="52"/>
        <v>1</v>
      </c>
      <c r="K127" s="9">
        <f t="shared" si="53"/>
        <v>0</v>
      </c>
      <c r="L127" s="9">
        <f t="shared" si="54"/>
        <v>0.62789999999999679</v>
      </c>
      <c r="M127" s="9">
        <f>data!J127</f>
        <v>2.25</v>
      </c>
      <c r="N127" s="9">
        <f>data!I127</f>
        <v>3.25</v>
      </c>
      <c r="O127" s="9">
        <f>data!L127</f>
        <v>2.95</v>
      </c>
      <c r="P127" s="9">
        <f>data!K127</f>
        <v>0.45</v>
      </c>
      <c r="Q127" s="9">
        <f>data!R127</f>
        <v>-0.5</v>
      </c>
      <c r="R127" s="9">
        <f t="shared" si="55"/>
        <v>-0.375</v>
      </c>
      <c r="S127" s="9">
        <f t="shared" si="56"/>
        <v>-0.55000000000000004</v>
      </c>
      <c r="T127" s="9">
        <f t="shared" si="57"/>
        <v>-1.65</v>
      </c>
      <c r="U127" s="9">
        <f t="shared" si="58"/>
        <v>-2.625</v>
      </c>
      <c r="V127" s="9">
        <f t="shared" si="59"/>
        <v>-1.75</v>
      </c>
      <c r="W127" s="9">
        <f t="shared" si="60"/>
        <v>-1.75</v>
      </c>
      <c r="X127" s="9">
        <f t="shared" si="61"/>
        <v>-1.75</v>
      </c>
      <c r="Y127" s="9">
        <f t="shared" si="62"/>
        <v>-1.05</v>
      </c>
      <c r="Z127" s="9">
        <f t="shared" si="63"/>
        <v>-0.64999999999999991</v>
      </c>
      <c r="AA127" s="9">
        <f t="shared" si="64"/>
        <v>-0.25</v>
      </c>
      <c r="AB127" s="9">
        <f t="shared" si="65"/>
        <v>-0.75</v>
      </c>
      <c r="AC127" s="9">
        <f t="shared" si="66"/>
        <v>-1.85</v>
      </c>
      <c r="AD127" s="9">
        <f t="shared" si="67"/>
        <v>-2.8</v>
      </c>
      <c r="AE127" s="9">
        <f t="shared" si="68"/>
        <v>-2</v>
      </c>
      <c r="AF127" s="9">
        <f t="shared" si="69"/>
        <v>-1.85</v>
      </c>
      <c r="AG127" s="9">
        <f t="shared" si="70"/>
        <v>-2.25</v>
      </c>
      <c r="AH127" s="9">
        <f t="shared" si="71"/>
        <v>-0.25</v>
      </c>
      <c r="AI127" s="9">
        <f t="shared" si="72"/>
        <v>0.54999999999999982</v>
      </c>
      <c r="AJ127" s="9">
        <f t="shared" si="73"/>
        <v>-0.45000000000000018</v>
      </c>
      <c r="AK127" s="9">
        <f t="shared" si="74"/>
        <v>-0.70000000000000018</v>
      </c>
      <c r="AL127" s="9">
        <f t="shared" si="75"/>
        <v>-2.3000000000000003</v>
      </c>
      <c r="AM127" s="9">
        <f t="shared" si="76"/>
        <v>-4.8250000000000002</v>
      </c>
      <c r="AN127" s="9">
        <f t="shared" si="77"/>
        <v>-3</v>
      </c>
      <c r="AO127" s="9">
        <f t="shared" si="78"/>
        <v>-2.75</v>
      </c>
      <c r="AP127" s="9">
        <f t="shared" si="79"/>
        <v>-3.1500000000000004</v>
      </c>
      <c r="AQ127" s="9">
        <f t="shared" si="80"/>
        <v>-1.3100000000000003</v>
      </c>
      <c r="AR127" s="9">
        <f t="shared" si="81"/>
        <v>4.9999999999999822E-2</v>
      </c>
      <c r="AS127" s="9">
        <f t="shared" si="82"/>
        <v>-0.10000000000000003</v>
      </c>
      <c r="AT127" s="9">
        <f t="shared" si="83"/>
        <v>-0.7</v>
      </c>
      <c r="AU127" s="9">
        <f t="shared" si="84"/>
        <v>-2.4500000000000002</v>
      </c>
      <c r="AV127" s="9">
        <f t="shared" si="85"/>
        <v>-5.0750000000000002</v>
      </c>
      <c r="AW127" s="9">
        <f t="shared" si="86"/>
        <v>-4.0125000000000002</v>
      </c>
      <c r="AX127" s="9">
        <f t="shared" si="87"/>
        <v>-3.95</v>
      </c>
      <c r="AY127" s="9">
        <f t="shared" si="88"/>
        <v>-4.25</v>
      </c>
      <c r="AZ127" s="9">
        <f t="shared" si="89"/>
        <v>-2.6500000000000004</v>
      </c>
      <c r="BA127" s="9">
        <f t="shared" si="90"/>
        <v>-1.2</v>
      </c>
      <c r="BB127" s="9">
        <f t="shared" si="91"/>
        <v>-0.625</v>
      </c>
      <c r="BC127" s="9">
        <f t="shared" si="92"/>
        <v>-0.85000000000000009</v>
      </c>
      <c r="BD127" s="9">
        <f t="shared" si="93"/>
        <v>-2.75</v>
      </c>
      <c r="BE127" s="9">
        <f t="shared" si="94"/>
        <v>-6.0750000000000002</v>
      </c>
      <c r="BF127" s="9">
        <f t="shared" si="95"/>
        <v>-4.25</v>
      </c>
      <c r="BG127" s="9">
        <f t="shared" si="96"/>
        <v>-4.25</v>
      </c>
      <c r="BH127" s="9">
        <f t="shared" si="97"/>
        <v>-4.6500000000000004</v>
      </c>
      <c r="BI127" s="9">
        <f t="shared" si="98"/>
        <v>-3.18</v>
      </c>
      <c r="BJ127" s="9">
        <f t="shared" si="99"/>
        <v>-1.75</v>
      </c>
    </row>
    <row r="128" spans="1:62" x14ac:dyDescent="0.2">
      <c r="A128" s="9">
        <f>data!M129-data!M128</f>
        <v>-0.13710000000000377</v>
      </c>
      <c r="B128" s="9">
        <f>data!C129-data!C128</f>
        <v>-0.90000000000000036</v>
      </c>
      <c r="C128" s="9">
        <f>data!D129-data!D128</f>
        <v>-0.29999999999999982</v>
      </c>
      <c r="D128" s="10">
        <f>data!B129-data!B128</f>
        <v>-9.9999999999999978E-2</v>
      </c>
      <c r="E128" s="9">
        <f>data!E128-data!G128</f>
        <v>3.2011000000000003</v>
      </c>
      <c r="F128" s="9">
        <f>(data!E128-data!F128)-(data!G128-data!H128)</f>
        <v>-0.73550000000000004</v>
      </c>
      <c r="G128" s="9">
        <f t="shared" si="50"/>
        <v>1.8599999999999728E-2</v>
      </c>
      <c r="H128" s="9">
        <f t="shared" si="51"/>
        <v>-2.100000000000013E-2</v>
      </c>
      <c r="I128" s="9">
        <f>IF(data!M129&gt; 111.81,1,0)</f>
        <v>0</v>
      </c>
      <c r="J128" s="9">
        <f t="shared" si="52"/>
        <v>1</v>
      </c>
      <c r="K128" s="9">
        <f t="shared" si="53"/>
        <v>0</v>
      </c>
      <c r="L128" s="9">
        <f t="shared" si="54"/>
        <v>-0.13710000000000377</v>
      </c>
      <c r="M128" s="9">
        <f>data!J128</f>
        <v>1.875</v>
      </c>
      <c r="N128" s="9">
        <f>data!I128</f>
        <v>3</v>
      </c>
      <c r="O128" s="9">
        <f>data!L128</f>
        <v>2.5</v>
      </c>
      <c r="P128" s="9">
        <f>data!K128</f>
        <v>0.35</v>
      </c>
      <c r="Q128" s="9">
        <f>data!R128</f>
        <v>-1.125</v>
      </c>
      <c r="R128" s="9">
        <f t="shared" si="55"/>
        <v>-0.17500000000000004</v>
      </c>
      <c r="S128" s="9">
        <f t="shared" si="56"/>
        <v>-1.2749999999999999</v>
      </c>
      <c r="T128" s="9">
        <f t="shared" si="57"/>
        <v>-2.25</v>
      </c>
      <c r="U128" s="9">
        <f t="shared" si="58"/>
        <v>-1.375</v>
      </c>
      <c r="V128" s="9">
        <f t="shared" si="59"/>
        <v>-1.375</v>
      </c>
      <c r="W128" s="9">
        <f t="shared" si="60"/>
        <v>-1.375</v>
      </c>
      <c r="X128" s="9">
        <f t="shared" si="61"/>
        <v>-0.67500000000000004</v>
      </c>
      <c r="Y128" s="9">
        <f t="shared" si="62"/>
        <v>-0.27499999999999991</v>
      </c>
      <c r="Z128" s="9">
        <f t="shared" si="63"/>
        <v>-2.125</v>
      </c>
      <c r="AA128" s="9">
        <f t="shared" si="64"/>
        <v>-0.5</v>
      </c>
      <c r="AB128" s="9">
        <f t="shared" si="65"/>
        <v>-1.6</v>
      </c>
      <c r="AC128" s="9">
        <f t="shared" si="66"/>
        <v>-2.5499999999999998</v>
      </c>
      <c r="AD128" s="9">
        <f t="shared" si="67"/>
        <v>-1.75</v>
      </c>
      <c r="AE128" s="9">
        <f t="shared" si="68"/>
        <v>-1.6</v>
      </c>
      <c r="AF128" s="9">
        <f t="shared" si="69"/>
        <v>-2</v>
      </c>
      <c r="AG128" s="9">
        <f t="shared" si="70"/>
        <v>0</v>
      </c>
      <c r="AH128" s="9">
        <f t="shared" si="71"/>
        <v>0.79999999999999982</v>
      </c>
      <c r="AI128" s="9">
        <f t="shared" si="72"/>
        <v>-0.875</v>
      </c>
      <c r="AJ128" s="9">
        <f t="shared" si="73"/>
        <v>-0.25</v>
      </c>
      <c r="AK128" s="9">
        <f t="shared" si="74"/>
        <v>-1.85</v>
      </c>
      <c r="AL128" s="9">
        <f t="shared" si="75"/>
        <v>-4.375</v>
      </c>
      <c r="AM128" s="9">
        <f t="shared" si="76"/>
        <v>-2.5499999999999998</v>
      </c>
      <c r="AN128" s="9">
        <f t="shared" si="77"/>
        <v>-2.2999999999999998</v>
      </c>
      <c r="AO128" s="9">
        <f t="shared" si="78"/>
        <v>-2.7</v>
      </c>
      <c r="AP128" s="9">
        <f t="shared" si="79"/>
        <v>-0.8600000000000001</v>
      </c>
      <c r="AQ128" s="9">
        <f t="shared" si="80"/>
        <v>0.5</v>
      </c>
      <c r="AR128" s="9">
        <f t="shared" si="81"/>
        <v>-0.71</v>
      </c>
      <c r="AS128" s="9">
        <f t="shared" si="82"/>
        <v>-0.6</v>
      </c>
      <c r="AT128" s="9">
        <f t="shared" si="83"/>
        <v>-2.35</v>
      </c>
      <c r="AU128" s="9">
        <f t="shared" si="84"/>
        <v>-4.9749999999999996</v>
      </c>
      <c r="AV128" s="9">
        <f t="shared" si="85"/>
        <v>-3.9125000000000001</v>
      </c>
      <c r="AW128" s="9">
        <f t="shared" si="86"/>
        <v>-3.85</v>
      </c>
      <c r="AX128" s="9">
        <f t="shared" si="87"/>
        <v>-4.1499999999999995</v>
      </c>
      <c r="AY128" s="9">
        <f t="shared" si="88"/>
        <v>-2.5500000000000003</v>
      </c>
      <c r="AZ128" s="9">
        <f t="shared" si="89"/>
        <v>-1.1000000000000001</v>
      </c>
      <c r="BA128" s="9">
        <f t="shared" si="90"/>
        <v>-1.7250000000000001</v>
      </c>
      <c r="BB128" s="9">
        <f t="shared" si="91"/>
        <v>-0.22500000000000009</v>
      </c>
      <c r="BC128" s="9">
        <f t="shared" si="92"/>
        <v>-2.125</v>
      </c>
      <c r="BD128" s="9">
        <f t="shared" si="93"/>
        <v>-5.45</v>
      </c>
      <c r="BE128" s="9">
        <f t="shared" si="94"/>
        <v>-3.625</v>
      </c>
      <c r="BF128" s="9">
        <f t="shared" si="95"/>
        <v>-3.625</v>
      </c>
      <c r="BG128" s="9">
        <f t="shared" si="96"/>
        <v>-4.0250000000000004</v>
      </c>
      <c r="BH128" s="9">
        <f t="shared" si="97"/>
        <v>-2.5550000000000002</v>
      </c>
      <c r="BI128" s="9">
        <f t="shared" si="98"/>
        <v>-1.125</v>
      </c>
      <c r="BJ128" s="9">
        <f t="shared" si="99"/>
        <v>-1.5</v>
      </c>
    </row>
    <row r="129" spans="1:62" x14ac:dyDescent="0.2">
      <c r="A129" s="9">
        <f>data!M130-data!M129</f>
        <v>-0.18569999999999709</v>
      </c>
      <c r="B129" s="9">
        <f>data!C130-data!C129</f>
        <v>1.8100000000000005</v>
      </c>
      <c r="C129" s="9">
        <f>data!D130-data!D129</f>
        <v>-7.5000000000000178E-2</v>
      </c>
      <c r="D129" s="10">
        <f>data!B130-data!B129</f>
        <v>7.5000000000000011E-2</v>
      </c>
      <c r="E129" s="9">
        <f>data!E129-data!G129</f>
        <v>3.2197</v>
      </c>
      <c r="F129" s="9">
        <f>(data!E129-data!F129)-(data!G129-data!H129)</f>
        <v>-0.75650000000000017</v>
      </c>
      <c r="G129" s="9">
        <f t="shared" si="50"/>
        <v>5.2999999999996383E-3</v>
      </c>
      <c r="H129" s="9">
        <f t="shared" si="51"/>
        <v>9.4100000000000072E-2</v>
      </c>
      <c r="I129" s="9">
        <f>IF(data!M130&gt; 111.81,1,0)</f>
        <v>0</v>
      </c>
      <c r="J129" s="9">
        <f t="shared" si="52"/>
        <v>1</v>
      </c>
      <c r="K129" s="9">
        <f t="shared" si="53"/>
        <v>0</v>
      </c>
      <c r="L129" s="9">
        <f t="shared" si="54"/>
        <v>-0.18569999999999709</v>
      </c>
      <c r="M129" s="9">
        <f>data!J129</f>
        <v>1.7</v>
      </c>
      <c r="N129" s="9">
        <f>data!I129</f>
        <v>2.5</v>
      </c>
      <c r="O129" s="9">
        <f>data!L129</f>
        <v>2.25</v>
      </c>
      <c r="P129" s="9">
        <f>data!K129</f>
        <v>-0.25</v>
      </c>
      <c r="Q129" s="9">
        <f>data!R129</f>
        <v>-1.35</v>
      </c>
      <c r="R129" s="9">
        <f t="shared" si="55"/>
        <v>-1.1000000000000001</v>
      </c>
      <c r="S129" s="9">
        <f t="shared" si="56"/>
        <v>-2.0750000000000002</v>
      </c>
      <c r="T129" s="9">
        <f t="shared" si="57"/>
        <v>-1.2</v>
      </c>
      <c r="U129" s="9">
        <f t="shared" si="58"/>
        <v>-1.2</v>
      </c>
      <c r="V129" s="9">
        <f t="shared" si="59"/>
        <v>-1.2</v>
      </c>
      <c r="W129" s="9">
        <f t="shared" si="60"/>
        <v>-0.5</v>
      </c>
      <c r="X129" s="9">
        <f t="shared" si="61"/>
        <v>-9.9999999999999867E-2</v>
      </c>
      <c r="Y129" s="9">
        <f t="shared" si="62"/>
        <v>-1.95</v>
      </c>
      <c r="Z129" s="9">
        <f t="shared" si="63"/>
        <v>-0.19999999999999996</v>
      </c>
      <c r="AA129" s="9">
        <f t="shared" si="64"/>
        <v>-1.1000000000000001</v>
      </c>
      <c r="AB129" s="9">
        <f t="shared" si="65"/>
        <v>-2.0499999999999998</v>
      </c>
      <c r="AC129" s="9">
        <f t="shared" si="66"/>
        <v>-1.25</v>
      </c>
      <c r="AD129" s="9">
        <f t="shared" si="67"/>
        <v>-1.1000000000000001</v>
      </c>
      <c r="AE129" s="9">
        <f t="shared" si="68"/>
        <v>-1.5</v>
      </c>
      <c r="AF129" s="9">
        <f t="shared" si="69"/>
        <v>0.5</v>
      </c>
      <c r="AG129" s="9">
        <f t="shared" si="70"/>
        <v>1.2999999999999998</v>
      </c>
      <c r="AH129" s="9">
        <f t="shared" si="71"/>
        <v>-0.375</v>
      </c>
      <c r="AI129" s="9">
        <f t="shared" si="72"/>
        <v>2.3499999999999996</v>
      </c>
      <c r="AJ129" s="9">
        <f t="shared" si="73"/>
        <v>-1.6</v>
      </c>
      <c r="AK129" s="9">
        <f t="shared" si="74"/>
        <v>-4.125</v>
      </c>
      <c r="AL129" s="9">
        <f t="shared" si="75"/>
        <v>-2.2999999999999998</v>
      </c>
      <c r="AM129" s="9">
        <f t="shared" si="76"/>
        <v>-2.0499999999999998</v>
      </c>
      <c r="AN129" s="9">
        <f t="shared" si="77"/>
        <v>-2.4500000000000002</v>
      </c>
      <c r="AO129" s="9">
        <f t="shared" si="78"/>
        <v>-0.6100000000000001</v>
      </c>
      <c r="AP129" s="9">
        <f t="shared" si="79"/>
        <v>0.75</v>
      </c>
      <c r="AQ129" s="9">
        <f t="shared" si="80"/>
        <v>-0.45999999999999996</v>
      </c>
      <c r="AR129" s="9">
        <f t="shared" si="81"/>
        <v>2</v>
      </c>
      <c r="AS129" s="9">
        <f t="shared" si="82"/>
        <v>-1.75</v>
      </c>
      <c r="AT129" s="9">
        <f t="shared" si="83"/>
        <v>-4.375</v>
      </c>
      <c r="AU129" s="9">
        <f t="shared" si="84"/>
        <v>-3.3125</v>
      </c>
      <c r="AV129" s="9">
        <f t="shared" si="85"/>
        <v>-3.25</v>
      </c>
      <c r="AW129" s="9">
        <f t="shared" si="86"/>
        <v>-3.55</v>
      </c>
      <c r="AX129" s="9">
        <f t="shared" si="87"/>
        <v>-1.9500000000000002</v>
      </c>
      <c r="AY129" s="9">
        <f t="shared" si="88"/>
        <v>-0.5</v>
      </c>
      <c r="AZ129" s="9">
        <f t="shared" si="89"/>
        <v>-1.125</v>
      </c>
      <c r="BA129" s="9">
        <f t="shared" si="90"/>
        <v>1.3</v>
      </c>
      <c r="BB129" s="9">
        <f t="shared" si="91"/>
        <v>-1.9</v>
      </c>
      <c r="BC129" s="9">
        <f t="shared" si="92"/>
        <v>-5.2249999999999996</v>
      </c>
      <c r="BD129" s="9">
        <f t="shared" si="93"/>
        <v>-3.4</v>
      </c>
      <c r="BE129" s="9">
        <f t="shared" si="94"/>
        <v>-3.4</v>
      </c>
      <c r="BF129" s="9">
        <f t="shared" si="95"/>
        <v>-3.8000000000000003</v>
      </c>
      <c r="BG129" s="9">
        <f t="shared" si="96"/>
        <v>-2.33</v>
      </c>
      <c r="BH129" s="9">
        <f t="shared" si="97"/>
        <v>-0.89999999999999991</v>
      </c>
      <c r="BI129" s="9">
        <f t="shared" si="98"/>
        <v>-1.2749999999999999</v>
      </c>
      <c r="BJ129" s="9">
        <f t="shared" si="99"/>
        <v>1.25</v>
      </c>
    </row>
    <row r="130" spans="1:62" x14ac:dyDescent="0.2">
      <c r="A130" s="9">
        <f>data!M131-data!M130</f>
        <v>-0.29779999999999518</v>
      </c>
      <c r="B130" s="9">
        <f>data!C131-data!C130</f>
        <v>0.48000000000000043</v>
      </c>
      <c r="C130" s="9">
        <f>data!D131-data!D130</f>
        <v>0.30000000000000071</v>
      </c>
      <c r="D130" s="10">
        <f>data!B131-data!B130</f>
        <v>-5.0000000000000044E-2</v>
      </c>
      <c r="E130" s="9">
        <f>data!E130-data!G130</f>
        <v>3.2249999999999996</v>
      </c>
      <c r="F130" s="9">
        <f>(data!E130-data!F130)-(data!G130-data!H130)</f>
        <v>-0.6624000000000001</v>
      </c>
      <c r="G130" s="9">
        <f t="shared" si="50"/>
        <v>-7.9599999999999671E-2</v>
      </c>
      <c r="H130" s="9">
        <f t="shared" si="51"/>
        <v>-2.5400000000000089E-2</v>
      </c>
      <c r="I130" s="9">
        <f>IF(data!M131&gt; 111.81,1,0)</f>
        <v>0</v>
      </c>
      <c r="J130" s="9">
        <f t="shared" si="52"/>
        <v>1</v>
      </c>
      <c r="K130" s="9">
        <f t="shared" si="53"/>
        <v>0</v>
      </c>
      <c r="L130" s="9">
        <f t="shared" si="54"/>
        <v>-0.29779999999999518</v>
      </c>
      <c r="M130" s="9">
        <f>data!J130</f>
        <v>0.6</v>
      </c>
      <c r="N130" s="9">
        <f>data!I130</f>
        <v>1.4</v>
      </c>
      <c r="O130" s="9">
        <f>data!L130</f>
        <v>0.65</v>
      </c>
      <c r="P130" s="9">
        <f>data!K130</f>
        <v>-2</v>
      </c>
      <c r="Q130" s="9">
        <f>data!R130</f>
        <v>-3.25</v>
      </c>
      <c r="R130" s="9">
        <f t="shared" si="55"/>
        <v>-0.97499999999999998</v>
      </c>
      <c r="S130" s="9">
        <f t="shared" si="56"/>
        <v>-9.9999999999999978E-2</v>
      </c>
      <c r="T130" s="9">
        <f t="shared" si="57"/>
        <v>-9.9999999999999978E-2</v>
      </c>
      <c r="U130" s="9">
        <f t="shared" si="58"/>
        <v>-9.9999999999999978E-2</v>
      </c>
      <c r="V130" s="9">
        <f t="shared" si="59"/>
        <v>0.6</v>
      </c>
      <c r="W130" s="9">
        <f t="shared" si="60"/>
        <v>1</v>
      </c>
      <c r="X130" s="9">
        <f t="shared" si="61"/>
        <v>-0.85</v>
      </c>
      <c r="Y130" s="9">
        <f t="shared" si="62"/>
        <v>0.9</v>
      </c>
      <c r="Z130" s="9">
        <f t="shared" si="63"/>
        <v>1.9</v>
      </c>
      <c r="AA130" s="9">
        <f t="shared" si="64"/>
        <v>-0.95</v>
      </c>
      <c r="AB130" s="9">
        <f t="shared" si="65"/>
        <v>-0.14999999999999991</v>
      </c>
      <c r="AC130" s="9">
        <f t="shared" si="66"/>
        <v>0</v>
      </c>
      <c r="AD130" s="9">
        <f t="shared" si="67"/>
        <v>-0.39999999999999991</v>
      </c>
      <c r="AE130" s="9">
        <f t="shared" si="68"/>
        <v>1.6</v>
      </c>
      <c r="AF130" s="9">
        <f t="shared" si="69"/>
        <v>2.4</v>
      </c>
      <c r="AG130" s="9">
        <f t="shared" si="70"/>
        <v>0.72500000000000009</v>
      </c>
      <c r="AH130" s="9">
        <f t="shared" si="71"/>
        <v>3.4499999999999997</v>
      </c>
      <c r="AI130" s="9">
        <f t="shared" si="72"/>
        <v>4.8000000000000007</v>
      </c>
      <c r="AJ130" s="9">
        <f t="shared" si="73"/>
        <v>-2.5249999999999999</v>
      </c>
      <c r="AK130" s="9">
        <f t="shared" si="74"/>
        <v>-0.70000000000000007</v>
      </c>
      <c r="AL130" s="9">
        <f t="shared" si="75"/>
        <v>-0.45</v>
      </c>
      <c r="AM130" s="9">
        <f t="shared" si="76"/>
        <v>-0.85000000000000009</v>
      </c>
      <c r="AN130" s="9">
        <f t="shared" si="77"/>
        <v>0.98999999999999988</v>
      </c>
      <c r="AO130" s="9">
        <f t="shared" si="78"/>
        <v>2.35</v>
      </c>
      <c r="AP130" s="9">
        <f t="shared" si="79"/>
        <v>1.1400000000000001</v>
      </c>
      <c r="AQ130" s="9">
        <f t="shared" si="80"/>
        <v>3.6</v>
      </c>
      <c r="AR130" s="9">
        <f t="shared" si="81"/>
        <v>4.3</v>
      </c>
      <c r="AS130" s="9">
        <f t="shared" si="82"/>
        <v>-2.625</v>
      </c>
      <c r="AT130" s="9">
        <f t="shared" si="83"/>
        <v>-1.5625</v>
      </c>
      <c r="AU130" s="9">
        <f t="shared" si="84"/>
        <v>-1.5</v>
      </c>
      <c r="AV130" s="9">
        <f t="shared" si="85"/>
        <v>-1.7999999999999998</v>
      </c>
      <c r="AW130" s="9">
        <f t="shared" si="86"/>
        <v>-0.20000000000000018</v>
      </c>
      <c r="AX130" s="9">
        <f t="shared" si="87"/>
        <v>1.25</v>
      </c>
      <c r="AY130" s="9">
        <f t="shared" si="88"/>
        <v>0.625</v>
      </c>
      <c r="AZ130" s="9">
        <f t="shared" si="89"/>
        <v>3.05</v>
      </c>
      <c r="BA130" s="9">
        <f t="shared" si="90"/>
        <v>4.5</v>
      </c>
      <c r="BB130" s="9">
        <f t="shared" si="91"/>
        <v>-3.3250000000000002</v>
      </c>
      <c r="BC130" s="9">
        <f t="shared" si="92"/>
        <v>-1.5</v>
      </c>
      <c r="BD130" s="9">
        <f t="shared" si="93"/>
        <v>-1.5</v>
      </c>
      <c r="BE130" s="9">
        <f t="shared" si="94"/>
        <v>-1.9000000000000004</v>
      </c>
      <c r="BF130" s="9">
        <f t="shared" si="95"/>
        <v>-0.43000000000000016</v>
      </c>
      <c r="BG130" s="9">
        <f t="shared" si="96"/>
        <v>1</v>
      </c>
      <c r="BH130" s="9">
        <f t="shared" si="97"/>
        <v>0.625</v>
      </c>
      <c r="BI130" s="9">
        <f t="shared" si="98"/>
        <v>3.15</v>
      </c>
      <c r="BJ130" s="9">
        <f t="shared" si="99"/>
        <v>4</v>
      </c>
    </row>
    <row r="131" spans="1:62" x14ac:dyDescent="0.2">
      <c r="A131" s="9">
        <f>data!M132-data!M131</f>
        <v>-0.56340000000000146</v>
      </c>
      <c r="B131" s="9">
        <f>data!C132-data!C131</f>
        <v>-1.5099999999999998</v>
      </c>
      <c r="C131" s="9">
        <f>data!D132-data!D131</f>
        <v>-0.17500000000000071</v>
      </c>
      <c r="D131" s="10">
        <f>data!B132-data!B131</f>
        <v>5.0000000000000044E-2</v>
      </c>
      <c r="E131" s="9">
        <f>data!E131-data!G131</f>
        <v>3.1454</v>
      </c>
      <c r="F131" s="9">
        <f>(data!E131-data!F131)-(data!G131-data!H131)</f>
        <v>-0.68780000000000019</v>
      </c>
      <c r="G131" s="9">
        <f t="shared" ref="G131:G194" si="100">E132-E131</f>
        <v>9.7000000000000419E-2</v>
      </c>
      <c r="H131" s="9">
        <f t="shared" ref="H131:H194" si="101">F132-F131</f>
        <v>2.0700000000000385E-2</v>
      </c>
      <c r="I131" s="9">
        <f>IF(data!M132&gt; 111.81,1,0)</f>
        <v>0</v>
      </c>
      <c r="J131" s="9">
        <f t="shared" ref="J131:J194" si="102">1-I131</f>
        <v>1</v>
      </c>
      <c r="K131" s="9">
        <f t="shared" ref="K131:K194" si="103">A131*I131</f>
        <v>0</v>
      </c>
      <c r="L131" s="9">
        <f t="shared" ref="L131:L194" si="104">A131*J131</f>
        <v>-0.56340000000000146</v>
      </c>
      <c r="M131" s="9">
        <f>data!J131</f>
        <v>-0.375</v>
      </c>
      <c r="N131" s="9">
        <f>data!I131</f>
        <v>0.45</v>
      </c>
      <c r="O131" s="9">
        <f>data!L131</f>
        <v>-1.875</v>
      </c>
      <c r="P131" s="9">
        <f>data!K131</f>
        <v>-4.625</v>
      </c>
      <c r="Q131" s="9">
        <f>data!R131</f>
        <v>-6.5750000000000002</v>
      </c>
      <c r="R131" s="9">
        <f t="shared" ref="R131:R194" si="105">M132-M131</f>
        <v>0.875</v>
      </c>
      <c r="S131" s="9">
        <f t="shared" ref="S131:S194" si="106">M133-M131</f>
        <v>0.875</v>
      </c>
      <c r="T131" s="9">
        <f t="shared" ref="T131:T194" si="107">M134-M131</f>
        <v>0.875</v>
      </c>
      <c r="U131" s="9">
        <f t="shared" ref="U131:U194" si="108">M135-M131</f>
        <v>1.575</v>
      </c>
      <c r="V131" s="9">
        <f t="shared" ref="V131:V194" si="109">M136-M131</f>
        <v>1.9750000000000001</v>
      </c>
      <c r="W131" s="9">
        <f t="shared" ref="W131:W194" si="110">M137-M131</f>
        <v>0.125</v>
      </c>
      <c r="X131" s="9">
        <f t="shared" ref="X131:X194" si="111">M138-M131</f>
        <v>1.875</v>
      </c>
      <c r="Y131" s="9">
        <f t="shared" ref="Y131:Y194" si="112">M139-M131</f>
        <v>2.875</v>
      </c>
      <c r="Z131" s="9">
        <f t="shared" ref="Z131:Z194" si="113">M140-M131</f>
        <v>-5.625</v>
      </c>
      <c r="AA131" s="9">
        <f t="shared" ref="AA131:AA194" si="114">N132-N131</f>
        <v>0.8</v>
      </c>
      <c r="AB131" s="9">
        <f t="shared" ref="AB131:AB194" si="115">N133-N131</f>
        <v>0.95</v>
      </c>
      <c r="AC131" s="9">
        <f t="shared" ref="AC131:AC194" si="116">N134-N131</f>
        <v>0.55000000000000004</v>
      </c>
      <c r="AD131" s="9">
        <f t="shared" ref="AD131:AD194" si="117">N135-N131</f>
        <v>2.5499999999999998</v>
      </c>
      <c r="AE131" s="9">
        <f t="shared" ref="AE131:AE194" si="118">N136-N131</f>
        <v>3.3499999999999996</v>
      </c>
      <c r="AF131" s="9">
        <f t="shared" ref="AF131:AF194" si="119">N137-N131</f>
        <v>1.675</v>
      </c>
      <c r="AG131" s="9">
        <f t="shared" ref="AG131:AG194" si="120">N138-N131</f>
        <v>4.3999999999999995</v>
      </c>
      <c r="AH131" s="9">
        <f t="shared" ref="AH131:AH194" si="121">N139-N131</f>
        <v>5.75</v>
      </c>
      <c r="AI131" s="9">
        <f t="shared" ref="AI131:AI194" si="122">N140-N131</f>
        <v>3.1999999999999997</v>
      </c>
      <c r="AJ131" s="9">
        <f t="shared" ref="AJ131:AJ194" si="123">O132-O131</f>
        <v>1.825</v>
      </c>
      <c r="AK131" s="9">
        <f t="shared" ref="AK131:AK194" si="124">O133-O131</f>
        <v>2.0750000000000002</v>
      </c>
      <c r="AL131" s="9">
        <f t="shared" ref="AL131:AL194" si="125">O134-O131</f>
        <v>1.675</v>
      </c>
      <c r="AM131" s="9">
        <f t="shared" ref="AM131:AM194" si="126">O135-O131</f>
        <v>3.5149999999999997</v>
      </c>
      <c r="AN131" s="9">
        <f t="shared" ref="AN131:AN194" si="127">O136-O131</f>
        <v>4.875</v>
      </c>
      <c r="AO131" s="9">
        <f t="shared" ref="AO131:AO194" si="128">O137-O131</f>
        <v>3.665</v>
      </c>
      <c r="AP131" s="9">
        <f t="shared" ref="AP131:AP194" si="129">O138-O131</f>
        <v>6.125</v>
      </c>
      <c r="AQ131" s="9">
        <f t="shared" ref="AQ131:AQ194" si="130">O139-O131</f>
        <v>6.8250000000000002</v>
      </c>
      <c r="AR131" s="9">
        <f t="shared" ref="AR131:AR194" si="131">O140-O131</f>
        <v>4.7650000000000006</v>
      </c>
      <c r="AS131" s="9">
        <f t="shared" ref="AS131:AS194" si="132">P132 - P131</f>
        <v>1.0625</v>
      </c>
      <c r="AT131" s="9">
        <f t="shared" ref="AT131:AT194" si="133">P133 - P131</f>
        <v>1.125</v>
      </c>
      <c r="AU131" s="9">
        <f t="shared" ref="AU131:AU194" si="134">P134 - P131</f>
        <v>0.82500000000000018</v>
      </c>
      <c r="AV131" s="9">
        <f t="shared" ref="AV131:AV194" si="135">P135 - P131</f>
        <v>2.4249999999999998</v>
      </c>
      <c r="AW131" s="9">
        <f t="shared" ref="AW131:AW194" si="136">P136 - P131</f>
        <v>3.875</v>
      </c>
      <c r="AX131" s="9">
        <f t="shared" ref="AX131:AX194" si="137">P137 - P131</f>
        <v>3.25</v>
      </c>
      <c r="AY131" s="9">
        <f t="shared" ref="AY131:AY194" si="138">P138 - P131</f>
        <v>5.6749999999999998</v>
      </c>
      <c r="AZ131" s="9">
        <f t="shared" ref="AZ131:AZ194" si="139">P139 - P131</f>
        <v>7.125</v>
      </c>
      <c r="BA131" s="9">
        <f t="shared" ref="BA131:BA194" si="140">P140 - P131</f>
        <v>4.4950000000000001</v>
      </c>
      <c r="BB131" s="9">
        <f t="shared" ref="BB131:BB194" si="141">Q132 - Q131</f>
        <v>1.8250000000000002</v>
      </c>
      <c r="BC131" s="9">
        <f t="shared" ref="BC131:BC194" si="142">Q133 - Q131</f>
        <v>1.8250000000000002</v>
      </c>
      <c r="BD131" s="9">
        <f t="shared" ref="BD131:BD194" si="143">Q134 - Q131</f>
        <v>1.4249999999999998</v>
      </c>
      <c r="BE131" s="9">
        <f t="shared" ref="BE131:BE194" si="144">Q135 - Q131</f>
        <v>2.895</v>
      </c>
      <c r="BF131" s="9">
        <f t="shared" ref="BF131:BF194" si="145">Q136 - Q131</f>
        <v>4.3250000000000002</v>
      </c>
      <c r="BG131" s="9">
        <f t="shared" ref="BG131:BG194" si="146">Q137 - Q131</f>
        <v>3.95</v>
      </c>
      <c r="BH131" s="9">
        <f t="shared" ref="BH131:BH194" si="147">Q138 - Q131</f>
        <v>6.4750000000000005</v>
      </c>
      <c r="BI131" s="9">
        <f t="shared" ref="BI131:BI194" si="148">Q139 - Q131</f>
        <v>7.3250000000000002</v>
      </c>
      <c r="BJ131" s="9">
        <f t="shared" ref="BJ131:BJ194" si="149">Q140 - Q131</f>
        <v>5.1950000000000003</v>
      </c>
    </row>
    <row r="132" spans="1:62" x14ac:dyDescent="0.2">
      <c r="A132" s="9">
        <f>data!M133-data!M132</f>
        <v>-0.56260000000000332</v>
      </c>
      <c r="B132" s="9">
        <f>data!C133-data!C132</f>
        <v>0.42999999999999972</v>
      </c>
      <c r="C132" s="9">
        <f>data!D133-data!D132</f>
        <v>0.45000000000000018</v>
      </c>
      <c r="D132" s="10">
        <f>data!B133-data!B132</f>
        <v>-5.0000000000000044E-2</v>
      </c>
      <c r="E132" s="9">
        <f>data!E132-data!G132</f>
        <v>3.2424000000000004</v>
      </c>
      <c r="F132" s="9">
        <f>(data!E132-data!F132)-(data!G132-data!H132)</f>
        <v>-0.6670999999999998</v>
      </c>
      <c r="G132" s="9">
        <f t="shared" si="100"/>
        <v>-8.9599999999999902E-2</v>
      </c>
      <c r="H132" s="9">
        <f t="shared" si="101"/>
        <v>-3.71999999999999E-2</v>
      </c>
      <c r="I132" s="9">
        <f>IF(data!M133&gt; 111.81,1,0)</f>
        <v>0</v>
      </c>
      <c r="J132" s="9">
        <f t="shared" si="102"/>
        <v>1</v>
      </c>
      <c r="K132" s="9">
        <f t="shared" si="103"/>
        <v>0</v>
      </c>
      <c r="L132" s="9">
        <f t="shared" si="104"/>
        <v>-0.56260000000000332</v>
      </c>
      <c r="M132" s="9">
        <f>data!J132</f>
        <v>0.5</v>
      </c>
      <c r="N132" s="9">
        <f>data!I132</f>
        <v>1.25</v>
      </c>
      <c r="O132" s="9">
        <f>data!L132</f>
        <v>-0.05</v>
      </c>
      <c r="P132" s="9">
        <f>data!K132</f>
        <v>-3.5625</v>
      </c>
      <c r="Q132" s="9">
        <f>data!R132</f>
        <v>-4.75</v>
      </c>
      <c r="R132" s="9">
        <f t="shared" si="105"/>
        <v>0</v>
      </c>
      <c r="S132" s="9">
        <f t="shared" si="106"/>
        <v>0</v>
      </c>
      <c r="T132" s="9">
        <f t="shared" si="107"/>
        <v>0.7</v>
      </c>
      <c r="U132" s="9">
        <f t="shared" si="108"/>
        <v>1.1000000000000001</v>
      </c>
      <c r="V132" s="9">
        <f t="shared" si="109"/>
        <v>-0.75</v>
      </c>
      <c r="W132" s="9">
        <f t="shared" si="110"/>
        <v>1</v>
      </c>
      <c r="X132" s="9">
        <f t="shared" si="111"/>
        <v>2</v>
      </c>
      <c r="Y132" s="9">
        <f t="shared" si="112"/>
        <v>-6.5</v>
      </c>
      <c r="Z132" s="9">
        <f t="shared" si="113"/>
        <v>-6.05</v>
      </c>
      <c r="AA132" s="9">
        <f t="shared" si="114"/>
        <v>0.14999999999999991</v>
      </c>
      <c r="AB132" s="9">
        <f t="shared" si="115"/>
        <v>-0.25</v>
      </c>
      <c r="AC132" s="9">
        <f t="shared" si="116"/>
        <v>1.75</v>
      </c>
      <c r="AD132" s="9">
        <f t="shared" si="117"/>
        <v>2.5499999999999998</v>
      </c>
      <c r="AE132" s="9">
        <f t="shared" si="118"/>
        <v>0.875</v>
      </c>
      <c r="AF132" s="9">
        <f t="shared" si="119"/>
        <v>3.5999999999999996</v>
      </c>
      <c r="AG132" s="9">
        <f t="shared" si="120"/>
        <v>4.95</v>
      </c>
      <c r="AH132" s="9">
        <f t="shared" si="121"/>
        <v>2.4</v>
      </c>
      <c r="AI132" s="9">
        <f t="shared" si="122"/>
        <v>1.35</v>
      </c>
      <c r="AJ132" s="9">
        <f t="shared" si="123"/>
        <v>0.25</v>
      </c>
      <c r="AK132" s="9">
        <f t="shared" si="124"/>
        <v>-0.15000000000000002</v>
      </c>
      <c r="AL132" s="9">
        <f t="shared" si="125"/>
        <v>1.69</v>
      </c>
      <c r="AM132" s="9">
        <f t="shared" si="126"/>
        <v>3.05</v>
      </c>
      <c r="AN132" s="9">
        <f t="shared" si="127"/>
        <v>1.84</v>
      </c>
      <c r="AO132" s="9">
        <f t="shared" si="128"/>
        <v>4.3</v>
      </c>
      <c r="AP132" s="9">
        <f t="shared" si="129"/>
        <v>5</v>
      </c>
      <c r="AQ132" s="9">
        <f t="shared" si="130"/>
        <v>2.94</v>
      </c>
      <c r="AR132" s="9">
        <f t="shared" si="131"/>
        <v>2.4499999999999997</v>
      </c>
      <c r="AS132" s="9">
        <f t="shared" si="132"/>
        <v>6.25E-2</v>
      </c>
      <c r="AT132" s="9">
        <f t="shared" si="133"/>
        <v>-0.23749999999999982</v>
      </c>
      <c r="AU132" s="9">
        <f t="shared" si="134"/>
        <v>1.3624999999999998</v>
      </c>
      <c r="AV132" s="9">
        <f t="shared" si="135"/>
        <v>2.8125</v>
      </c>
      <c r="AW132" s="9">
        <f t="shared" si="136"/>
        <v>2.1875</v>
      </c>
      <c r="AX132" s="9">
        <f t="shared" si="137"/>
        <v>4.6124999999999998</v>
      </c>
      <c r="AY132" s="9">
        <f t="shared" si="138"/>
        <v>6.0625</v>
      </c>
      <c r="AZ132" s="9">
        <f t="shared" si="139"/>
        <v>3.4325000000000001</v>
      </c>
      <c r="BA132" s="9">
        <f t="shared" si="140"/>
        <v>3.8125</v>
      </c>
      <c r="BB132" s="9">
        <f t="shared" si="141"/>
        <v>0</v>
      </c>
      <c r="BC132" s="9">
        <f t="shared" si="142"/>
        <v>-0.40000000000000036</v>
      </c>
      <c r="BD132" s="9">
        <f t="shared" si="143"/>
        <v>1.0699999999999998</v>
      </c>
      <c r="BE132" s="9">
        <f t="shared" si="144"/>
        <v>2.5</v>
      </c>
      <c r="BF132" s="9">
        <f t="shared" si="145"/>
        <v>2.125</v>
      </c>
      <c r="BG132" s="9">
        <f t="shared" si="146"/>
        <v>4.6500000000000004</v>
      </c>
      <c r="BH132" s="9">
        <f t="shared" si="147"/>
        <v>5.5</v>
      </c>
      <c r="BI132" s="9">
        <f t="shared" si="148"/>
        <v>3.37</v>
      </c>
      <c r="BJ132" s="9">
        <f t="shared" si="149"/>
        <v>4</v>
      </c>
    </row>
    <row r="133" spans="1:62" x14ac:dyDescent="0.2">
      <c r="A133" s="9">
        <f>data!M134-data!M133</f>
        <v>-0.29540000000000077</v>
      </c>
      <c r="B133" s="9">
        <f>data!C134-data!C133</f>
        <v>1.7999999999999989</v>
      </c>
      <c r="C133" s="9">
        <f>data!D134-data!D133</f>
        <v>-0.29999999999999982</v>
      </c>
      <c r="D133" s="10">
        <f>data!B134-data!B133</f>
        <v>0.17500000000000002</v>
      </c>
      <c r="E133" s="9">
        <f>data!E133-data!G133</f>
        <v>3.1528000000000005</v>
      </c>
      <c r="F133" s="9">
        <f>(data!E133-data!F133)-(data!G133-data!H133)</f>
        <v>-0.7042999999999997</v>
      </c>
      <c r="G133" s="9">
        <f t="shared" si="100"/>
        <v>-9.4100000000000517E-2</v>
      </c>
      <c r="H133" s="9">
        <f t="shared" si="101"/>
        <v>4.1699999999999848E-2</v>
      </c>
      <c r="I133" s="9">
        <f>IF(data!M134&gt; 111.81,1,0)</f>
        <v>0</v>
      </c>
      <c r="J133" s="9">
        <f t="shared" si="102"/>
        <v>1</v>
      </c>
      <c r="K133" s="9">
        <f t="shared" si="103"/>
        <v>0</v>
      </c>
      <c r="L133" s="9">
        <f t="shared" si="104"/>
        <v>-0.29540000000000077</v>
      </c>
      <c r="M133" s="9">
        <f>data!J133</f>
        <v>0.5</v>
      </c>
      <c r="N133" s="9">
        <f>data!I133</f>
        <v>1.4</v>
      </c>
      <c r="O133" s="9">
        <f>data!L133</f>
        <v>0.2</v>
      </c>
      <c r="P133" s="9">
        <f>data!K133</f>
        <v>-3.5</v>
      </c>
      <c r="Q133" s="9">
        <f>data!R133</f>
        <v>-4.75</v>
      </c>
      <c r="R133" s="9">
        <f t="shared" si="105"/>
        <v>0</v>
      </c>
      <c r="S133" s="9">
        <f t="shared" si="106"/>
        <v>0.7</v>
      </c>
      <c r="T133" s="9">
        <f t="shared" si="107"/>
        <v>1.1000000000000001</v>
      </c>
      <c r="U133" s="9">
        <f t="shared" si="108"/>
        <v>-0.75</v>
      </c>
      <c r="V133" s="9">
        <f t="shared" si="109"/>
        <v>1</v>
      </c>
      <c r="W133" s="9">
        <f t="shared" si="110"/>
        <v>2</v>
      </c>
      <c r="X133" s="9">
        <f t="shared" si="111"/>
        <v>-6.5</v>
      </c>
      <c r="Y133" s="9">
        <f t="shared" si="112"/>
        <v>-6.05</v>
      </c>
      <c r="Z133" s="9">
        <f t="shared" si="113"/>
        <v>1.5</v>
      </c>
      <c r="AA133" s="9">
        <f t="shared" si="114"/>
        <v>-0.39999999999999991</v>
      </c>
      <c r="AB133" s="9">
        <f t="shared" si="115"/>
        <v>1.6</v>
      </c>
      <c r="AC133" s="9">
        <f t="shared" si="116"/>
        <v>2.4</v>
      </c>
      <c r="AD133" s="9">
        <f t="shared" si="117"/>
        <v>0.72500000000000009</v>
      </c>
      <c r="AE133" s="9">
        <f t="shared" si="118"/>
        <v>3.4499999999999997</v>
      </c>
      <c r="AF133" s="9">
        <f t="shared" si="119"/>
        <v>4.8000000000000007</v>
      </c>
      <c r="AG133" s="9">
        <f t="shared" si="120"/>
        <v>2.25</v>
      </c>
      <c r="AH133" s="9">
        <f t="shared" si="121"/>
        <v>1.2000000000000002</v>
      </c>
      <c r="AI133" s="9">
        <f t="shared" si="122"/>
        <v>2.6</v>
      </c>
      <c r="AJ133" s="9">
        <f t="shared" si="123"/>
        <v>-0.4</v>
      </c>
      <c r="AK133" s="9">
        <f t="shared" si="124"/>
        <v>1.44</v>
      </c>
      <c r="AL133" s="9">
        <f t="shared" si="125"/>
        <v>2.8</v>
      </c>
      <c r="AM133" s="9">
        <f t="shared" si="126"/>
        <v>1.59</v>
      </c>
      <c r="AN133" s="9">
        <f t="shared" si="127"/>
        <v>4.05</v>
      </c>
      <c r="AO133" s="9">
        <f t="shared" si="128"/>
        <v>4.75</v>
      </c>
      <c r="AP133" s="9">
        <f t="shared" si="129"/>
        <v>2.69</v>
      </c>
      <c r="AQ133" s="9">
        <f t="shared" si="130"/>
        <v>2.1999999999999997</v>
      </c>
      <c r="AR133" s="9">
        <f t="shared" si="131"/>
        <v>3.3</v>
      </c>
      <c r="AS133" s="9">
        <f t="shared" si="132"/>
        <v>-0.29999999999999982</v>
      </c>
      <c r="AT133" s="9">
        <f t="shared" si="133"/>
        <v>1.2999999999999998</v>
      </c>
      <c r="AU133" s="9">
        <f t="shared" si="134"/>
        <v>2.75</v>
      </c>
      <c r="AV133" s="9">
        <f t="shared" si="135"/>
        <v>2.125</v>
      </c>
      <c r="AW133" s="9">
        <f t="shared" si="136"/>
        <v>4.55</v>
      </c>
      <c r="AX133" s="9">
        <f t="shared" si="137"/>
        <v>6</v>
      </c>
      <c r="AY133" s="9">
        <f t="shared" si="138"/>
        <v>3.37</v>
      </c>
      <c r="AZ133" s="9">
        <f t="shared" si="139"/>
        <v>3.75</v>
      </c>
      <c r="BA133" s="9">
        <f t="shared" si="140"/>
        <v>3.4</v>
      </c>
      <c r="BB133" s="9">
        <f t="shared" si="141"/>
        <v>-0.40000000000000036</v>
      </c>
      <c r="BC133" s="9">
        <f t="shared" si="142"/>
        <v>1.0699999999999998</v>
      </c>
      <c r="BD133" s="9">
        <f t="shared" si="143"/>
        <v>2.5</v>
      </c>
      <c r="BE133" s="9">
        <f t="shared" si="144"/>
        <v>2.125</v>
      </c>
      <c r="BF133" s="9">
        <f t="shared" si="145"/>
        <v>4.6500000000000004</v>
      </c>
      <c r="BG133" s="9">
        <f t="shared" si="146"/>
        <v>5.5</v>
      </c>
      <c r="BH133" s="9">
        <f t="shared" si="147"/>
        <v>3.37</v>
      </c>
      <c r="BI133" s="9">
        <f t="shared" si="148"/>
        <v>4</v>
      </c>
      <c r="BJ133" s="9">
        <f t="shared" si="149"/>
        <v>5.25</v>
      </c>
    </row>
    <row r="134" spans="1:62" x14ac:dyDescent="0.2">
      <c r="A134" s="9">
        <f>data!M135-data!M134</f>
        <v>0.830600000000004</v>
      </c>
      <c r="B134" s="9">
        <f>data!C135-data!C134</f>
        <v>7.2200000000000024</v>
      </c>
      <c r="C134" s="9">
        <f>data!D135-data!D134</f>
        <v>1.625</v>
      </c>
      <c r="D134" s="10">
        <f>data!B135-data!B134</f>
        <v>-0.35</v>
      </c>
      <c r="E134" s="9">
        <f>data!E134-data!G134</f>
        <v>3.0587</v>
      </c>
      <c r="F134" s="9">
        <f>(data!E134-data!F134)-(data!G134-data!H134)</f>
        <v>-0.66259999999999986</v>
      </c>
      <c r="G134" s="9">
        <f t="shared" si="100"/>
        <v>-9.1700000000000337E-2</v>
      </c>
      <c r="H134" s="9">
        <f t="shared" si="101"/>
        <v>0.12069999999999981</v>
      </c>
      <c r="I134" s="9">
        <f>IF(data!M135&gt; 111.81,1,0)</f>
        <v>0</v>
      </c>
      <c r="J134" s="9">
        <f t="shared" si="102"/>
        <v>1</v>
      </c>
      <c r="K134" s="9">
        <f t="shared" si="103"/>
        <v>0</v>
      </c>
      <c r="L134" s="9">
        <f t="shared" si="104"/>
        <v>0.830600000000004</v>
      </c>
      <c r="M134" s="9">
        <f>data!J134</f>
        <v>0.5</v>
      </c>
      <c r="N134" s="9">
        <f>data!I134</f>
        <v>1</v>
      </c>
      <c r="O134" s="9">
        <f>data!L134</f>
        <v>-0.2</v>
      </c>
      <c r="P134" s="9">
        <f>data!K134</f>
        <v>-3.8</v>
      </c>
      <c r="Q134" s="9">
        <f>data!R134</f>
        <v>-5.15</v>
      </c>
      <c r="R134" s="9">
        <f t="shared" si="105"/>
        <v>0.7</v>
      </c>
      <c r="S134" s="9">
        <f t="shared" si="106"/>
        <v>1.1000000000000001</v>
      </c>
      <c r="T134" s="9">
        <f t="shared" si="107"/>
        <v>-0.75</v>
      </c>
      <c r="U134" s="9">
        <f t="shared" si="108"/>
        <v>1</v>
      </c>
      <c r="V134" s="9">
        <f t="shared" si="109"/>
        <v>2</v>
      </c>
      <c r="W134" s="9">
        <f t="shared" si="110"/>
        <v>-6.5</v>
      </c>
      <c r="X134" s="9">
        <f t="shared" si="111"/>
        <v>-6.05</v>
      </c>
      <c r="Y134" s="9">
        <f t="shared" si="112"/>
        <v>1.5</v>
      </c>
      <c r="Z134" s="9">
        <f t="shared" si="113"/>
        <v>0.19999999999999996</v>
      </c>
      <c r="AA134" s="9">
        <f t="shared" si="114"/>
        <v>2</v>
      </c>
      <c r="AB134" s="9">
        <f t="shared" si="115"/>
        <v>2.8</v>
      </c>
      <c r="AC134" s="9">
        <f t="shared" si="116"/>
        <v>1.125</v>
      </c>
      <c r="AD134" s="9">
        <f t="shared" si="117"/>
        <v>3.8499999999999996</v>
      </c>
      <c r="AE134" s="9">
        <f t="shared" si="118"/>
        <v>5.2</v>
      </c>
      <c r="AF134" s="9">
        <f t="shared" si="119"/>
        <v>2.65</v>
      </c>
      <c r="AG134" s="9">
        <f t="shared" si="120"/>
        <v>1.6</v>
      </c>
      <c r="AH134" s="9">
        <f t="shared" si="121"/>
        <v>3</v>
      </c>
      <c r="AI134" s="9">
        <f t="shared" si="122"/>
        <v>0.5</v>
      </c>
      <c r="AJ134" s="9">
        <f t="shared" si="123"/>
        <v>1.8399999999999999</v>
      </c>
      <c r="AK134" s="9">
        <f t="shared" si="124"/>
        <v>3.2</v>
      </c>
      <c r="AL134" s="9">
        <f t="shared" si="125"/>
        <v>1.99</v>
      </c>
      <c r="AM134" s="9">
        <f t="shared" si="126"/>
        <v>4.45</v>
      </c>
      <c r="AN134" s="9">
        <f t="shared" si="127"/>
        <v>5.15</v>
      </c>
      <c r="AO134" s="9">
        <f t="shared" si="128"/>
        <v>3.0900000000000003</v>
      </c>
      <c r="AP134" s="9">
        <f t="shared" si="129"/>
        <v>2.6</v>
      </c>
      <c r="AQ134" s="9">
        <f t="shared" si="130"/>
        <v>3.7</v>
      </c>
      <c r="AR134" s="9">
        <f t="shared" si="131"/>
        <v>3.49</v>
      </c>
      <c r="AS134" s="9">
        <f t="shared" si="132"/>
        <v>1.5999999999999996</v>
      </c>
      <c r="AT134" s="9">
        <f t="shared" si="133"/>
        <v>3.05</v>
      </c>
      <c r="AU134" s="9">
        <f t="shared" si="134"/>
        <v>2.4249999999999998</v>
      </c>
      <c r="AV134" s="9">
        <f t="shared" si="135"/>
        <v>4.8499999999999996</v>
      </c>
      <c r="AW134" s="9">
        <f t="shared" si="136"/>
        <v>6.3</v>
      </c>
      <c r="AX134" s="9">
        <f t="shared" si="137"/>
        <v>3.67</v>
      </c>
      <c r="AY134" s="9">
        <f t="shared" si="138"/>
        <v>4.05</v>
      </c>
      <c r="AZ134" s="9">
        <f t="shared" si="139"/>
        <v>3.6999999999999997</v>
      </c>
      <c r="BA134" s="9">
        <f t="shared" si="140"/>
        <v>4.5</v>
      </c>
      <c r="BB134" s="9">
        <f t="shared" si="141"/>
        <v>1.4700000000000002</v>
      </c>
      <c r="BC134" s="9">
        <f t="shared" si="142"/>
        <v>2.9000000000000004</v>
      </c>
      <c r="BD134" s="9">
        <f t="shared" si="143"/>
        <v>2.5250000000000004</v>
      </c>
      <c r="BE134" s="9">
        <f t="shared" si="144"/>
        <v>5.0500000000000007</v>
      </c>
      <c r="BF134" s="9">
        <f t="shared" si="145"/>
        <v>5.9</v>
      </c>
      <c r="BG134" s="9">
        <f t="shared" si="146"/>
        <v>3.7700000000000005</v>
      </c>
      <c r="BH134" s="9">
        <f t="shared" si="147"/>
        <v>4.4000000000000004</v>
      </c>
      <c r="BI134" s="9">
        <f t="shared" si="148"/>
        <v>5.65</v>
      </c>
      <c r="BJ134" s="9">
        <f t="shared" si="149"/>
        <v>4.8000000000000007</v>
      </c>
    </row>
    <row r="135" spans="1:62" x14ac:dyDescent="0.2">
      <c r="A135" s="9">
        <f>data!M136-data!M135</f>
        <v>-0.44460000000000832</v>
      </c>
      <c r="B135" s="9">
        <f>data!C136-data!C135</f>
        <v>0.98999999999999844</v>
      </c>
      <c r="C135" s="9">
        <f>data!D136-data!D135</f>
        <v>0.3512000000000004</v>
      </c>
      <c r="D135" s="10">
        <f>data!B136-data!B135</f>
        <v>0.47499999999999998</v>
      </c>
      <c r="E135" s="9">
        <f>data!E135-data!G135</f>
        <v>2.9669999999999996</v>
      </c>
      <c r="F135" s="9">
        <f>(data!E135-data!F135)-(data!G135-data!H135)</f>
        <v>-0.54190000000000005</v>
      </c>
      <c r="G135" s="9">
        <f t="shared" si="100"/>
        <v>-6.1799999999999855E-2</v>
      </c>
      <c r="H135" s="9">
        <f t="shared" si="101"/>
        <v>2.0400000000000196E-2</v>
      </c>
      <c r="I135" s="9">
        <f>IF(data!M136&gt; 111.81,1,0)</f>
        <v>0</v>
      </c>
      <c r="J135" s="9">
        <f t="shared" si="102"/>
        <v>1</v>
      </c>
      <c r="K135" s="9">
        <f t="shared" si="103"/>
        <v>0</v>
      </c>
      <c r="L135" s="9">
        <f t="shared" si="104"/>
        <v>-0.44460000000000832</v>
      </c>
      <c r="M135" s="9">
        <f>data!J135</f>
        <v>1.2</v>
      </c>
      <c r="N135" s="9">
        <f>data!I135</f>
        <v>3</v>
      </c>
      <c r="O135" s="9">
        <f>data!L135</f>
        <v>1.64</v>
      </c>
      <c r="P135" s="9">
        <f>data!K135</f>
        <v>-2.2000000000000002</v>
      </c>
      <c r="Q135" s="9">
        <f>data!R135</f>
        <v>-3.68</v>
      </c>
      <c r="R135" s="9">
        <f t="shared" si="105"/>
        <v>0.40000000000000013</v>
      </c>
      <c r="S135" s="9">
        <f t="shared" si="106"/>
        <v>-1.45</v>
      </c>
      <c r="T135" s="9">
        <f t="shared" si="107"/>
        <v>0.30000000000000004</v>
      </c>
      <c r="U135" s="9">
        <f t="shared" si="108"/>
        <v>1.3</v>
      </c>
      <c r="V135" s="9">
        <f t="shared" si="109"/>
        <v>-7.2</v>
      </c>
      <c r="W135" s="9">
        <f t="shared" si="110"/>
        <v>-6.75</v>
      </c>
      <c r="X135" s="9">
        <f t="shared" si="111"/>
        <v>0.8</v>
      </c>
      <c r="Y135" s="9">
        <f t="shared" si="112"/>
        <v>-0.5</v>
      </c>
      <c r="Z135" s="9">
        <f t="shared" si="113"/>
        <v>-1.2249999999999999</v>
      </c>
      <c r="AA135" s="9">
        <f t="shared" si="114"/>
        <v>0.79999999999999982</v>
      </c>
      <c r="AB135" s="9">
        <f t="shared" si="115"/>
        <v>-0.875</v>
      </c>
      <c r="AC135" s="9">
        <f t="shared" si="116"/>
        <v>1.8499999999999996</v>
      </c>
      <c r="AD135" s="9">
        <f t="shared" si="117"/>
        <v>3.2</v>
      </c>
      <c r="AE135" s="9">
        <f t="shared" si="118"/>
        <v>0.64999999999999991</v>
      </c>
      <c r="AF135" s="9">
        <f t="shared" si="119"/>
        <v>-0.39999999999999991</v>
      </c>
      <c r="AG135" s="9">
        <f t="shared" si="120"/>
        <v>1</v>
      </c>
      <c r="AH135" s="9">
        <f t="shared" si="121"/>
        <v>-1.5</v>
      </c>
      <c r="AI135" s="9">
        <f t="shared" si="122"/>
        <v>0.75</v>
      </c>
      <c r="AJ135" s="9">
        <f t="shared" si="123"/>
        <v>1.36</v>
      </c>
      <c r="AK135" s="9">
        <f t="shared" si="124"/>
        <v>0.15000000000000013</v>
      </c>
      <c r="AL135" s="9">
        <f t="shared" si="125"/>
        <v>2.6100000000000003</v>
      </c>
      <c r="AM135" s="9">
        <f t="shared" si="126"/>
        <v>3.3100000000000005</v>
      </c>
      <c r="AN135" s="9">
        <f t="shared" si="127"/>
        <v>1.2500000000000002</v>
      </c>
      <c r="AO135" s="9">
        <f t="shared" si="128"/>
        <v>0.76</v>
      </c>
      <c r="AP135" s="9">
        <f t="shared" si="129"/>
        <v>1.86</v>
      </c>
      <c r="AQ135" s="9">
        <f t="shared" si="130"/>
        <v>1.6500000000000001</v>
      </c>
      <c r="AR135" s="9">
        <f t="shared" si="131"/>
        <v>1.61</v>
      </c>
      <c r="AS135" s="9">
        <f t="shared" si="132"/>
        <v>1.4500000000000002</v>
      </c>
      <c r="AT135" s="9">
        <f t="shared" si="133"/>
        <v>0.82500000000000018</v>
      </c>
      <c r="AU135" s="9">
        <f t="shared" si="134"/>
        <v>3.25</v>
      </c>
      <c r="AV135" s="9">
        <f t="shared" si="135"/>
        <v>4.7</v>
      </c>
      <c r="AW135" s="9">
        <f t="shared" si="136"/>
        <v>2.0700000000000003</v>
      </c>
      <c r="AX135" s="9">
        <f t="shared" si="137"/>
        <v>2.4500000000000002</v>
      </c>
      <c r="AY135" s="9">
        <f t="shared" si="138"/>
        <v>2.1</v>
      </c>
      <c r="AZ135" s="9">
        <f t="shared" si="139"/>
        <v>2.9000000000000004</v>
      </c>
      <c r="BA135" s="9">
        <f t="shared" si="140"/>
        <v>2.6</v>
      </c>
      <c r="BB135" s="9">
        <f t="shared" si="141"/>
        <v>1.4300000000000002</v>
      </c>
      <c r="BC135" s="9">
        <f t="shared" si="142"/>
        <v>1.0550000000000002</v>
      </c>
      <c r="BD135" s="9">
        <f t="shared" si="143"/>
        <v>3.58</v>
      </c>
      <c r="BE135" s="9">
        <f t="shared" si="144"/>
        <v>4.43</v>
      </c>
      <c r="BF135" s="9">
        <f t="shared" si="145"/>
        <v>2.3000000000000003</v>
      </c>
      <c r="BG135" s="9">
        <f t="shared" si="146"/>
        <v>2.93</v>
      </c>
      <c r="BH135" s="9">
        <f t="shared" si="147"/>
        <v>4.18</v>
      </c>
      <c r="BI135" s="9">
        <f t="shared" si="148"/>
        <v>3.33</v>
      </c>
      <c r="BJ135" s="9">
        <f t="shared" si="149"/>
        <v>3.18</v>
      </c>
    </row>
    <row r="136" spans="1:62" x14ac:dyDescent="0.2">
      <c r="A136" s="9">
        <f>data!M137-data!M136</f>
        <v>0.41750000000000398</v>
      </c>
      <c r="B136" s="9">
        <f>data!C137-data!C136</f>
        <v>3.1400000000000006</v>
      </c>
      <c r="C136" s="9">
        <f>data!D137-data!D136</f>
        <v>0.7737999999999996</v>
      </c>
      <c r="D136" s="10">
        <f>data!B137-data!B136</f>
        <v>-1.2249999999999999</v>
      </c>
      <c r="E136" s="9">
        <f>data!E136-data!G136</f>
        <v>2.9051999999999998</v>
      </c>
      <c r="F136" s="9">
        <f>(data!E136-data!F136)-(data!G136-data!H136)</f>
        <v>-0.52149999999999985</v>
      </c>
      <c r="G136" s="9">
        <f t="shared" si="100"/>
        <v>0.18740000000000023</v>
      </c>
      <c r="H136" s="9">
        <f t="shared" si="101"/>
        <v>0.10789999999999966</v>
      </c>
      <c r="I136" s="9">
        <f>IF(data!M137&gt; 111.81,1,0)</f>
        <v>0</v>
      </c>
      <c r="J136" s="9">
        <f t="shared" si="102"/>
        <v>1</v>
      </c>
      <c r="K136" s="9">
        <f t="shared" si="103"/>
        <v>0</v>
      </c>
      <c r="L136" s="9">
        <f t="shared" si="104"/>
        <v>0.41750000000000398</v>
      </c>
      <c r="M136" s="9">
        <f>data!J136</f>
        <v>1.6</v>
      </c>
      <c r="N136" s="9">
        <f>data!I136</f>
        <v>3.8</v>
      </c>
      <c r="O136" s="9">
        <f>data!L136</f>
        <v>3</v>
      </c>
      <c r="P136" s="9">
        <f>data!K136</f>
        <v>-0.75</v>
      </c>
      <c r="Q136" s="9">
        <f>data!R136</f>
        <v>-2.25</v>
      </c>
      <c r="R136" s="9">
        <f t="shared" si="105"/>
        <v>-1.85</v>
      </c>
      <c r="S136" s="9">
        <f t="shared" si="106"/>
        <v>-0.10000000000000009</v>
      </c>
      <c r="T136" s="9">
        <f t="shared" si="107"/>
        <v>0.89999999999999991</v>
      </c>
      <c r="U136" s="9">
        <f t="shared" si="108"/>
        <v>-7.6</v>
      </c>
      <c r="V136" s="9">
        <f t="shared" si="109"/>
        <v>-7.15</v>
      </c>
      <c r="W136" s="9">
        <f t="shared" si="110"/>
        <v>0.39999999999999991</v>
      </c>
      <c r="X136" s="9">
        <f t="shared" si="111"/>
        <v>-0.90000000000000013</v>
      </c>
      <c r="Y136" s="9">
        <f t="shared" si="112"/>
        <v>-1.625</v>
      </c>
      <c r="Z136" s="9">
        <f t="shared" si="113"/>
        <v>-3.35</v>
      </c>
      <c r="AA136" s="9">
        <f t="shared" si="114"/>
        <v>-1.6749999999999998</v>
      </c>
      <c r="AB136" s="9">
        <f t="shared" si="115"/>
        <v>1.0499999999999998</v>
      </c>
      <c r="AC136" s="9">
        <f t="shared" si="116"/>
        <v>2.4000000000000004</v>
      </c>
      <c r="AD136" s="9">
        <f t="shared" si="117"/>
        <v>-0.14999999999999991</v>
      </c>
      <c r="AE136" s="9">
        <f t="shared" si="118"/>
        <v>-1.1999999999999997</v>
      </c>
      <c r="AF136" s="9">
        <f t="shared" si="119"/>
        <v>0.20000000000000018</v>
      </c>
      <c r="AG136" s="9">
        <f t="shared" si="120"/>
        <v>-2.2999999999999998</v>
      </c>
      <c r="AH136" s="9">
        <f t="shared" si="121"/>
        <v>-4.9999999999999822E-2</v>
      </c>
      <c r="AI136" s="9">
        <f t="shared" si="122"/>
        <v>-1.0499999999999998</v>
      </c>
      <c r="AJ136" s="9">
        <f t="shared" si="123"/>
        <v>-1.21</v>
      </c>
      <c r="AK136" s="9">
        <f t="shared" si="124"/>
        <v>1.25</v>
      </c>
      <c r="AL136" s="9">
        <f t="shared" si="125"/>
        <v>1.9500000000000002</v>
      </c>
      <c r="AM136" s="9">
        <f t="shared" si="126"/>
        <v>-0.10999999999999988</v>
      </c>
      <c r="AN136" s="9">
        <f t="shared" si="127"/>
        <v>-0.60000000000000009</v>
      </c>
      <c r="AO136" s="9">
        <f t="shared" si="128"/>
        <v>0.5</v>
      </c>
      <c r="AP136" s="9">
        <f t="shared" si="129"/>
        <v>0.29000000000000004</v>
      </c>
      <c r="AQ136" s="9">
        <f t="shared" si="130"/>
        <v>0.25</v>
      </c>
      <c r="AR136" s="9">
        <f t="shared" si="131"/>
        <v>-0.25</v>
      </c>
      <c r="AS136" s="9">
        <f t="shared" si="132"/>
        <v>-0.625</v>
      </c>
      <c r="AT136" s="9">
        <f t="shared" si="133"/>
        <v>1.8</v>
      </c>
      <c r="AU136" s="9">
        <f t="shared" si="134"/>
        <v>3.25</v>
      </c>
      <c r="AV136" s="9">
        <f t="shared" si="135"/>
        <v>0.62</v>
      </c>
      <c r="AW136" s="9">
        <f t="shared" si="136"/>
        <v>1</v>
      </c>
      <c r="AX136" s="9">
        <f t="shared" si="137"/>
        <v>0.65</v>
      </c>
      <c r="AY136" s="9">
        <f t="shared" si="138"/>
        <v>1.45</v>
      </c>
      <c r="AZ136" s="9">
        <f t="shared" si="139"/>
        <v>1.1499999999999999</v>
      </c>
      <c r="BA136" s="9">
        <f t="shared" si="140"/>
        <v>0.5</v>
      </c>
      <c r="BB136" s="9">
        <f t="shared" si="141"/>
        <v>-0.375</v>
      </c>
      <c r="BC136" s="9">
        <f t="shared" si="142"/>
        <v>2.15</v>
      </c>
      <c r="BD136" s="9">
        <f t="shared" si="143"/>
        <v>3</v>
      </c>
      <c r="BE136" s="9">
        <f t="shared" si="144"/>
        <v>0.87000000000000011</v>
      </c>
      <c r="BF136" s="9">
        <f t="shared" si="145"/>
        <v>1.5</v>
      </c>
      <c r="BG136" s="9">
        <f t="shared" si="146"/>
        <v>2.75</v>
      </c>
      <c r="BH136" s="9">
        <f t="shared" si="147"/>
        <v>1.9</v>
      </c>
      <c r="BI136" s="9">
        <f t="shared" si="148"/>
        <v>1.75</v>
      </c>
      <c r="BJ136" s="9">
        <f t="shared" si="149"/>
        <v>1</v>
      </c>
    </row>
    <row r="137" spans="1:62" x14ac:dyDescent="0.2">
      <c r="A137" s="9">
        <f>data!M138-data!M137</f>
        <v>0.79760000000000275</v>
      </c>
      <c r="B137" s="9">
        <f>data!C138-data!C137</f>
        <v>1.6899999999999977</v>
      </c>
      <c r="C137" s="9">
        <f>data!D138-data!D137</f>
        <v>3.25</v>
      </c>
      <c r="D137" s="10">
        <f>data!B138-data!B137</f>
        <v>-2.1749999999999998</v>
      </c>
      <c r="E137" s="9">
        <f>data!E137-data!G137</f>
        <v>3.0926</v>
      </c>
      <c r="F137" s="9">
        <f>(data!E137-data!F137)-(data!G137-data!H137)</f>
        <v>-0.41360000000000019</v>
      </c>
      <c r="G137" s="9">
        <f t="shared" si="100"/>
        <v>7.1000000000003283E-3</v>
      </c>
      <c r="H137" s="9">
        <f t="shared" si="101"/>
        <v>0.15770000000000084</v>
      </c>
      <c r="I137" s="9">
        <f>IF(data!M138&gt; 111.81,1,0)</f>
        <v>0</v>
      </c>
      <c r="J137" s="9">
        <f t="shared" si="102"/>
        <v>1</v>
      </c>
      <c r="K137" s="9">
        <f t="shared" si="103"/>
        <v>0</v>
      </c>
      <c r="L137" s="9">
        <f t="shared" si="104"/>
        <v>0.79760000000000275</v>
      </c>
      <c r="M137" s="9">
        <f>data!J137</f>
        <v>-0.25</v>
      </c>
      <c r="N137" s="9">
        <f>data!I137</f>
        <v>2.125</v>
      </c>
      <c r="O137" s="9">
        <f>data!L137</f>
        <v>1.79</v>
      </c>
      <c r="P137" s="9">
        <f>data!K137</f>
        <v>-1.375</v>
      </c>
      <c r="Q137" s="9">
        <f>data!R137</f>
        <v>-2.625</v>
      </c>
      <c r="R137" s="9">
        <f t="shared" si="105"/>
        <v>1.75</v>
      </c>
      <c r="S137" s="9">
        <f t="shared" si="106"/>
        <v>2.75</v>
      </c>
      <c r="T137" s="9">
        <f t="shared" si="107"/>
        <v>-5.75</v>
      </c>
      <c r="U137" s="9">
        <f t="shared" si="108"/>
        <v>-5.3</v>
      </c>
      <c r="V137" s="9">
        <f t="shared" si="109"/>
        <v>2.25</v>
      </c>
      <c r="W137" s="9">
        <f t="shared" si="110"/>
        <v>0.95</v>
      </c>
      <c r="X137" s="9">
        <f t="shared" si="111"/>
        <v>0.22500000000000001</v>
      </c>
      <c r="Y137" s="9">
        <f t="shared" si="112"/>
        <v>-1.5</v>
      </c>
      <c r="Z137" s="9">
        <f t="shared" si="113"/>
        <v>0.35</v>
      </c>
      <c r="AA137" s="9">
        <f t="shared" si="114"/>
        <v>2.7249999999999996</v>
      </c>
      <c r="AB137" s="9">
        <f t="shared" si="115"/>
        <v>4.0750000000000002</v>
      </c>
      <c r="AC137" s="9">
        <f t="shared" si="116"/>
        <v>1.5249999999999999</v>
      </c>
      <c r="AD137" s="9">
        <f t="shared" si="117"/>
        <v>0.47500000000000009</v>
      </c>
      <c r="AE137" s="9">
        <f t="shared" si="118"/>
        <v>1.875</v>
      </c>
      <c r="AF137" s="9">
        <f t="shared" si="119"/>
        <v>-0.625</v>
      </c>
      <c r="AG137" s="9">
        <f t="shared" si="120"/>
        <v>1.625</v>
      </c>
      <c r="AH137" s="9">
        <f t="shared" si="121"/>
        <v>0.625</v>
      </c>
      <c r="AI137" s="9">
        <f t="shared" si="122"/>
        <v>0.67499999999999982</v>
      </c>
      <c r="AJ137" s="9">
        <f t="shared" si="123"/>
        <v>2.46</v>
      </c>
      <c r="AK137" s="9">
        <f t="shared" si="124"/>
        <v>3.16</v>
      </c>
      <c r="AL137" s="9">
        <f t="shared" si="125"/>
        <v>1.1000000000000001</v>
      </c>
      <c r="AM137" s="9">
        <f t="shared" si="126"/>
        <v>0.60999999999999988</v>
      </c>
      <c r="AN137" s="9">
        <f t="shared" si="127"/>
        <v>1.71</v>
      </c>
      <c r="AO137" s="9">
        <f t="shared" si="128"/>
        <v>1.5</v>
      </c>
      <c r="AP137" s="9">
        <f t="shared" si="129"/>
        <v>1.46</v>
      </c>
      <c r="AQ137" s="9">
        <f t="shared" si="130"/>
        <v>0.96</v>
      </c>
      <c r="AR137" s="9">
        <f t="shared" si="131"/>
        <v>0.71</v>
      </c>
      <c r="AS137" s="9">
        <f t="shared" si="132"/>
        <v>2.4249999999999998</v>
      </c>
      <c r="AT137" s="9">
        <f t="shared" si="133"/>
        <v>3.875</v>
      </c>
      <c r="AU137" s="9">
        <f t="shared" si="134"/>
        <v>1.2450000000000001</v>
      </c>
      <c r="AV137" s="9">
        <f t="shared" si="135"/>
        <v>1.625</v>
      </c>
      <c r="AW137" s="9">
        <f t="shared" si="136"/>
        <v>1.2749999999999999</v>
      </c>
      <c r="AX137" s="9">
        <f t="shared" si="137"/>
        <v>2.0750000000000002</v>
      </c>
      <c r="AY137" s="9">
        <f t="shared" si="138"/>
        <v>1.7749999999999999</v>
      </c>
      <c r="AZ137" s="9">
        <f t="shared" si="139"/>
        <v>1.125</v>
      </c>
      <c r="BA137" s="9">
        <f t="shared" si="140"/>
        <v>0.5</v>
      </c>
      <c r="BB137" s="9">
        <f t="shared" si="141"/>
        <v>2.5249999999999999</v>
      </c>
      <c r="BC137" s="9">
        <f t="shared" si="142"/>
        <v>3.375</v>
      </c>
      <c r="BD137" s="9">
        <f t="shared" si="143"/>
        <v>1.2450000000000001</v>
      </c>
      <c r="BE137" s="9">
        <f t="shared" si="144"/>
        <v>1.875</v>
      </c>
      <c r="BF137" s="9">
        <f t="shared" si="145"/>
        <v>3.125</v>
      </c>
      <c r="BG137" s="9">
        <f t="shared" si="146"/>
        <v>2.2749999999999999</v>
      </c>
      <c r="BH137" s="9">
        <f t="shared" si="147"/>
        <v>2.125</v>
      </c>
      <c r="BI137" s="9">
        <f t="shared" si="148"/>
        <v>1.375</v>
      </c>
      <c r="BJ137" s="9">
        <f t="shared" si="149"/>
        <v>1</v>
      </c>
    </row>
    <row r="138" spans="1:62" x14ac:dyDescent="0.2">
      <c r="A138" s="9">
        <f>data!M139-data!M138</f>
        <v>-0.63269999999999982</v>
      </c>
      <c r="B138" s="9">
        <f>data!C139-data!C138</f>
        <v>-9.27</v>
      </c>
      <c r="C138" s="9">
        <f>data!D139-data!D138</f>
        <v>-2.4499999999999993</v>
      </c>
      <c r="D138" s="10">
        <f>data!B139-data!B138</f>
        <v>1.65</v>
      </c>
      <c r="E138" s="9">
        <f>data!E138-data!G138</f>
        <v>3.0997000000000003</v>
      </c>
      <c r="F138" s="9">
        <f>(data!E138-data!F138)-(data!G138-data!H138)</f>
        <v>-0.25589999999999935</v>
      </c>
      <c r="G138" s="9">
        <f t="shared" si="100"/>
        <v>-8.2100000000000506E-2</v>
      </c>
      <c r="H138" s="9">
        <f t="shared" si="101"/>
        <v>-0.12590000000000101</v>
      </c>
      <c r="I138" s="9">
        <f>IF(data!M139&gt; 111.81,1,0)</f>
        <v>0</v>
      </c>
      <c r="J138" s="9">
        <f t="shared" si="102"/>
        <v>1</v>
      </c>
      <c r="K138" s="9">
        <f t="shared" si="103"/>
        <v>0</v>
      </c>
      <c r="L138" s="9">
        <f t="shared" si="104"/>
        <v>-0.63269999999999982</v>
      </c>
      <c r="M138" s="9">
        <f>data!J138</f>
        <v>1.5</v>
      </c>
      <c r="N138" s="9">
        <f>data!I138</f>
        <v>4.8499999999999996</v>
      </c>
      <c r="O138" s="9">
        <f>data!L138</f>
        <v>4.25</v>
      </c>
      <c r="P138" s="9">
        <f>data!K138</f>
        <v>1.05</v>
      </c>
      <c r="Q138" s="9">
        <f>data!R138</f>
        <v>-0.1</v>
      </c>
      <c r="R138" s="9">
        <f t="shared" si="105"/>
        <v>1</v>
      </c>
      <c r="S138" s="9">
        <f t="shared" si="106"/>
        <v>-7.5</v>
      </c>
      <c r="T138" s="9">
        <f t="shared" si="107"/>
        <v>-7.05</v>
      </c>
      <c r="U138" s="9">
        <f t="shared" si="108"/>
        <v>0.5</v>
      </c>
      <c r="V138" s="9">
        <f t="shared" si="109"/>
        <v>-0.8</v>
      </c>
      <c r="W138" s="9">
        <f t="shared" si="110"/>
        <v>-1.5249999999999999</v>
      </c>
      <c r="X138" s="9">
        <f t="shared" si="111"/>
        <v>-3.25</v>
      </c>
      <c r="Y138" s="9">
        <f t="shared" si="112"/>
        <v>-1.4</v>
      </c>
      <c r="Z138" s="9">
        <f t="shared" si="113"/>
        <v>-1.25</v>
      </c>
      <c r="AA138" s="9">
        <f t="shared" si="114"/>
        <v>1.3500000000000005</v>
      </c>
      <c r="AB138" s="9">
        <f t="shared" si="115"/>
        <v>-1.1999999999999997</v>
      </c>
      <c r="AC138" s="9">
        <f t="shared" si="116"/>
        <v>-2.2499999999999996</v>
      </c>
      <c r="AD138" s="9">
        <f t="shared" si="117"/>
        <v>-0.84999999999999964</v>
      </c>
      <c r="AE138" s="9">
        <f t="shared" si="118"/>
        <v>-3.3499999999999996</v>
      </c>
      <c r="AF138" s="9">
        <f t="shared" si="119"/>
        <v>-1.0999999999999996</v>
      </c>
      <c r="AG138" s="9">
        <f t="shared" si="120"/>
        <v>-2.0999999999999996</v>
      </c>
      <c r="AH138" s="9">
        <f t="shared" si="121"/>
        <v>-2.0499999999999998</v>
      </c>
      <c r="AI138" s="9">
        <f t="shared" si="122"/>
        <v>-1.5999999999999996</v>
      </c>
      <c r="AJ138" s="9">
        <f t="shared" si="123"/>
        <v>0.70000000000000018</v>
      </c>
      <c r="AK138" s="9">
        <f t="shared" si="124"/>
        <v>-1.3599999999999999</v>
      </c>
      <c r="AL138" s="9">
        <f t="shared" si="125"/>
        <v>-1.85</v>
      </c>
      <c r="AM138" s="9">
        <f t="shared" si="126"/>
        <v>-0.75</v>
      </c>
      <c r="AN138" s="9">
        <f t="shared" si="127"/>
        <v>-0.96</v>
      </c>
      <c r="AO138" s="9">
        <f t="shared" si="128"/>
        <v>-1</v>
      </c>
      <c r="AP138" s="9">
        <f t="shared" si="129"/>
        <v>-1.5</v>
      </c>
      <c r="AQ138" s="9">
        <f t="shared" si="130"/>
        <v>-1.75</v>
      </c>
      <c r="AR138" s="9">
        <f t="shared" si="131"/>
        <v>-1.25</v>
      </c>
      <c r="AS138" s="9">
        <f t="shared" si="132"/>
        <v>1.45</v>
      </c>
      <c r="AT138" s="9">
        <f t="shared" si="133"/>
        <v>-1.1800000000000002</v>
      </c>
      <c r="AU138" s="9">
        <f t="shared" si="134"/>
        <v>-0.8</v>
      </c>
      <c r="AV138" s="9">
        <f t="shared" si="135"/>
        <v>-1.1500000000000001</v>
      </c>
      <c r="AW138" s="9">
        <f t="shared" si="136"/>
        <v>-0.35000000000000009</v>
      </c>
      <c r="AX138" s="9">
        <f t="shared" si="137"/>
        <v>-0.65</v>
      </c>
      <c r="AY138" s="9">
        <f t="shared" si="138"/>
        <v>-1.3</v>
      </c>
      <c r="AZ138" s="9">
        <f t="shared" si="139"/>
        <v>-1.925</v>
      </c>
      <c r="BA138" s="9">
        <f t="shared" si="140"/>
        <v>-1.3</v>
      </c>
      <c r="BB138" s="9">
        <f t="shared" si="141"/>
        <v>0.85</v>
      </c>
      <c r="BC138" s="9">
        <f t="shared" si="142"/>
        <v>-1.2799999999999998</v>
      </c>
      <c r="BD138" s="9">
        <f t="shared" si="143"/>
        <v>-0.65</v>
      </c>
      <c r="BE138" s="9">
        <f t="shared" si="144"/>
        <v>0.6</v>
      </c>
      <c r="BF138" s="9">
        <f t="shared" si="145"/>
        <v>-0.24999999999999997</v>
      </c>
      <c r="BG138" s="9">
        <f t="shared" si="146"/>
        <v>-0.4</v>
      </c>
      <c r="BH138" s="9">
        <f t="shared" si="147"/>
        <v>-1.1499999999999999</v>
      </c>
      <c r="BI138" s="9">
        <f t="shared" si="148"/>
        <v>-1.5249999999999999</v>
      </c>
      <c r="BJ138" s="9">
        <f t="shared" si="149"/>
        <v>-1.1499999999999999</v>
      </c>
    </row>
    <row r="139" spans="1:62" x14ac:dyDescent="0.2">
      <c r="A139" s="9">
        <f>data!M140-data!M139</f>
        <v>-1.8900000000002137E-2</v>
      </c>
      <c r="B139" s="9">
        <f>data!C140-data!C139</f>
        <v>2.66</v>
      </c>
      <c r="C139" s="9">
        <f>data!D140-data!D139</f>
        <v>0.84999999999999964</v>
      </c>
      <c r="D139" s="10">
        <f>data!B140-data!B139</f>
        <v>-0.60000000000000009</v>
      </c>
      <c r="E139" s="9">
        <f>data!E139-data!G139</f>
        <v>3.0175999999999998</v>
      </c>
      <c r="F139" s="9">
        <f>(data!E139-data!F139)-(data!G139-data!H139)</f>
        <v>-0.38180000000000036</v>
      </c>
      <c r="G139" s="9">
        <f t="shared" si="100"/>
        <v>-0.10139999999999949</v>
      </c>
      <c r="H139" s="9">
        <f t="shared" si="101"/>
        <v>4.600000000000104E-2</v>
      </c>
      <c r="I139" s="9">
        <f>IF(data!M140&gt; 111.81,1,0)</f>
        <v>0</v>
      </c>
      <c r="J139" s="9">
        <f t="shared" si="102"/>
        <v>1</v>
      </c>
      <c r="K139" s="9">
        <f t="shared" si="103"/>
        <v>0</v>
      </c>
      <c r="L139" s="9">
        <f t="shared" si="104"/>
        <v>-1.8900000000002137E-2</v>
      </c>
      <c r="M139" s="9">
        <f>data!J139</f>
        <v>2.5</v>
      </c>
      <c r="N139" s="9">
        <f>data!I139</f>
        <v>6.2</v>
      </c>
      <c r="O139" s="9">
        <f>data!L139</f>
        <v>4.95</v>
      </c>
      <c r="P139" s="9">
        <f>data!K139</f>
        <v>2.5</v>
      </c>
      <c r="Q139" s="9">
        <f>data!R139</f>
        <v>0.75</v>
      </c>
      <c r="R139" s="9">
        <f t="shared" si="105"/>
        <v>-8.5</v>
      </c>
      <c r="S139" s="9">
        <f t="shared" si="106"/>
        <v>-8.0500000000000007</v>
      </c>
      <c r="T139" s="9">
        <f t="shared" si="107"/>
        <v>-0.5</v>
      </c>
      <c r="U139" s="9">
        <f t="shared" si="108"/>
        <v>-1.8</v>
      </c>
      <c r="V139" s="9">
        <f t="shared" si="109"/>
        <v>-2.5249999999999999</v>
      </c>
      <c r="W139" s="9">
        <f t="shared" si="110"/>
        <v>-4.25</v>
      </c>
      <c r="X139" s="9">
        <f t="shared" si="111"/>
        <v>-2.4</v>
      </c>
      <c r="Y139" s="9">
        <f t="shared" si="112"/>
        <v>-2.25</v>
      </c>
      <c r="Z139" s="9">
        <f t="shared" si="113"/>
        <v>-1</v>
      </c>
      <c r="AA139" s="9">
        <f t="shared" si="114"/>
        <v>-2.5500000000000003</v>
      </c>
      <c r="AB139" s="9">
        <f t="shared" si="115"/>
        <v>-3.6</v>
      </c>
      <c r="AC139" s="9">
        <f t="shared" si="116"/>
        <v>-2.2000000000000002</v>
      </c>
      <c r="AD139" s="9">
        <f t="shared" si="117"/>
        <v>-4.7</v>
      </c>
      <c r="AE139" s="9">
        <f t="shared" si="118"/>
        <v>-2.4500000000000002</v>
      </c>
      <c r="AF139" s="9">
        <f t="shared" si="119"/>
        <v>-3.45</v>
      </c>
      <c r="AG139" s="9">
        <f t="shared" si="120"/>
        <v>-3.4000000000000004</v>
      </c>
      <c r="AH139" s="9">
        <f t="shared" si="121"/>
        <v>-2.95</v>
      </c>
      <c r="AI139" s="9">
        <f t="shared" si="122"/>
        <v>-2.6</v>
      </c>
      <c r="AJ139" s="9">
        <f t="shared" si="123"/>
        <v>-2.06</v>
      </c>
      <c r="AK139" s="9">
        <f t="shared" si="124"/>
        <v>-2.5500000000000003</v>
      </c>
      <c r="AL139" s="9">
        <f t="shared" si="125"/>
        <v>-1.4500000000000002</v>
      </c>
      <c r="AM139" s="9">
        <f t="shared" si="126"/>
        <v>-1.6600000000000001</v>
      </c>
      <c r="AN139" s="9">
        <f t="shared" si="127"/>
        <v>-1.7000000000000002</v>
      </c>
      <c r="AO139" s="9">
        <f t="shared" si="128"/>
        <v>-2.2000000000000002</v>
      </c>
      <c r="AP139" s="9">
        <f t="shared" si="129"/>
        <v>-2.4500000000000002</v>
      </c>
      <c r="AQ139" s="9">
        <f t="shared" si="130"/>
        <v>-1.9500000000000002</v>
      </c>
      <c r="AR139" s="9">
        <f t="shared" si="131"/>
        <v>-1.7000000000000002</v>
      </c>
      <c r="AS139" s="9">
        <f t="shared" si="132"/>
        <v>-2.63</v>
      </c>
      <c r="AT139" s="9">
        <f t="shared" si="133"/>
        <v>-2.25</v>
      </c>
      <c r="AU139" s="9">
        <f t="shared" si="134"/>
        <v>-2.6</v>
      </c>
      <c r="AV139" s="9">
        <f t="shared" si="135"/>
        <v>-1.8</v>
      </c>
      <c r="AW139" s="9">
        <f t="shared" si="136"/>
        <v>-2.1</v>
      </c>
      <c r="AX139" s="9">
        <f t="shared" si="137"/>
        <v>-2.75</v>
      </c>
      <c r="AY139" s="9">
        <f t="shared" si="138"/>
        <v>-3.375</v>
      </c>
      <c r="AZ139" s="9">
        <f t="shared" si="139"/>
        <v>-2.75</v>
      </c>
      <c r="BA139" s="9">
        <f t="shared" si="140"/>
        <v>-2.95</v>
      </c>
      <c r="BB139" s="9">
        <f t="shared" si="141"/>
        <v>-2.13</v>
      </c>
      <c r="BC139" s="9">
        <f t="shared" si="142"/>
        <v>-1.5</v>
      </c>
      <c r="BD139" s="9">
        <f t="shared" si="143"/>
        <v>-0.25</v>
      </c>
      <c r="BE139" s="9">
        <f t="shared" si="144"/>
        <v>-1.1000000000000001</v>
      </c>
      <c r="BF139" s="9">
        <f t="shared" si="145"/>
        <v>-1.25</v>
      </c>
      <c r="BG139" s="9">
        <f t="shared" si="146"/>
        <v>-2</v>
      </c>
      <c r="BH139" s="9">
        <f t="shared" si="147"/>
        <v>-2.375</v>
      </c>
      <c r="BI139" s="9">
        <f t="shared" si="148"/>
        <v>-2</v>
      </c>
      <c r="BJ139" s="9">
        <f t="shared" si="149"/>
        <v>-2.35</v>
      </c>
    </row>
    <row r="140" spans="1:62" x14ac:dyDescent="0.2">
      <c r="A140" s="9">
        <f>data!M141-data!M140</f>
        <v>-0.37350000000000705</v>
      </c>
      <c r="B140" s="9">
        <f>data!C141-data!C140</f>
        <v>2.8500000000000014</v>
      </c>
      <c r="C140" s="9">
        <f>data!D141-data!D140</f>
        <v>7.4999999999999289E-2</v>
      </c>
      <c r="D140" s="10">
        <f>data!B141-data!B140</f>
        <v>-4.9999999999999822E-2</v>
      </c>
      <c r="E140" s="9">
        <f>data!E140-data!G140</f>
        <v>2.9162000000000003</v>
      </c>
      <c r="F140" s="9">
        <f>(data!E140-data!F140)-(data!G140-data!H140)</f>
        <v>-0.33579999999999932</v>
      </c>
      <c r="G140" s="9">
        <f t="shared" si="100"/>
        <v>-0.12960000000000038</v>
      </c>
      <c r="H140" s="9">
        <f t="shared" si="101"/>
        <v>4.7599999999999087E-2</v>
      </c>
      <c r="I140" s="9">
        <f>IF(data!M141&gt; 111.81,1,0)</f>
        <v>0</v>
      </c>
      <c r="J140" s="9">
        <f t="shared" si="102"/>
        <v>1</v>
      </c>
      <c r="K140" s="9">
        <f t="shared" si="103"/>
        <v>0</v>
      </c>
      <c r="L140" s="9">
        <f t="shared" si="104"/>
        <v>-0.37350000000000705</v>
      </c>
      <c r="M140" s="9">
        <f>data!J140</f>
        <v>-6</v>
      </c>
      <c r="N140" s="9">
        <f>data!I140</f>
        <v>3.65</v>
      </c>
      <c r="O140" s="9">
        <f>data!L140</f>
        <v>2.89</v>
      </c>
      <c r="P140" s="9">
        <f>data!K140</f>
        <v>-0.13</v>
      </c>
      <c r="Q140" s="9">
        <f>data!R140</f>
        <v>-1.38</v>
      </c>
      <c r="R140" s="9">
        <f t="shared" si="105"/>
        <v>0.45000000000000018</v>
      </c>
      <c r="S140" s="9">
        <f t="shared" si="106"/>
        <v>8</v>
      </c>
      <c r="T140" s="9">
        <f t="shared" si="107"/>
        <v>6.7</v>
      </c>
      <c r="U140" s="9">
        <f t="shared" si="108"/>
        <v>5.9749999999999996</v>
      </c>
      <c r="V140" s="9">
        <f t="shared" si="109"/>
        <v>4.25</v>
      </c>
      <c r="W140" s="9">
        <f t="shared" si="110"/>
        <v>6.1</v>
      </c>
      <c r="X140" s="9">
        <f t="shared" si="111"/>
        <v>6.25</v>
      </c>
      <c r="Y140" s="9">
        <f t="shared" si="112"/>
        <v>7.5</v>
      </c>
      <c r="Z140" s="9">
        <f t="shared" si="113"/>
        <v>4.5999999999999996</v>
      </c>
      <c r="AA140" s="9">
        <f t="shared" si="114"/>
        <v>-1.0499999999999998</v>
      </c>
      <c r="AB140" s="9">
        <f t="shared" si="115"/>
        <v>0.35000000000000009</v>
      </c>
      <c r="AC140" s="9">
        <f t="shared" si="116"/>
        <v>-2.15</v>
      </c>
      <c r="AD140" s="9">
        <f t="shared" si="117"/>
        <v>0.10000000000000009</v>
      </c>
      <c r="AE140" s="9">
        <f t="shared" si="118"/>
        <v>-0.89999999999999991</v>
      </c>
      <c r="AF140" s="9">
        <f t="shared" si="119"/>
        <v>-0.85000000000000009</v>
      </c>
      <c r="AG140" s="9">
        <f t="shared" si="120"/>
        <v>-0.39999999999999991</v>
      </c>
      <c r="AH140" s="9">
        <f t="shared" si="121"/>
        <v>-4.9999999999999822E-2</v>
      </c>
      <c r="AI140" s="9">
        <f t="shared" si="122"/>
        <v>-0.39999999999999991</v>
      </c>
      <c r="AJ140" s="9">
        <f t="shared" si="123"/>
        <v>-0.49000000000000021</v>
      </c>
      <c r="AK140" s="9">
        <f t="shared" si="124"/>
        <v>0.60999999999999988</v>
      </c>
      <c r="AL140" s="9">
        <f t="shared" si="125"/>
        <v>0.39999999999999991</v>
      </c>
      <c r="AM140" s="9">
        <f t="shared" si="126"/>
        <v>0.35999999999999988</v>
      </c>
      <c r="AN140" s="9">
        <f t="shared" si="127"/>
        <v>-0.14000000000000012</v>
      </c>
      <c r="AO140" s="9">
        <f t="shared" si="128"/>
        <v>-0.39000000000000012</v>
      </c>
      <c r="AP140" s="9">
        <f t="shared" si="129"/>
        <v>0.10999999999999988</v>
      </c>
      <c r="AQ140" s="9">
        <f t="shared" si="130"/>
        <v>0.35999999999999988</v>
      </c>
      <c r="AR140" s="9">
        <f t="shared" si="131"/>
        <v>0.10999999999999988</v>
      </c>
      <c r="AS140" s="9">
        <f t="shared" si="132"/>
        <v>0.38</v>
      </c>
      <c r="AT140" s="9">
        <f t="shared" si="133"/>
        <v>0.03</v>
      </c>
      <c r="AU140" s="9">
        <f t="shared" si="134"/>
        <v>0.83</v>
      </c>
      <c r="AV140" s="9">
        <f t="shared" si="135"/>
        <v>0.53</v>
      </c>
      <c r="AW140" s="9">
        <f t="shared" si="136"/>
        <v>-0.12</v>
      </c>
      <c r="AX140" s="9">
        <f t="shared" si="137"/>
        <v>-0.745</v>
      </c>
      <c r="AY140" s="9">
        <f t="shared" si="138"/>
        <v>-0.12</v>
      </c>
      <c r="AZ140" s="9">
        <f t="shared" si="139"/>
        <v>-0.32</v>
      </c>
      <c r="BA140" s="9">
        <f t="shared" si="140"/>
        <v>-0.62</v>
      </c>
      <c r="BB140" s="9">
        <f t="shared" si="141"/>
        <v>0.62999999999999989</v>
      </c>
      <c r="BC140" s="9">
        <f t="shared" si="142"/>
        <v>1.88</v>
      </c>
      <c r="BD140" s="9">
        <f t="shared" si="143"/>
        <v>1.0299999999999998</v>
      </c>
      <c r="BE140" s="9">
        <f t="shared" si="144"/>
        <v>0.87999999999999989</v>
      </c>
      <c r="BF140" s="9">
        <f t="shared" si="145"/>
        <v>0.12999999999999989</v>
      </c>
      <c r="BG140" s="9">
        <f t="shared" si="146"/>
        <v>-0.24500000000000011</v>
      </c>
      <c r="BH140" s="9">
        <f t="shared" si="147"/>
        <v>0.12999999999999989</v>
      </c>
      <c r="BI140" s="9">
        <f t="shared" si="148"/>
        <v>-0.2200000000000002</v>
      </c>
      <c r="BJ140" s="9">
        <f t="shared" si="149"/>
        <v>-0.4700000000000002</v>
      </c>
    </row>
    <row r="141" spans="1:62" x14ac:dyDescent="0.2">
      <c r="A141" s="9">
        <f>data!M142-data!M141</f>
        <v>-0.58559999999999945</v>
      </c>
      <c r="B141" s="9">
        <f>data!C142-data!C141</f>
        <v>-1.3099999999999987</v>
      </c>
      <c r="C141" s="9">
        <f>data!D142-data!D141</f>
        <v>-1.125</v>
      </c>
      <c r="D141" s="10">
        <f>data!B142-data!B141</f>
        <v>1</v>
      </c>
      <c r="E141" s="9">
        <f>data!E141-data!G141</f>
        <v>2.7866</v>
      </c>
      <c r="F141" s="9">
        <f>(data!E141-data!F141)-(data!G141-data!H141)</f>
        <v>-0.28820000000000023</v>
      </c>
      <c r="G141" s="9">
        <f t="shared" si="100"/>
        <v>0.11679999999999957</v>
      </c>
      <c r="H141" s="9">
        <f t="shared" si="101"/>
        <v>-4.2100000000000137E-2</v>
      </c>
      <c r="I141" s="9">
        <f>IF(data!M142&gt; 111.81,1,0)</f>
        <v>0</v>
      </c>
      <c r="J141" s="9">
        <f t="shared" si="102"/>
        <v>1</v>
      </c>
      <c r="K141" s="9">
        <f t="shared" si="103"/>
        <v>0</v>
      </c>
      <c r="L141" s="9">
        <f t="shared" si="104"/>
        <v>-0.58559999999999945</v>
      </c>
      <c r="M141" s="9">
        <f>data!J141</f>
        <v>-5.55</v>
      </c>
      <c r="N141" s="9">
        <f>data!I141</f>
        <v>2.6</v>
      </c>
      <c r="O141" s="9">
        <f>data!L141</f>
        <v>2.4</v>
      </c>
      <c r="P141" s="9">
        <f>data!K141</f>
        <v>0.25</v>
      </c>
      <c r="Q141" s="9">
        <f>data!R141</f>
        <v>-0.75</v>
      </c>
      <c r="R141" s="9">
        <f t="shared" si="105"/>
        <v>7.55</v>
      </c>
      <c r="S141" s="9">
        <f t="shared" si="106"/>
        <v>6.25</v>
      </c>
      <c r="T141" s="9">
        <f t="shared" si="107"/>
        <v>5.5249999999999995</v>
      </c>
      <c r="U141" s="9">
        <f t="shared" si="108"/>
        <v>3.8</v>
      </c>
      <c r="V141" s="9">
        <f t="shared" si="109"/>
        <v>5.6499999999999995</v>
      </c>
      <c r="W141" s="9">
        <f t="shared" si="110"/>
        <v>5.8</v>
      </c>
      <c r="X141" s="9">
        <f t="shared" si="111"/>
        <v>7.05</v>
      </c>
      <c r="Y141" s="9">
        <f t="shared" si="112"/>
        <v>4.1500000000000004</v>
      </c>
      <c r="Z141" s="9">
        <f t="shared" si="113"/>
        <v>5.05</v>
      </c>
      <c r="AA141" s="9">
        <f t="shared" si="114"/>
        <v>1.4</v>
      </c>
      <c r="AB141" s="9">
        <f t="shared" si="115"/>
        <v>-1.1000000000000001</v>
      </c>
      <c r="AC141" s="9">
        <f t="shared" si="116"/>
        <v>1.1499999999999999</v>
      </c>
      <c r="AD141" s="9">
        <f t="shared" si="117"/>
        <v>0.14999999999999991</v>
      </c>
      <c r="AE141" s="9">
        <f t="shared" si="118"/>
        <v>0.19999999999999973</v>
      </c>
      <c r="AF141" s="9">
        <f t="shared" si="119"/>
        <v>0.64999999999999991</v>
      </c>
      <c r="AG141" s="9">
        <f t="shared" si="120"/>
        <v>1</v>
      </c>
      <c r="AH141" s="9">
        <f t="shared" si="121"/>
        <v>0.64999999999999991</v>
      </c>
      <c r="AI141" s="9">
        <f t="shared" si="122"/>
        <v>1.2749999999999999</v>
      </c>
      <c r="AJ141" s="9">
        <f t="shared" si="123"/>
        <v>1.1000000000000001</v>
      </c>
      <c r="AK141" s="9">
        <f t="shared" si="124"/>
        <v>0.89000000000000012</v>
      </c>
      <c r="AL141" s="9">
        <f t="shared" si="125"/>
        <v>0.85000000000000009</v>
      </c>
      <c r="AM141" s="9">
        <f t="shared" si="126"/>
        <v>0.35000000000000009</v>
      </c>
      <c r="AN141" s="9">
        <f t="shared" si="127"/>
        <v>0.10000000000000009</v>
      </c>
      <c r="AO141" s="9">
        <f t="shared" si="128"/>
        <v>0.60000000000000009</v>
      </c>
      <c r="AP141" s="9">
        <f t="shared" si="129"/>
        <v>0.85000000000000009</v>
      </c>
      <c r="AQ141" s="9">
        <f t="shared" si="130"/>
        <v>0.60000000000000009</v>
      </c>
      <c r="AR141" s="9">
        <f t="shared" si="131"/>
        <v>1</v>
      </c>
      <c r="AS141" s="9">
        <f t="shared" si="132"/>
        <v>-0.35</v>
      </c>
      <c r="AT141" s="9">
        <f t="shared" si="133"/>
        <v>0.44999999999999996</v>
      </c>
      <c r="AU141" s="9">
        <f t="shared" si="134"/>
        <v>0.15000000000000002</v>
      </c>
      <c r="AV141" s="9">
        <f t="shared" si="135"/>
        <v>-0.5</v>
      </c>
      <c r="AW141" s="9">
        <f t="shared" si="136"/>
        <v>-1.125</v>
      </c>
      <c r="AX141" s="9">
        <f t="shared" si="137"/>
        <v>-0.5</v>
      </c>
      <c r="AY141" s="9">
        <f t="shared" si="138"/>
        <v>-0.7</v>
      </c>
      <c r="AZ141" s="9">
        <f t="shared" si="139"/>
        <v>-1</v>
      </c>
      <c r="BA141" s="9">
        <f t="shared" si="140"/>
        <v>4.9999999999999989E-2</v>
      </c>
      <c r="BB141" s="9">
        <f t="shared" si="141"/>
        <v>1.25</v>
      </c>
      <c r="BC141" s="9">
        <f t="shared" si="142"/>
        <v>0.4</v>
      </c>
      <c r="BD141" s="9">
        <f t="shared" si="143"/>
        <v>0.25</v>
      </c>
      <c r="BE141" s="9">
        <f t="shared" si="144"/>
        <v>-0.5</v>
      </c>
      <c r="BF141" s="9">
        <f t="shared" si="145"/>
        <v>-0.875</v>
      </c>
      <c r="BG141" s="9">
        <f t="shared" si="146"/>
        <v>-0.5</v>
      </c>
      <c r="BH141" s="9">
        <f t="shared" si="147"/>
        <v>-0.85000000000000009</v>
      </c>
      <c r="BI141" s="9">
        <f t="shared" si="148"/>
        <v>-1.1000000000000001</v>
      </c>
      <c r="BJ141" s="9">
        <f t="shared" si="149"/>
        <v>0</v>
      </c>
    </row>
    <row r="142" spans="1:62" x14ac:dyDescent="0.2">
      <c r="A142" s="9">
        <f>data!M143-data!M142</f>
        <v>-1.2228999999999957</v>
      </c>
      <c r="B142" s="9">
        <f>data!C143-data!C142</f>
        <v>-5.9200000000000017</v>
      </c>
      <c r="C142" s="9">
        <f>data!D143-data!D142</f>
        <v>-0.79999999999999893</v>
      </c>
      <c r="D142" s="10">
        <f>data!B143-data!B142</f>
        <v>0</v>
      </c>
      <c r="E142" s="9">
        <f>data!E142-data!G142</f>
        <v>2.9033999999999995</v>
      </c>
      <c r="F142" s="9">
        <f>(data!E142-data!F142)-(data!G142-data!H142)</f>
        <v>-0.33030000000000037</v>
      </c>
      <c r="G142" s="9">
        <f t="shared" si="100"/>
        <v>3.1900000000000706E-2</v>
      </c>
      <c r="H142" s="9">
        <f t="shared" si="101"/>
        <v>7.6900000000000412E-2</v>
      </c>
      <c r="I142" s="9">
        <f>IF(data!M143&gt; 111.81,1,0)</f>
        <v>0</v>
      </c>
      <c r="J142" s="9">
        <f t="shared" si="102"/>
        <v>1</v>
      </c>
      <c r="K142" s="9">
        <f t="shared" si="103"/>
        <v>0</v>
      </c>
      <c r="L142" s="9">
        <f t="shared" si="104"/>
        <v>-1.2228999999999957</v>
      </c>
      <c r="M142" s="9">
        <f>data!J142</f>
        <v>2</v>
      </c>
      <c r="N142" s="9">
        <f>data!I142</f>
        <v>4</v>
      </c>
      <c r="O142" s="9">
        <f>data!L142</f>
        <v>3.5</v>
      </c>
      <c r="P142" s="9">
        <f>data!K142</f>
        <v>-0.1</v>
      </c>
      <c r="Q142" s="9">
        <f>data!R142</f>
        <v>0.5</v>
      </c>
      <c r="R142" s="9">
        <f t="shared" si="105"/>
        <v>-1.3</v>
      </c>
      <c r="S142" s="9">
        <f t="shared" si="106"/>
        <v>-2.0249999999999999</v>
      </c>
      <c r="T142" s="9">
        <f t="shared" si="107"/>
        <v>-3.75</v>
      </c>
      <c r="U142" s="9">
        <f t="shared" si="108"/>
        <v>-1.9</v>
      </c>
      <c r="V142" s="9">
        <f t="shared" si="109"/>
        <v>-1.75</v>
      </c>
      <c r="W142" s="9">
        <f t="shared" si="110"/>
        <v>-0.5</v>
      </c>
      <c r="X142" s="9">
        <f t="shared" si="111"/>
        <v>-3.4</v>
      </c>
      <c r="Y142" s="9">
        <f t="shared" si="112"/>
        <v>-2.5</v>
      </c>
      <c r="Z142" s="9">
        <f t="shared" si="113"/>
        <v>-5.4</v>
      </c>
      <c r="AA142" s="9">
        <f t="shared" si="114"/>
        <v>-2.5</v>
      </c>
      <c r="AB142" s="9">
        <f t="shared" si="115"/>
        <v>-0.25</v>
      </c>
      <c r="AC142" s="9">
        <f t="shared" si="116"/>
        <v>-1.25</v>
      </c>
      <c r="AD142" s="9">
        <f t="shared" si="117"/>
        <v>-1.2000000000000002</v>
      </c>
      <c r="AE142" s="9">
        <f t="shared" si="118"/>
        <v>-0.75</v>
      </c>
      <c r="AF142" s="9">
        <f t="shared" si="119"/>
        <v>-0.39999999999999991</v>
      </c>
      <c r="AG142" s="9">
        <f t="shared" si="120"/>
        <v>-0.75</v>
      </c>
      <c r="AH142" s="9">
        <f t="shared" si="121"/>
        <v>-0.125</v>
      </c>
      <c r="AI142" s="9">
        <f t="shared" si="122"/>
        <v>-0.60000000000000009</v>
      </c>
      <c r="AJ142" s="9">
        <f t="shared" si="123"/>
        <v>-0.20999999999999996</v>
      </c>
      <c r="AK142" s="9">
        <f t="shared" si="124"/>
        <v>-0.25</v>
      </c>
      <c r="AL142" s="9">
        <f t="shared" si="125"/>
        <v>-0.75</v>
      </c>
      <c r="AM142" s="9">
        <f t="shared" si="126"/>
        <v>-1</v>
      </c>
      <c r="AN142" s="9">
        <f t="shared" si="127"/>
        <v>-0.5</v>
      </c>
      <c r="AO142" s="9">
        <f t="shared" si="128"/>
        <v>-0.25</v>
      </c>
      <c r="AP142" s="9">
        <f t="shared" si="129"/>
        <v>-0.5</v>
      </c>
      <c r="AQ142" s="9">
        <f t="shared" si="130"/>
        <v>-0.10000000000000009</v>
      </c>
      <c r="AR142" s="9">
        <f t="shared" si="131"/>
        <v>0.10000000000000009</v>
      </c>
      <c r="AS142" s="9">
        <f t="shared" si="132"/>
        <v>0.79999999999999993</v>
      </c>
      <c r="AT142" s="9">
        <f t="shared" si="133"/>
        <v>0.5</v>
      </c>
      <c r="AU142" s="9">
        <f t="shared" si="134"/>
        <v>-0.15</v>
      </c>
      <c r="AV142" s="9">
        <f t="shared" si="135"/>
        <v>-0.77500000000000002</v>
      </c>
      <c r="AW142" s="9">
        <f t="shared" si="136"/>
        <v>-0.15</v>
      </c>
      <c r="AX142" s="9">
        <f t="shared" si="137"/>
        <v>-0.35</v>
      </c>
      <c r="AY142" s="9">
        <f t="shared" si="138"/>
        <v>-0.65</v>
      </c>
      <c r="AZ142" s="9">
        <f t="shared" si="139"/>
        <v>0.4</v>
      </c>
      <c r="BA142" s="9">
        <f t="shared" si="140"/>
        <v>0.7</v>
      </c>
      <c r="BB142" s="9">
        <f t="shared" si="141"/>
        <v>-0.85</v>
      </c>
      <c r="BC142" s="9">
        <f t="shared" si="142"/>
        <v>-1</v>
      </c>
      <c r="BD142" s="9">
        <f t="shared" si="143"/>
        <v>-1.75</v>
      </c>
      <c r="BE142" s="9">
        <f t="shared" si="144"/>
        <v>-2.125</v>
      </c>
      <c r="BF142" s="9">
        <f t="shared" si="145"/>
        <v>-1.75</v>
      </c>
      <c r="BG142" s="9">
        <f t="shared" si="146"/>
        <v>-2.1</v>
      </c>
      <c r="BH142" s="9">
        <f t="shared" si="147"/>
        <v>-2.35</v>
      </c>
      <c r="BI142" s="9">
        <f t="shared" si="148"/>
        <v>-1.25</v>
      </c>
      <c r="BJ142" s="9">
        <f t="shared" si="149"/>
        <v>-1</v>
      </c>
    </row>
    <row r="143" spans="1:62" x14ac:dyDescent="0.2">
      <c r="A143" s="9">
        <f>data!M144-data!M143</f>
        <v>-0.54080000000000439</v>
      </c>
      <c r="B143" s="9">
        <f>data!C144-data!C143</f>
        <v>-1</v>
      </c>
      <c r="C143" s="9">
        <f>data!D144-data!D143</f>
        <v>-0.57500000000000107</v>
      </c>
      <c r="D143" s="10">
        <f>data!B144-data!B143</f>
        <v>0.6</v>
      </c>
      <c r="E143" s="9">
        <f>data!E143-data!G143</f>
        <v>2.9353000000000002</v>
      </c>
      <c r="F143" s="9">
        <f>(data!E143-data!F143)-(data!G143-data!H143)</f>
        <v>-0.25339999999999996</v>
      </c>
      <c r="G143" s="9">
        <f t="shared" si="100"/>
        <v>-3.3800000000000274E-2</v>
      </c>
      <c r="H143" s="9">
        <f t="shared" si="101"/>
        <v>4.1400000000000103E-2</v>
      </c>
      <c r="I143" s="9">
        <f>IF(data!M144&gt; 111.81,1,0)</f>
        <v>0</v>
      </c>
      <c r="J143" s="9">
        <f t="shared" si="102"/>
        <v>1</v>
      </c>
      <c r="K143" s="9">
        <f t="shared" si="103"/>
        <v>0</v>
      </c>
      <c r="L143" s="9">
        <f t="shared" si="104"/>
        <v>-0.54080000000000439</v>
      </c>
      <c r="M143" s="9">
        <f>data!J143</f>
        <v>0.7</v>
      </c>
      <c r="N143" s="9">
        <f>data!I143</f>
        <v>1.5</v>
      </c>
      <c r="O143" s="9">
        <f>data!L143</f>
        <v>3.29</v>
      </c>
      <c r="P143" s="9">
        <f>data!K143</f>
        <v>0.7</v>
      </c>
      <c r="Q143" s="9">
        <f>data!R143</f>
        <v>-0.35</v>
      </c>
      <c r="R143" s="9">
        <f t="shared" si="105"/>
        <v>-0.72499999999999998</v>
      </c>
      <c r="S143" s="9">
        <f t="shared" si="106"/>
        <v>-2.4500000000000002</v>
      </c>
      <c r="T143" s="9">
        <f t="shared" si="107"/>
        <v>-0.6</v>
      </c>
      <c r="U143" s="9">
        <f t="shared" si="108"/>
        <v>-0.44999999999999996</v>
      </c>
      <c r="V143" s="9">
        <f t="shared" si="109"/>
        <v>0.8</v>
      </c>
      <c r="W143" s="9">
        <f t="shared" si="110"/>
        <v>-2.0999999999999996</v>
      </c>
      <c r="X143" s="9">
        <f t="shared" si="111"/>
        <v>-1.2</v>
      </c>
      <c r="Y143" s="9">
        <f t="shared" si="112"/>
        <v>-4.0999999999999996</v>
      </c>
      <c r="Z143" s="9">
        <f t="shared" si="113"/>
        <v>-2.2000000000000002</v>
      </c>
      <c r="AA143" s="9">
        <f t="shared" si="114"/>
        <v>2.25</v>
      </c>
      <c r="AB143" s="9">
        <f t="shared" si="115"/>
        <v>1.25</v>
      </c>
      <c r="AC143" s="9">
        <f t="shared" si="116"/>
        <v>1.2999999999999998</v>
      </c>
      <c r="AD143" s="9">
        <f t="shared" si="117"/>
        <v>1.75</v>
      </c>
      <c r="AE143" s="9">
        <f t="shared" si="118"/>
        <v>2.1</v>
      </c>
      <c r="AF143" s="9">
        <f t="shared" si="119"/>
        <v>1.75</v>
      </c>
      <c r="AG143" s="9">
        <f t="shared" si="120"/>
        <v>2.375</v>
      </c>
      <c r="AH143" s="9">
        <f t="shared" si="121"/>
        <v>1.9</v>
      </c>
      <c r="AI143" s="9">
        <f t="shared" si="122"/>
        <v>2</v>
      </c>
      <c r="AJ143" s="9">
        <f t="shared" si="123"/>
        <v>-4.0000000000000036E-2</v>
      </c>
      <c r="AK143" s="9">
        <f t="shared" si="124"/>
        <v>-0.54</v>
      </c>
      <c r="AL143" s="9">
        <f t="shared" si="125"/>
        <v>-0.79</v>
      </c>
      <c r="AM143" s="9">
        <f t="shared" si="126"/>
        <v>-0.29000000000000004</v>
      </c>
      <c r="AN143" s="9">
        <f t="shared" si="127"/>
        <v>-4.0000000000000036E-2</v>
      </c>
      <c r="AO143" s="9">
        <f t="shared" si="128"/>
        <v>-0.29000000000000004</v>
      </c>
      <c r="AP143" s="9">
        <f t="shared" si="129"/>
        <v>0.10999999999999988</v>
      </c>
      <c r="AQ143" s="9">
        <f t="shared" si="130"/>
        <v>0.31000000000000005</v>
      </c>
      <c r="AR143" s="9">
        <f t="shared" si="131"/>
        <v>0.58499999999999996</v>
      </c>
      <c r="AS143" s="9">
        <f t="shared" si="132"/>
        <v>-0.29999999999999993</v>
      </c>
      <c r="AT143" s="9">
        <f t="shared" si="133"/>
        <v>-0.95</v>
      </c>
      <c r="AU143" s="9">
        <f t="shared" si="134"/>
        <v>-1.575</v>
      </c>
      <c r="AV143" s="9">
        <f t="shared" si="135"/>
        <v>-0.95</v>
      </c>
      <c r="AW143" s="9">
        <f t="shared" si="136"/>
        <v>-1.1499999999999999</v>
      </c>
      <c r="AX143" s="9">
        <f t="shared" si="137"/>
        <v>-1.45</v>
      </c>
      <c r="AY143" s="9">
        <f t="shared" si="138"/>
        <v>-0.39999999999999997</v>
      </c>
      <c r="AZ143" s="9">
        <f t="shared" si="139"/>
        <v>-9.9999999999999978E-2</v>
      </c>
      <c r="BA143" s="9">
        <f t="shared" si="140"/>
        <v>-0.49999999999999994</v>
      </c>
      <c r="BB143" s="9">
        <f t="shared" si="141"/>
        <v>-0.15000000000000002</v>
      </c>
      <c r="BC143" s="9">
        <f t="shared" si="142"/>
        <v>-0.9</v>
      </c>
      <c r="BD143" s="9">
        <f t="shared" si="143"/>
        <v>-1.2749999999999999</v>
      </c>
      <c r="BE143" s="9">
        <f t="shared" si="144"/>
        <v>-0.9</v>
      </c>
      <c r="BF143" s="9">
        <f t="shared" si="145"/>
        <v>-1.25</v>
      </c>
      <c r="BG143" s="9">
        <f t="shared" si="146"/>
        <v>-1.5</v>
      </c>
      <c r="BH143" s="9">
        <f t="shared" si="147"/>
        <v>-0.4</v>
      </c>
      <c r="BI143" s="9">
        <f t="shared" si="148"/>
        <v>-0.15000000000000002</v>
      </c>
      <c r="BJ143" s="9">
        <f t="shared" si="149"/>
        <v>-0.85</v>
      </c>
    </row>
    <row r="144" spans="1:62" x14ac:dyDescent="0.2">
      <c r="A144" s="9">
        <f>data!M145-data!M144</f>
        <v>-0.20529999999999404</v>
      </c>
      <c r="B144" s="9">
        <f>data!C145-data!C144</f>
        <v>-1.0899999999999999</v>
      </c>
      <c r="C144" s="9">
        <f>data!D145-data!D144</f>
        <v>-0.47499999999999964</v>
      </c>
      <c r="D144" s="10">
        <f>data!B145-data!B144</f>
        <v>-0.12499999999999989</v>
      </c>
      <c r="E144" s="9">
        <f>data!E144-data!G144</f>
        <v>2.9015</v>
      </c>
      <c r="F144" s="9">
        <f>(data!E144-data!F144)-(data!G144-data!H144)</f>
        <v>-0.21199999999999986</v>
      </c>
      <c r="G144" s="9">
        <f t="shared" si="100"/>
        <v>3.010000000000046E-2</v>
      </c>
      <c r="H144" s="9">
        <f t="shared" si="101"/>
        <v>-6.0699999999999976E-2</v>
      </c>
      <c r="I144" s="9">
        <f>IF(data!M145&gt; 111.81,1,0)</f>
        <v>0</v>
      </c>
      <c r="J144" s="9">
        <f t="shared" si="102"/>
        <v>1</v>
      </c>
      <c r="K144" s="9">
        <f t="shared" si="103"/>
        <v>0</v>
      </c>
      <c r="L144" s="9">
        <f t="shared" si="104"/>
        <v>-0.20529999999999404</v>
      </c>
      <c r="M144" s="9">
        <f>data!J144</f>
        <v>-2.5000000000000001E-2</v>
      </c>
      <c r="N144" s="9">
        <f>data!I144</f>
        <v>3.75</v>
      </c>
      <c r="O144" s="9">
        <f>data!L144</f>
        <v>3.25</v>
      </c>
      <c r="P144" s="9">
        <f>data!K144</f>
        <v>0.4</v>
      </c>
      <c r="Q144" s="9">
        <f>data!R144</f>
        <v>-0.5</v>
      </c>
      <c r="R144" s="9">
        <f t="shared" si="105"/>
        <v>-1.7250000000000001</v>
      </c>
      <c r="S144" s="9">
        <f t="shared" si="106"/>
        <v>0.125</v>
      </c>
      <c r="T144" s="9">
        <f t="shared" si="107"/>
        <v>0.27500000000000002</v>
      </c>
      <c r="U144" s="9">
        <f t="shared" si="108"/>
        <v>1.5249999999999999</v>
      </c>
      <c r="V144" s="9">
        <f t="shared" si="109"/>
        <v>-1.375</v>
      </c>
      <c r="W144" s="9">
        <f t="shared" si="110"/>
        <v>-0.47499999999999998</v>
      </c>
      <c r="X144" s="9">
        <f t="shared" si="111"/>
        <v>-3.375</v>
      </c>
      <c r="Y144" s="9">
        <f t="shared" si="112"/>
        <v>-1.4750000000000001</v>
      </c>
      <c r="Z144" s="9">
        <f t="shared" si="113"/>
        <v>-3.605</v>
      </c>
      <c r="AA144" s="9">
        <f t="shared" si="114"/>
        <v>-1</v>
      </c>
      <c r="AB144" s="9">
        <f t="shared" si="115"/>
        <v>-0.95000000000000018</v>
      </c>
      <c r="AC144" s="9">
        <f t="shared" si="116"/>
        <v>-0.5</v>
      </c>
      <c r="AD144" s="9">
        <f t="shared" si="117"/>
        <v>-0.14999999999999991</v>
      </c>
      <c r="AE144" s="9">
        <f t="shared" si="118"/>
        <v>-0.5</v>
      </c>
      <c r="AF144" s="9">
        <f t="shared" si="119"/>
        <v>0.125</v>
      </c>
      <c r="AG144" s="9">
        <f t="shared" si="120"/>
        <v>-0.35000000000000009</v>
      </c>
      <c r="AH144" s="9">
        <f t="shared" si="121"/>
        <v>-0.25</v>
      </c>
      <c r="AI144" s="9">
        <f t="shared" si="122"/>
        <v>-1</v>
      </c>
      <c r="AJ144" s="9">
        <f t="shared" si="123"/>
        <v>-0.5</v>
      </c>
      <c r="AK144" s="9">
        <f t="shared" si="124"/>
        <v>-0.75</v>
      </c>
      <c r="AL144" s="9">
        <f t="shared" si="125"/>
        <v>-0.25</v>
      </c>
      <c r="AM144" s="9">
        <f t="shared" si="126"/>
        <v>0</v>
      </c>
      <c r="AN144" s="9">
        <f t="shared" si="127"/>
        <v>-0.25</v>
      </c>
      <c r="AO144" s="9">
        <f t="shared" si="128"/>
        <v>0.14999999999999991</v>
      </c>
      <c r="AP144" s="9">
        <f t="shared" si="129"/>
        <v>0.35000000000000009</v>
      </c>
      <c r="AQ144" s="9">
        <f t="shared" si="130"/>
        <v>0.625</v>
      </c>
      <c r="AR144" s="9">
        <f t="shared" si="131"/>
        <v>0.25</v>
      </c>
      <c r="AS144" s="9">
        <f t="shared" si="132"/>
        <v>-0.65</v>
      </c>
      <c r="AT144" s="9">
        <f t="shared" si="133"/>
        <v>-1.2749999999999999</v>
      </c>
      <c r="AU144" s="9">
        <f t="shared" si="134"/>
        <v>-0.65</v>
      </c>
      <c r="AV144" s="9">
        <f t="shared" si="135"/>
        <v>-0.85000000000000009</v>
      </c>
      <c r="AW144" s="9">
        <f t="shared" si="136"/>
        <v>-1.1499999999999999</v>
      </c>
      <c r="AX144" s="9">
        <f t="shared" si="137"/>
        <v>-0.10000000000000003</v>
      </c>
      <c r="AY144" s="9">
        <f t="shared" si="138"/>
        <v>0.19999999999999996</v>
      </c>
      <c r="AZ144" s="9">
        <f t="shared" si="139"/>
        <v>-0.2</v>
      </c>
      <c r="BA144" s="9">
        <f t="shared" si="140"/>
        <v>9.9999999999999978E-2</v>
      </c>
      <c r="BB144" s="9">
        <f t="shared" si="141"/>
        <v>-0.75</v>
      </c>
      <c r="BC144" s="9">
        <f t="shared" si="142"/>
        <v>-1.125</v>
      </c>
      <c r="BD144" s="9">
        <f t="shared" si="143"/>
        <v>-0.75</v>
      </c>
      <c r="BE144" s="9">
        <f t="shared" si="144"/>
        <v>-1.1000000000000001</v>
      </c>
      <c r="BF144" s="9">
        <f t="shared" si="145"/>
        <v>-1.35</v>
      </c>
      <c r="BG144" s="9">
        <f t="shared" si="146"/>
        <v>-0.25</v>
      </c>
      <c r="BH144" s="9">
        <f t="shared" si="147"/>
        <v>0</v>
      </c>
      <c r="BI144" s="9">
        <f t="shared" si="148"/>
        <v>-0.7</v>
      </c>
      <c r="BJ144" s="9">
        <f t="shared" si="149"/>
        <v>-0.5</v>
      </c>
    </row>
    <row r="145" spans="1:62" x14ac:dyDescent="0.2">
      <c r="A145" s="9">
        <f>data!M146-data!M145</f>
        <v>-0.14480000000000359</v>
      </c>
      <c r="B145" s="9">
        <f>data!C146-data!C145</f>
        <v>0.82000000000000028</v>
      </c>
      <c r="C145" s="9">
        <f>data!D146-data!D145</f>
        <v>-1.0499999999999998</v>
      </c>
      <c r="D145" s="10">
        <f>data!B146-data!B145</f>
        <v>0.14999999999999991</v>
      </c>
      <c r="E145" s="9">
        <f>data!E145-data!G145</f>
        <v>2.9316000000000004</v>
      </c>
      <c r="F145" s="9">
        <f>(data!E145-data!F145)-(data!G145-data!H145)</f>
        <v>-0.27269999999999983</v>
      </c>
      <c r="G145" s="9">
        <f t="shared" si="100"/>
        <v>3.9599999999999191E-2</v>
      </c>
      <c r="H145" s="9">
        <f t="shared" si="101"/>
        <v>-0.1019000000000001</v>
      </c>
      <c r="I145" s="9">
        <f>IF(data!M146&gt; 111.81,1,0)</f>
        <v>0</v>
      </c>
      <c r="J145" s="9">
        <f t="shared" si="102"/>
        <v>1</v>
      </c>
      <c r="K145" s="9">
        <f t="shared" si="103"/>
        <v>0</v>
      </c>
      <c r="L145" s="9">
        <f t="shared" si="104"/>
        <v>-0.14480000000000359</v>
      </c>
      <c r="M145" s="9">
        <f>data!J145</f>
        <v>-1.75</v>
      </c>
      <c r="N145" s="9">
        <f>data!I145</f>
        <v>2.75</v>
      </c>
      <c r="O145" s="9">
        <f>data!L145</f>
        <v>2.75</v>
      </c>
      <c r="P145" s="9">
        <f>data!K145</f>
        <v>-0.25</v>
      </c>
      <c r="Q145" s="9">
        <f>data!R145</f>
        <v>-1.25</v>
      </c>
      <c r="R145" s="9">
        <f t="shared" si="105"/>
        <v>1.85</v>
      </c>
      <c r="S145" s="9">
        <f t="shared" si="106"/>
        <v>2</v>
      </c>
      <c r="T145" s="9">
        <f t="shared" si="107"/>
        <v>3.25</v>
      </c>
      <c r="U145" s="9">
        <f t="shared" si="108"/>
        <v>0.35000000000000009</v>
      </c>
      <c r="V145" s="9">
        <f t="shared" si="109"/>
        <v>1.25</v>
      </c>
      <c r="W145" s="9">
        <f t="shared" si="110"/>
        <v>-1.65</v>
      </c>
      <c r="X145" s="9">
        <f t="shared" si="111"/>
        <v>0.25</v>
      </c>
      <c r="Y145" s="9">
        <f t="shared" si="112"/>
        <v>-1.88</v>
      </c>
      <c r="Z145" s="9">
        <f t="shared" si="113"/>
        <v>2.625</v>
      </c>
      <c r="AA145" s="9">
        <f t="shared" si="114"/>
        <v>4.9999999999999822E-2</v>
      </c>
      <c r="AB145" s="9">
        <f t="shared" si="115"/>
        <v>0.5</v>
      </c>
      <c r="AC145" s="9">
        <f t="shared" si="116"/>
        <v>0.85000000000000009</v>
      </c>
      <c r="AD145" s="9">
        <f t="shared" si="117"/>
        <v>0.5</v>
      </c>
      <c r="AE145" s="9">
        <f t="shared" si="118"/>
        <v>1.125</v>
      </c>
      <c r="AF145" s="9">
        <f t="shared" si="119"/>
        <v>0.64999999999999991</v>
      </c>
      <c r="AG145" s="9">
        <f t="shared" si="120"/>
        <v>0.75</v>
      </c>
      <c r="AH145" s="9">
        <f t="shared" si="121"/>
        <v>0</v>
      </c>
      <c r="AI145" s="9">
        <f t="shared" si="122"/>
        <v>0.5</v>
      </c>
      <c r="AJ145" s="9">
        <f t="shared" si="123"/>
        <v>-0.25</v>
      </c>
      <c r="AK145" s="9">
        <f t="shared" si="124"/>
        <v>0.25</v>
      </c>
      <c r="AL145" s="9">
        <f t="shared" si="125"/>
        <v>0.5</v>
      </c>
      <c r="AM145" s="9">
        <f t="shared" si="126"/>
        <v>0.25</v>
      </c>
      <c r="AN145" s="9">
        <f t="shared" si="127"/>
        <v>0.64999999999999991</v>
      </c>
      <c r="AO145" s="9">
        <f t="shared" si="128"/>
        <v>0.85000000000000009</v>
      </c>
      <c r="AP145" s="9">
        <f t="shared" si="129"/>
        <v>1.125</v>
      </c>
      <c r="AQ145" s="9">
        <f t="shared" si="130"/>
        <v>0.75</v>
      </c>
      <c r="AR145" s="9">
        <f t="shared" si="131"/>
        <v>0.70000000000000018</v>
      </c>
      <c r="AS145" s="9">
        <f t="shared" si="132"/>
        <v>-0.625</v>
      </c>
      <c r="AT145" s="9">
        <f t="shared" si="133"/>
        <v>0</v>
      </c>
      <c r="AU145" s="9">
        <f t="shared" si="134"/>
        <v>-0.2</v>
      </c>
      <c r="AV145" s="9">
        <f t="shared" si="135"/>
        <v>-0.5</v>
      </c>
      <c r="AW145" s="9">
        <f t="shared" si="136"/>
        <v>0.55000000000000004</v>
      </c>
      <c r="AX145" s="9">
        <f t="shared" si="137"/>
        <v>0.85</v>
      </c>
      <c r="AY145" s="9">
        <f t="shared" si="138"/>
        <v>0.45</v>
      </c>
      <c r="AZ145" s="9">
        <f t="shared" si="139"/>
        <v>0.75</v>
      </c>
      <c r="BA145" s="9">
        <f t="shared" si="140"/>
        <v>0.7</v>
      </c>
      <c r="BB145" s="9">
        <f t="shared" si="141"/>
        <v>-0.375</v>
      </c>
      <c r="BC145" s="9">
        <f t="shared" si="142"/>
        <v>0</v>
      </c>
      <c r="BD145" s="9">
        <f t="shared" si="143"/>
        <v>-0.35000000000000009</v>
      </c>
      <c r="BE145" s="9">
        <f t="shared" si="144"/>
        <v>-0.60000000000000009</v>
      </c>
      <c r="BF145" s="9">
        <f t="shared" si="145"/>
        <v>0.5</v>
      </c>
      <c r="BG145" s="9">
        <f t="shared" si="146"/>
        <v>0.75</v>
      </c>
      <c r="BH145" s="9">
        <f t="shared" si="147"/>
        <v>5.0000000000000044E-2</v>
      </c>
      <c r="BI145" s="9">
        <f t="shared" si="148"/>
        <v>0.25</v>
      </c>
      <c r="BJ145" s="9">
        <f t="shared" si="149"/>
        <v>0.75</v>
      </c>
    </row>
    <row r="146" spans="1:62" x14ac:dyDescent="0.2">
      <c r="A146" s="9">
        <f>data!M147-data!M146</f>
        <v>-0.49309999999999832</v>
      </c>
      <c r="B146" s="9">
        <f>data!C147-data!C146</f>
        <v>5.23</v>
      </c>
      <c r="C146" s="9">
        <f>data!D147-data!D146</f>
        <v>1.6499999999999995</v>
      </c>
      <c r="D146" s="10">
        <f>data!B147-data!B146</f>
        <v>-0.77499999999999991</v>
      </c>
      <c r="E146" s="9">
        <f>data!E146-data!G146</f>
        <v>2.9711999999999996</v>
      </c>
      <c r="F146" s="9">
        <f>(data!E146-data!F146)-(data!G146-data!H146)</f>
        <v>-0.37459999999999993</v>
      </c>
      <c r="G146" s="9">
        <f t="shared" si="100"/>
        <v>-0.1897000000000002</v>
      </c>
      <c r="H146" s="9">
        <f t="shared" si="101"/>
        <v>0.1842999999999998</v>
      </c>
      <c r="I146" s="9">
        <f>IF(data!M147&gt; 111.81,1,0)</f>
        <v>0</v>
      </c>
      <c r="J146" s="9">
        <f t="shared" si="102"/>
        <v>1</v>
      </c>
      <c r="K146" s="9">
        <f t="shared" si="103"/>
        <v>0</v>
      </c>
      <c r="L146" s="9">
        <f t="shared" si="104"/>
        <v>-0.49309999999999832</v>
      </c>
      <c r="M146" s="9">
        <f>data!J146</f>
        <v>0.1</v>
      </c>
      <c r="N146" s="9">
        <f>data!I146</f>
        <v>2.8</v>
      </c>
      <c r="O146" s="9">
        <f>data!L146</f>
        <v>2.5</v>
      </c>
      <c r="P146" s="9">
        <f>data!K146</f>
        <v>-0.875</v>
      </c>
      <c r="Q146" s="9">
        <f>data!R146</f>
        <v>-1.625</v>
      </c>
      <c r="R146" s="9">
        <f t="shared" si="105"/>
        <v>0.15</v>
      </c>
      <c r="S146" s="9">
        <f t="shared" si="106"/>
        <v>1.4</v>
      </c>
      <c r="T146" s="9">
        <f t="shared" si="107"/>
        <v>-1.5</v>
      </c>
      <c r="U146" s="9">
        <f t="shared" si="108"/>
        <v>-0.6</v>
      </c>
      <c r="V146" s="9">
        <f t="shared" si="109"/>
        <v>-3.5</v>
      </c>
      <c r="W146" s="9">
        <f t="shared" si="110"/>
        <v>-1.6</v>
      </c>
      <c r="X146" s="9">
        <f t="shared" si="111"/>
        <v>-3.73</v>
      </c>
      <c r="Y146" s="9">
        <f t="shared" si="112"/>
        <v>0.77500000000000002</v>
      </c>
      <c r="Z146" s="9">
        <f t="shared" si="113"/>
        <v>-2.85</v>
      </c>
      <c r="AA146" s="9">
        <f t="shared" si="114"/>
        <v>0.45000000000000018</v>
      </c>
      <c r="AB146" s="9">
        <f t="shared" si="115"/>
        <v>0.80000000000000027</v>
      </c>
      <c r="AC146" s="9">
        <f t="shared" si="116"/>
        <v>0.45000000000000018</v>
      </c>
      <c r="AD146" s="9">
        <f t="shared" si="117"/>
        <v>1.0750000000000002</v>
      </c>
      <c r="AE146" s="9">
        <f t="shared" si="118"/>
        <v>0.60000000000000009</v>
      </c>
      <c r="AF146" s="9">
        <f t="shared" si="119"/>
        <v>0.70000000000000018</v>
      </c>
      <c r="AG146" s="9">
        <f t="shared" si="120"/>
        <v>-4.9999999999999822E-2</v>
      </c>
      <c r="AH146" s="9">
        <f t="shared" si="121"/>
        <v>0.45000000000000018</v>
      </c>
      <c r="AI146" s="9">
        <f t="shared" si="122"/>
        <v>-0.54999999999999982</v>
      </c>
      <c r="AJ146" s="9">
        <f t="shared" si="123"/>
        <v>0.5</v>
      </c>
      <c r="AK146" s="9">
        <f t="shared" si="124"/>
        <v>0.75</v>
      </c>
      <c r="AL146" s="9">
        <f t="shared" si="125"/>
        <v>0.5</v>
      </c>
      <c r="AM146" s="9">
        <f t="shared" si="126"/>
        <v>0.89999999999999991</v>
      </c>
      <c r="AN146" s="9">
        <f t="shared" si="127"/>
        <v>1.1000000000000001</v>
      </c>
      <c r="AO146" s="9">
        <f t="shared" si="128"/>
        <v>1.375</v>
      </c>
      <c r="AP146" s="9">
        <f t="shared" si="129"/>
        <v>1</v>
      </c>
      <c r="AQ146" s="9">
        <f t="shared" si="130"/>
        <v>0.95000000000000018</v>
      </c>
      <c r="AR146" s="9">
        <f t="shared" si="131"/>
        <v>0.25</v>
      </c>
      <c r="AS146" s="9">
        <f t="shared" si="132"/>
        <v>0.625</v>
      </c>
      <c r="AT146" s="9">
        <f t="shared" si="133"/>
        <v>0.42499999999999999</v>
      </c>
      <c r="AU146" s="9">
        <f t="shared" si="134"/>
        <v>0.125</v>
      </c>
      <c r="AV146" s="9">
        <f t="shared" si="135"/>
        <v>1.175</v>
      </c>
      <c r="AW146" s="9">
        <f t="shared" si="136"/>
        <v>1.4750000000000001</v>
      </c>
      <c r="AX146" s="9">
        <f t="shared" si="137"/>
        <v>1.075</v>
      </c>
      <c r="AY146" s="9">
        <f t="shared" si="138"/>
        <v>1.375</v>
      </c>
      <c r="AZ146" s="9">
        <f t="shared" si="139"/>
        <v>1.325</v>
      </c>
      <c r="BA146" s="9">
        <f t="shared" si="140"/>
        <v>0.625</v>
      </c>
      <c r="BB146" s="9">
        <f t="shared" si="141"/>
        <v>0.375</v>
      </c>
      <c r="BC146" s="9">
        <f t="shared" si="142"/>
        <v>2.4999999999999911E-2</v>
      </c>
      <c r="BD146" s="9">
        <f t="shared" si="143"/>
        <v>-0.22500000000000009</v>
      </c>
      <c r="BE146" s="9">
        <f t="shared" si="144"/>
        <v>0.875</v>
      </c>
      <c r="BF146" s="9">
        <f t="shared" si="145"/>
        <v>1.125</v>
      </c>
      <c r="BG146" s="9">
        <f t="shared" si="146"/>
        <v>0.42500000000000004</v>
      </c>
      <c r="BH146" s="9">
        <f t="shared" si="147"/>
        <v>0.625</v>
      </c>
      <c r="BI146" s="9">
        <f t="shared" si="148"/>
        <v>1.125</v>
      </c>
      <c r="BJ146" s="9">
        <f t="shared" si="149"/>
        <v>0.625</v>
      </c>
    </row>
    <row r="147" spans="1:62" x14ac:dyDescent="0.2">
      <c r="A147" s="9">
        <f>data!M148-data!M147</f>
        <v>-0.45059999999999434</v>
      </c>
      <c r="B147" s="9">
        <f>data!C148-data!C147</f>
        <v>-3.4000000000000021</v>
      </c>
      <c r="C147" s="9">
        <f>data!D148-data!D147</f>
        <v>-2.5000000000000355E-2</v>
      </c>
      <c r="D147" s="10">
        <f>data!B148-data!B147</f>
        <v>9.9999999999999867E-2</v>
      </c>
      <c r="E147" s="9">
        <f>data!E147-data!G147</f>
        <v>2.7814999999999994</v>
      </c>
      <c r="F147" s="9">
        <f>(data!E147-data!F147)-(data!G147-data!H147)</f>
        <v>-0.19030000000000014</v>
      </c>
      <c r="G147" s="9">
        <f t="shared" si="100"/>
        <v>-5.8999999999995723E-3</v>
      </c>
      <c r="H147" s="9">
        <f t="shared" si="101"/>
        <v>-1.9399999999999973E-2</v>
      </c>
      <c r="I147" s="9">
        <f>IF(data!M148&gt; 111.81,1,0)</f>
        <v>0</v>
      </c>
      <c r="J147" s="9">
        <f t="shared" si="102"/>
        <v>1</v>
      </c>
      <c r="K147" s="9">
        <f t="shared" si="103"/>
        <v>0</v>
      </c>
      <c r="L147" s="9">
        <f t="shared" si="104"/>
        <v>-0.45059999999999434</v>
      </c>
      <c r="M147" s="9">
        <f>data!J147</f>
        <v>0.25</v>
      </c>
      <c r="N147" s="9">
        <f>data!I147</f>
        <v>3.25</v>
      </c>
      <c r="O147" s="9">
        <f>data!L147</f>
        <v>3</v>
      </c>
      <c r="P147" s="9">
        <f>data!K147</f>
        <v>-0.25</v>
      </c>
      <c r="Q147" s="9">
        <f>data!R147</f>
        <v>-1.25</v>
      </c>
      <c r="R147" s="9">
        <f t="shared" si="105"/>
        <v>1.25</v>
      </c>
      <c r="S147" s="9">
        <f t="shared" si="106"/>
        <v>-1.65</v>
      </c>
      <c r="T147" s="9">
        <f t="shared" si="107"/>
        <v>-0.75</v>
      </c>
      <c r="U147" s="9">
        <f t="shared" si="108"/>
        <v>-3.65</v>
      </c>
      <c r="V147" s="9">
        <f t="shared" si="109"/>
        <v>-1.75</v>
      </c>
      <c r="W147" s="9">
        <f t="shared" si="110"/>
        <v>-3.88</v>
      </c>
      <c r="X147" s="9">
        <f t="shared" si="111"/>
        <v>0.625</v>
      </c>
      <c r="Y147" s="9">
        <f t="shared" si="112"/>
        <v>-3</v>
      </c>
      <c r="Z147" s="9">
        <f t="shared" si="113"/>
        <v>-0.5</v>
      </c>
      <c r="AA147" s="9">
        <f t="shared" si="114"/>
        <v>0.35000000000000009</v>
      </c>
      <c r="AB147" s="9">
        <f t="shared" si="115"/>
        <v>0</v>
      </c>
      <c r="AC147" s="9">
        <f t="shared" si="116"/>
        <v>0.625</v>
      </c>
      <c r="AD147" s="9">
        <f t="shared" si="117"/>
        <v>0.14999999999999991</v>
      </c>
      <c r="AE147" s="9">
        <f t="shared" si="118"/>
        <v>0.25</v>
      </c>
      <c r="AF147" s="9">
        <f t="shared" si="119"/>
        <v>-0.5</v>
      </c>
      <c r="AG147" s="9">
        <f t="shared" si="120"/>
        <v>0</v>
      </c>
      <c r="AH147" s="9">
        <f t="shared" si="121"/>
        <v>-1</v>
      </c>
      <c r="AI147" s="9">
        <f t="shared" si="122"/>
        <v>-1.5</v>
      </c>
      <c r="AJ147" s="9">
        <f t="shared" si="123"/>
        <v>0.25</v>
      </c>
      <c r="AK147" s="9">
        <f t="shared" si="124"/>
        <v>0</v>
      </c>
      <c r="AL147" s="9">
        <f t="shared" si="125"/>
        <v>0.39999999999999991</v>
      </c>
      <c r="AM147" s="9">
        <f t="shared" si="126"/>
        <v>0.60000000000000009</v>
      </c>
      <c r="AN147" s="9">
        <f t="shared" si="127"/>
        <v>0.875</v>
      </c>
      <c r="AO147" s="9">
        <f t="shared" si="128"/>
        <v>0.5</v>
      </c>
      <c r="AP147" s="9">
        <f t="shared" si="129"/>
        <v>0.45000000000000018</v>
      </c>
      <c r="AQ147" s="9">
        <f t="shared" si="130"/>
        <v>-0.25</v>
      </c>
      <c r="AR147" s="9">
        <f t="shared" si="131"/>
        <v>0</v>
      </c>
      <c r="AS147" s="9">
        <f t="shared" si="132"/>
        <v>-0.2</v>
      </c>
      <c r="AT147" s="9">
        <f t="shared" si="133"/>
        <v>-0.5</v>
      </c>
      <c r="AU147" s="9">
        <f t="shared" si="134"/>
        <v>0.55000000000000004</v>
      </c>
      <c r="AV147" s="9">
        <f t="shared" si="135"/>
        <v>0.85</v>
      </c>
      <c r="AW147" s="9">
        <f t="shared" si="136"/>
        <v>0.45</v>
      </c>
      <c r="AX147" s="9">
        <f t="shared" si="137"/>
        <v>0.75</v>
      </c>
      <c r="AY147" s="9">
        <f t="shared" si="138"/>
        <v>0.7</v>
      </c>
      <c r="AZ147" s="9">
        <f t="shared" si="139"/>
        <v>0</v>
      </c>
      <c r="BA147" s="9">
        <f t="shared" si="140"/>
        <v>0.3</v>
      </c>
      <c r="BB147" s="9">
        <f t="shared" si="141"/>
        <v>-0.35000000000000009</v>
      </c>
      <c r="BC147" s="9">
        <f t="shared" si="142"/>
        <v>-0.60000000000000009</v>
      </c>
      <c r="BD147" s="9">
        <f t="shared" si="143"/>
        <v>0.5</v>
      </c>
      <c r="BE147" s="9">
        <f t="shared" si="144"/>
        <v>0.75</v>
      </c>
      <c r="BF147" s="9">
        <f t="shared" si="145"/>
        <v>5.0000000000000044E-2</v>
      </c>
      <c r="BG147" s="9">
        <f t="shared" si="146"/>
        <v>0.25</v>
      </c>
      <c r="BH147" s="9">
        <f t="shared" si="147"/>
        <v>0.75</v>
      </c>
      <c r="BI147" s="9">
        <f t="shared" si="148"/>
        <v>0.25</v>
      </c>
      <c r="BJ147" s="9">
        <f t="shared" si="149"/>
        <v>0.5</v>
      </c>
    </row>
    <row r="148" spans="1:62" x14ac:dyDescent="0.2">
      <c r="A148" s="9">
        <f>data!M149-data!M148</f>
        <v>-0.75840000000000884</v>
      </c>
      <c r="B148" s="9">
        <f>data!C149-data!C148</f>
        <v>3.4500000000000028</v>
      </c>
      <c r="C148" s="9">
        <f>data!D149-data!D148</f>
        <v>-0.32499999999999929</v>
      </c>
      <c r="D148" s="10">
        <f>data!B149-data!B148</f>
        <v>0.15000000000000013</v>
      </c>
      <c r="E148" s="9">
        <f>data!E148-data!G148</f>
        <v>2.7755999999999998</v>
      </c>
      <c r="F148" s="9">
        <f>(data!E148-data!F148)-(data!G148-data!H148)</f>
        <v>-0.20970000000000011</v>
      </c>
      <c r="G148" s="9">
        <f t="shared" si="100"/>
        <v>-5.0100000000000477E-2</v>
      </c>
      <c r="H148" s="9">
        <f t="shared" si="101"/>
        <v>4.6099999999999586E-2</v>
      </c>
      <c r="I148" s="9">
        <f>IF(data!M149&gt; 111.81,1,0)</f>
        <v>0</v>
      </c>
      <c r="J148" s="9">
        <f t="shared" si="102"/>
        <v>1</v>
      </c>
      <c r="K148" s="9">
        <f t="shared" si="103"/>
        <v>0</v>
      </c>
      <c r="L148" s="9">
        <f t="shared" si="104"/>
        <v>-0.75840000000000884</v>
      </c>
      <c r="M148" s="9">
        <f>data!J148</f>
        <v>1.5</v>
      </c>
      <c r="N148" s="9">
        <f>data!I148</f>
        <v>3.6</v>
      </c>
      <c r="O148" s="9">
        <f>data!L148</f>
        <v>3.25</v>
      </c>
      <c r="P148" s="9">
        <f>data!K148</f>
        <v>-0.45</v>
      </c>
      <c r="Q148" s="9">
        <f>data!R148</f>
        <v>-1.6</v>
      </c>
      <c r="R148" s="9">
        <f t="shared" si="105"/>
        <v>-2.9</v>
      </c>
      <c r="S148" s="9">
        <f t="shared" si="106"/>
        <v>-2</v>
      </c>
      <c r="T148" s="9">
        <f t="shared" si="107"/>
        <v>-4.9000000000000004</v>
      </c>
      <c r="U148" s="9">
        <f t="shared" si="108"/>
        <v>-3</v>
      </c>
      <c r="V148" s="9">
        <f t="shared" si="109"/>
        <v>-5.13</v>
      </c>
      <c r="W148" s="9">
        <f t="shared" si="110"/>
        <v>-0.625</v>
      </c>
      <c r="X148" s="9">
        <f t="shared" si="111"/>
        <v>-4.25</v>
      </c>
      <c r="Y148" s="9">
        <f t="shared" si="112"/>
        <v>-1.75</v>
      </c>
      <c r="Z148" s="9">
        <f t="shared" si="113"/>
        <v>-2.8</v>
      </c>
      <c r="AA148" s="9">
        <f t="shared" si="114"/>
        <v>-0.35000000000000009</v>
      </c>
      <c r="AB148" s="9">
        <f t="shared" si="115"/>
        <v>0.27499999999999991</v>
      </c>
      <c r="AC148" s="9">
        <f t="shared" si="116"/>
        <v>-0.20000000000000018</v>
      </c>
      <c r="AD148" s="9">
        <f t="shared" si="117"/>
        <v>-0.10000000000000009</v>
      </c>
      <c r="AE148" s="9">
        <f t="shared" si="118"/>
        <v>-0.85000000000000009</v>
      </c>
      <c r="AF148" s="9">
        <f t="shared" si="119"/>
        <v>-0.35000000000000009</v>
      </c>
      <c r="AG148" s="9">
        <f t="shared" si="120"/>
        <v>-1.35</v>
      </c>
      <c r="AH148" s="9">
        <f t="shared" si="121"/>
        <v>-1.85</v>
      </c>
      <c r="AI148" s="9">
        <f t="shared" si="122"/>
        <v>-1.4</v>
      </c>
      <c r="AJ148" s="9">
        <f t="shared" si="123"/>
        <v>-0.25</v>
      </c>
      <c r="AK148" s="9">
        <f t="shared" si="124"/>
        <v>0.14999999999999991</v>
      </c>
      <c r="AL148" s="9">
        <f t="shared" si="125"/>
        <v>0.35000000000000009</v>
      </c>
      <c r="AM148" s="9">
        <f t="shared" si="126"/>
        <v>0.625</v>
      </c>
      <c r="AN148" s="9">
        <f t="shared" si="127"/>
        <v>0.25</v>
      </c>
      <c r="AO148" s="9">
        <f t="shared" si="128"/>
        <v>0.20000000000000018</v>
      </c>
      <c r="AP148" s="9">
        <f t="shared" si="129"/>
        <v>-0.5</v>
      </c>
      <c r="AQ148" s="9">
        <f t="shared" si="130"/>
        <v>-0.25</v>
      </c>
      <c r="AR148" s="9">
        <f t="shared" si="131"/>
        <v>-0.625</v>
      </c>
      <c r="AS148" s="9">
        <f t="shared" si="132"/>
        <v>-0.3</v>
      </c>
      <c r="AT148" s="9">
        <f t="shared" si="133"/>
        <v>0.75</v>
      </c>
      <c r="AU148" s="9">
        <f t="shared" si="134"/>
        <v>1.05</v>
      </c>
      <c r="AV148" s="9">
        <f t="shared" si="135"/>
        <v>0.65</v>
      </c>
      <c r="AW148" s="9">
        <f t="shared" si="136"/>
        <v>0.95</v>
      </c>
      <c r="AX148" s="9">
        <f t="shared" si="137"/>
        <v>0.9</v>
      </c>
      <c r="AY148" s="9">
        <f t="shared" si="138"/>
        <v>0.2</v>
      </c>
      <c r="AZ148" s="9">
        <f t="shared" si="139"/>
        <v>0.5</v>
      </c>
      <c r="BA148" s="9">
        <f t="shared" si="140"/>
        <v>0.5</v>
      </c>
      <c r="BB148" s="9">
        <f t="shared" si="141"/>
        <v>-0.25</v>
      </c>
      <c r="BC148" s="9">
        <f t="shared" si="142"/>
        <v>0.85000000000000009</v>
      </c>
      <c r="BD148" s="9">
        <f t="shared" si="143"/>
        <v>1.1000000000000001</v>
      </c>
      <c r="BE148" s="9">
        <f t="shared" si="144"/>
        <v>0.40000000000000013</v>
      </c>
      <c r="BF148" s="9">
        <f t="shared" si="145"/>
        <v>0.60000000000000009</v>
      </c>
      <c r="BG148" s="9">
        <f t="shared" si="146"/>
        <v>1.1000000000000001</v>
      </c>
      <c r="BH148" s="9">
        <f t="shared" si="147"/>
        <v>0.60000000000000009</v>
      </c>
      <c r="BI148" s="9">
        <f t="shared" si="148"/>
        <v>0.85000000000000009</v>
      </c>
      <c r="BJ148" s="9">
        <f t="shared" si="149"/>
        <v>0.85000000000000009</v>
      </c>
    </row>
    <row r="149" spans="1:62" x14ac:dyDescent="0.2">
      <c r="A149" s="9">
        <f>data!M150-data!M149</f>
        <v>-0.43089999999999407</v>
      </c>
      <c r="B149" s="9">
        <f>data!C150-data!C149</f>
        <v>5.4899999999999984</v>
      </c>
      <c r="C149" s="9">
        <f>data!D150-data!D149</f>
        <v>2.1999999999999993</v>
      </c>
      <c r="D149" s="10">
        <f>data!B150-data!B149</f>
        <v>0.25</v>
      </c>
      <c r="E149" s="9">
        <f>data!E149-data!G149</f>
        <v>2.7254999999999994</v>
      </c>
      <c r="F149" s="9">
        <f>(data!E149-data!F149)-(data!G149-data!H149)</f>
        <v>-0.16360000000000052</v>
      </c>
      <c r="G149" s="9">
        <f t="shared" si="100"/>
        <v>-4.7199999999999243E-2</v>
      </c>
      <c r="H149" s="9">
        <f t="shared" si="101"/>
        <v>0.19150000000000111</v>
      </c>
      <c r="I149" s="9">
        <f>IF(data!M150&gt; 111.81,1,0)</f>
        <v>0</v>
      </c>
      <c r="J149" s="9">
        <f t="shared" si="102"/>
        <v>1</v>
      </c>
      <c r="K149" s="9">
        <f t="shared" si="103"/>
        <v>0</v>
      </c>
      <c r="L149" s="9">
        <f t="shared" si="104"/>
        <v>-0.43089999999999407</v>
      </c>
      <c r="M149" s="9">
        <f>data!J149</f>
        <v>-1.4</v>
      </c>
      <c r="N149" s="9">
        <f>data!I149</f>
        <v>3.25</v>
      </c>
      <c r="O149" s="9">
        <f>data!L149</f>
        <v>3</v>
      </c>
      <c r="P149" s="9">
        <f>data!K149</f>
        <v>-0.75</v>
      </c>
      <c r="Q149" s="9">
        <f>data!R149</f>
        <v>-1.85</v>
      </c>
      <c r="R149" s="9">
        <f t="shared" si="105"/>
        <v>0.89999999999999991</v>
      </c>
      <c r="S149" s="9">
        <f t="shared" si="106"/>
        <v>-2</v>
      </c>
      <c r="T149" s="9">
        <f t="shared" si="107"/>
        <v>-0.10000000000000009</v>
      </c>
      <c r="U149" s="9">
        <f t="shared" si="108"/>
        <v>-2.23</v>
      </c>
      <c r="V149" s="9">
        <f t="shared" si="109"/>
        <v>2.2749999999999999</v>
      </c>
      <c r="W149" s="9">
        <f t="shared" si="110"/>
        <v>-1.35</v>
      </c>
      <c r="X149" s="9">
        <f t="shared" si="111"/>
        <v>1.1499999999999999</v>
      </c>
      <c r="Y149" s="9">
        <f t="shared" si="112"/>
        <v>9.9999999999999867E-2</v>
      </c>
      <c r="Z149" s="9">
        <f t="shared" si="113"/>
        <v>0.64999999999999991</v>
      </c>
      <c r="AA149" s="9">
        <f t="shared" si="114"/>
        <v>0.625</v>
      </c>
      <c r="AB149" s="9">
        <f t="shared" si="115"/>
        <v>0.14999999999999991</v>
      </c>
      <c r="AC149" s="9">
        <f t="shared" si="116"/>
        <v>0.25</v>
      </c>
      <c r="AD149" s="9">
        <f t="shared" si="117"/>
        <v>-0.5</v>
      </c>
      <c r="AE149" s="9">
        <f t="shared" si="118"/>
        <v>0</v>
      </c>
      <c r="AF149" s="9">
        <f t="shared" si="119"/>
        <v>-1</v>
      </c>
      <c r="AG149" s="9">
        <f t="shared" si="120"/>
        <v>-1.5</v>
      </c>
      <c r="AH149" s="9">
        <f t="shared" si="121"/>
        <v>-1.0499999999999998</v>
      </c>
      <c r="AI149" s="9">
        <f t="shared" si="122"/>
        <v>-1.0499999999999998</v>
      </c>
      <c r="AJ149" s="9">
        <f t="shared" si="123"/>
        <v>0.39999999999999991</v>
      </c>
      <c r="AK149" s="9">
        <f t="shared" si="124"/>
        <v>0.60000000000000009</v>
      </c>
      <c r="AL149" s="9">
        <f t="shared" si="125"/>
        <v>0.875</v>
      </c>
      <c r="AM149" s="9">
        <f t="shared" si="126"/>
        <v>0.5</v>
      </c>
      <c r="AN149" s="9">
        <f t="shared" si="127"/>
        <v>0.45000000000000018</v>
      </c>
      <c r="AO149" s="9">
        <f t="shared" si="128"/>
        <v>-0.25</v>
      </c>
      <c r="AP149" s="9">
        <f t="shared" si="129"/>
        <v>0</v>
      </c>
      <c r="AQ149" s="9">
        <f t="shared" si="130"/>
        <v>-0.375</v>
      </c>
      <c r="AR149" s="9">
        <f t="shared" si="131"/>
        <v>-0.39999999999999991</v>
      </c>
      <c r="AS149" s="9">
        <f t="shared" si="132"/>
        <v>1.05</v>
      </c>
      <c r="AT149" s="9">
        <f t="shared" si="133"/>
        <v>1.35</v>
      </c>
      <c r="AU149" s="9">
        <f t="shared" si="134"/>
        <v>0.95</v>
      </c>
      <c r="AV149" s="9">
        <f t="shared" si="135"/>
        <v>1.25</v>
      </c>
      <c r="AW149" s="9">
        <f t="shared" si="136"/>
        <v>1.2</v>
      </c>
      <c r="AX149" s="9">
        <f t="shared" si="137"/>
        <v>0.5</v>
      </c>
      <c r="AY149" s="9">
        <f t="shared" si="138"/>
        <v>0.8</v>
      </c>
      <c r="AZ149" s="9">
        <f t="shared" si="139"/>
        <v>0.8</v>
      </c>
      <c r="BA149" s="9">
        <f t="shared" si="140"/>
        <v>0.8</v>
      </c>
      <c r="BB149" s="9">
        <f t="shared" si="141"/>
        <v>1.1000000000000001</v>
      </c>
      <c r="BC149" s="9">
        <f t="shared" si="142"/>
        <v>1.35</v>
      </c>
      <c r="BD149" s="9">
        <f t="shared" si="143"/>
        <v>0.65000000000000013</v>
      </c>
      <c r="BE149" s="9">
        <f t="shared" si="144"/>
        <v>0.85000000000000009</v>
      </c>
      <c r="BF149" s="9">
        <f t="shared" si="145"/>
        <v>1.35</v>
      </c>
      <c r="BG149" s="9">
        <f t="shared" si="146"/>
        <v>0.85000000000000009</v>
      </c>
      <c r="BH149" s="9">
        <f t="shared" si="147"/>
        <v>1.1000000000000001</v>
      </c>
      <c r="BI149" s="9">
        <f t="shared" si="148"/>
        <v>1.1000000000000001</v>
      </c>
      <c r="BJ149" s="9">
        <f t="shared" si="149"/>
        <v>1.1000000000000001</v>
      </c>
    </row>
    <row r="150" spans="1:62" x14ac:dyDescent="0.2">
      <c r="A150" s="9">
        <f>data!M151-data!M150</f>
        <v>0.85670000000000357</v>
      </c>
      <c r="B150" s="9">
        <f>data!C151-data!C150</f>
        <v>-3.0100000000000016</v>
      </c>
      <c r="C150" s="9">
        <f>data!D151-data!D150</f>
        <v>0.77890000000000015</v>
      </c>
      <c r="D150" s="10">
        <f>data!B151-data!B150</f>
        <v>-0.60000000000000009</v>
      </c>
      <c r="E150" s="9">
        <f>data!E150-data!G150</f>
        <v>2.6783000000000001</v>
      </c>
      <c r="F150" s="9">
        <f>(data!E150-data!F150)-(data!G150-data!H150)</f>
        <v>2.7900000000000591E-2</v>
      </c>
      <c r="G150" s="9">
        <f t="shared" si="100"/>
        <v>1.3699999999999601E-2</v>
      </c>
      <c r="H150" s="9">
        <f t="shared" si="101"/>
        <v>6.9799999999999085E-2</v>
      </c>
      <c r="I150" s="9">
        <f>IF(data!M151&gt; 111.81,1,0)</f>
        <v>0</v>
      </c>
      <c r="J150" s="9">
        <f t="shared" si="102"/>
        <v>1</v>
      </c>
      <c r="K150" s="9">
        <f t="shared" si="103"/>
        <v>0</v>
      </c>
      <c r="L150" s="9">
        <f t="shared" si="104"/>
        <v>0.85670000000000357</v>
      </c>
      <c r="M150" s="9">
        <f>data!J150</f>
        <v>-0.5</v>
      </c>
      <c r="N150" s="9">
        <f>data!I150</f>
        <v>3.875</v>
      </c>
      <c r="O150" s="9">
        <f>data!L150</f>
        <v>3.4</v>
      </c>
      <c r="P150" s="9">
        <f>data!K150</f>
        <v>0.3</v>
      </c>
      <c r="Q150" s="9">
        <f>data!R150</f>
        <v>-0.75</v>
      </c>
      <c r="R150" s="9">
        <f t="shared" si="105"/>
        <v>-2.9</v>
      </c>
      <c r="S150" s="9">
        <f t="shared" si="106"/>
        <v>-1</v>
      </c>
      <c r="T150" s="9">
        <f t="shared" si="107"/>
        <v>-3.13</v>
      </c>
      <c r="U150" s="9">
        <f t="shared" si="108"/>
        <v>1.375</v>
      </c>
      <c r="V150" s="9">
        <f t="shared" si="109"/>
        <v>-2.25</v>
      </c>
      <c r="W150" s="9">
        <f t="shared" si="110"/>
        <v>0.25</v>
      </c>
      <c r="X150" s="9">
        <f t="shared" si="111"/>
        <v>-0.8</v>
      </c>
      <c r="Y150" s="9">
        <f t="shared" si="112"/>
        <v>-0.25</v>
      </c>
      <c r="Z150" s="9">
        <f t="shared" si="113"/>
        <v>1.8149999999999999</v>
      </c>
      <c r="AA150" s="9">
        <f t="shared" si="114"/>
        <v>-0.47500000000000009</v>
      </c>
      <c r="AB150" s="9">
        <f t="shared" si="115"/>
        <v>-0.375</v>
      </c>
      <c r="AC150" s="9">
        <f t="shared" si="116"/>
        <v>-1.125</v>
      </c>
      <c r="AD150" s="9">
        <f t="shared" si="117"/>
        <v>-0.625</v>
      </c>
      <c r="AE150" s="9">
        <f t="shared" si="118"/>
        <v>-1.625</v>
      </c>
      <c r="AF150" s="9">
        <f t="shared" si="119"/>
        <v>-2.125</v>
      </c>
      <c r="AG150" s="9">
        <f t="shared" si="120"/>
        <v>-1.6749999999999998</v>
      </c>
      <c r="AH150" s="9">
        <f t="shared" si="121"/>
        <v>-1.6749999999999998</v>
      </c>
      <c r="AI150" s="9">
        <f t="shared" si="122"/>
        <v>-0.625</v>
      </c>
      <c r="AJ150" s="9">
        <f t="shared" si="123"/>
        <v>0.20000000000000018</v>
      </c>
      <c r="AK150" s="9">
        <f t="shared" si="124"/>
        <v>0.47500000000000009</v>
      </c>
      <c r="AL150" s="9">
        <f t="shared" si="125"/>
        <v>0.10000000000000009</v>
      </c>
      <c r="AM150" s="9">
        <f t="shared" si="126"/>
        <v>5.0000000000000266E-2</v>
      </c>
      <c r="AN150" s="9">
        <f t="shared" si="127"/>
        <v>-0.64999999999999991</v>
      </c>
      <c r="AO150" s="9">
        <f t="shared" si="128"/>
        <v>-0.39999999999999991</v>
      </c>
      <c r="AP150" s="9">
        <f t="shared" si="129"/>
        <v>-0.77499999999999991</v>
      </c>
      <c r="AQ150" s="9">
        <f t="shared" si="130"/>
        <v>-0.79999999999999982</v>
      </c>
      <c r="AR150" s="9">
        <f t="shared" si="131"/>
        <v>0.10000000000000009</v>
      </c>
      <c r="AS150" s="9">
        <f t="shared" si="132"/>
        <v>0.3</v>
      </c>
      <c r="AT150" s="9">
        <f t="shared" si="133"/>
        <v>-9.9999999999999978E-2</v>
      </c>
      <c r="AU150" s="9">
        <f t="shared" si="134"/>
        <v>0.2</v>
      </c>
      <c r="AV150" s="9">
        <f t="shared" si="135"/>
        <v>0.15000000000000002</v>
      </c>
      <c r="AW150" s="9">
        <f t="shared" si="136"/>
        <v>-0.55000000000000004</v>
      </c>
      <c r="AX150" s="9">
        <f t="shared" si="137"/>
        <v>-0.25</v>
      </c>
      <c r="AY150" s="9">
        <f t="shared" si="138"/>
        <v>-0.25</v>
      </c>
      <c r="AZ150" s="9">
        <f t="shared" si="139"/>
        <v>-0.25</v>
      </c>
      <c r="BA150" s="9">
        <f t="shared" si="140"/>
        <v>0.45</v>
      </c>
      <c r="BB150" s="9">
        <f t="shared" si="141"/>
        <v>0.25</v>
      </c>
      <c r="BC150" s="9">
        <f t="shared" si="142"/>
        <v>-0.44999999999999996</v>
      </c>
      <c r="BD150" s="9">
        <f t="shared" si="143"/>
        <v>-0.25</v>
      </c>
      <c r="BE150" s="9">
        <f t="shared" si="144"/>
        <v>0.25</v>
      </c>
      <c r="BF150" s="9">
        <f t="shared" si="145"/>
        <v>-0.25</v>
      </c>
      <c r="BG150" s="9">
        <f t="shared" si="146"/>
        <v>0</v>
      </c>
      <c r="BH150" s="9">
        <f t="shared" si="147"/>
        <v>0</v>
      </c>
      <c r="BI150" s="9">
        <f t="shared" si="148"/>
        <v>0</v>
      </c>
      <c r="BJ150" s="9">
        <f t="shared" si="149"/>
        <v>0.8</v>
      </c>
    </row>
    <row r="151" spans="1:62" x14ac:dyDescent="0.2">
      <c r="A151" s="9">
        <f>data!M152-data!M151</f>
        <v>-7.9800000000005866E-2</v>
      </c>
      <c r="B151" s="9">
        <f>data!C152-data!C151</f>
        <v>0.12000000000000099</v>
      </c>
      <c r="C151" s="9">
        <f>data!D152-data!D151</f>
        <v>1.0211000000000006</v>
      </c>
      <c r="D151" s="10">
        <f>data!B152-data!B151</f>
        <v>-0.32900000000000018</v>
      </c>
      <c r="E151" s="9">
        <f>data!E151-data!G151</f>
        <v>2.6919999999999997</v>
      </c>
      <c r="F151" s="9">
        <f>(data!E151-data!F151)-(data!G151-data!H151)</f>
        <v>9.7699999999999676E-2</v>
      </c>
      <c r="G151" s="9">
        <f t="shared" si="100"/>
        <v>-0.11809999999999965</v>
      </c>
      <c r="H151" s="9">
        <f t="shared" si="101"/>
        <v>0.13360000000000027</v>
      </c>
      <c r="I151" s="9">
        <f>IF(data!M152&gt; 111.81,1,0)</f>
        <v>0</v>
      </c>
      <c r="J151" s="9">
        <f t="shared" si="102"/>
        <v>1</v>
      </c>
      <c r="K151" s="9">
        <f t="shared" si="103"/>
        <v>0</v>
      </c>
      <c r="L151" s="9">
        <f t="shared" si="104"/>
        <v>-7.9800000000005866E-2</v>
      </c>
      <c r="M151" s="9">
        <f>data!J151</f>
        <v>-3.4</v>
      </c>
      <c r="N151" s="9">
        <f>data!I151</f>
        <v>3.4</v>
      </c>
      <c r="O151" s="9">
        <f>data!L151</f>
        <v>3.6</v>
      </c>
      <c r="P151" s="9">
        <f>data!K151</f>
        <v>0.6</v>
      </c>
      <c r="Q151" s="9">
        <f>data!R151</f>
        <v>-0.5</v>
      </c>
      <c r="R151" s="9">
        <f t="shared" si="105"/>
        <v>1.9</v>
      </c>
      <c r="S151" s="9">
        <f t="shared" si="106"/>
        <v>-0.22999999999999998</v>
      </c>
      <c r="T151" s="9">
        <f t="shared" si="107"/>
        <v>4.2750000000000004</v>
      </c>
      <c r="U151" s="9">
        <f t="shared" si="108"/>
        <v>0.64999999999999991</v>
      </c>
      <c r="V151" s="9">
        <f t="shared" si="109"/>
        <v>3.15</v>
      </c>
      <c r="W151" s="9">
        <f t="shared" si="110"/>
        <v>2.0999999999999996</v>
      </c>
      <c r="X151" s="9">
        <f t="shared" si="111"/>
        <v>2.65</v>
      </c>
      <c r="Y151" s="9">
        <f t="shared" si="112"/>
        <v>4.7149999999999999</v>
      </c>
      <c r="Z151" s="9">
        <f t="shared" si="113"/>
        <v>3.15</v>
      </c>
      <c r="AA151" s="9">
        <f t="shared" si="114"/>
        <v>0.10000000000000009</v>
      </c>
      <c r="AB151" s="9">
        <f t="shared" si="115"/>
        <v>-0.64999999999999991</v>
      </c>
      <c r="AC151" s="9">
        <f t="shared" si="116"/>
        <v>-0.14999999999999991</v>
      </c>
      <c r="AD151" s="9">
        <f t="shared" si="117"/>
        <v>-1.1499999999999999</v>
      </c>
      <c r="AE151" s="9">
        <f t="shared" si="118"/>
        <v>-1.65</v>
      </c>
      <c r="AF151" s="9">
        <f t="shared" si="119"/>
        <v>-1.1999999999999997</v>
      </c>
      <c r="AG151" s="9">
        <f t="shared" si="120"/>
        <v>-1.1999999999999997</v>
      </c>
      <c r="AH151" s="9">
        <f t="shared" si="121"/>
        <v>-0.14999999999999991</v>
      </c>
      <c r="AI151" s="9">
        <f t="shared" si="122"/>
        <v>-4.9999999999999822E-2</v>
      </c>
      <c r="AJ151" s="9">
        <f t="shared" si="123"/>
        <v>0.27499999999999991</v>
      </c>
      <c r="AK151" s="9">
        <f t="shared" si="124"/>
        <v>-0.10000000000000009</v>
      </c>
      <c r="AL151" s="9">
        <f t="shared" si="125"/>
        <v>-0.14999999999999991</v>
      </c>
      <c r="AM151" s="9">
        <f t="shared" si="126"/>
        <v>-0.85000000000000009</v>
      </c>
      <c r="AN151" s="9">
        <f t="shared" si="127"/>
        <v>-0.60000000000000009</v>
      </c>
      <c r="AO151" s="9">
        <f t="shared" si="128"/>
        <v>-0.97500000000000009</v>
      </c>
      <c r="AP151" s="9">
        <f t="shared" si="129"/>
        <v>-1</v>
      </c>
      <c r="AQ151" s="9">
        <f t="shared" si="130"/>
        <v>-0.10000000000000009</v>
      </c>
      <c r="AR151" s="9">
        <f t="shared" si="131"/>
        <v>0.14999999999999991</v>
      </c>
      <c r="AS151" s="9">
        <f t="shared" si="132"/>
        <v>-0.39999999999999997</v>
      </c>
      <c r="AT151" s="9">
        <f t="shared" si="133"/>
        <v>-9.9999999999999978E-2</v>
      </c>
      <c r="AU151" s="9">
        <f t="shared" si="134"/>
        <v>-0.14999999999999997</v>
      </c>
      <c r="AV151" s="9">
        <f t="shared" si="135"/>
        <v>-0.85</v>
      </c>
      <c r="AW151" s="9">
        <f t="shared" si="136"/>
        <v>-0.54999999999999993</v>
      </c>
      <c r="AX151" s="9">
        <f t="shared" si="137"/>
        <v>-0.54999999999999993</v>
      </c>
      <c r="AY151" s="9">
        <f t="shared" si="138"/>
        <v>-0.54999999999999993</v>
      </c>
      <c r="AZ151" s="9">
        <f t="shared" si="139"/>
        <v>0.15000000000000002</v>
      </c>
      <c r="BA151" s="9">
        <f t="shared" si="140"/>
        <v>1.0249999999999999</v>
      </c>
      <c r="BB151" s="9">
        <f t="shared" si="141"/>
        <v>-0.7</v>
      </c>
      <c r="BC151" s="9">
        <f t="shared" si="142"/>
        <v>-0.5</v>
      </c>
      <c r="BD151" s="9">
        <f t="shared" si="143"/>
        <v>0</v>
      </c>
      <c r="BE151" s="9">
        <f t="shared" si="144"/>
        <v>-0.5</v>
      </c>
      <c r="BF151" s="9">
        <f t="shared" si="145"/>
        <v>-0.25</v>
      </c>
      <c r="BG151" s="9">
        <f t="shared" si="146"/>
        <v>-0.25</v>
      </c>
      <c r="BH151" s="9">
        <f t="shared" si="147"/>
        <v>-0.25</v>
      </c>
      <c r="BI151" s="9">
        <f t="shared" si="148"/>
        <v>0.55000000000000004</v>
      </c>
      <c r="BJ151" s="9">
        <f t="shared" si="149"/>
        <v>1.1000000000000001</v>
      </c>
    </row>
    <row r="152" spans="1:62" x14ac:dyDescent="0.2">
      <c r="A152" s="9">
        <f>data!M153-data!M152</f>
        <v>0.38280000000000314</v>
      </c>
      <c r="B152" s="9">
        <f>data!C153-data!C152</f>
        <v>-2.7399999999999984</v>
      </c>
      <c r="C152" s="9">
        <f>data!D153-data!D152</f>
        <v>-1.9749999999999996</v>
      </c>
      <c r="D152" s="10">
        <f>data!B153-data!B152</f>
        <v>0.42900000000000027</v>
      </c>
      <c r="E152" s="9">
        <f>data!E152-data!G152</f>
        <v>2.5739000000000001</v>
      </c>
      <c r="F152" s="9">
        <f>(data!E152-data!F152)-(data!G152-data!H152)</f>
        <v>0.23129999999999995</v>
      </c>
      <c r="G152" s="9">
        <f t="shared" si="100"/>
        <v>-0.11399999999999988</v>
      </c>
      <c r="H152" s="9">
        <f t="shared" si="101"/>
        <v>3.9000000000001256E-3</v>
      </c>
      <c r="I152" s="9">
        <f>IF(data!M153&gt; 111.81,1,0)</f>
        <v>0</v>
      </c>
      <c r="J152" s="9">
        <f t="shared" si="102"/>
        <v>1</v>
      </c>
      <c r="K152" s="9">
        <f t="shared" si="103"/>
        <v>0</v>
      </c>
      <c r="L152" s="9">
        <f t="shared" si="104"/>
        <v>0.38280000000000314</v>
      </c>
      <c r="M152" s="9">
        <f>data!J152</f>
        <v>-1.5</v>
      </c>
      <c r="N152" s="9">
        <f>data!I152</f>
        <v>3.5</v>
      </c>
      <c r="O152" s="9">
        <f>data!L152</f>
        <v>3.875</v>
      </c>
      <c r="P152" s="9">
        <f>data!K152</f>
        <v>0.2</v>
      </c>
      <c r="Q152" s="9">
        <f>data!R152</f>
        <v>-1.2</v>
      </c>
      <c r="R152" s="9">
        <f t="shared" si="105"/>
        <v>-2.13</v>
      </c>
      <c r="S152" s="9">
        <f t="shared" si="106"/>
        <v>2.375</v>
      </c>
      <c r="T152" s="9">
        <f t="shared" si="107"/>
        <v>-1.25</v>
      </c>
      <c r="U152" s="9">
        <f t="shared" si="108"/>
        <v>1.25</v>
      </c>
      <c r="V152" s="9">
        <f t="shared" si="109"/>
        <v>0.19999999999999996</v>
      </c>
      <c r="W152" s="9">
        <f t="shared" si="110"/>
        <v>0.75</v>
      </c>
      <c r="X152" s="9">
        <f t="shared" si="111"/>
        <v>2.8149999999999999</v>
      </c>
      <c r="Y152" s="9">
        <f t="shared" si="112"/>
        <v>1.25</v>
      </c>
      <c r="Z152" s="9">
        <f t="shared" si="113"/>
        <v>-0.25</v>
      </c>
      <c r="AA152" s="9">
        <f t="shared" si="114"/>
        <v>-0.75</v>
      </c>
      <c r="AB152" s="9">
        <f t="shared" si="115"/>
        <v>-0.25</v>
      </c>
      <c r="AC152" s="9">
        <f t="shared" si="116"/>
        <v>-1.25</v>
      </c>
      <c r="AD152" s="9">
        <f t="shared" si="117"/>
        <v>-1.75</v>
      </c>
      <c r="AE152" s="9">
        <f t="shared" si="118"/>
        <v>-1.2999999999999998</v>
      </c>
      <c r="AF152" s="9">
        <f t="shared" si="119"/>
        <v>-1.2999999999999998</v>
      </c>
      <c r="AG152" s="9">
        <f t="shared" si="120"/>
        <v>-0.25</v>
      </c>
      <c r="AH152" s="9">
        <f t="shared" si="121"/>
        <v>-0.14999999999999991</v>
      </c>
      <c r="AI152" s="9">
        <f t="shared" si="122"/>
        <v>0.125</v>
      </c>
      <c r="AJ152" s="9">
        <f t="shared" si="123"/>
        <v>-0.375</v>
      </c>
      <c r="AK152" s="9">
        <f t="shared" si="124"/>
        <v>-0.42499999999999982</v>
      </c>
      <c r="AL152" s="9">
        <f t="shared" si="125"/>
        <v>-1.125</v>
      </c>
      <c r="AM152" s="9">
        <f t="shared" si="126"/>
        <v>-0.875</v>
      </c>
      <c r="AN152" s="9">
        <f t="shared" si="127"/>
        <v>-1.25</v>
      </c>
      <c r="AO152" s="9">
        <f t="shared" si="128"/>
        <v>-1.2749999999999999</v>
      </c>
      <c r="AP152" s="9">
        <f t="shared" si="129"/>
        <v>-0.375</v>
      </c>
      <c r="AQ152" s="9">
        <f t="shared" si="130"/>
        <v>-0.125</v>
      </c>
      <c r="AR152" s="9">
        <f t="shared" si="131"/>
        <v>0.875</v>
      </c>
      <c r="AS152" s="9">
        <f t="shared" si="132"/>
        <v>0.3</v>
      </c>
      <c r="AT152" s="9">
        <f t="shared" si="133"/>
        <v>0.25</v>
      </c>
      <c r="AU152" s="9">
        <f t="shared" si="134"/>
        <v>-0.45</v>
      </c>
      <c r="AV152" s="9">
        <f t="shared" si="135"/>
        <v>-0.15000000000000002</v>
      </c>
      <c r="AW152" s="9">
        <f t="shared" si="136"/>
        <v>-0.15000000000000002</v>
      </c>
      <c r="AX152" s="9">
        <f t="shared" si="137"/>
        <v>-0.15000000000000002</v>
      </c>
      <c r="AY152" s="9">
        <f t="shared" si="138"/>
        <v>0.55000000000000004</v>
      </c>
      <c r="AZ152" s="9">
        <f t="shared" si="139"/>
        <v>1.425</v>
      </c>
      <c r="BA152" s="9">
        <f t="shared" si="140"/>
        <v>3.0999999999999996</v>
      </c>
      <c r="BB152" s="9">
        <f t="shared" si="141"/>
        <v>0.19999999999999996</v>
      </c>
      <c r="BC152" s="9">
        <f t="shared" si="142"/>
        <v>0.7</v>
      </c>
      <c r="BD152" s="9">
        <f t="shared" si="143"/>
        <v>0.19999999999999996</v>
      </c>
      <c r="BE152" s="9">
        <f t="shared" si="144"/>
        <v>0.44999999999999996</v>
      </c>
      <c r="BF152" s="9">
        <f t="shared" si="145"/>
        <v>0.44999999999999996</v>
      </c>
      <c r="BG152" s="9">
        <f t="shared" si="146"/>
        <v>0.44999999999999996</v>
      </c>
      <c r="BH152" s="9">
        <f t="shared" si="147"/>
        <v>1.25</v>
      </c>
      <c r="BI152" s="9">
        <f t="shared" si="148"/>
        <v>1.7999999999999998</v>
      </c>
      <c r="BJ152" s="9">
        <f t="shared" si="149"/>
        <v>3.3499999999999996</v>
      </c>
    </row>
    <row r="153" spans="1:62" x14ac:dyDescent="0.2">
      <c r="A153" s="9">
        <f>data!M154-data!M153</f>
        <v>0.11879999999999313</v>
      </c>
      <c r="B153" s="9">
        <f>data!C154-data!C153</f>
        <v>-2.0199999999999996</v>
      </c>
      <c r="C153" s="9">
        <f>data!D154-data!D153</f>
        <v>-0.77500000000000036</v>
      </c>
      <c r="D153" s="10">
        <f>data!B154-data!B153</f>
        <v>9.9999999999999867E-2</v>
      </c>
      <c r="E153" s="9">
        <f>data!E153-data!G153</f>
        <v>2.4599000000000002</v>
      </c>
      <c r="F153" s="9">
        <f>(data!E153-data!F153)-(data!G153-data!H153)</f>
        <v>0.23520000000000008</v>
      </c>
      <c r="G153" s="9">
        <f t="shared" si="100"/>
        <v>6.9899999999999629E-2</v>
      </c>
      <c r="H153" s="9">
        <f t="shared" si="101"/>
        <v>-5.6400000000000117E-2</v>
      </c>
      <c r="I153" s="9">
        <f>IF(data!M154&gt; 111.81,1,0)</f>
        <v>0</v>
      </c>
      <c r="J153" s="9">
        <f t="shared" si="102"/>
        <v>1</v>
      </c>
      <c r="K153" s="9">
        <f t="shared" si="103"/>
        <v>0</v>
      </c>
      <c r="L153" s="9">
        <f t="shared" si="104"/>
        <v>0.11879999999999313</v>
      </c>
      <c r="M153" s="9">
        <f>data!J153</f>
        <v>-3.63</v>
      </c>
      <c r="N153" s="9">
        <f>data!I153</f>
        <v>2.75</v>
      </c>
      <c r="O153" s="9">
        <f>data!L153</f>
        <v>3.5</v>
      </c>
      <c r="P153" s="9">
        <f>data!K153</f>
        <v>0.5</v>
      </c>
      <c r="Q153" s="9">
        <f>data!R153</f>
        <v>-1</v>
      </c>
      <c r="R153" s="9">
        <f t="shared" si="105"/>
        <v>4.5049999999999999</v>
      </c>
      <c r="S153" s="9">
        <f t="shared" si="106"/>
        <v>0.87999999999999989</v>
      </c>
      <c r="T153" s="9">
        <f t="shared" si="107"/>
        <v>3.38</v>
      </c>
      <c r="U153" s="9">
        <f t="shared" si="108"/>
        <v>2.33</v>
      </c>
      <c r="V153" s="9">
        <f t="shared" si="109"/>
        <v>2.88</v>
      </c>
      <c r="W153" s="9">
        <f t="shared" si="110"/>
        <v>4.9450000000000003</v>
      </c>
      <c r="X153" s="9">
        <f t="shared" si="111"/>
        <v>3.38</v>
      </c>
      <c r="Y153" s="9">
        <f t="shared" si="112"/>
        <v>1.88</v>
      </c>
      <c r="Z153" s="9">
        <f t="shared" si="113"/>
        <v>3.13</v>
      </c>
      <c r="AA153" s="9">
        <f t="shared" si="114"/>
        <v>0.5</v>
      </c>
      <c r="AB153" s="9">
        <f t="shared" si="115"/>
        <v>-0.5</v>
      </c>
      <c r="AC153" s="9">
        <f t="shared" si="116"/>
        <v>-1</v>
      </c>
      <c r="AD153" s="9">
        <f t="shared" si="117"/>
        <v>-0.54999999999999982</v>
      </c>
      <c r="AE153" s="9">
        <f t="shared" si="118"/>
        <v>-0.54999999999999982</v>
      </c>
      <c r="AF153" s="9">
        <f t="shared" si="119"/>
        <v>0.5</v>
      </c>
      <c r="AG153" s="9">
        <f t="shared" si="120"/>
        <v>0.60000000000000009</v>
      </c>
      <c r="AH153" s="9">
        <f t="shared" si="121"/>
        <v>0.875</v>
      </c>
      <c r="AI153" s="9">
        <f t="shared" si="122"/>
        <v>1</v>
      </c>
      <c r="AJ153" s="9">
        <f t="shared" si="123"/>
        <v>-4.9999999999999822E-2</v>
      </c>
      <c r="AK153" s="9">
        <f t="shared" si="124"/>
        <v>-0.75</v>
      </c>
      <c r="AL153" s="9">
        <f t="shared" si="125"/>
        <v>-0.5</v>
      </c>
      <c r="AM153" s="9">
        <f t="shared" si="126"/>
        <v>-0.875</v>
      </c>
      <c r="AN153" s="9">
        <f t="shared" si="127"/>
        <v>-0.89999999999999991</v>
      </c>
      <c r="AO153" s="9">
        <f t="shared" si="128"/>
        <v>0</v>
      </c>
      <c r="AP153" s="9">
        <f t="shared" si="129"/>
        <v>0.25</v>
      </c>
      <c r="AQ153" s="9">
        <f t="shared" si="130"/>
        <v>1.25</v>
      </c>
      <c r="AR153" s="9">
        <f t="shared" si="131"/>
        <v>1.75</v>
      </c>
      <c r="AS153" s="9">
        <f t="shared" si="132"/>
        <v>-4.9999999999999989E-2</v>
      </c>
      <c r="AT153" s="9">
        <f t="shared" si="133"/>
        <v>-0.75</v>
      </c>
      <c r="AU153" s="9">
        <f t="shared" si="134"/>
        <v>-0.45</v>
      </c>
      <c r="AV153" s="9">
        <f t="shared" si="135"/>
        <v>-0.45</v>
      </c>
      <c r="AW153" s="9">
        <f t="shared" si="136"/>
        <v>-0.45</v>
      </c>
      <c r="AX153" s="9">
        <f t="shared" si="137"/>
        <v>0.25</v>
      </c>
      <c r="AY153" s="9">
        <f t="shared" si="138"/>
        <v>1.125</v>
      </c>
      <c r="AZ153" s="9">
        <f t="shared" si="139"/>
        <v>2.8</v>
      </c>
      <c r="BA153" s="9">
        <f t="shared" si="140"/>
        <v>4.0999999999999996</v>
      </c>
      <c r="BB153" s="9">
        <f t="shared" si="141"/>
        <v>0.5</v>
      </c>
      <c r="BC153" s="9">
        <f t="shared" si="142"/>
        <v>0</v>
      </c>
      <c r="BD153" s="9">
        <f t="shared" si="143"/>
        <v>0.25</v>
      </c>
      <c r="BE153" s="9">
        <f t="shared" si="144"/>
        <v>0.25</v>
      </c>
      <c r="BF153" s="9">
        <f t="shared" si="145"/>
        <v>0.25</v>
      </c>
      <c r="BG153" s="9">
        <f t="shared" si="146"/>
        <v>1.05</v>
      </c>
      <c r="BH153" s="9">
        <f t="shared" si="147"/>
        <v>1.6</v>
      </c>
      <c r="BI153" s="9">
        <f t="shared" si="148"/>
        <v>3.15</v>
      </c>
      <c r="BJ153" s="9">
        <f t="shared" si="149"/>
        <v>4.8499999999999996</v>
      </c>
    </row>
    <row r="154" spans="1:62" x14ac:dyDescent="0.2">
      <c r="A154" s="9">
        <f>data!M155-data!M154</f>
        <v>0.694500000000005</v>
      </c>
      <c r="B154" s="9">
        <f>data!C155-data!C154</f>
        <v>2.4199999999999982</v>
      </c>
      <c r="C154" s="9">
        <f>data!D155-data!D154</f>
        <v>0.34999999999999964</v>
      </c>
      <c r="D154" s="10">
        <f>data!B155-data!B154</f>
        <v>0.35000000000000009</v>
      </c>
      <c r="E154" s="9">
        <f>data!E154-data!G154</f>
        <v>2.5297999999999998</v>
      </c>
      <c r="F154" s="9">
        <f>(data!E154-data!F154)-(data!G154-data!H154)</f>
        <v>0.17879999999999996</v>
      </c>
      <c r="G154" s="9">
        <f t="shared" si="100"/>
        <v>0.14920000000000044</v>
      </c>
      <c r="H154" s="9">
        <f t="shared" si="101"/>
        <v>-6.7399999999999793E-2</v>
      </c>
      <c r="I154" s="9">
        <f>IF(data!M155&gt; 111.81,1,0)</f>
        <v>0</v>
      </c>
      <c r="J154" s="9">
        <f t="shared" si="102"/>
        <v>1</v>
      </c>
      <c r="K154" s="9">
        <f t="shared" si="103"/>
        <v>0</v>
      </c>
      <c r="L154" s="9">
        <f t="shared" si="104"/>
        <v>0.694500000000005</v>
      </c>
      <c r="M154" s="9">
        <f>data!J154</f>
        <v>0.875</v>
      </c>
      <c r="N154" s="9">
        <f>data!I154</f>
        <v>3.25</v>
      </c>
      <c r="O154" s="9">
        <f>data!L154</f>
        <v>3.45</v>
      </c>
      <c r="P154" s="9">
        <f>data!K154</f>
        <v>0.45</v>
      </c>
      <c r="Q154" s="9">
        <f>data!R154</f>
        <v>-0.5</v>
      </c>
      <c r="R154" s="9">
        <f t="shared" si="105"/>
        <v>-3.625</v>
      </c>
      <c r="S154" s="9">
        <f t="shared" si="106"/>
        <v>-1.125</v>
      </c>
      <c r="T154" s="9">
        <f t="shared" si="107"/>
        <v>-2.1749999999999998</v>
      </c>
      <c r="U154" s="9">
        <f t="shared" si="108"/>
        <v>-1.625</v>
      </c>
      <c r="V154" s="9">
        <f t="shared" si="109"/>
        <v>0.43999999999999995</v>
      </c>
      <c r="W154" s="9">
        <f t="shared" si="110"/>
        <v>-1.125</v>
      </c>
      <c r="X154" s="9">
        <f t="shared" si="111"/>
        <v>-2.625</v>
      </c>
      <c r="Y154" s="9">
        <f t="shared" si="112"/>
        <v>-1.375</v>
      </c>
      <c r="Z154" s="9">
        <f t="shared" si="113"/>
        <v>-0.97499999999999998</v>
      </c>
      <c r="AA154" s="9">
        <f t="shared" si="114"/>
        <v>-1</v>
      </c>
      <c r="AB154" s="9">
        <f t="shared" si="115"/>
        <v>-1.5</v>
      </c>
      <c r="AC154" s="9">
        <f t="shared" si="116"/>
        <v>-1.0499999999999998</v>
      </c>
      <c r="AD154" s="9">
        <f t="shared" si="117"/>
        <v>-1.0499999999999998</v>
      </c>
      <c r="AE154" s="9">
        <f t="shared" si="118"/>
        <v>0</v>
      </c>
      <c r="AF154" s="9">
        <f t="shared" si="119"/>
        <v>0.10000000000000009</v>
      </c>
      <c r="AG154" s="9">
        <f t="shared" si="120"/>
        <v>0.375</v>
      </c>
      <c r="AH154" s="9">
        <f t="shared" si="121"/>
        <v>0.5</v>
      </c>
      <c r="AI154" s="9">
        <f t="shared" si="122"/>
        <v>1.6500000000000004</v>
      </c>
      <c r="AJ154" s="9">
        <f t="shared" si="123"/>
        <v>-0.70000000000000018</v>
      </c>
      <c r="AK154" s="9">
        <f t="shared" si="124"/>
        <v>-0.45000000000000018</v>
      </c>
      <c r="AL154" s="9">
        <f t="shared" si="125"/>
        <v>-0.82500000000000018</v>
      </c>
      <c r="AM154" s="9">
        <f t="shared" si="126"/>
        <v>-0.85000000000000009</v>
      </c>
      <c r="AN154" s="9">
        <f t="shared" si="127"/>
        <v>4.9999999999999822E-2</v>
      </c>
      <c r="AO154" s="9">
        <f t="shared" si="128"/>
        <v>0.29999999999999982</v>
      </c>
      <c r="AP154" s="9">
        <f t="shared" si="129"/>
        <v>1.2999999999999998</v>
      </c>
      <c r="AQ154" s="9">
        <f t="shared" si="130"/>
        <v>1.7999999999999998</v>
      </c>
      <c r="AR154" s="9">
        <f t="shared" si="131"/>
        <v>2.8999999999999995</v>
      </c>
      <c r="AS154" s="9">
        <f t="shared" si="132"/>
        <v>-0.7</v>
      </c>
      <c r="AT154" s="9">
        <f t="shared" si="133"/>
        <v>-0.4</v>
      </c>
      <c r="AU154" s="9">
        <f t="shared" si="134"/>
        <v>-0.4</v>
      </c>
      <c r="AV154" s="9">
        <f t="shared" si="135"/>
        <v>-0.4</v>
      </c>
      <c r="AW154" s="9">
        <f t="shared" si="136"/>
        <v>0.3</v>
      </c>
      <c r="AX154" s="9">
        <f t="shared" si="137"/>
        <v>1.175</v>
      </c>
      <c r="AY154" s="9">
        <f t="shared" si="138"/>
        <v>2.8499999999999996</v>
      </c>
      <c r="AZ154" s="9">
        <f t="shared" si="139"/>
        <v>4.1499999999999995</v>
      </c>
      <c r="BA154" s="9">
        <f t="shared" si="140"/>
        <v>5.3999999999999995</v>
      </c>
      <c r="BB154" s="9">
        <f t="shared" si="141"/>
        <v>-0.5</v>
      </c>
      <c r="BC154" s="9">
        <f t="shared" si="142"/>
        <v>-0.25</v>
      </c>
      <c r="BD154" s="9">
        <f t="shared" si="143"/>
        <v>-0.25</v>
      </c>
      <c r="BE154" s="9">
        <f t="shared" si="144"/>
        <v>-0.25</v>
      </c>
      <c r="BF154" s="9">
        <f t="shared" si="145"/>
        <v>0.55000000000000004</v>
      </c>
      <c r="BG154" s="9">
        <f t="shared" si="146"/>
        <v>1.1000000000000001</v>
      </c>
      <c r="BH154" s="9">
        <f t="shared" si="147"/>
        <v>2.65</v>
      </c>
      <c r="BI154" s="9">
        <f t="shared" si="148"/>
        <v>4.3499999999999996</v>
      </c>
      <c r="BJ154" s="9">
        <f t="shared" si="149"/>
        <v>5.95</v>
      </c>
    </row>
    <row r="155" spans="1:62" x14ac:dyDescent="0.2">
      <c r="A155" s="9">
        <f>data!M156-data!M155</f>
        <v>-6.7300000000003024E-2</v>
      </c>
      <c r="B155" s="9">
        <f>data!C156-data!C155</f>
        <v>-4.8000000000000007</v>
      </c>
      <c r="C155" s="9">
        <f>data!D156-data!D155</f>
        <v>-0.57499999999999929</v>
      </c>
      <c r="D155" s="10">
        <f>data!B156-data!B155</f>
        <v>-0.17500000000000004</v>
      </c>
      <c r="E155" s="9">
        <f>data!E155-data!G155</f>
        <v>2.6790000000000003</v>
      </c>
      <c r="F155" s="9">
        <f>(data!E155-data!F155)-(data!G155-data!H155)</f>
        <v>0.11140000000000017</v>
      </c>
      <c r="G155" s="9">
        <f t="shared" si="100"/>
        <v>-7.1099999999999941E-2</v>
      </c>
      <c r="H155" s="9">
        <f t="shared" si="101"/>
        <v>3.0100000000000349E-2</v>
      </c>
      <c r="I155" s="9">
        <f>IF(data!M156&gt; 111.81,1,0)</f>
        <v>0</v>
      </c>
      <c r="J155" s="9">
        <f t="shared" si="102"/>
        <v>1</v>
      </c>
      <c r="K155" s="9">
        <f t="shared" si="103"/>
        <v>0</v>
      </c>
      <c r="L155" s="9">
        <f t="shared" si="104"/>
        <v>-6.7300000000003024E-2</v>
      </c>
      <c r="M155" s="9">
        <f>data!J155</f>
        <v>-2.75</v>
      </c>
      <c r="N155" s="9">
        <f>data!I155</f>
        <v>2.25</v>
      </c>
      <c r="O155" s="9">
        <f>data!L155</f>
        <v>2.75</v>
      </c>
      <c r="P155" s="9">
        <f>data!K155</f>
        <v>-0.25</v>
      </c>
      <c r="Q155" s="9">
        <f>data!R155</f>
        <v>-1</v>
      </c>
      <c r="R155" s="9">
        <f t="shared" si="105"/>
        <v>2.5</v>
      </c>
      <c r="S155" s="9">
        <f t="shared" si="106"/>
        <v>1.45</v>
      </c>
      <c r="T155" s="9">
        <f t="shared" si="107"/>
        <v>2</v>
      </c>
      <c r="U155" s="9">
        <f t="shared" si="108"/>
        <v>4.0649999999999995</v>
      </c>
      <c r="V155" s="9">
        <f t="shared" si="109"/>
        <v>2.5</v>
      </c>
      <c r="W155" s="9">
        <f t="shared" si="110"/>
        <v>1</v>
      </c>
      <c r="X155" s="9">
        <f t="shared" si="111"/>
        <v>2.25</v>
      </c>
      <c r="Y155" s="9">
        <f t="shared" si="112"/>
        <v>2.65</v>
      </c>
      <c r="Z155" s="9">
        <f t="shared" si="113"/>
        <v>3</v>
      </c>
      <c r="AA155" s="9">
        <f t="shared" si="114"/>
        <v>-0.5</v>
      </c>
      <c r="AB155" s="9">
        <f t="shared" si="115"/>
        <v>-4.9999999999999822E-2</v>
      </c>
      <c r="AC155" s="9">
        <f t="shared" si="116"/>
        <v>-4.9999999999999822E-2</v>
      </c>
      <c r="AD155" s="9">
        <f t="shared" si="117"/>
        <v>1</v>
      </c>
      <c r="AE155" s="9">
        <f t="shared" si="118"/>
        <v>1.1000000000000001</v>
      </c>
      <c r="AF155" s="9">
        <f t="shared" si="119"/>
        <v>1.375</v>
      </c>
      <c r="AG155" s="9">
        <f t="shared" si="120"/>
        <v>1.5</v>
      </c>
      <c r="AH155" s="9">
        <f t="shared" si="121"/>
        <v>2.6500000000000004</v>
      </c>
      <c r="AI155" s="9">
        <f t="shared" si="122"/>
        <v>2.25</v>
      </c>
      <c r="AJ155" s="9">
        <f t="shared" si="123"/>
        <v>0.25</v>
      </c>
      <c r="AK155" s="9">
        <f t="shared" si="124"/>
        <v>-0.125</v>
      </c>
      <c r="AL155" s="9">
        <f t="shared" si="125"/>
        <v>-0.14999999999999991</v>
      </c>
      <c r="AM155" s="9">
        <f t="shared" si="126"/>
        <v>0.75</v>
      </c>
      <c r="AN155" s="9">
        <f t="shared" si="127"/>
        <v>1</v>
      </c>
      <c r="AO155" s="9">
        <f t="shared" si="128"/>
        <v>2</v>
      </c>
      <c r="AP155" s="9">
        <f t="shared" si="129"/>
        <v>2.5</v>
      </c>
      <c r="AQ155" s="9">
        <f t="shared" si="130"/>
        <v>3.5999999999999996</v>
      </c>
      <c r="AR155" s="9">
        <f t="shared" si="131"/>
        <v>3.5999999999999996</v>
      </c>
      <c r="AS155" s="9">
        <f t="shared" si="132"/>
        <v>0.3</v>
      </c>
      <c r="AT155" s="9">
        <f t="shared" si="133"/>
        <v>0.3</v>
      </c>
      <c r="AU155" s="9">
        <f t="shared" si="134"/>
        <v>0.3</v>
      </c>
      <c r="AV155" s="9">
        <f t="shared" si="135"/>
        <v>1</v>
      </c>
      <c r="AW155" s="9">
        <f t="shared" si="136"/>
        <v>1.875</v>
      </c>
      <c r="AX155" s="9">
        <f t="shared" si="137"/>
        <v>3.55</v>
      </c>
      <c r="AY155" s="9">
        <f t="shared" si="138"/>
        <v>4.8499999999999996</v>
      </c>
      <c r="AZ155" s="9">
        <f t="shared" si="139"/>
        <v>6.1</v>
      </c>
      <c r="BA155" s="9">
        <f t="shared" si="140"/>
        <v>6.6</v>
      </c>
      <c r="BB155" s="9">
        <f t="shared" si="141"/>
        <v>0.25</v>
      </c>
      <c r="BC155" s="9">
        <f t="shared" si="142"/>
        <v>0.25</v>
      </c>
      <c r="BD155" s="9">
        <f t="shared" si="143"/>
        <v>0.25</v>
      </c>
      <c r="BE155" s="9">
        <f t="shared" si="144"/>
        <v>1.05</v>
      </c>
      <c r="BF155" s="9">
        <f t="shared" si="145"/>
        <v>1.6</v>
      </c>
      <c r="BG155" s="9">
        <f t="shared" si="146"/>
        <v>3.15</v>
      </c>
      <c r="BH155" s="9">
        <f t="shared" si="147"/>
        <v>4.8499999999999996</v>
      </c>
      <c r="BI155" s="9">
        <f t="shared" si="148"/>
        <v>6.45</v>
      </c>
      <c r="BJ155" s="9">
        <f t="shared" si="149"/>
        <v>7.35</v>
      </c>
    </row>
    <row r="156" spans="1:62" x14ac:dyDescent="0.2">
      <c r="A156" s="9">
        <f>data!M157-data!M156</f>
        <v>-0.96030000000000371</v>
      </c>
      <c r="B156" s="9">
        <f>data!C157-data!C156</f>
        <v>2.2699999999999996</v>
      </c>
      <c r="C156" s="9">
        <f>data!D157-data!D156</f>
        <v>9.9999999999999645E-2</v>
      </c>
      <c r="D156" s="10">
        <f>data!B157-data!B156</f>
        <v>0</v>
      </c>
      <c r="E156" s="9">
        <f>data!E156-data!G156</f>
        <v>2.6079000000000003</v>
      </c>
      <c r="F156" s="9">
        <f>(data!E156-data!F156)-(data!G156-data!H156)</f>
        <v>0.14150000000000051</v>
      </c>
      <c r="G156" s="9">
        <f t="shared" si="100"/>
        <v>-4.4700000000000184E-2</v>
      </c>
      <c r="H156" s="9">
        <f t="shared" si="101"/>
        <v>3.2799999999999496E-2</v>
      </c>
      <c r="I156" s="9">
        <f>IF(data!M157&gt; 111.81,1,0)</f>
        <v>0</v>
      </c>
      <c r="J156" s="9">
        <f t="shared" si="102"/>
        <v>1</v>
      </c>
      <c r="K156" s="9">
        <f t="shared" si="103"/>
        <v>0</v>
      </c>
      <c r="L156" s="9">
        <f t="shared" si="104"/>
        <v>-0.96030000000000371</v>
      </c>
      <c r="M156" s="9">
        <f>data!J156</f>
        <v>-0.25</v>
      </c>
      <c r="N156" s="9">
        <f>data!I156</f>
        <v>1.75</v>
      </c>
      <c r="O156" s="9">
        <f>data!L156</f>
        <v>3</v>
      </c>
      <c r="P156" s="9">
        <f>data!K156</f>
        <v>0.05</v>
      </c>
      <c r="Q156" s="9">
        <f>data!R156</f>
        <v>-0.75</v>
      </c>
      <c r="R156" s="9">
        <f t="shared" si="105"/>
        <v>-1.05</v>
      </c>
      <c r="S156" s="9">
        <f t="shared" si="106"/>
        <v>-0.5</v>
      </c>
      <c r="T156" s="9">
        <f t="shared" si="107"/>
        <v>1.5649999999999999</v>
      </c>
      <c r="U156" s="9">
        <f t="shared" si="108"/>
        <v>0</v>
      </c>
      <c r="V156" s="9">
        <f t="shared" si="109"/>
        <v>-1.5</v>
      </c>
      <c r="W156" s="9">
        <f t="shared" si="110"/>
        <v>-0.25</v>
      </c>
      <c r="X156" s="9">
        <f t="shared" si="111"/>
        <v>0.15</v>
      </c>
      <c r="Y156" s="9">
        <f t="shared" si="112"/>
        <v>0.5</v>
      </c>
      <c r="Z156" s="9">
        <f t="shared" si="113"/>
        <v>-2.375</v>
      </c>
      <c r="AA156" s="9">
        <f t="shared" si="114"/>
        <v>0.45000000000000018</v>
      </c>
      <c r="AB156" s="9">
        <f t="shared" si="115"/>
        <v>0.45000000000000018</v>
      </c>
      <c r="AC156" s="9">
        <f t="shared" si="116"/>
        <v>1.5</v>
      </c>
      <c r="AD156" s="9">
        <f t="shared" si="117"/>
        <v>1.6</v>
      </c>
      <c r="AE156" s="9">
        <f t="shared" si="118"/>
        <v>1.875</v>
      </c>
      <c r="AF156" s="9">
        <f t="shared" si="119"/>
        <v>2</v>
      </c>
      <c r="AG156" s="9">
        <f t="shared" si="120"/>
        <v>3.1500000000000004</v>
      </c>
      <c r="AH156" s="9">
        <f t="shared" si="121"/>
        <v>2.75</v>
      </c>
      <c r="AI156" s="9">
        <f t="shared" si="122"/>
        <v>1.75</v>
      </c>
      <c r="AJ156" s="9">
        <f t="shared" si="123"/>
        <v>-0.375</v>
      </c>
      <c r="AK156" s="9">
        <f t="shared" si="124"/>
        <v>-0.39999999999999991</v>
      </c>
      <c r="AL156" s="9">
        <f t="shared" si="125"/>
        <v>0.5</v>
      </c>
      <c r="AM156" s="9">
        <f t="shared" si="126"/>
        <v>0.75</v>
      </c>
      <c r="AN156" s="9">
        <f t="shared" si="127"/>
        <v>1.75</v>
      </c>
      <c r="AO156" s="9">
        <f t="shared" si="128"/>
        <v>2.25</v>
      </c>
      <c r="AP156" s="9">
        <f t="shared" si="129"/>
        <v>3.3499999999999996</v>
      </c>
      <c r="AQ156" s="9">
        <f t="shared" si="130"/>
        <v>3.3499999999999996</v>
      </c>
      <c r="AR156" s="9">
        <f t="shared" si="131"/>
        <v>3.0999999999999996</v>
      </c>
      <c r="AS156" s="9">
        <f t="shared" si="132"/>
        <v>0</v>
      </c>
      <c r="AT156" s="9">
        <f t="shared" si="133"/>
        <v>0</v>
      </c>
      <c r="AU156" s="9">
        <f t="shared" si="134"/>
        <v>0.7</v>
      </c>
      <c r="AV156" s="9">
        <f t="shared" si="135"/>
        <v>1.575</v>
      </c>
      <c r="AW156" s="9">
        <f t="shared" si="136"/>
        <v>3.25</v>
      </c>
      <c r="AX156" s="9">
        <f t="shared" si="137"/>
        <v>4.55</v>
      </c>
      <c r="AY156" s="9">
        <f t="shared" si="138"/>
        <v>5.8</v>
      </c>
      <c r="AZ156" s="9">
        <f t="shared" si="139"/>
        <v>6.3</v>
      </c>
      <c r="BA156" s="9">
        <f t="shared" si="140"/>
        <v>6.8</v>
      </c>
      <c r="BB156" s="9">
        <f t="shared" si="141"/>
        <v>0</v>
      </c>
      <c r="BC156" s="9">
        <f t="shared" si="142"/>
        <v>0</v>
      </c>
      <c r="BD156" s="9">
        <f t="shared" si="143"/>
        <v>0.8</v>
      </c>
      <c r="BE156" s="9">
        <f t="shared" si="144"/>
        <v>1.35</v>
      </c>
      <c r="BF156" s="9">
        <f t="shared" si="145"/>
        <v>2.9</v>
      </c>
      <c r="BG156" s="9">
        <f t="shared" si="146"/>
        <v>4.5999999999999996</v>
      </c>
      <c r="BH156" s="9">
        <f t="shared" si="147"/>
        <v>6.2</v>
      </c>
      <c r="BI156" s="9">
        <f t="shared" si="148"/>
        <v>7.1</v>
      </c>
      <c r="BJ156" s="9">
        <f t="shared" si="149"/>
        <v>7.6</v>
      </c>
    </row>
    <row r="157" spans="1:62" x14ac:dyDescent="0.2">
      <c r="A157" s="9">
        <f>data!M158-data!M157</f>
        <v>-0.16019999999998902</v>
      </c>
      <c r="B157" s="9">
        <f>data!C158-data!C157</f>
        <v>3.2000000000000028</v>
      </c>
      <c r="C157" s="9">
        <f>data!D158-data!D157</f>
        <v>2.0999999999999996</v>
      </c>
      <c r="D157" s="10">
        <f>data!B158-data!B157</f>
        <v>0.22500000000000009</v>
      </c>
      <c r="E157" s="9">
        <f>data!E157-data!G157</f>
        <v>2.5632000000000001</v>
      </c>
      <c r="F157" s="9">
        <f>(data!E157-data!F157)-(data!G157-data!H157)</f>
        <v>0.17430000000000001</v>
      </c>
      <c r="G157" s="9">
        <f t="shared" si="100"/>
        <v>-0.17310000000000025</v>
      </c>
      <c r="H157" s="9">
        <f t="shared" si="101"/>
        <v>0.16679999999999962</v>
      </c>
      <c r="I157" s="9">
        <f>IF(data!M158&gt; 111.81,1,0)</f>
        <v>0</v>
      </c>
      <c r="J157" s="9">
        <f t="shared" si="102"/>
        <v>1</v>
      </c>
      <c r="K157" s="9">
        <f t="shared" si="103"/>
        <v>0</v>
      </c>
      <c r="L157" s="9">
        <f t="shared" si="104"/>
        <v>-0.16019999999998902</v>
      </c>
      <c r="M157" s="9">
        <f>data!J157</f>
        <v>-1.3</v>
      </c>
      <c r="N157" s="9">
        <f>data!I157</f>
        <v>2.2000000000000002</v>
      </c>
      <c r="O157" s="9">
        <f>data!L157</f>
        <v>2.625</v>
      </c>
      <c r="P157" s="9">
        <f>data!K157</f>
        <v>0.05</v>
      </c>
      <c r="Q157" s="9">
        <f>data!R157</f>
        <v>-0.75</v>
      </c>
      <c r="R157" s="9">
        <f t="shared" si="105"/>
        <v>0.55000000000000004</v>
      </c>
      <c r="S157" s="9">
        <f t="shared" si="106"/>
        <v>2.6150000000000002</v>
      </c>
      <c r="T157" s="9">
        <f t="shared" si="107"/>
        <v>1.05</v>
      </c>
      <c r="U157" s="9">
        <f t="shared" si="108"/>
        <v>-0.44999999999999996</v>
      </c>
      <c r="V157" s="9">
        <f t="shared" si="109"/>
        <v>0.8</v>
      </c>
      <c r="W157" s="9">
        <f t="shared" si="110"/>
        <v>1.2</v>
      </c>
      <c r="X157" s="9">
        <f t="shared" si="111"/>
        <v>1.55</v>
      </c>
      <c r="Y157" s="9">
        <f t="shared" si="112"/>
        <v>-1.325</v>
      </c>
      <c r="Z157" s="9">
        <f t="shared" si="113"/>
        <v>3.05</v>
      </c>
      <c r="AA157" s="9">
        <f t="shared" si="114"/>
        <v>0</v>
      </c>
      <c r="AB157" s="9">
        <f t="shared" si="115"/>
        <v>1.0499999999999998</v>
      </c>
      <c r="AC157" s="9">
        <f t="shared" si="116"/>
        <v>1.1499999999999999</v>
      </c>
      <c r="AD157" s="9">
        <f t="shared" si="117"/>
        <v>1.4249999999999998</v>
      </c>
      <c r="AE157" s="9">
        <f t="shared" si="118"/>
        <v>1.5499999999999998</v>
      </c>
      <c r="AF157" s="9">
        <f t="shared" si="119"/>
        <v>2.7</v>
      </c>
      <c r="AG157" s="9">
        <f t="shared" si="120"/>
        <v>2.2999999999999998</v>
      </c>
      <c r="AH157" s="9">
        <f t="shared" si="121"/>
        <v>1.2999999999999998</v>
      </c>
      <c r="AI157" s="9">
        <f t="shared" si="122"/>
        <v>2.8</v>
      </c>
      <c r="AJ157" s="9">
        <f t="shared" si="123"/>
        <v>-2.4999999999999911E-2</v>
      </c>
      <c r="AK157" s="9">
        <f t="shared" si="124"/>
        <v>0.875</v>
      </c>
      <c r="AL157" s="9">
        <f t="shared" si="125"/>
        <v>1.125</v>
      </c>
      <c r="AM157" s="9">
        <f t="shared" si="126"/>
        <v>2.125</v>
      </c>
      <c r="AN157" s="9">
        <f t="shared" si="127"/>
        <v>2.625</v>
      </c>
      <c r="AO157" s="9">
        <f t="shared" si="128"/>
        <v>3.7249999999999996</v>
      </c>
      <c r="AP157" s="9">
        <f t="shared" si="129"/>
        <v>3.7249999999999996</v>
      </c>
      <c r="AQ157" s="9">
        <f t="shared" si="130"/>
        <v>3.4749999999999996</v>
      </c>
      <c r="AR157" s="9">
        <f t="shared" si="131"/>
        <v>4.375</v>
      </c>
      <c r="AS157" s="9">
        <f t="shared" si="132"/>
        <v>0</v>
      </c>
      <c r="AT157" s="9">
        <f t="shared" si="133"/>
        <v>0.7</v>
      </c>
      <c r="AU157" s="9">
        <f t="shared" si="134"/>
        <v>1.575</v>
      </c>
      <c r="AV157" s="9">
        <f t="shared" si="135"/>
        <v>3.25</v>
      </c>
      <c r="AW157" s="9">
        <f t="shared" si="136"/>
        <v>4.55</v>
      </c>
      <c r="AX157" s="9">
        <f t="shared" si="137"/>
        <v>5.8</v>
      </c>
      <c r="AY157" s="9">
        <f t="shared" si="138"/>
        <v>6.3</v>
      </c>
      <c r="AZ157" s="9">
        <f t="shared" si="139"/>
        <v>6.8</v>
      </c>
      <c r="BA157" s="9">
        <f t="shared" si="140"/>
        <v>7.2</v>
      </c>
      <c r="BB157" s="9">
        <f t="shared" si="141"/>
        <v>0</v>
      </c>
      <c r="BC157" s="9">
        <f t="shared" si="142"/>
        <v>0.8</v>
      </c>
      <c r="BD157" s="9">
        <f t="shared" si="143"/>
        <v>1.35</v>
      </c>
      <c r="BE157" s="9">
        <f t="shared" si="144"/>
        <v>2.9</v>
      </c>
      <c r="BF157" s="9">
        <f t="shared" si="145"/>
        <v>4.5999999999999996</v>
      </c>
      <c r="BG157" s="9">
        <f t="shared" si="146"/>
        <v>6.2</v>
      </c>
      <c r="BH157" s="9">
        <f t="shared" si="147"/>
        <v>7.1</v>
      </c>
      <c r="BI157" s="9">
        <f t="shared" si="148"/>
        <v>7.6</v>
      </c>
      <c r="BJ157" s="9">
        <f t="shared" si="149"/>
        <v>8</v>
      </c>
    </row>
    <row r="158" spans="1:62" x14ac:dyDescent="0.2">
      <c r="A158" s="9">
        <f>data!M159-data!M158</f>
        <v>0.27479999999999905</v>
      </c>
      <c r="B158" s="9">
        <f>data!C159-data!C158</f>
        <v>-0.26000000000000156</v>
      </c>
      <c r="C158" s="9">
        <f>data!D159-data!D158</f>
        <v>-0.52500000000000036</v>
      </c>
      <c r="D158" s="10">
        <f>data!B159-data!B158</f>
        <v>0.19999999999999996</v>
      </c>
      <c r="E158" s="9">
        <f>data!E158-data!G158</f>
        <v>2.3900999999999999</v>
      </c>
      <c r="F158" s="9">
        <f>(data!E158-data!F158)-(data!G158-data!H158)</f>
        <v>0.34109999999999963</v>
      </c>
      <c r="G158" s="9">
        <f t="shared" si="100"/>
        <v>-3.6599999999999522E-2</v>
      </c>
      <c r="H158" s="9">
        <f t="shared" si="101"/>
        <v>7.630000000000059E-2</v>
      </c>
      <c r="I158" s="9">
        <f>IF(data!M159&gt; 111.81,1,0)</f>
        <v>0</v>
      </c>
      <c r="J158" s="9">
        <f t="shared" si="102"/>
        <v>1</v>
      </c>
      <c r="K158" s="9">
        <f t="shared" si="103"/>
        <v>0</v>
      </c>
      <c r="L158" s="9">
        <f t="shared" si="104"/>
        <v>0.27479999999999905</v>
      </c>
      <c r="M158" s="9">
        <f>data!J158</f>
        <v>-0.75</v>
      </c>
      <c r="N158" s="9">
        <f>data!I158</f>
        <v>2.2000000000000002</v>
      </c>
      <c r="O158" s="9">
        <f>data!L158</f>
        <v>2.6</v>
      </c>
      <c r="P158" s="9">
        <f>data!K158</f>
        <v>0.05</v>
      </c>
      <c r="Q158" s="9">
        <f>data!R158</f>
        <v>-0.75</v>
      </c>
      <c r="R158" s="9">
        <f t="shared" si="105"/>
        <v>2.0649999999999999</v>
      </c>
      <c r="S158" s="9">
        <f t="shared" si="106"/>
        <v>0.5</v>
      </c>
      <c r="T158" s="9">
        <f t="shared" si="107"/>
        <v>-1</v>
      </c>
      <c r="U158" s="9">
        <f t="shared" si="108"/>
        <v>0.25</v>
      </c>
      <c r="V158" s="9">
        <f t="shared" si="109"/>
        <v>0.65</v>
      </c>
      <c r="W158" s="9">
        <f t="shared" si="110"/>
        <v>1</v>
      </c>
      <c r="X158" s="9">
        <f t="shared" si="111"/>
        <v>-1.875</v>
      </c>
      <c r="Y158" s="9">
        <f t="shared" si="112"/>
        <v>2.5</v>
      </c>
      <c r="Z158" s="9">
        <f t="shared" si="113"/>
        <v>5.75</v>
      </c>
      <c r="AA158" s="9">
        <f t="shared" si="114"/>
        <v>1.0499999999999998</v>
      </c>
      <c r="AB158" s="9">
        <f t="shared" si="115"/>
        <v>1.1499999999999999</v>
      </c>
      <c r="AC158" s="9">
        <f t="shared" si="116"/>
        <v>1.4249999999999998</v>
      </c>
      <c r="AD158" s="9">
        <f t="shared" si="117"/>
        <v>1.5499999999999998</v>
      </c>
      <c r="AE158" s="9">
        <f t="shared" si="118"/>
        <v>2.7</v>
      </c>
      <c r="AF158" s="9">
        <f t="shared" si="119"/>
        <v>2.2999999999999998</v>
      </c>
      <c r="AG158" s="9">
        <f t="shared" si="120"/>
        <v>1.2999999999999998</v>
      </c>
      <c r="AH158" s="9">
        <f t="shared" si="121"/>
        <v>2.8</v>
      </c>
      <c r="AI158" s="9">
        <f t="shared" si="122"/>
        <v>6.3</v>
      </c>
      <c r="AJ158" s="9">
        <f t="shared" si="123"/>
        <v>0.89999999999999991</v>
      </c>
      <c r="AK158" s="9">
        <f t="shared" si="124"/>
        <v>1.1499999999999999</v>
      </c>
      <c r="AL158" s="9">
        <f t="shared" si="125"/>
        <v>2.15</v>
      </c>
      <c r="AM158" s="9">
        <f t="shared" si="126"/>
        <v>2.65</v>
      </c>
      <c r="AN158" s="9">
        <f t="shared" si="127"/>
        <v>3.7499999999999996</v>
      </c>
      <c r="AO158" s="9">
        <f t="shared" si="128"/>
        <v>3.7499999999999996</v>
      </c>
      <c r="AP158" s="9">
        <f t="shared" si="129"/>
        <v>3.4999999999999996</v>
      </c>
      <c r="AQ158" s="9">
        <f t="shared" si="130"/>
        <v>4.4000000000000004</v>
      </c>
      <c r="AR158" s="9">
        <f t="shared" si="131"/>
        <v>8.65</v>
      </c>
      <c r="AS158" s="9">
        <f t="shared" si="132"/>
        <v>0.7</v>
      </c>
      <c r="AT158" s="9">
        <f t="shared" si="133"/>
        <v>1.575</v>
      </c>
      <c r="AU158" s="9">
        <f t="shared" si="134"/>
        <v>3.25</v>
      </c>
      <c r="AV158" s="9">
        <f t="shared" si="135"/>
        <v>4.55</v>
      </c>
      <c r="AW158" s="9">
        <f t="shared" si="136"/>
        <v>5.8</v>
      </c>
      <c r="AX158" s="9">
        <f t="shared" si="137"/>
        <v>6.3</v>
      </c>
      <c r="AY158" s="9">
        <f t="shared" si="138"/>
        <v>6.8</v>
      </c>
      <c r="AZ158" s="9">
        <f t="shared" si="139"/>
        <v>7.2</v>
      </c>
      <c r="BA158" s="9">
        <f t="shared" si="140"/>
        <v>11.45</v>
      </c>
      <c r="BB158" s="9">
        <f t="shared" si="141"/>
        <v>0.8</v>
      </c>
      <c r="BC158" s="9">
        <f t="shared" si="142"/>
        <v>1.35</v>
      </c>
      <c r="BD158" s="9">
        <f t="shared" si="143"/>
        <v>2.9</v>
      </c>
      <c r="BE158" s="9">
        <f t="shared" si="144"/>
        <v>4.5999999999999996</v>
      </c>
      <c r="BF158" s="9">
        <f t="shared" si="145"/>
        <v>6.2</v>
      </c>
      <c r="BG158" s="9">
        <f t="shared" si="146"/>
        <v>7.1</v>
      </c>
      <c r="BH158" s="9">
        <f t="shared" si="147"/>
        <v>7.6</v>
      </c>
      <c r="BI158" s="9">
        <f t="shared" si="148"/>
        <v>8</v>
      </c>
      <c r="BJ158" s="9">
        <f t="shared" si="149"/>
        <v>12.25</v>
      </c>
    </row>
    <row r="159" spans="1:62" x14ac:dyDescent="0.2">
      <c r="A159" s="9">
        <f>data!M160-data!M159</f>
        <v>0.37779999999999347</v>
      </c>
      <c r="B159" s="9">
        <f>data!C160-data!C159</f>
        <v>3.5</v>
      </c>
      <c r="C159" s="9">
        <f>data!D160-data!D159</f>
        <v>1.375</v>
      </c>
      <c r="D159" s="10">
        <f>data!B160-data!B159</f>
        <v>-0.25</v>
      </c>
      <c r="E159" s="9">
        <f>data!E159-data!G159</f>
        <v>2.3535000000000004</v>
      </c>
      <c r="F159" s="9">
        <f>(data!E159-data!F159)-(data!G159-data!H159)</f>
        <v>0.41740000000000022</v>
      </c>
      <c r="G159" s="9">
        <f t="shared" si="100"/>
        <v>-0.12280000000000024</v>
      </c>
      <c r="H159" s="9">
        <f t="shared" si="101"/>
        <v>5.2200000000000024E-2</v>
      </c>
      <c r="I159" s="9">
        <f>IF(data!M160&gt; 111.81,1,0)</f>
        <v>0</v>
      </c>
      <c r="J159" s="9">
        <f t="shared" si="102"/>
        <v>1</v>
      </c>
      <c r="K159" s="9">
        <f t="shared" si="103"/>
        <v>0</v>
      </c>
      <c r="L159" s="9">
        <f t="shared" si="104"/>
        <v>0.37779999999999347</v>
      </c>
      <c r="M159" s="9">
        <f>data!J159</f>
        <v>1.3149999999999999</v>
      </c>
      <c r="N159" s="9">
        <f>data!I159</f>
        <v>3.25</v>
      </c>
      <c r="O159" s="9">
        <f>data!L159</f>
        <v>3.5</v>
      </c>
      <c r="P159" s="9">
        <f>data!K159</f>
        <v>0.75</v>
      </c>
      <c r="Q159" s="9">
        <f>data!R159</f>
        <v>0.05</v>
      </c>
      <c r="R159" s="9">
        <f t="shared" si="105"/>
        <v>-1.5649999999999999</v>
      </c>
      <c r="S159" s="9">
        <f t="shared" si="106"/>
        <v>-3.0649999999999999</v>
      </c>
      <c r="T159" s="9">
        <f t="shared" si="107"/>
        <v>-1.8149999999999999</v>
      </c>
      <c r="U159" s="9">
        <f t="shared" si="108"/>
        <v>-1.415</v>
      </c>
      <c r="V159" s="9">
        <f t="shared" si="109"/>
        <v>-1.0649999999999999</v>
      </c>
      <c r="W159" s="9">
        <f t="shared" si="110"/>
        <v>-3.94</v>
      </c>
      <c r="X159" s="9">
        <f t="shared" si="111"/>
        <v>0.43500000000000005</v>
      </c>
      <c r="Y159" s="9">
        <f t="shared" si="112"/>
        <v>3.6850000000000001</v>
      </c>
      <c r="Z159" s="9">
        <f t="shared" si="113"/>
        <v>2.1850000000000001</v>
      </c>
      <c r="AA159" s="9">
        <f t="shared" si="114"/>
        <v>0.10000000000000009</v>
      </c>
      <c r="AB159" s="9">
        <f t="shared" si="115"/>
        <v>0.375</v>
      </c>
      <c r="AC159" s="9">
        <f t="shared" si="116"/>
        <v>0.5</v>
      </c>
      <c r="AD159" s="9">
        <f t="shared" si="117"/>
        <v>1.6500000000000004</v>
      </c>
      <c r="AE159" s="9">
        <f t="shared" si="118"/>
        <v>1.25</v>
      </c>
      <c r="AF159" s="9">
        <f t="shared" si="119"/>
        <v>0.25</v>
      </c>
      <c r="AG159" s="9">
        <f t="shared" si="120"/>
        <v>1.75</v>
      </c>
      <c r="AH159" s="9">
        <f t="shared" si="121"/>
        <v>5.25</v>
      </c>
      <c r="AI159" s="9">
        <f t="shared" si="122"/>
        <v>9</v>
      </c>
      <c r="AJ159" s="9">
        <f t="shared" si="123"/>
        <v>0.25</v>
      </c>
      <c r="AK159" s="9">
        <f t="shared" si="124"/>
        <v>1.25</v>
      </c>
      <c r="AL159" s="9">
        <f t="shared" si="125"/>
        <v>1.75</v>
      </c>
      <c r="AM159" s="9">
        <f t="shared" si="126"/>
        <v>2.8499999999999996</v>
      </c>
      <c r="AN159" s="9">
        <f t="shared" si="127"/>
        <v>2.8499999999999996</v>
      </c>
      <c r="AO159" s="9">
        <f t="shared" si="128"/>
        <v>2.5999999999999996</v>
      </c>
      <c r="AP159" s="9">
        <f t="shared" si="129"/>
        <v>3.5</v>
      </c>
      <c r="AQ159" s="9">
        <f t="shared" si="130"/>
        <v>7.75</v>
      </c>
      <c r="AR159" s="9">
        <f t="shared" si="131"/>
        <v>13.5</v>
      </c>
      <c r="AS159" s="9">
        <f t="shared" si="132"/>
        <v>0.875</v>
      </c>
      <c r="AT159" s="9">
        <f t="shared" si="133"/>
        <v>2.5499999999999998</v>
      </c>
      <c r="AU159" s="9">
        <f t="shared" si="134"/>
        <v>3.8499999999999996</v>
      </c>
      <c r="AV159" s="9">
        <f t="shared" si="135"/>
        <v>5.0999999999999996</v>
      </c>
      <c r="AW159" s="9">
        <f t="shared" si="136"/>
        <v>5.6</v>
      </c>
      <c r="AX159" s="9">
        <f t="shared" si="137"/>
        <v>6.1</v>
      </c>
      <c r="AY159" s="9">
        <f t="shared" si="138"/>
        <v>6.5</v>
      </c>
      <c r="AZ159" s="9">
        <f t="shared" si="139"/>
        <v>10.75</v>
      </c>
      <c r="BA159" s="9">
        <f t="shared" si="140"/>
        <v>20.25</v>
      </c>
      <c r="BB159" s="9">
        <f t="shared" si="141"/>
        <v>0.54999999999999993</v>
      </c>
      <c r="BC159" s="9">
        <f t="shared" si="142"/>
        <v>2.1</v>
      </c>
      <c r="BD159" s="9">
        <f t="shared" si="143"/>
        <v>3.8000000000000003</v>
      </c>
      <c r="BE159" s="9">
        <f t="shared" si="144"/>
        <v>5.4</v>
      </c>
      <c r="BF159" s="9">
        <f t="shared" si="145"/>
        <v>6.3</v>
      </c>
      <c r="BG159" s="9">
        <f t="shared" si="146"/>
        <v>6.8</v>
      </c>
      <c r="BH159" s="9">
        <f t="shared" si="147"/>
        <v>7.2</v>
      </c>
      <c r="BI159" s="9">
        <f t="shared" si="148"/>
        <v>11.45</v>
      </c>
      <c r="BJ159" s="9">
        <f t="shared" si="149"/>
        <v>21.95</v>
      </c>
    </row>
    <row r="160" spans="1:62" x14ac:dyDescent="0.2">
      <c r="A160" s="9">
        <f>data!M161-data!M160</f>
        <v>-0.68089999999999407</v>
      </c>
      <c r="B160" s="9">
        <f>data!C161-data!C160</f>
        <v>1.8999999999999986</v>
      </c>
      <c r="C160" s="9">
        <f>data!D161-data!D160</f>
        <v>-0.97499999999999964</v>
      </c>
      <c r="D160" s="10">
        <f>data!B161-data!B160</f>
        <v>-0.42500000000000004</v>
      </c>
      <c r="E160" s="9">
        <f>data!E160-data!G160</f>
        <v>2.2307000000000001</v>
      </c>
      <c r="F160" s="9">
        <f>(data!E160-data!F160)-(data!G160-data!H160)</f>
        <v>0.46960000000000024</v>
      </c>
      <c r="G160" s="9">
        <f t="shared" si="100"/>
        <v>-0.16630000000000011</v>
      </c>
      <c r="H160" s="9">
        <f t="shared" si="101"/>
        <v>-2.2000000000000464E-2</v>
      </c>
      <c r="I160" s="9">
        <f>IF(data!M161&gt; 111.81,1,0)</f>
        <v>0</v>
      </c>
      <c r="J160" s="9">
        <f t="shared" si="102"/>
        <v>1</v>
      </c>
      <c r="K160" s="9">
        <f t="shared" si="103"/>
        <v>0</v>
      </c>
      <c r="L160" s="9">
        <f t="shared" si="104"/>
        <v>-0.68089999999999407</v>
      </c>
      <c r="M160" s="9">
        <f>data!J160</f>
        <v>-0.25</v>
      </c>
      <c r="N160" s="9">
        <f>data!I160</f>
        <v>3.35</v>
      </c>
      <c r="O160" s="9">
        <f>data!L160</f>
        <v>3.75</v>
      </c>
      <c r="P160" s="9">
        <f>data!K160</f>
        <v>1.625</v>
      </c>
      <c r="Q160" s="9">
        <f>data!R160</f>
        <v>0.6</v>
      </c>
      <c r="R160" s="9">
        <f t="shared" si="105"/>
        <v>-1.5</v>
      </c>
      <c r="S160" s="9">
        <f t="shared" si="106"/>
        <v>-0.25</v>
      </c>
      <c r="T160" s="9">
        <f t="shared" si="107"/>
        <v>0.15</v>
      </c>
      <c r="U160" s="9">
        <f t="shared" si="108"/>
        <v>0.5</v>
      </c>
      <c r="V160" s="9">
        <f t="shared" si="109"/>
        <v>-2.375</v>
      </c>
      <c r="W160" s="9">
        <f t="shared" si="110"/>
        <v>2</v>
      </c>
      <c r="X160" s="9">
        <f t="shared" si="111"/>
        <v>5.25</v>
      </c>
      <c r="Y160" s="9">
        <f t="shared" si="112"/>
        <v>3.75</v>
      </c>
      <c r="Z160" s="9">
        <f t="shared" si="113"/>
        <v>6.25</v>
      </c>
      <c r="AA160" s="9">
        <f t="shared" si="114"/>
        <v>0.27499999999999991</v>
      </c>
      <c r="AB160" s="9">
        <f t="shared" si="115"/>
        <v>0.39999999999999991</v>
      </c>
      <c r="AC160" s="9">
        <f t="shared" si="116"/>
        <v>1.5500000000000003</v>
      </c>
      <c r="AD160" s="9">
        <f t="shared" si="117"/>
        <v>1.1499999999999999</v>
      </c>
      <c r="AE160" s="9">
        <f t="shared" si="118"/>
        <v>0.14999999999999991</v>
      </c>
      <c r="AF160" s="9">
        <f t="shared" si="119"/>
        <v>1.65</v>
      </c>
      <c r="AG160" s="9">
        <f t="shared" si="120"/>
        <v>5.15</v>
      </c>
      <c r="AH160" s="9">
        <f t="shared" si="121"/>
        <v>8.9</v>
      </c>
      <c r="AI160" s="9">
        <f t="shared" si="122"/>
        <v>15.65</v>
      </c>
      <c r="AJ160" s="9">
        <f t="shared" si="123"/>
        <v>1</v>
      </c>
      <c r="AK160" s="9">
        <f t="shared" si="124"/>
        <v>1.5</v>
      </c>
      <c r="AL160" s="9">
        <f t="shared" si="125"/>
        <v>2.5999999999999996</v>
      </c>
      <c r="AM160" s="9">
        <f t="shared" si="126"/>
        <v>2.5999999999999996</v>
      </c>
      <c r="AN160" s="9">
        <f t="shared" si="127"/>
        <v>2.3499999999999996</v>
      </c>
      <c r="AO160" s="9">
        <f t="shared" si="128"/>
        <v>3.25</v>
      </c>
      <c r="AP160" s="9">
        <f t="shared" si="129"/>
        <v>7.5</v>
      </c>
      <c r="AQ160" s="9">
        <f t="shared" si="130"/>
        <v>13.25</v>
      </c>
      <c r="AR160" s="9">
        <f t="shared" si="131"/>
        <v>21.25</v>
      </c>
      <c r="AS160" s="9">
        <f t="shared" si="132"/>
        <v>1.6749999999999998</v>
      </c>
      <c r="AT160" s="9">
        <f t="shared" si="133"/>
        <v>2.9749999999999996</v>
      </c>
      <c r="AU160" s="9">
        <f t="shared" si="134"/>
        <v>4.2249999999999996</v>
      </c>
      <c r="AV160" s="9">
        <f t="shared" si="135"/>
        <v>4.7249999999999996</v>
      </c>
      <c r="AW160" s="9">
        <f t="shared" si="136"/>
        <v>5.2249999999999996</v>
      </c>
      <c r="AX160" s="9">
        <f t="shared" si="137"/>
        <v>5.625</v>
      </c>
      <c r="AY160" s="9">
        <f t="shared" si="138"/>
        <v>9.875</v>
      </c>
      <c r="AZ160" s="9">
        <f t="shared" si="139"/>
        <v>19.375</v>
      </c>
      <c r="BA160" s="9">
        <f t="shared" si="140"/>
        <v>24.375</v>
      </c>
      <c r="BB160" s="9">
        <f t="shared" si="141"/>
        <v>1.5499999999999998</v>
      </c>
      <c r="BC160" s="9">
        <f t="shared" si="142"/>
        <v>3.25</v>
      </c>
      <c r="BD160" s="9">
        <f t="shared" si="143"/>
        <v>4.8500000000000005</v>
      </c>
      <c r="BE160" s="9">
        <f t="shared" si="144"/>
        <v>5.75</v>
      </c>
      <c r="BF160" s="9">
        <f t="shared" si="145"/>
        <v>6.25</v>
      </c>
      <c r="BG160" s="9">
        <f t="shared" si="146"/>
        <v>6.65</v>
      </c>
      <c r="BH160" s="9">
        <f t="shared" si="147"/>
        <v>10.9</v>
      </c>
      <c r="BI160" s="9">
        <f t="shared" si="148"/>
        <v>21.4</v>
      </c>
      <c r="BJ160" s="9">
        <f t="shared" si="149"/>
        <v>27.4</v>
      </c>
    </row>
    <row r="161" spans="1:62" x14ac:dyDescent="0.2">
      <c r="A161" s="9">
        <f>data!M162-data!M161</f>
        <v>-0.73600000000000421</v>
      </c>
      <c r="B161" s="9">
        <f>data!C162-data!C161</f>
        <v>-5.0599999999999987</v>
      </c>
      <c r="C161" s="9">
        <f>data!D162-data!D161</f>
        <v>-9.9999999999999645E-2</v>
      </c>
      <c r="D161" s="10">
        <f>data!B162-data!B161</f>
        <v>0.32499999999999996</v>
      </c>
      <c r="E161" s="9">
        <f>data!E161-data!G161</f>
        <v>2.0644</v>
      </c>
      <c r="F161" s="9">
        <f>(data!E161-data!F161)-(data!G161-data!H161)</f>
        <v>0.44759999999999978</v>
      </c>
      <c r="G161" s="9">
        <f t="shared" si="100"/>
        <v>9.4199999999999839E-2</v>
      </c>
      <c r="H161" s="9">
        <f t="shared" si="101"/>
        <v>0.20250000000000057</v>
      </c>
      <c r="I161" s="9">
        <f>IF(data!M162&gt; 111.81,1,0)</f>
        <v>0</v>
      </c>
      <c r="J161" s="9">
        <f t="shared" si="102"/>
        <v>1</v>
      </c>
      <c r="K161" s="9">
        <f t="shared" si="103"/>
        <v>0</v>
      </c>
      <c r="L161" s="9">
        <f t="shared" si="104"/>
        <v>-0.73600000000000421</v>
      </c>
      <c r="M161" s="9">
        <f>data!J161</f>
        <v>-1.75</v>
      </c>
      <c r="N161" s="9">
        <f>data!I161</f>
        <v>3.625</v>
      </c>
      <c r="O161" s="9">
        <f>data!L161</f>
        <v>4.75</v>
      </c>
      <c r="P161" s="9">
        <f>data!K161</f>
        <v>3.3</v>
      </c>
      <c r="Q161" s="9">
        <f>data!R161</f>
        <v>2.15</v>
      </c>
      <c r="R161" s="9">
        <f t="shared" si="105"/>
        <v>1.25</v>
      </c>
      <c r="S161" s="9">
        <f t="shared" si="106"/>
        <v>1.65</v>
      </c>
      <c r="T161" s="9">
        <f t="shared" si="107"/>
        <v>2</v>
      </c>
      <c r="U161" s="9">
        <f t="shared" si="108"/>
        <v>-0.875</v>
      </c>
      <c r="V161" s="9">
        <f t="shared" si="109"/>
        <v>3.5</v>
      </c>
      <c r="W161" s="9">
        <f t="shared" si="110"/>
        <v>6.75</v>
      </c>
      <c r="X161" s="9">
        <f t="shared" si="111"/>
        <v>5.25</v>
      </c>
      <c r="Y161" s="9">
        <f t="shared" si="112"/>
        <v>7.75</v>
      </c>
      <c r="Z161" s="9">
        <f t="shared" si="113"/>
        <v>2.25</v>
      </c>
      <c r="AA161" s="9">
        <f t="shared" si="114"/>
        <v>0.125</v>
      </c>
      <c r="AB161" s="9">
        <f t="shared" si="115"/>
        <v>1.2750000000000004</v>
      </c>
      <c r="AC161" s="9">
        <f t="shared" si="116"/>
        <v>0.875</v>
      </c>
      <c r="AD161" s="9">
        <f t="shared" si="117"/>
        <v>-0.125</v>
      </c>
      <c r="AE161" s="9">
        <f t="shared" si="118"/>
        <v>1.375</v>
      </c>
      <c r="AF161" s="9">
        <f t="shared" si="119"/>
        <v>4.875</v>
      </c>
      <c r="AG161" s="9">
        <f t="shared" si="120"/>
        <v>8.625</v>
      </c>
      <c r="AH161" s="9">
        <f t="shared" si="121"/>
        <v>15.375</v>
      </c>
      <c r="AI161" s="9">
        <f t="shared" si="122"/>
        <v>15.375</v>
      </c>
      <c r="AJ161" s="9">
        <f t="shared" si="123"/>
        <v>0.5</v>
      </c>
      <c r="AK161" s="9">
        <f t="shared" si="124"/>
        <v>1.5999999999999996</v>
      </c>
      <c r="AL161" s="9">
        <f t="shared" si="125"/>
        <v>1.5999999999999996</v>
      </c>
      <c r="AM161" s="9">
        <f t="shared" si="126"/>
        <v>1.3499999999999996</v>
      </c>
      <c r="AN161" s="9">
        <f t="shared" si="127"/>
        <v>2.25</v>
      </c>
      <c r="AO161" s="9">
        <f t="shared" si="128"/>
        <v>6.5</v>
      </c>
      <c r="AP161" s="9">
        <f t="shared" si="129"/>
        <v>12.25</v>
      </c>
      <c r="AQ161" s="9">
        <f t="shared" si="130"/>
        <v>20.25</v>
      </c>
      <c r="AR161" s="9">
        <f t="shared" si="131"/>
        <v>26.25</v>
      </c>
      <c r="AS161" s="9">
        <f t="shared" si="132"/>
        <v>1.2999999999999998</v>
      </c>
      <c r="AT161" s="9">
        <f t="shared" si="133"/>
        <v>2.5499999999999998</v>
      </c>
      <c r="AU161" s="9">
        <f t="shared" si="134"/>
        <v>3.05</v>
      </c>
      <c r="AV161" s="9">
        <f t="shared" si="135"/>
        <v>3.55</v>
      </c>
      <c r="AW161" s="9">
        <f t="shared" si="136"/>
        <v>3.95</v>
      </c>
      <c r="AX161" s="9">
        <f t="shared" si="137"/>
        <v>8.1999999999999993</v>
      </c>
      <c r="AY161" s="9">
        <f t="shared" si="138"/>
        <v>17.7</v>
      </c>
      <c r="AZ161" s="9">
        <f t="shared" si="139"/>
        <v>22.7</v>
      </c>
      <c r="BA161" s="9">
        <f t="shared" si="140"/>
        <v>29.7</v>
      </c>
      <c r="BB161" s="9">
        <f t="shared" si="141"/>
        <v>1.7000000000000002</v>
      </c>
      <c r="BC161" s="9">
        <f t="shared" si="142"/>
        <v>3.3000000000000003</v>
      </c>
      <c r="BD161" s="9">
        <f t="shared" si="143"/>
        <v>4.1999999999999993</v>
      </c>
      <c r="BE161" s="9">
        <f t="shared" si="144"/>
        <v>4.6999999999999993</v>
      </c>
      <c r="BF161" s="9">
        <f t="shared" si="145"/>
        <v>5.0999999999999996</v>
      </c>
      <c r="BG161" s="9">
        <f t="shared" si="146"/>
        <v>9.35</v>
      </c>
      <c r="BH161" s="9">
        <f t="shared" si="147"/>
        <v>19.850000000000001</v>
      </c>
      <c r="BI161" s="9">
        <f t="shared" si="148"/>
        <v>25.85</v>
      </c>
      <c r="BJ161" s="9">
        <f t="shared" si="149"/>
        <v>25.85</v>
      </c>
    </row>
    <row r="162" spans="1:62" x14ac:dyDescent="0.2">
      <c r="A162" s="9">
        <f>data!M163-data!M162</f>
        <v>0.74020000000000152</v>
      </c>
      <c r="B162" s="9">
        <f>data!C163-data!C162</f>
        <v>3.990000000000002</v>
      </c>
      <c r="C162" s="9">
        <f>data!D163-data!D162</f>
        <v>-0.72499999999999964</v>
      </c>
      <c r="D162" s="10">
        <f>data!B163-data!B162</f>
        <v>0.10000000000000009</v>
      </c>
      <c r="E162" s="9">
        <f>data!E162-data!G162</f>
        <v>2.1585999999999999</v>
      </c>
      <c r="F162" s="9">
        <f>(data!E162-data!F162)-(data!G162-data!H162)</f>
        <v>0.65010000000000034</v>
      </c>
      <c r="G162" s="9">
        <f t="shared" si="100"/>
        <v>5.9199999999999697E-2</v>
      </c>
      <c r="H162" s="9">
        <f t="shared" si="101"/>
        <v>0.20589999999999953</v>
      </c>
      <c r="I162" s="9">
        <f>IF(data!M163&gt; 111.81,1,0)</f>
        <v>0</v>
      </c>
      <c r="J162" s="9">
        <f t="shared" si="102"/>
        <v>1</v>
      </c>
      <c r="K162" s="9">
        <f t="shared" si="103"/>
        <v>0</v>
      </c>
      <c r="L162" s="9">
        <f t="shared" si="104"/>
        <v>0.74020000000000152</v>
      </c>
      <c r="M162" s="9">
        <f>data!J162</f>
        <v>-0.5</v>
      </c>
      <c r="N162" s="9">
        <f>data!I162</f>
        <v>3.75</v>
      </c>
      <c r="O162" s="9">
        <f>data!L162</f>
        <v>5.25</v>
      </c>
      <c r="P162" s="9">
        <f>data!K162</f>
        <v>4.5999999999999996</v>
      </c>
      <c r="Q162" s="9">
        <f>data!R162</f>
        <v>3.85</v>
      </c>
      <c r="R162" s="9">
        <f t="shared" si="105"/>
        <v>0.4</v>
      </c>
      <c r="S162" s="9">
        <f t="shared" si="106"/>
        <v>0.75</v>
      </c>
      <c r="T162" s="9">
        <f t="shared" si="107"/>
        <v>-2.125</v>
      </c>
      <c r="U162" s="9">
        <f t="shared" si="108"/>
        <v>2.25</v>
      </c>
      <c r="V162" s="9">
        <f t="shared" si="109"/>
        <v>5.5</v>
      </c>
      <c r="W162" s="9">
        <f t="shared" si="110"/>
        <v>4</v>
      </c>
      <c r="X162" s="9">
        <f t="shared" si="111"/>
        <v>6.5</v>
      </c>
      <c r="Y162" s="9">
        <f t="shared" si="112"/>
        <v>1</v>
      </c>
      <c r="Z162" s="9">
        <f t="shared" si="113"/>
        <v>0</v>
      </c>
      <c r="AA162" s="9">
        <f t="shared" si="114"/>
        <v>1.1500000000000004</v>
      </c>
      <c r="AB162" s="9">
        <f t="shared" si="115"/>
        <v>0.75</v>
      </c>
      <c r="AC162" s="9">
        <f t="shared" si="116"/>
        <v>-0.25</v>
      </c>
      <c r="AD162" s="9">
        <f t="shared" si="117"/>
        <v>1.25</v>
      </c>
      <c r="AE162" s="9">
        <f t="shared" si="118"/>
        <v>4.75</v>
      </c>
      <c r="AF162" s="9">
        <f t="shared" si="119"/>
        <v>8.5</v>
      </c>
      <c r="AG162" s="9">
        <f t="shared" si="120"/>
        <v>15.25</v>
      </c>
      <c r="AH162" s="9">
        <f t="shared" si="121"/>
        <v>15.25</v>
      </c>
      <c r="AI162" s="9">
        <f t="shared" si="122"/>
        <v>7.25</v>
      </c>
      <c r="AJ162" s="9">
        <f t="shared" si="123"/>
        <v>1.0999999999999996</v>
      </c>
      <c r="AK162" s="9">
        <f t="shared" si="124"/>
        <v>1.0999999999999996</v>
      </c>
      <c r="AL162" s="9">
        <f t="shared" si="125"/>
        <v>0.84999999999999964</v>
      </c>
      <c r="AM162" s="9">
        <f t="shared" si="126"/>
        <v>1.75</v>
      </c>
      <c r="AN162" s="9">
        <f t="shared" si="127"/>
        <v>6</v>
      </c>
      <c r="AO162" s="9">
        <f t="shared" si="128"/>
        <v>11.75</v>
      </c>
      <c r="AP162" s="9">
        <f t="shared" si="129"/>
        <v>19.75</v>
      </c>
      <c r="AQ162" s="9">
        <f t="shared" si="130"/>
        <v>25.75</v>
      </c>
      <c r="AR162" s="9">
        <f t="shared" si="131"/>
        <v>13.75</v>
      </c>
      <c r="AS162" s="9">
        <f t="shared" si="132"/>
        <v>1.25</v>
      </c>
      <c r="AT162" s="9">
        <f t="shared" si="133"/>
        <v>1.75</v>
      </c>
      <c r="AU162" s="9">
        <f t="shared" si="134"/>
        <v>2.25</v>
      </c>
      <c r="AV162" s="9">
        <f t="shared" si="135"/>
        <v>2.6500000000000004</v>
      </c>
      <c r="AW162" s="9">
        <f t="shared" si="136"/>
        <v>6.9</v>
      </c>
      <c r="AX162" s="9">
        <f t="shared" si="137"/>
        <v>16.399999999999999</v>
      </c>
      <c r="AY162" s="9">
        <f t="shared" si="138"/>
        <v>21.4</v>
      </c>
      <c r="AZ162" s="9">
        <f t="shared" si="139"/>
        <v>28.4</v>
      </c>
      <c r="BA162" s="9">
        <f t="shared" si="140"/>
        <v>14.4</v>
      </c>
      <c r="BB162" s="9">
        <f t="shared" si="141"/>
        <v>1.6</v>
      </c>
      <c r="BC162" s="9">
        <f t="shared" si="142"/>
        <v>2.4999999999999996</v>
      </c>
      <c r="BD162" s="9">
        <f t="shared" si="143"/>
        <v>2.9999999999999996</v>
      </c>
      <c r="BE162" s="9">
        <f t="shared" si="144"/>
        <v>3.4</v>
      </c>
      <c r="BF162" s="9">
        <f t="shared" si="145"/>
        <v>7.65</v>
      </c>
      <c r="BG162" s="9">
        <f t="shared" si="146"/>
        <v>18.149999999999999</v>
      </c>
      <c r="BH162" s="9">
        <f t="shared" si="147"/>
        <v>24.15</v>
      </c>
      <c r="BI162" s="9">
        <f t="shared" si="148"/>
        <v>24.15</v>
      </c>
      <c r="BJ162" s="9">
        <f t="shared" si="149"/>
        <v>15.15</v>
      </c>
    </row>
    <row r="163" spans="1:62" x14ac:dyDescent="0.2">
      <c r="A163" s="9">
        <f>data!M164-data!M163</f>
        <v>-0.32200000000000273</v>
      </c>
      <c r="B163" s="9">
        <f>data!C164-data!C163</f>
        <v>-2.990000000000002</v>
      </c>
      <c r="C163" s="9">
        <f>data!D164-data!D163</f>
        <v>-0.30000000000000071</v>
      </c>
      <c r="D163" s="10">
        <f>data!B164-data!B163</f>
        <v>9.9999999999999867E-2</v>
      </c>
      <c r="E163" s="9">
        <f>data!E163-data!G163</f>
        <v>2.2177999999999995</v>
      </c>
      <c r="F163" s="9">
        <f>(data!E163-data!F163)-(data!G163-data!H163)</f>
        <v>0.85599999999999987</v>
      </c>
      <c r="G163" s="9">
        <f t="shared" si="100"/>
        <v>8.9800000000000324E-2</v>
      </c>
      <c r="H163" s="9">
        <f t="shared" si="101"/>
        <v>0.13130000000000019</v>
      </c>
      <c r="I163" s="9">
        <f>IF(data!M164&gt; 111.81,1,0)</f>
        <v>0</v>
      </c>
      <c r="J163" s="9">
        <f t="shared" si="102"/>
        <v>1</v>
      </c>
      <c r="K163" s="9">
        <f t="shared" si="103"/>
        <v>0</v>
      </c>
      <c r="L163" s="9">
        <f t="shared" si="104"/>
        <v>-0.32200000000000273</v>
      </c>
      <c r="M163" s="9">
        <f>data!J163</f>
        <v>-0.1</v>
      </c>
      <c r="N163" s="9">
        <f>data!I163</f>
        <v>4.9000000000000004</v>
      </c>
      <c r="O163" s="9">
        <f>data!L163</f>
        <v>6.35</v>
      </c>
      <c r="P163" s="9">
        <f>data!K163</f>
        <v>5.85</v>
      </c>
      <c r="Q163" s="9">
        <f>data!R163</f>
        <v>5.45</v>
      </c>
      <c r="R163" s="9">
        <f t="shared" si="105"/>
        <v>0.35</v>
      </c>
      <c r="S163" s="9">
        <f t="shared" si="106"/>
        <v>-2.5249999999999999</v>
      </c>
      <c r="T163" s="9">
        <f t="shared" si="107"/>
        <v>1.85</v>
      </c>
      <c r="U163" s="9">
        <f t="shared" si="108"/>
        <v>5.0999999999999996</v>
      </c>
      <c r="V163" s="9">
        <f t="shared" si="109"/>
        <v>3.6</v>
      </c>
      <c r="W163" s="9">
        <f t="shared" si="110"/>
        <v>6.1</v>
      </c>
      <c r="X163" s="9">
        <f t="shared" si="111"/>
        <v>0.6</v>
      </c>
      <c r="Y163" s="9">
        <f t="shared" si="112"/>
        <v>-0.4</v>
      </c>
      <c r="Z163" s="9">
        <f t="shared" si="113"/>
        <v>-3.65</v>
      </c>
      <c r="AA163" s="9">
        <f t="shared" si="114"/>
        <v>-0.40000000000000036</v>
      </c>
      <c r="AB163" s="9">
        <f t="shared" si="115"/>
        <v>-1.4000000000000004</v>
      </c>
      <c r="AC163" s="9">
        <f t="shared" si="116"/>
        <v>9.9999999999999645E-2</v>
      </c>
      <c r="AD163" s="9">
        <f t="shared" si="117"/>
        <v>3.5999999999999996</v>
      </c>
      <c r="AE163" s="9">
        <f t="shared" si="118"/>
        <v>7.35</v>
      </c>
      <c r="AF163" s="9">
        <f t="shared" si="119"/>
        <v>14.1</v>
      </c>
      <c r="AG163" s="9">
        <f t="shared" si="120"/>
        <v>14.1</v>
      </c>
      <c r="AH163" s="9">
        <f t="shared" si="121"/>
        <v>6.1</v>
      </c>
      <c r="AI163" s="9">
        <f t="shared" si="122"/>
        <v>2.5999999999999996</v>
      </c>
      <c r="AJ163" s="9">
        <f t="shared" si="123"/>
        <v>0</v>
      </c>
      <c r="AK163" s="9">
        <f t="shared" si="124"/>
        <v>-0.25</v>
      </c>
      <c r="AL163" s="9">
        <f t="shared" si="125"/>
        <v>0.65000000000000036</v>
      </c>
      <c r="AM163" s="9">
        <f t="shared" si="126"/>
        <v>4.9000000000000004</v>
      </c>
      <c r="AN163" s="9">
        <f t="shared" si="127"/>
        <v>10.65</v>
      </c>
      <c r="AO163" s="9">
        <f t="shared" si="128"/>
        <v>18.649999999999999</v>
      </c>
      <c r="AP163" s="9">
        <f t="shared" si="129"/>
        <v>24.65</v>
      </c>
      <c r="AQ163" s="9">
        <f t="shared" si="130"/>
        <v>12.65</v>
      </c>
      <c r="AR163" s="9">
        <f t="shared" si="131"/>
        <v>7.15</v>
      </c>
      <c r="AS163" s="9">
        <f t="shared" si="132"/>
        <v>0.5</v>
      </c>
      <c r="AT163" s="9">
        <f t="shared" si="133"/>
        <v>1</v>
      </c>
      <c r="AU163" s="9">
        <f t="shared" si="134"/>
        <v>1.4000000000000004</v>
      </c>
      <c r="AV163" s="9">
        <f t="shared" si="135"/>
        <v>5.65</v>
      </c>
      <c r="AW163" s="9">
        <f t="shared" si="136"/>
        <v>15.15</v>
      </c>
      <c r="AX163" s="9">
        <f t="shared" si="137"/>
        <v>20.149999999999999</v>
      </c>
      <c r="AY163" s="9">
        <f t="shared" si="138"/>
        <v>27.15</v>
      </c>
      <c r="AZ163" s="9">
        <f t="shared" si="139"/>
        <v>13.15</v>
      </c>
      <c r="BA163" s="9">
        <f t="shared" si="140"/>
        <v>6.9</v>
      </c>
      <c r="BB163" s="9">
        <f t="shared" si="141"/>
        <v>0.89999999999999947</v>
      </c>
      <c r="BC163" s="9">
        <f t="shared" si="142"/>
        <v>1.3999999999999995</v>
      </c>
      <c r="BD163" s="9">
        <f t="shared" si="143"/>
        <v>1.7999999999999998</v>
      </c>
      <c r="BE163" s="9">
        <f t="shared" si="144"/>
        <v>6.05</v>
      </c>
      <c r="BF163" s="9">
        <f t="shared" si="145"/>
        <v>16.55</v>
      </c>
      <c r="BG163" s="9">
        <f t="shared" si="146"/>
        <v>22.55</v>
      </c>
      <c r="BH163" s="9">
        <f t="shared" si="147"/>
        <v>22.55</v>
      </c>
      <c r="BI163" s="9">
        <f t="shared" si="148"/>
        <v>13.55</v>
      </c>
      <c r="BJ163" s="9">
        <f t="shared" si="149"/>
        <v>6.55</v>
      </c>
    </row>
    <row r="164" spans="1:62" x14ac:dyDescent="0.2">
      <c r="A164" s="9">
        <f>data!M165-data!M164</f>
        <v>-0.19239999999999213</v>
      </c>
      <c r="B164" s="9">
        <f>data!C165-data!C164</f>
        <v>-0.96000000000000085</v>
      </c>
      <c r="C164" s="9">
        <f>data!D165-data!D164</f>
        <v>0.20000000000000107</v>
      </c>
      <c r="D164" s="10">
        <f>data!B165-data!B164</f>
        <v>0.10000000000000009</v>
      </c>
      <c r="E164" s="9">
        <f>data!E164-data!G164</f>
        <v>2.3075999999999999</v>
      </c>
      <c r="F164" s="9">
        <f>(data!E164-data!F164)-(data!G164-data!H164)</f>
        <v>0.98730000000000007</v>
      </c>
      <c r="G164" s="9">
        <f t="shared" si="100"/>
        <v>3.4000000000000252E-2</v>
      </c>
      <c r="H164" s="9">
        <f t="shared" si="101"/>
        <v>-7.0600000000000107E-2</v>
      </c>
      <c r="I164" s="9">
        <f>IF(data!M165&gt; 111.81,1,0)</f>
        <v>0</v>
      </c>
      <c r="J164" s="9">
        <f t="shared" si="102"/>
        <v>1</v>
      </c>
      <c r="K164" s="9">
        <f t="shared" si="103"/>
        <v>0</v>
      </c>
      <c r="L164" s="9">
        <f t="shared" si="104"/>
        <v>-0.19239999999999213</v>
      </c>
      <c r="M164" s="9">
        <f>data!J164</f>
        <v>0.25</v>
      </c>
      <c r="N164" s="9">
        <f>data!I164</f>
        <v>4.5</v>
      </c>
      <c r="O164" s="9">
        <f>data!L164</f>
        <v>6.35</v>
      </c>
      <c r="P164" s="9">
        <f>data!K164</f>
        <v>6.35</v>
      </c>
      <c r="Q164" s="9">
        <f>data!R164</f>
        <v>6.35</v>
      </c>
      <c r="R164" s="9">
        <f t="shared" si="105"/>
        <v>-2.875</v>
      </c>
      <c r="S164" s="9">
        <f t="shared" si="106"/>
        <v>1.5</v>
      </c>
      <c r="T164" s="9">
        <f t="shared" si="107"/>
        <v>4.75</v>
      </c>
      <c r="U164" s="9">
        <f t="shared" si="108"/>
        <v>3.25</v>
      </c>
      <c r="V164" s="9">
        <f t="shared" si="109"/>
        <v>5.75</v>
      </c>
      <c r="W164" s="9">
        <f t="shared" si="110"/>
        <v>0.25</v>
      </c>
      <c r="X164" s="9">
        <f t="shared" si="111"/>
        <v>-0.75</v>
      </c>
      <c r="Y164" s="9">
        <f t="shared" si="112"/>
        <v>-4</v>
      </c>
      <c r="Z164" s="9">
        <f t="shared" si="113"/>
        <v>-8.75</v>
      </c>
      <c r="AA164" s="9">
        <f t="shared" si="114"/>
        <v>-1</v>
      </c>
      <c r="AB164" s="9">
        <f t="shared" si="115"/>
        <v>0.5</v>
      </c>
      <c r="AC164" s="9">
        <f t="shared" si="116"/>
        <v>4</v>
      </c>
      <c r="AD164" s="9">
        <f t="shared" si="117"/>
        <v>7.75</v>
      </c>
      <c r="AE164" s="9">
        <f t="shared" si="118"/>
        <v>14.5</v>
      </c>
      <c r="AF164" s="9">
        <f t="shared" si="119"/>
        <v>14.5</v>
      </c>
      <c r="AG164" s="9">
        <f t="shared" si="120"/>
        <v>6.5</v>
      </c>
      <c r="AH164" s="9">
        <f t="shared" si="121"/>
        <v>3</v>
      </c>
      <c r="AI164" s="9">
        <f t="shared" si="122"/>
        <v>-3.0750000000000002</v>
      </c>
      <c r="AJ164" s="9">
        <f t="shared" si="123"/>
        <v>-0.25</v>
      </c>
      <c r="AK164" s="9">
        <f t="shared" si="124"/>
        <v>0.65000000000000036</v>
      </c>
      <c r="AL164" s="9">
        <f t="shared" si="125"/>
        <v>4.9000000000000004</v>
      </c>
      <c r="AM164" s="9">
        <f t="shared" si="126"/>
        <v>10.65</v>
      </c>
      <c r="AN164" s="9">
        <f t="shared" si="127"/>
        <v>18.649999999999999</v>
      </c>
      <c r="AO164" s="9">
        <f t="shared" si="128"/>
        <v>24.65</v>
      </c>
      <c r="AP164" s="9">
        <f t="shared" si="129"/>
        <v>12.65</v>
      </c>
      <c r="AQ164" s="9">
        <f t="shared" si="130"/>
        <v>7.15</v>
      </c>
      <c r="AR164" s="9">
        <f t="shared" si="131"/>
        <v>1.1500000000000004</v>
      </c>
      <c r="AS164" s="9">
        <f t="shared" si="132"/>
        <v>0.5</v>
      </c>
      <c r="AT164" s="9">
        <f t="shared" si="133"/>
        <v>0.90000000000000036</v>
      </c>
      <c r="AU164" s="9">
        <f t="shared" si="134"/>
        <v>5.15</v>
      </c>
      <c r="AV164" s="9">
        <f t="shared" si="135"/>
        <v>14.65</v>
      </c>
      <c r="AW164" s="9">
        <f t="shared" si="136"/>
        <v>19.649999999999999</v>
      </c>
      <c r="AX164" s="9">
        <f t="shared" si="137"/>
        <v>26.65</v>
      </c>
      <c r="AY164" s="9">
        <f t="shared" si="138"/>
        <v>12.65</v>
      </c>
      <c r="AZ164" s="9">
        <f t="shared" si="139"/>
        <v>6.4</v>
      </c>
      <c r="BA164" s="9">
        <f t="shared" si="140"/>
        <v>1.9000000000000004</v>
      </c>
      <c r="BB164" s="9">
        <f t="shared" si="141"/>
        <v>0.5</v>
      </c>
      <c r="BC164" s="9">
        <f t="shared" si="142"/>
        <v>0.90000000000000036</v>
      </c>
      <c r="BD164" s="9">
        <f t="shared" si="143"/>
        <v>5.15</v>
      </c>
      <c r="BE164" s="9">
        <f t="shared" si="144"/>
        <v>15.65</v>
      </c>
      <c r="BF164" s="9">
        <f t="shared" si="145"/>
        <v>21.65</v>
      </c>
      <c r="BG164" s="9">
        <f t="shared" si="146"/>
        <v>21.65</v>
      </c>
      <c r="BH164" s="9">
        <f t="shared" si="147"/>
        <v>12.65</v>
      </c>
      <c r="BI164" s="9">
        <f t="shared" si="148"/>
        <v>5.65</v>
      </c>
      <c r="BJ164" s="9">
        <f t="shared" si="149"/>
        <v>1.9000000000000004</v>
      </c>
    </row>
    <row r="165" spans="1:62" x14ac:dyDescent="0.2">
      <c r="A165" s="9">
        <f>data!M166-data!M165</f>
        <v>-1.5427999999999997</v>
      </c>
      <c r="B165" s="9">
        <f>data!C166-data!C165</f>
        <v>2.4800000000000004</v>
      </c>
      <c r="C165" s="9">
        <f>data!D166-data!D165</f>
        <v>1.5749999999999993</v>
      </c>
      <c r="D165" s="10">
        <f>data!B166-data!B165</f>
        <v>0.15849999999999997</v>
      </c>
      <c r="E165" s="9">
        <f>data!E165-data!G165</f>
        <v>2.3416000000000001</v>
      </c>
      <c r="F165" s="9">
        <f>(data!E165-data!F165)-(data!G165-data!H165)</f>
        <v>0.91669999999999996</v>
      </c>
      <c r="G165" s="9">
        <f t="shared" si="100"/>
        <v>-0.19740000000000046</v>
      </c>
      <c r="H165" s="9">
        <f t="shared" si="101"/>
        <v>0.17669999999999997</v>
      </c>
      <c r="I165" s="9">
        <f>IF(data!M166&gt; 111.81,1,0)</f>
        <v>0</v>
      </c>
      <c r="J165" s="9">
        <f t="shared" si="102"/>
        <v>1</v>
      </c>
      <c r="K165" s="9">
        <f t="shared" si="103"/>
        <v>0</v>
      </c>
      <c r="L165" s="9">
        <f t="shared" si="104"/>
        <v>-1.5427999999999997</v>
      </c>
      <c r="M165" s="9">
        <f>data!J165</f>
        <v>-2.625</v>
      </c>
      <c r="N165" s="9">
        <f>data!I165</f>
        <v>3.5</v>
      </c>
      <c r="O165" s="9">
        <f>data!L165</f>
        <v>6.1</v>
      </c>
      <c r="P165" s="9">
        <f>data!K165</f>
        <v>6.85</v>
      </c>
      <c r="Q165" s="9">
        <f>data!R165</f>
        <v>6.85</v>
      </c>
      <c r="R165" s="9">
        <f t="shared" si="105"/>
        <v>4.375</v>
      </c>
      <c r="S165" s="9">
        <f t="shared" si="106"/>
        <v>7.625</v>
      </c>
      <c r="T165" s="9">
        <f t="shared" si="107"/>
        <v>6.125</v>
      </c>
      <c r="U165" s="9">
        <f t="shared" si="108"/>
        <v>8.625</v>
      </c>
      <c r="V165" s="9">
        <f t="shared" si="109"/>
        <v>3.125</v>
      </c>
      <c r="W165" s="9">
        <f t="shared" si="110"/>
        <v>2.125</v>
      </c>
      <c r="X165" s="9">
        <f t="shared" si="111"/>
        <v>-1.125</v>
      </c>
      <c r="Y165" s="9">
        <f t="shared" si="112"/>
        <v>-5.875</v>
      </c>
      <c r="Z165" s="9">
        <f t="shared" si="113"/>
        <v>-2.875</v>
      </c>
      <c r="AA165" s="9">
        <f t="shared" si="114"/>
        <v>1.5</v>
      </c>
      <c r="AB165" s="9">
        <f t="shared" si="115"/>
        <v>5</v>
      </c>
      <c r="AC165" s="9">
        <f t="shared" si="116"/>
        <v>8.75</v>
      </c>
      <c r="AD165" s="9">
        <f t="shared" si="117"/>
        <v>15.5</v>
      </c>
      <c r="AE165" s="9">
        <f t="shared" si="118"/>
        <v>15.5</v>
      </c>
      <c r="AF165" s="9">
        <f t="shared" si="119"/>
        <v>7.5</v>
      </c>
      <c r="AG165" s="9">
        <f t="shared" si="120"/>
        <v>4</v>
      </c>
      <c r="AH165" s="9">
        <f t="shared" si="121"/>
        <v>-2.0750000000000002</v>
      </c>
      <c r="AI165" s="9">
        <f t="shared" si="122"/>
        <v>-2.1850000000000001</v>
      </c>
      <c r="AJ165" s="9">
        <f t="shared" si="123"/>
        <v>0.90000000000000036</v>
      </c>
      <c r="AK165" s="9">
        <f t="shared" si="124"/>
        <v>5.15</v>
      </c>
      <c r="AL165" s="9">
        <f t="shared" si="125"/>
        <v>10.9</v>
      </c>
      <c r="AM165" s="9">
        <f t="shared" si="126"/>
        <v>18.899999999999999</v>
      </c>
      <c r="AN165" s="9">
        <f t="shared" si="127"/>
        <v>24.9</v>
      </c>
      <c r="AO165" s="9">
        <f t="shared" si="128"/>
        <v>12.9</v>
      </c>
      <c r="AP165" s="9">
        <f t="shared" si="129"/>
        <v>7.4</v>
      </c>
      <c r="AQ165" s="9">
        <f t="shared" si="130"/>
        <v>1.4000000000000004</v>
      </c>
      <c r="AR165" s="9">
        <f t="shared" si="131"/>
        <v>2.1500000000000004</v>
      </c>
      <c r="AS165" s="9">
        <f t="shared" si="132"/>
        <v>0.40000000000000036</v>
      </c>
      <c r="AT165" s="9">
        <f t="shared" si="133"/>
        <v>4.6500000000000004</v>
      </c>
      <c r="AU165" s="9">
        <f t="shared" si="134"/>
        <v>14.15</v>
      </c>
      <c r="AV165" s="9">
        <f t="shared" si="135"/>
        <v>19.149999999999999</v>
      </c>
      <c r="AW165" s="9">
        <f t="shared" si="136"/>
        <v>26.15</v>
      </c>
      <c r="AX165" s="9">
        <f t="shared" si="137"/>
        <v>12.15</v>
      </c>
      <c r="AY165" s="9">
        <f t="shared" si="138"/>
        <v>5.9</v>
      </c>
      <c r="AZ165" s="9">
        <f t="shared" si="139"/>
        <v>1.4000000000000004</v>
      </c>
      <c r="BA165" s="9">
        <f t="shared" si="140"/>
        <v>1.6500000000000004</v>
      </c>
      <c r="BB165" s="9">
        <f t="shared" si="141"/>
        <v>0.40000000000000036</v>
      </c>
      <c r="BC165" s="9">
        <f t="shared" si="142"/>
        <v>4.6500000000000004</v>
      </c>
      <c r="BD165" s="9">
        <f t="shared" si="143"/>
        <v>15.15</v>
      </c>
      <c r="BE165" s="9">
        <f t="shared" si="144"/>
        <v>21.15</v>
      </c>
      <c r="BF165" s="9">
        <f t="shared" si="145"/>
        <v>21.15</v>
      </c>
      <c r="BG165" s="9">
        <f t="shared" si="146"/>
        <v>12.15</v>
      </c>
      <c r="BH165" s="9">
        <f t="shared" si="147"/>
        <v>5.15</v>
      </c>
      <c r="BI165" s="9">
        <f t="shared" si="148"/>
        <v>1.4000000000000004</v>
      </c>
      <c r="BJ165" s="9">
        <f t="shared" si="149"/>
        <v>1.6500000000000004</v>
      </c>
    </row>
    <row r="166" spans="1:62" x14ac:dyDescent="0.2">
      <c r="A166" s="9">
        <f>data!M167-data!M166</f>
        <v>-3.9600000000007185E-2</v>
      </c>
      <c r="B166" s="9">
        <f>data!C167-data!C166</f>
        <v>0.94999999999999929</v>
      </c>
      <c r="C166" s="9">
        <f>data!D167-data!D166</f>
        <v>1.2750000000000004</v>
      </c>
      <c r="D166" s="10">
        <f>data!B167-data!B166</f>
        <v>-0.50850000000000006</v>
      </c>
      <c r="E166" s="9">
        <f>data!E166-data!G166</f>
        <v>2.1441999999999997</v>
      </c>
      <c r="F166" s="9">
        <f>(data!E166-data!F166)-(data!G166-data!H166)</f>
        <v>1.0933999999999999</v>
      </c>
      <c r="G166" s="9">
        <f t="shared" si="100"/>
        <v>2.8500000000000192E-2</v>
      </c>
      <c r="H166" s="9">
        <f t="shared" si="101"/>
        <v>8.2500000000000018E-2</v>
      </c>
      <c r="I166" s="9">
        <f>IF(data!M167&gt; 111.81,1,0)</f>
        <v>0</v>
      </c>
      <c r="J166" s="9">
        <f t="shared" si="102"/>
        <v>1</v>
      </c>
      <c r="K166" s="9">
        <f t="shared" si="103"/>
        <v>0</v>
      </c>
      <c r="L166" s="9">
        <f t="shared" si="104"/>
        <v>-3.9600000000007185E-2</v>
      </c>
      <c r="M166" s="9">
        <f>data!J166</f>
        <v>1.75</v>
      </c>
      <c r="N166" s="9">
        <f>data!I166</f>
        <v>5</v>
      </c>
      <c r="O166" s="9">
        <f>data!L166</f>
        <v>7</v>
      </c>
      <c r="P166" s="9">
        <f>data!K166</f>
        <v>7.25</v>
      </c>
      <c r="Q166" s="9">
        <f>data!R166</f>
        <v>7.25</v>
      </c>
      <c r="R166" s="9">
        <f t="shared" si="105"/>
        <v>3.25</v>
      </c>
      <c r="S166" s="9">
        <f t="shared" si="106"/>
        <v>1.75</v>
      </c>
      <c r="T166" s="9">
        <f t="shared" si="107"/>
        <v>4.25</v>
      </c>
      <c r="U166" s="9">
        <f t="shared" si="108"/>
        <v>-1.25</v>
      </c>
      <c r="V166" s="9">
        <f t="shared" si="109"/>
        <v>-2.25</v>
      </c>
      <c r="W166" s="9">
        <f t="shared" si="110"/>
        <v>-5.5</v>
      </c>
      <c r="X166" s="9">
        <f t="shared" si="111"/>
        <v>-10.25</v>
      </c>
      <c r="Y166" s="9">
        <f t="shared" si="112"/>
        <v>-7.25</v>
      </c>
      <c r="Z166" s="9">
        <f t="shared" si="113"/>
        <v>-8.5</v>
      </c>
      <c r="AA166" s="9">
        <f t="shared" si="114"/>
        <v>3.5</v>
      </c>
      <c r="AB166" s="9">
        <f t="shared" si="115"/>
        <v>7.25</v>
      </c>
      <c r="AC166" s="9">
        <f t="shared" si="116"/>
        <v>14</v>
      </c>
      <c r="AD166" s="9">
        <f t="shared" si="117"/>
        <v>14</v>
      </c>
      <c r="AE166" s="9">
        <f t="shared" si="118"/>
        <v>6</v>
      </c>
      <c r="AF166" s="9">
        <f t="shared" si="119"/>
        <v>2.5</v>
      </c>
      <c r="AG166" s="9">
        <f t="shared" si="120"/>
        <v>-3.5750000000000002</v>
      </c>
      <c r="AH166" s="9">
        <f t="shared" si="121"/>
        <v>-3.6850000000000001</v>
      </c>
      <c r="AI166" s="9">
        <f t="shared" si="122"/>
        <v>-2.65</v>
      </c>
      <c r="AJ166" s="9">
        <f t="shared" si="123"/>
        <v>4.25</v>
      </c>
      <c r="AK166" s="9">
        <f t="shared" si="124"/>
        <v>10</v>
      </c>
      <c r="AL166" s="9">
        <f t="shared" si="125"/>
        <v>18</v>
      </c>
      <c r="AM166" s="9">
        <f t="shared" si="126"/>
        <v>24</v>
      </c>
      <c r="AN166" s="9">
        <f t="shared" si="127"/>
        <v>12</v>
      </c>
      <c r="AO166" s="9">
        <f t="shared" si="128"/>
        <v>6.5</v>
      </c>
      <c r="AP166" s="9">
        <f t="shared" si="129"/>
        <v>0.5</v>
      </c>
      <c r="AQ166" s="9">
        <f t="shared" si="130"/>
        <v>1.25</v>
      </c>
      <c r="AR166" s="9">
        <f t="shared" si="131"/>
        <v>1.5</v>
      </c>
      <c r="AS166" s="9">
        <f t="shared" si="132"/>
        <v>4.25</v>
      </c>
      <c r="AT166" s="9">
        <f t="shared" si="133"/>
        <v>13.75</v>
      </c>
      <c r="AU166" s="9">
        <f t="shared" si="134"/>
        <v>18.75</v>
      </c>
      <c r="AV166" s="9">
        <f t="shared" si="135"/>
        <v>25.75</v>
      </c>
      <c r="AW166" s="9">
        <f t="shared" si="136"/>
        <v>11.75</v>
      </c>
      <c r="AX166" s="9">
        <f t="shared" si="137"/>
        <v>5.5</v>
      </c>
      <c r="AY166" s="9">
        <f t="shared" si="138"/>
        <v>1</v>
      </c>
      <c r="AZ166" s="9">
        <f t="shared" si="139"/>
        <v>1.25</v>
      </c>
      <c r="BA166" s="9">
        <f t="shared" si="140"/>
        <v>1.5</v>
      </c>
      <c r="BB166" s="9">
        <f t="shared" si="141"/>
        <v>4.25</v>
      </c>
      <c r="BC166" s="9">
        <f t="shared" si="142"/>
        <v>14.75</v>
      </c>
      <c r="BD166" s="9">
        <f t="shared" si="143"/>
        <v>20.75</v>
      </c>
      <c r="BE166" s="9">
        <f t="shared" si="144"/>
        <v>20.75</v>
      </c>
      <c r="BF166" s="9">
        <f t="shared" si="145"/>
        <v>11.75</v>
      </c>
      <c r="BG166" s="9">
        <f t="shared" si="146"/>
        <v>4.75</v>
      </c>
      <c r="BH166" s="9">
        <f t="shared" si="147"/>
        <v>1</v>
      </c>
      <c r="BI166" s="9">
        <f t="shared" si="148"/>
        <v>1.25</v>
      </c>
      <c r="BJ166" s="9">
        <f t="shared" si="149"/>
        <v>1.5</v>
      </c>
    </row>
    <row r="167" spans="1:62" x14ac:dyDescent="0.2">
      <c r="A167" s="9">
        <f>data!M168-data!M167</f>
        <v>-0.69570000000000221</v>
      </c>
      <c r="B167" s="9">
        <f>data!C168-data!C167</f>
        <v>3.6700000000000017</v>
      </c>
      <c r="C167" s="9">
        <f>data!D168-data!D167</f>
        <v>1.0250000000000004</v>
      </c>
      <c r="D167" s="10">
        <f>data!B168-data!B167</f>
        <v>-9.9999999999999867E-2</v>
      </c>
      <c r="E167" s="9">
        <f>data!E167-data!G167</f>
        <v>2.1726999999999999</v>
      </c>
      <c r="F167" s="9">
        <f>(data!E167-data!F167)-(data!G167-data!H167)</f>
        <v>1.1758999999999999</v>
      </c>
      <c r="G167" s="9">
        <f t="shared" si="100"/>
        <v>2.120000000000033E-2</v>
      </c>
      <c r="H167" s="9">
        <f t="shared" si="101"/>
        <v>0.10930000000000017</v>
      </c>
      <c r="I167" s="9">
        <f>IF(data!M168&gt; 111.81,1,0)</f>
        <v>0</v>
      </c>
      <c r="J167" s="9">
        <f t="shared" si="102"/>
        <v>1</v>
      </c>
      <c r="K167" s="9">
        <f t="shared" si="103"/>
        <v>0</v>
      </c>
      <c r="L167" s="9">
        <f t="shared" si="104"/>
        <v>-0.69570000000000221</v>
      </c>
      <c r="M167" s="9">
        <f>data!J167</f>
        <v>5</v>
      </c>
      <c r="N167" s="9">
        <f>data!I167</f>
        <v>8.5</v>
      </c>
      <c r="O167" s="9">
        <f>data!L167</f>
        <v>11.25</v>
      </c>
      <c r="P167" s="9">
        <f>data!K167</f>
        <v>11.5</v>
      </c>
      <c r="Q167" s="9">
        <f>data!R167</f>
        <v>11.5</v>
      </c>
      <c r="R167" s="9">
        <f t="shared" si="105"/>
        <v>-1.5</v>
      </c>
      <c r="S167" s="9">
        <f t="shared" si="106"/>
        <v>1</v>
      </c>
      <c r="T167" s="9">
        <f t="shared" si="107"/>
        <v>-4.5</v>
      </c>
      <c r="U167" s="9">
        <f t="shared" si="108"/>
        <v>-5.5</v>
      </c>
      <c r="V167" s="9">
        <f t="shared" si="109"/>
        <v>-8.75</v>
      </c>
      <c r="W167" s="9">
        <f t="shared" si="110"/>
        <v>-13.5</v>
      </c>
      <c r="X167" s="9">
        <f t="shared" si="111"/>
        <v>-10.5</v>
      </c>
      <c r="Y167" s="9">
        <f t="shared" si="112"/>
        <v>-11.75</v>
      </c>
      <c r="Z167" s="9">
        <f t="shared" si="113"/>
        <v>-10.25</v>
      </c>
      <c r="AA167" s="9">
        <f t="shared" si="114"/>
        <v>3.75</v>
      </c>
      <c r="AB167" s="9">
        <f t="shared" si="115"/>
        <v>10.5</v>
      </c>
      <c r="AC167" s="9">
        <f t="shared" si="116"/>
        <v>10.5</v>
      </c>
      <c r="AD167" s="9">
        <f t="shared" si="117"/>
        <v>2.5</v>
      </c>
      <c r="AE167" s="9">
        <f t="shared" si="118"/>
        <v>-1</v>
      </c>
      <c r="AF167" s="9">
        <f t="shared" si="119"/>
        <v>-7.0750000000000002</v>
      </c>
      <c r="AG167" s="9">
        <f t="shared" si="120"/>
        <v>-7.1850000000000005</v>
      </c>
      <c r="AH167" s="9">
        <f t="shared" si="121"/>
        <v>-6.15</v>
      </c>
      <c r="AI167" s="9">
        <f t="shared" si="122"/>
        <v>-7</v>
      </c>
      <c r="AJ167" s="9">
        <f t="shared" si="123"/>
        <v>5.75</v>
      </c>
      <c r="AK167" s="9">
        <f t="shared" si="124"/>
        <v>13.75</v>
      </c>
      <c r="AL167" s="9">
        <f t="shared" si="125"/>
        <v>19.75</v>
      </c>
      <c r="AM167" s="9">
        <f t="shared" si="126"/>
        <v>7.75</v>
      </c>
      <c r="AN167" s="9">
        <f t="shared" si="127"/>
        <v>2.25</v>
      </c>
      <c r="AO167" s="9">
        <f t="shared" si="128"/>
        <v>-3.75</v>
      </c>
      <c r="AP167" s="9">
        <f t="shared" si="129"/>
        <v>-3</v>
      </c>
      <c r="AQ167" s="9">
        <f t="shared" si="130"/>
        <v>-2.75</v>
      </c>
      <c r="AR167" s="9">
        <f t="shared" si="131"/>
        <v>-3.5</v>
      </c>
      <c r="AS167" s="9">
        <f t="shared" si="132"/>
        <v>9.5</v>
      </c>
      <c r="AT167" s="9">
        <f t="shared" si="133"/>
        <v>14.5</v>
      </c>
      <c r="AU167" s="9">
        <f t="shared" si="134"/>
        <v>21.5</v>
      </c>
      <c r="AV167" s="9">
        <f t="shared" si="135"/>
        <v>7.5</v>
      </c>
      <c r="AW167" s="9">
        <f t="shared" si="136"/>
        <v>1.25</v>
      </c>
      <c r="AX167" s="9">
        <f t="shared" si="137"/>
        <v>-3.25</v>
      </c>
      <c r="AY167" s="9">
        <f t="shared" si="138"/>
        <v>-3</v>
      </c>
      <c r="AZ167" s="9">
        <f t="shared" si="139"/>
        <v>-2.75</v>
      </c>
      <c r="BA167" s="9">
        <f t="shared" si="140"/>
        <v>-3.5</v>
      </c>
      <c r="BB167" s="9">
        <f t="shared" si="141"/>
        <v>10.5</v>
      </c>
      <c r="BC167" s="9">
        <f t="shared" si="142"/>
        <v>16.5</v>
      </c>
      <c r="BD167" s="9">
        <f t="shared" si="143"/>
        <v>16.5</v>
      </c>
      <c r="BE167" s="9">
        <f t="shared" si="144"/>
        <v>7.5</v>
      </c>
      <c r="BF167" s="9">
        <f t="shared" si="145"/>
        <v>0.5</v>
      </c>
      <c r="BG167" s="9">
        <f t="shared" si="146"/>
        <v>-3.25</v>
      </c>
      <c r="BH167" s="9">
        <f t="shared" si="147"/>
        <v>-3</v>
      </c>
      <c r="BI167" s="9">
        <f t="shared" si="148"/>
        <v>-2.75</v>
      </c>
      <c r="BJ167" s="9">
        <f t="shared" si="149"/>
        <v>-3.5</v>
      </c>
    </row>
    <row r="168" spans="1:62" x14ac:dyDescent="0.2">
      <c r="A168" s="9">
        <f>data!M169-data!M168</f>
        <v>0.78100000000000591</v>
      </c>
      <c r="B168" s="9">
        <f>data!C169-data!C168</f>
        <v>-4.5399999999999991</v>
      </c>
      <c r="C168" s="9">
        <f>data!D169-data!D168</f>
        <v>-0.11180000000000057</v>
      </c>
      <c r="D168" s="10">
        <f>data!B169-data!B168</f>
        <v>-7.6899999999999968E-2</v>
      </c>
      <c r="E168" s="9">
        <f>data!E168-data!G168</f>
        <v>2.1939000000000002</v>
      </c>
      <c r="F168" s="9">
        <f>(data!E168-data!F168)-(data!G168-data!H168)</f>
        <v>1.2852000000000001</v>
      </c>
      <c r="G168" s="9">
        <f t="shared" si="100"/>
        <v>-0.14040000000000052</v>
      </c>
      <c r="H168" s="9">
        <f t="shared" si="101"/>
        <v>-0.25250000000000039</v>
      </c>
      <c r="I168" s="9">
        <f>IF(data!M169&gt; 111.81,1,0)</f>
        <v>0</v>
      </c>
      <c r="J168" s="9">
        <f t="shared" si="102"/>
        <v>1</v>
      </c>
      <c r="K168" s="9">
        <f t="shared" si="103"/>
        <v>0</v>
      </c>
      <c r="L168" s="9">
        <f t="shared" si="104"/>
        <v>0.78100000000000591</v>
      </c>
      <c r="M168" s="9">
        <f>data!J168</f>
        <v>3.5</v>
      </c>
      <c r="N168" s="9">
        <f>data!I168</f>
        <v>12.25</v>
      </c>
      <c r="O168" s="9">
        <f>data!L168</f>
        <v>17</v>
      </c>
      <c r="P168" s="9">
        <f>data!K168</f>
        <v>21</v>
      </c>
      <c r="Q168" s="9">
        <f>data!R168</f>
        <v>22</v>
      </c>
      <c r="R168" s="9">
        <f t="shared" si="105"/>
        <v>2.5</v>
      </c>
      <c r="S168" s="9">
        <f t="shared" si="106"/>
        <v>-3</v>
      </c>
      <c r="T168" s="9">
        <f t="shared" si="107"/>
        <v>-4</v>
      </c>
      <c r="U168" s="9">
        <f t="shared" si="108"/>
        <v>-7.25</v>
      </c>
      <c r="V168" s="9">
        <f t="shared" si="109"/>
        <v>-12</v>
      </c>
      <c r="W168" s="9">
        <f t="shared" si="110"/>
        <v>-9</v>
      </c>
      <c r="X168" s="9">
        <f t="shared" si="111"/>
        <v>-10.25</v>
      </c>
      <c r="Y168" s="9">
        <f t="shared" si="112"/>
        <v>-8.75</v>
      </c>
      <c r="Z168" s="9">
        <f t="shared" si="113"/>
        <v>-10.65</v>
      </c>
      <c r="AA168" s="9">
        <f t="shared" si="114"/>
        <v>6.75</v>
      </c>
      <c r="AB168" s="9">
        <f t="shared" si="115"/>
        <v>6.75</v>
      </c>
      <c r="AC168" s="9">
        <f t="shared" si="116"/>
        <v>-1.25</v>
      </c>
      <c r="AD168" s="9">
        <f t="shared" si="117"/>
        <v>-4.75</v>
      </c>
      <c r="AE168" s="9">
        <f t="shared" si="118"/>
        <v>-10.824999999999999</v>
      </c>
      <c r="AF168" s="9">
        <f t="shared" si="119"/>
        <v>-10.935</v>
      </c>
      <c r="AG168" s="9">
        <f t="shared" si="120"/>
        <v>-9.9</v>
      </c>
      <c r="AH168" s="9">
        <f t="shared" si="121"/>
        <v>-10.75</v>
      </c>
      <c r="AI168" s="9">
        <f t="shared" si="122"/>
        <v>-11.4</v>
      </c>
      <c r="AJ168" s="9">
        <f t="shared" si="123"/>
        <v>8</v>
      </c>
      <c r="AK168" s="9">
        <f t="shared" si="124"/>
        <v>14</v>
      </c>
      <c r="AL168" s="9">
        <f t="shared" si="125"/>
        <v>2</v>
      </c>
      <c r="AM168" s="9">
        <f t="shared" si="126"/>
        <v>-3.5</v>
      </c>
      <c r="AN168" s="9">
        <f t="shared" si="127"/>
        <v>-9.5</v>
      </c>
      <c r="AO168" s="9">
        <f t="shared" si="128"/>
        <v>-8.75</v>
      </c>
      <c r="AP168" s="9">
        <f t="shared" si="129"/>
        <v>-8.5</v>
      </c>
      <c r="AQ168" s="9">
        <f t="shared" si="130"/>
        <v>-9.25</v>
      </c>
      <c r="AR168" s="9">
        <f t="shared" si="131"/>
        <v>-10.5</v>
      </c>
      <c r="AS168" s="9">
        <f t="shared" si="132"/>
        <v>5</v>
      </c>
      <c r="AT168" s="9">
        <f t="shared" si="133"/>
        <v>12</v>
      </c>
      <c r="AU168" s="9">
        <f t="shared" si="134"/>
        <v>-2</v>
      </c>
      <c r="AV168" s="9">
        <f t="shared" si="135"/>
        <v>-8.25</v>
      </c>
      <c r="AW168" s="9">
        <f t="shared" si="136"/>
        <v>-12.75</v>
      </c>
      <c r="AX168" s="9">
        <f t="shared" si="137"/>
        <v>-12.5</v>
      </c>
      <c r="AY168" s="9">
        <f t="shared" si="138"/>
        <v>-12.25</v>
      </c>
      <c r="AZ168" s="9">
        <f t="shared" si="139"/>
        <v>-13</v>
      </c>
      <c r="BA168" s="9">
        <f t="shared" si="140"/>
        <v>-13.875</v>
      </c>
      <c r="BB168" s="9">
        <f t="shared" si="141"/>
        <v>6</v>
      </c>
      <c r="BC168" s="9">
        <f t="shared" si="142"/>
        <v>6</v>
      </c>
      <c r="BD168" s="9">
        <f t="shared" si="143"/>
        <v>-3</v>
      </c>
      <c r="BE168" s="9">
        <f t="shared" si="144"/>
        <v>-10</v>
      </c>
      <c r="BF168" s="9">
        <f t="shared" si="145"/>
        <v>-13.75</v>
      </c>
      <c r="BG168" s="9">
        <f t="shared" si="146"/>
        <v>-13.5</v>
      </c>
      <c r="BH168" s="9">
        <f t="shared" si="147"/>
        <v>-13.25</v>
      </c>
      <c r="BI168" s="9">
        <f t="shared" si="148"/>
        <v>-14</v>
      </c>
      <c r="BJ168" s="9">
        <f t="shared" si="149"/>
        <v>-15.125</v>
      </c>
    </row>
    <row r="169" spans="1:62" x14ac:dyDescent="0.2">
      <c r="A169" s="9">
        <f>data!M170-data!M169</f>
        <v>-0.57420000000000471</v>
      </c>
      <c r="B169" s="9">
        <f>data!C170-data!C169</f>
        <v>-0.91000000000000014</v>
      </c>
      <c r="C169" s="9">
        <f>data!D170-data!D169</f>
        <v>9.1799999999999216E-2</v>
      </c>
      <c r="D169" s="10">
        <f>data!B170-data!B169</f>
        <v>0.36939999999999995</v>
      </c>
      <c r="E169" s="9">
        <f>data!E169-data!G169</f>
        <v>2.0534999999999997</v>
      </c>
      <c r="F169" s="9">
        <f>(data!E169-data!F169)-(data!G169-data!H169)</f>
        <v>1.0326999999999997</v>
      </c>
      <c r="G169" s="9">
        <f t="shared" si="100"/>
        <v>0.10890000000000022</v>
      </c>
      <c r="H169" s="9">
        <f t="shared" si="101"/>
        <v>6.3400000000000123E-2</v>
      </c>
      <c r="I169" s="9">
        <f>IF(data!M170&gt; 111.81,1,0)</f>
        <v>0</v>
      </c>
      <c r="J169" s="9">
        <f t="shared" si="102"/>
        <v>1</v>
      </c>
      <c r="K169" s="9">
        <f t="shared" si="103"/>
        <v>0</v>
      </c>
      <c r="L169" s="9">
        <f t="shared" si="104"/>
        <v>-0.57420000000000471</v>
      </c>
      <c r="M169" s="9">
        <f>data!J169</f>
        <v>6</v>
      </c>
      <c r="N169" s="9">
        <f>data!I169</f>
        <v>19</v>
      </c>
      <c r="O169" s="9">
        <f>data!L169</f>
        <v>25</v>
      </c>
      <c r="P169" s="9">
        <f>data!K169</f>
        <v>26</v>
      </c>
      <c r="Q169" s="9">
        <f>data!R169</f>
        <v>28</v>
      </c>
      <c r="R169" s="9">
        <f t="shared" si="105"/>
        <v>-5.5</v>
      </c>
      <c r="S169" s="9">
        <f t="shared" si="106"/>
        <v>-6.5</v>
      </c>
      <c r="T169" s="9">
        <f t="shared" si="107"/>
        <v>-9.75</v>
      </c>
      <c r="U169" s="9">
        <f t="shared" si="108"/>
        <v>-14.5</v>
      </c>
      <c r="V169" s="9">
        <f t="shared" si="109"/>
        <v>-11.5</v>
      </c>
      <c r="W169" s="9">
        <f t="shared" si="110"/>
        <v>-12.75</v>
      </c>
      <c r="X169" s="9">
        <f t="shared" si="111"/>
        <v>-11.25</v>
      </c>
      <c r="Y169" s="9">
        <f t="shared" si="112"/>
        <v>-13.15</v>
      </c>
      <c r="Z169" s="9">
        <f t="shared" si="113"/>
        <v>-13</v>
      </c>
      <c r="AA169" s="9">
        <f t="shared" si="114"/>
        <v>0</v>
      </c>
      <c r="AB169" s="9">
        <f t="shared" si="115"/>
        <v>-8</v>
      </c>
      <c r="AC169" s="9">
        <f t="shared" si="116"/>
        <v>-11.5</v>
      </c>
      <c r="AD169" s="9">
        <f t="shared" si="117"/>
        <v>-17.574999999999999</v>
      </c>
      <c r="AE169" s="9">
        <f t="shared" si="118"/>
        <v>-17.684999999999999</v>
      </c>
      <c r="AF169" s="9">
        <f t="shared" si="119"/>
        <v>-16.649999999999999</v>
      </c>
      <c r="AG169" s="9">
        <f t="shared" si="120"/>
        <v>-17.5</v>
      </c>
      <c r="AH169" s="9">
        <f t="shared" si="121"/>
        <v>-18.149999999999999</v>
      </c>
      <c r="AI169" s="9">
        <f t="shared" si="122"/>
        <v>-18.535</v>
      </c>
      <c r="AJ169" s="9">
        <f t="shared" si="123"/>
        <v>6</v>
      </c>
      <c r="AK169" s="9">
        <f t="shared" si="124"/>
        <v>-6</v>
      </c>
      <c r="AL169" s="9">
        <f t="shared" si="125"/>
        <v>-11.5</v>
      </c>
      <c r="AM169" s="9">
        <f t="shared" si="126"/>
        <v>-17.5</v>
      </c>
      <c r="AN169" s="9">
        <f t="shared" si="127"/>
        <v>-16.75</v>
      </c>
      <c r="AO169" s="9">
        <f t="shared" si="128"/>
        <v>-16.5</v>
      </c>
      <c r="AP169" s="9">
        <f t="shared" si="129"/>
        <v>-17.25</v>
      </c>
      <c r="AQ169" s="9">
        <f t="shared" si="130"/>
        <v>-18.5</v>
      </c>
      <c r="AR169" s="9">
        <f t="shared" si="131"/>
        <v>-18.75</v>
      </c>
      <c r="AS169" s="9">
        <f t="shared" si="132"/>
        <v>7</v>
      </c>
      <c r="AT169" s="9">
        <f t="shared" si="133"/>
        <v>-7</v>
      </c>
      <c r="AU169" s="9">
        <f t="shared" si="134"/>
        <v>-13.25</v>
      </c>
      <c r="AV169" s="9">
        <f t="shared" si="135"/>
        <v>-17.75</v>
      </c>
      <c r="AW169" s="9">
        <f t="shared" si="136"/>
        <v>-17.5</v>
      </c>
      <c r="AX169" s="9">
        <f t="shared" si="137"/>
        <v>-17.25</v>
      </c>
      <c r="AY169" s="9">
        <f t="shared" si="138"/>
        <v>-18</v>
      </c>
      <c r="AZ169" s="9">
        <f t="shared" si="139"/>
        <v>-18.875</v>
      </c>
      <c r="BA169" s="9">
        <f t="shared" si="140"/>
        <v>-19.25</v>
      </c>
      <c r="BB169" s="9">
        <f t="shared" si="141"/>
        <v>0</v>
      </c>
      <c r="BC169" s="9">
        <f t="shared" si="142"/>
        <v>-9</v>
      </c>
      <c r="BD169" s="9">
        <f t="shared" si="143"/>
        <v>-16</v>
      </c>
      <c r="BE169" s="9">
        <f t="shared" si="144"/>
        <v>-19.75</v>
      </c>
      <c r="BF169" s="9">
        <f t="shared" si="145"/>
        <v>-19.5</v>
      </c>
      <c r="BG169" s="9">
        <f t="shared" si="146"/>
        <v>-19.25</v>
      </c>
      <c r="BH169" s="9">
        <f t="shared" si="147"/>
        <v>-20</v>
      </c>
      <c r="BI169" s="9">
        <f t="shared" si="148"/>
        <v>-21.125</v>
      </c>
      <c r="BJ169" s="9">
        <f t="shared" si="149"/>
        <v>-21.5</v>
      </c>
    </row>
    <row r="170" spans="1:62" x14ac:dyDescent="0.2">
      <c r="A170" s="9">
        <f>data!M171-data!M170</f>
        <v>-0.12609999999999388</v>
      </c>
      <c r="B170" s="9">
        <f>data!C171-data!C170</f>
        <v>-3.2600000000000016</v>
      </c>
      <c r="C170" s="9">
        <f>data!D171-data!D170</f>
        <v>-1.129999999999999</v>
      </c>
      <c r="D170" s="10">
        <f>data!B171-data!B170</f>
        <v>-5.0000000000000044E-2</v>
      </c>
      <c r="E170" s="9">
        <f>data!E170-data!G170</f>
        <v>2.1623999999999999</v>
      </c>
      <c r="F170" s="9">
        <f>(data!E170-data!F170)-(data!G170-data!H170)</f>
        <v>1.0960999999999999</v>
      </c>
      <c r="G170" s="9">
        <f t="shared" si="100"/>
        <v>-3.6699999999999733E-2</v>
      </c>
      <c r="H170" s="9">
        <f t="shared" si="101"/>
        <v>-0.21489999999999998</v>
      </c>
      <c r="I170" s="9">
        <f>IF(data!M171&gt; 111.81,1,0)</f>
        <v>0</v>
      </c>
      <c r="J170" s="9">
        <f t="shared" si="102"/>
        <v>1</v>
      </c>
      <c r="K170" s="9">
        <f t="shared" si="103"/>
        <v>0</v>
      </c>
      <c r="L170" s="9">
        <f t="shared" si="104"/>
        <v>-0.12609999999999388</v>
      </c>
      <c r="M170" s="9">
        <f>data!J170</f>
        <v>0.5</v>
      </c>
      <c r="N170" s="9">
        <f>data!I170</f>
        <v>19</v>
      </c>
      <c r="O170" s="9">
        <f>data!L170</f>
        <v>31</v>
      </c>
      <c r="P170" s="9">
        <f>data!K170</f>
        <v>33</v>
      </c>
      <c r="Q170" s="9">
        <f>data!R170</f>
        <v>28</v>
      </c>
      <c r="R170" s="9">
        <f t="shared" si="105"/>
        <v>-1</v>
      </c>
      <c r="S170" s="9">
        <f t="shared" si="106"/>
        <v>-4.25</v>
      </c>
      <c r="T170" s="9">
        <f t="shared" si="107"/>
        <v>-9</v>
      </c>
      <c r="U170" s="9">
        <f t="shared" si="108"/>
        <v>-6</v>
      </c>
      <c r="V170" s="9">
        <f t="shared" si="109"/>
        <v>-7.25</v>
      </c>
      <c r="W170" s="9">
        <f t="shared" si="110"/>
        <v>-5.75</v>
      </c>
      <c r="X170" s="9">
        <f t="shared" si="111"/>
        <v>-7.65</v>
      </c>
      <c r="Y170" s="9">
        <f t="shared" si="112"/>
        <v>-7.5</v>
      </c>
      <c r="Z170" s="9">
        <f t="shared" si="113"/>
        <v>-10.5</v>
      </c>
      <c r="AA170" s="9">
        <f t="shared" si="114"/>
        <v>-8</v>
      </c>
      <c r="AB170" s="9">
        <f t="shared" si="115"/>
        <v>-11.5</v>
      </c>
      <c r="AC170" s="9">
        <f t="shared" si="116"/>
        <v>-17.574999999999999</v>
      </c>
      <c r="AD170" s="9">
        <f t="shared" si="117"/>
        <v>-17.684999999999999</v>
      </c>
      <c r="AE170" s="9">
        <f t="shared" si="118"/>
        <v>-16.649999999999999</v>
      </c>
      <c r="AF170" s="9">
        <f t="shared" si="119"/>
        <v>-17.5</v>
      </c>
      <c r="AG170" s="9">
        <f t="shared" si="120"/>
        <v>-18.149999999999999</v>
      </c>
      <c r="AH170" s="9">
        <f t="shared" si="121"/>
        <v>-18.535</v>
      </c>
      <c r="AI170" s="9">
        <f t="shared" si="122"/>
        <v>-21.375</v>
      </c>
      <c r="AJ170" s="9">
        <f t="shared" si="123"/>
        <v>-12</v>
      </c>
      <c r="AK170" s="9">
        <f t="shared" si="124"/>
        <v>-17.5</v>
      </c>
      <c r="AL170" s="9">
        <f t="shared" si="125"/>
        <v>-23.5</v>
      </c>
      <c r="AM170" s="9">
        <f t="shared" si="126"/>
        <v>-22.75</v>
      </c>
      <c r="AN170" s="9">
        <f t="shared" si="127"/>
        <v>-22.5</v>
      </c>
      <c r="AO170" s="9">
        <f t="shared" si="128"/>
        <v>-23.25</v>
      </c>
      <c r="AP170" s="9">
        <f t="shared" si="129"/>
        <v>-24.5</v>
      </c>
      <c r="AQ170" s="9">
        <f t="shared" si="130"/>
        <v>-24.75</v>
      </c>
      <c r="AR170" s="9">
        <f t="shared" si="131"/>
        <v>-26.875</v>
      </c>
      <c r="AS170" s="9">
        <f t="shared" si="132"/>
        <v>-14</v>
      </c>
      <c r="AT170" s="9">
        <f t="shared" si="133"/>
        <v>-20.25</v>
      </c>
      <c r="AU170" s="9">
        <f t="shared" si="134"/>
        <v>-24.75</v>
      </c>
      <c r="AV170" s="9">
        <f t="shared" si="135"/>
        <v>-24.5</v>
      </c>
      <c r="AW170" s="9">
        <f t="shared" si="136"/>
        <v>-24.25</v>
      </c>
      <c r="AX170" s="9">
        <f t="shared" si="137"/>
        <v>-25</v>
      </c>
      <c r="AY170" s="9">
        <f t="shared" si="138"/>
        <v>-25.875</v>
      </c>
      <c r="AZ170" s="9">
        <f t="shared" si="139"/>
        <v>-26.25</v>
      </c>
      <c r="BA170" s="9">
        <f t="shared" si="140"/>
        <v>-27.375</v>
      </c>
      <c r="BB170" s="9">
        <f t="shared" si="141"/>
        <v>-9</v>
      </c>
      <c r="BC170" s="9">
        <f t="shared" si="142"/>
        <v>-16</v>
      </c>
      <c r="BD170" s="9">
        <f t="shared" si="143"/>
        <v>-19.75</v>
      </c>
      <c r="BE170" s="9">
        <f t="shared" si="144"/>
        <v>-19.5</v>
      </c>
      <c r="BF170" s="9">
        <f t="shared" si="145"/>
        <v>-19.25</v>
      </c>
      <c r="BG170" s="9">
        <f t="shared" si="146"/>
        <v>-20</v>
      </c>
      <c r="BH170" s="9">
        <f t="shared" si="147"/>
        <v>-21.125</v>
      </c>
      <c r="BI170" s="9">
        <f t="shared" si="148"/>
        <v>-21.5</v>
      </c>
      <c r="BJ170" s="9">
        <f t="shared" si="149"/>
        <v>-22.375</v>
      </c>
    </row>
    <row r="171" spans="1:62" x14ac:dyDescent="0.2">
      <c r="A171" s="9">
        <f>data!M172-data!M171</f>
        <v>-7.9000000000064574E-3</v>
      </c>
      <c r="B171" s="9">
        <f>data!C172-data!C171</f>
        <v>1.0100000000000016</v>
      </c>
      <c r="C171" s="9">
        <f>data!D172-data!D171</f>
        <v>0.45749999999999957</v>
      </c>
      <c r="D171" s="10">
        <f>data!B172-data!B171</f>
        <v>0.15250000000000008</v>
      </c>
      <c r="E171" s="9">
        <f>data!E171-data!G171</f>
        <v>2.1257000000000001</v>
      </c>
      <c r="F171" s="9">
        <f>(data!E171-data!F171)-(data!G171-data!H171)</f>
        <v>0.88119999999999987</v>
      </c>
      <c r="G171" s="9">
        <f t="shared" si="100"/>
        <v>-4.0300000000000225E-2</v>
      </c>
      <c r="H171" s="9">
        <f t="shared" si="101"/>
        <v>7.7500000000000013E-2</v>
      </c>
      <c r="I171" s="9">
        <f>IF(data!M172&gt; 111.81,1,0)</f>
        <v>0</v>
      </c>
      <c r="J171" s="9">
        <f t="shared" si="102"/>
        <v>1</v>
      </c>
      <c r="K171" s="9">
        <f t="shared" si="103"/>
        <v>0</v>
      </c>
      <c r="L171" s="9">
        <f t="shared" si="104"/>
        <v>-7.9000000000064574E-3</v>
      </c>
      <c r="M171" s="9">
        <f>data!J171</f>
        <v>-0.5</v>
      </c>
      <c r="N171" s="9">
        <f>data!I171</f>
        <v>11</v>
      </c>
      <c r="O171" s="9">
        <f>data!L171</f>
        <v>19</v>
      </c>
      <c r="P171" s="9">
        <f>data!K171</f>
        <v>19</v>
      </c>
      <c r="Q171" s="9">
        <f>data!R171</f>
        <v>19</v>
      </c>
      <c r="R171" s="9">
        <f t="shared" si="105"/>
        <v>-3.25</v>
      </c>
      <c r="S171" s="9">
        <f t="shared" si="106"/>
        <v>-8</v>
      </c>
      <c r="T171" s="9">
        <f t="shared" si="107"/>
        <v>-5</v>
      </c>
      <c r="U171" s="9">
        <f t="shared" si="108"/>
        <v>-6.25</v>
      </c>
      <c r="V171" s="9">
        <f t="shared" si="109"/>
        <v>-4.75</v>
      </c>
      <c r="W171" s="9">
        <f t="shared" si="110"/>
        <v>-6.65</v>
      </c>
      <c r="X171" s="9">
        <f t="shared" si="111"/>
        <v>-6.5</v>
      </c>
      <c r="Y171" s="9">
        <f t="shared" si="112"/>
        <v>-9.5</v>
      </c>
      <c r="Z171" s="9">
        <f t="shared" si="113"/>
        <v>-14</v>
      </c>
      <c r="AA171" s="9">
        <f t="shared" si="114"/>
        <v>-3.5</v>
      </c>
      <c r="AB171" s="9">
        <f t="shared" si="115"/>
        <v>-9.5749999999999993</v>
      </c>
      <c r="AC171" s="9">
        <f t="shared" si="116"/>
        <v>-9.6850000000000005</v>
      </c>
      <c r="AD171" s="9">
        <f t="shared" si="117"/>
        <v>-8.65</v>
      </c>
      <c r="AE171" s="9">
        <f t="shared" si="118"/>
        <v>-9.5</v>
      </c>
      <c r="AF171" s="9">
        <f t="shared" si="119"/>
        <v>-10.15</v>
      </c>
      <c r="AG171" s="9">
        <f t="shared" si="120"/>
        <v>-10.535</v>
      </c>
      <c r="AH171" s="9">
        <f t="shared" si="121"/>
        <v>-13.375</v>
      </c>
      <c r="AI171" s="9">
        <f t="shared" si="122"/>
        <v>-17.649999999999999</v>
      </c>
      <c r="AJ171" s="9">
        <f t="shared" si="123"/>
        <v>-5.5</v>
      </c>
      <c r="AK171" s="9">
        <f t="shared" si="124"/>
        <v>-11.5</v>
      </c>
      <c r="AL171" s="9">
        <f t="shared" si="125"/>
        <v>-10.75</v>
      </c>
      <c r="AM171" s="9">
        <f t="shared" si="126"/>
        <v>-10.5</v>
      </c>
      <c r="AN171" s="9">
        <f t="shared" si="127"/>
        <v>-11.25</v>
      </c>
      <c r="AO171" s="9">
        <f t="shared" si="128"/>
        <v>-12.5</v>
      </c>
      <c r="AP171" s="9">
        <f t="shared" si="129"/>
        <v>-12.75</v>
      </c>
      <c r="AQ171" s="9">
        <f t="shared" si="130"/>
        <v>-14.875</v>
      </c>
      <c r="AR171" s="9">
        <f t="shared" si="131"/>
        <v>-20.25</v>
      </c>
      <c r="AS171" s="9">
        <f t="shared" si="132"/>
        <v>-6.25</v>
      </c>
      <c r="AT171" s="9">
        <f t="shared" si="133"/>
        <v>-10.75</v>
      </c>
      <c r="AU171" s="9">
        <f t="shared" si="134"/>
        <v>-10.5</v>
      </c>
      <c r="AV171" s="9">
        <f t="shared" si="135"/>
        <v>-10.25</v>
      </c>
      <c r="AW171" s="9">
        <f t="shared" si="136"/>
        <v>-11</v>
      </c>
      <c r="AX171" s="9">
        <f t="shared" si="137"/>
        <v>-11.875</v>
      </c>
      <c r="AY171" s="9">
        <f t="shared" si="138"/>
        <v>-12.25</v>
      </c>
      <c r="AZ171" s="9">
        <f t="shared" si="139"/>
        <v>-13.375</v>
      </c>
      <c r="BA171" s="9">
        <f t="shared" si="140"/>
        <v>-18.625</v>
      </c>
      <c r="BB171" s="9">
        <f t="shared" si="141"/>
        <v>-7</v>
      </c>
      <c r="BC171" s="9">
        <f t="shared" si="142"/>
        <v>-10.75</v>
      </c>
      <c r="BD171" s="9">
        <f t="shared" si="143"/>
        <v>-10.5</v>
      </c>
      <c r="BE171" s="9">
        <f t="shared" si="144"/>
        <v>-10.25</v>
      </c>
      <c r="BF171" s="9">
        <f t="shared" si="145"/>
        <v>-11</v>
      </c>
      <c r="BG171" s="9">
        <f t="shared" si="146"/>
        <v>-12.125</v>
      </c>
      <c r="BH171" s="9">
        <f t="shared" si="147"/>
        <v>-12.5</v>
      </c>
      <c r="BI171" s="9">
        <f t="shared" si="148"/>
        <v>-13.375</v>
      </c>
      <c r="BJ171" s="9">
        <f t="shared" si="149"/>
        <v>-18.75</v>
      </c>
    </row>
    <row r="172" spans="1:62" x14ac:dyDescent="0.2">
      <c r="A172" s="9">
        <f>data!M173-data!M172</f>
        <v>2.4799999999999045E-2</v>
      </c>
      <c r="B172" s="9">
        <f>data!C173-data!C172</f>
        <v>-3.3300000000000018</v>
      </c>
      <c r="C172" s="9">
        <f>data!D173-data!D172</f>
        <v>-1.3874999999999993</v>
      </c>
      <c r="D172" s="10">
        <f>data!B173-data!B172</f>
        <v>0.12999999999999989</v>
      </c>
      <c r="E172" s="9">
        <f>data!E172-data!G172</f>
        <v>2.0853999999999999</v>
      </c>
      <c r="F172" s="9">
        <f>(data!E172-data!F172)-(data!G172-data!H172)</f>
        <v>0.95869999999999989</v>
      </c>
      <c r="G172" s="9">
        <f t="shared" si="100"/>
        <v>0.2157</v>
      </c>
      <c r="H172" s="9">
        <f t="shared" si="101"/>
        <v>-0.13199999999999967</v>
      </c>
      <c r="I172" s="9">
        <f>IF(data!M173&gt; 111.81,1,0)</f>
        <v>0</v>
      </c>
      <c r="J172" s="9">
        <f t="shared" si="102"/>
        <v>1</v>
      </c>
      <c r="K172" s="9">
        <f t="shared" si="103"/>
        <v>0</v>
      </c>
      <c r="L172" s="9">
        <f t="shared" si="104"/>
        <v>2.4799999999999045E-2</v>
      </c>
      <c r="M172" s="9">
        <f>data!J172</f>
        <v>-3.75</v>
      </c>
      <c r="N172" s="9">
        <f>data!I172</f>
        <v>7.5</v>
      </c>
      <c r="O172" s="9">
        <f>data!L172</f>
        <v>13.5</v>
      </c>
      <c r="P172" s="9">
        <f>data!K172</f>
        <v>12.75</v>
      </c>
      <c r="Q172" s="9">
        <f>data!R172</f>
        <v>12</v>
      </c>
      <c r="R172" s="9">
        <f t="shared" si="105"/>
        <v>-4.75</v>
      </c>
      <c r="S172" s="9">
        <f t="shared" si="106"/>
        <v>-1.75</v>
      </c>
      <c r="T172" s="9">
        <f t="shared" si="107"/>
        <v>-3</v>
      </c>
      <c r="U172" s="9">
        <f t="shared" si="108"/>
        <v>-1.5</v>
      </c>
      <c r="V172" s="9">
        <f t="shared" si="109"/>
        <v>-3.4000000000000004</v>
      </c>
      <c r="W172" s="9">
        <f t="shared" si="110"/>
        <v>-3.25</v>
      </c>
      <c r="X172" s="9">
        <f t="shared" si="111"/>
        <v>-6.25</v>
      </c>
      <c r="Y172" s="9">
        <f t="shared" si="112"/>
        <v>-10.75</v>
      </c>
      <c r="Z172" s="9">
        <f t="shared" si="113"/>
        <v>-13.600000000000001</v>
      </c>
      <c r="AA172" s="9">
        <f t="shared" si="114"/>
        <v>-6.0750000000000002</v>
      </c>
      <c r="AB172" s="9">
        <f t="shared" si="115"/>
        <v>-6.1850000000000005</v>
      </c>
      <c r="AC172" s="9">
        <f t="shared" si="116"/>
        <v>-5.15</v>
      </c>
      <c r="AD172" s="9">
        <f t="shared" si="117"/>
        <v>-6</v>
      </c>
      <c r="AE172" s="9">
        <f t="shared" si="118"/>
        <v>-6.65</v>
      </c>
      <c r="AF172" s="9">
        <f t="shared" si="119"/>
        <v>-7.0350000000000001</v>
      </c>
      <c r="AG172" s="9">
        <f t="shared" si="120"/>
        <v>-9.875</v>
      </c>
      <c r="AH172" s="9">
        <f t="shared" si="121"/>
        <v>-14.15</v>
      </c>
      <c r="AI172" s="9">
        <f t="shared" si="122"/>
        <v>-17.25</v>
      </c>
      <c r="AJ172" s="9">
        <f t="shared" si="123"/>
        <v>-6</v>
      </c>
      <c r="AK172" s="9">
        <f t="shared" si="124"/>
        <v>-5.25</v>
      </c>
      <c r="AL172" s="9">
        <f t="shared" si="125"/>
        <v>-5</v>
      </c>
      <c r="AM172" s="9">
        <f t="shared" si="126"/>
        <v>-5.75</v>
      </c>
      <c r="AN172" s="9">
        <f t="shared" si="127"/>
        <v>-7</v>
      </c>
      <c r="AO172" s="9">
        <f t="shared" si="128"/>
        <v>-7.25</v>
      </c>
      <c r="AP172" s="9">
        <f t="shared" si="129"/>
        <v>-9.375</v>
      </c>
      <c r="AQ172" s="9">
        <f t="shared" si="130"/>
        <v>-14.75</v>
      </c>
      <c r="AR172" s="9">
        <f t="shared" si="131"/>
        <v>-16.375</v>
      </c>
      <c r="AS172" s="9">
        <f t="shared" si="132"/>
        <v>-4.5</v>
      </c>
      <c r="AT172" s="9">
        <f t="shared" si="133"/>
        <v>-4.25</v>
      </c>
      <c r="AU172" s="9">
        <f t="shared" si="134"/>
        <v>-4</v>
      </c>
      <c r="AV172" s="9">
        <f t="shared" si="135"/>
        <v>-4.75</v>
      </c>
      <c r="AW172" s="9">
        <f t="shared" si="136"/>
        <v>-5.625</v>
      </c>
      <c r="AX172" s="9">
        <f t="shared" si="137"/>
        <v>-6</v>
      </c>
      <c r="AY172" s="9">
        <f t="shared" si="138"/>
        <v>-7.125</v>
      </c>
      <c r="AZ172" s="9">
        <f t="shared" si="139"/>
        <v>-12.375</v>
      </c>
      <c r="BA172" s="9">
        <f t="shared" si="140"/>
        <v>-12.8125</v>
      </c>
      <c r="BB172" s="9">
        <f t="shared" si="141"/>
        <v>-3.75</v>
      </c>
      <c r="BC172" s="9">
        <f t="shared" si="142"/>
        <v>-3.5</v>
      </c>
      <c r="BD172" s="9">
        <f t="shared" si="143"/>
        <v>-3.25</v>
      </c>
      <c r="BE172" s="9">
        <f t="shared" si="144"/>
        <v>-4</v>
      </c>
      <c r="BF172" s="9">
        <f t="shared" si="145"/>
        <v>-5.125</v>
      </c>
      <c r="BG172" s="9">
        <f t="shared" si="146"/>
        <v>-5.5</v>
      </c>
      <c r="BH172" s="9">
        <f t="shared" si="147"/>
        <v>-6.375</v>
      </c>
      <c r="BI172" s="9">
        <f t="shared" si="148"/>
        <v>-11.75</v>
      </c>
      <c r="BJ172" s="9">
        <f t="shared" si="149"/>
        <v>-12.375</v>
      </c>
    </row>
    <row r="173" spans="1:62" x14ac:dyDescent="0.2">
      <c r="A173" s="9">
        <f>data!M174-data!M173</f>
        <v>0.30599999999999739</v>
      </c>
      <c r="B173" s="9">
        <f>data!C174-data!C173</f>
        <v>-0.53999999999999915</v>
      </c>
      <c r="C173" s="9">
        <f>data!D174-data!D173</f>
        <v>-0.59500000000000064</v>
      </c>
      <c r="D173" s="10">
        <f>data!B174-data!B173</f>
        <v>-6.7500000000000004E-2</v>
      </c>
      <c r="E173" s="9">
        <f>data!E173-data!G173</f>
        <v>2.3010999999999999</v>
      </c>
      <c r="F173" s="9">
        <f>(data!E173-data!F173)-(data!G173-data!H173)</f>
        <v>0.82670000000000021</v>
      </c>
      <c r="G173" s="9">
        <f t="shared" si="100"/>
        <v>-4.0799999999999947E-2</v>
      </c>
      <c r="H173" s="9">
        <f t="shared" si="101"/>
        <v>-0.15120000000000056</v>
      </c>
      <c r="I173" s="9">
        <f>IF(data!M174&gt; 111.81,1,0)</f>
        <v>0</v>
      </c>
      <c r="J173" s="9">
        <f t="shared" si="102"/>
        <v>1</v>
      </c>
      <c r="K173" s="9">
        <f t="shared" si="103"/>
        <v>0</v>
      </c>
      <c r="L173" s="9">
        <f t="shared" si="104"/>
        <v>0.30599999999999739</v>
      </c>
      <c r="M173" s="9">
        <f>data!J173</f>
        <v>-8.5</v>
      </c>
      <c r="N173" s="9">
        <f>data!I173</f>
        <v>1.425</v>
      </c>
      <c r="O173" s="9">
        <f>data!L173</f>
        <v>7.5</v>
      </c>
      <c r="P173" s="9">
        <f>data!K173</f>
        <v>8.25</v>
      </c>
      <c r="Q173" s="9">
        <f>data!R173</f>
        <v>8.25</v>
      </c>
      <c r="R173" s="9">
        <f t="shared" si="105"/>
        <v>3</v>
      </c>
      <c r="S173" s="9">
        <f t="shared" si="106"/>
        <v>1.75</v>
      </c>
      <c r="T173" s="9">
        <f t="shared" si="107"/>
        <v>3.25</v>
      </c>
      <c r="U173" s="9">
        <f t="shared" si="108"/>
        <v>1.3499999999999996</v>
      </c>
      <c r="V173" s="9">
        <f t="shared" si="109"/>
        <v>1.5</v>
      </c>
      <c r="W173" s="9">
        <f t="shared" si="110"/>
        <v>-1.5</v>
      </c>
      <c r="X173" s="9">
        <f t="shared" si="111"/>
        <v>-6</v>
      </c>
      <c r="Y173" s="9">
        <f t="shared" si="112"/>
        <v>-8.8500000000000014</v>
      </c>
      <c r="Z173" s="9">
        <f t="shared" si="113"/>
        <v>-1.5</v>
      </c>
      <c r="AA173" s="9">
        <f t="shared" si="114"/>
        <v>-0.1100000000000001</v>
      </c>
      <c r="AB173" s="9">
        <f t="shared" si="115"/>
        <v>0.92500000000000004</v>
      </c>
      <c r="AC173" s="9">
        <f t="shared" si="116"/>
        <v>7.4999999999999956E-2</v>
      </c>
      <c r="AD173" s="9">
        <f t="shared" si="117"/>
        <v>-0.57500000000000007</v>
      </c>
      <c r="AE173" s="9">
        <f t="shared" si="118"/>
        <v>-0.96</v>
      </c>
      <c r="AF173" s="9">
        <f t="shared" si="119"/>
        <v>-3.8</v>
      </c>
      <c r="AG173" s="9">
        <f t="shared" si="120"/>
        <v>-8.0750000000000011</v>
      </c>
      <c r="AH173" s="9">
        <f t="shared" si="121"/>
        <v>-11.175000000000001</v>
      </c>
      <c r="AI173" s="9">
        <f t="shared" si="122"/>
        <v>-6.1749999999999998</v>
      </c>
      <c r="AJ173" s="9">
        <f t="shared" si="123"/>
        <v>0.75</v>
      </c>
      <c r="AK173" s="9">
        <f t="shared" si="124"/>
        <v>1</v>
      </c>
      <c r="AL173" s="9">
        <f t="shared" si="125"/>
        <v>0.25</v>
      </c>
      <c r="AM173" s="9">
        <f t="shared" si="126"/>
        <v>-1</v>
      </c>
      <c r="AN173" s="9">
        <f t="shared" si="127"/>
        <v>-1.25</v>
      </c>
      <c r="AO173" s="9">
        <f t="shared" si="128"/>
        <v>-3.375</v>
      </c>
      <c r="AP173" s="9">
        <f t="shared" si="129"/>
        <v>-8.75</v>
      </c>
      <c r="AQ173" s="9">
        <f t="shared" si="130"/>
        <v>-10.375</v>
      </c>
      <c r="AR173" s="9">
        <f t="shared" si="131"/>
        <v>-7.85</v>
      </c>
      <c r="AS173" s="9">
        <f t="shared" si="132"/>
        <v>0.25</v>
      </c>
      <c r="AT173" s="9">
        <f t="shared" si="133"/>
        <v>0.5</v>
      </c>
      <c r="AU173" s="9">
        <f t="shared" si="134"/>
        <v>-0.25</v>
      </c>
      <c r="AV173" s="9">
        <f t="shared" si="135"/>
        <v>-1.125</v>
      </c>
      <c r="AW173" s="9">
        <f t="shared" si="136"/>
        <v>-1.5</v>
      </c>
      <c r="AX173" s="9">
        <f t="shared" si="137"/>
        <v>-2.625</v>
      </c>
      <c r="AY173" s="9">
        <f t="shared" si="138"/>
        <v>-7.875</v>
      </c>
      <c r="AZ173" s="9">
        <f t="shared" si="139"/>
        <v>-8.3125</v>
      </c>
      <c r="BA173" s="9">
        <f t="shared" si="140"/>
        <v>-7.5</v>
      </c>
      <c r="BB173" s="9">
        <f t="shared" si="141"/>
        <v>0.25</v>
      </c>
      <c r="BC173" s="9">
        <f t="shared" si="142"/>
        <v>0.5</v>
      </c>
      <c r="BD173" s="9">
        <f t="shared" si="143"/>
        <v>-0.25</v>
      </c>
      <c r="BE173" s="9">
        <f t="shared" si="144"/>
        <v>-1.375</v>
      </c>
      <c r="BF173" s="9">
        <f t="shared" si="145"/>
        <v>-1.75</v>
      </c>
      <c r="BG173" s="9">
        <f t="shared" si="146"/>
        <v>-2.625</v>
      </c>
      <c r="BH173" s="9">
        <f t="shared" si="147"/>
        <v>-8</v>
      </c>
      <c r="BI173" s="9">
        <f t="shared" si="148"/>
        <v>-8.625</v>
      </c>
      <c r="BJ173" s="9">
        <f t="shared" si="149"/>
        <v>-6.5</v>
      </c>
    </row>
    <row r="174" spans="1:62" x14ac:dyDescent="0.2">
      <c r="A174" s="9">
        <f>data!M175-data!M174</f>
        <v>0.39740000000000464</v>
      </c>
      <c r="B174" s="9">
        <f>data!C175-data!C174</f>
        <v>-1.4100000000000001</v>
      </c>
      <c r="C174" s="9">
        <f>data!D175-data!D174</f>
        <v>-1.1150000000000002</v>
      </c>
      <c r="D174" s="10">
        <f>data!B175-data!B174</f>
        <v>3.0000000000000027E-2</v>
      </c>
      <c r="E174" s="9">
        <f>data!E174-data!G174</f>
        <v>2.2603</v>
      </c>
      <c r="F174" s="9">
        <f>(data!E174-data!F174)-(data!G174-data!H174)</f>
        <v>0.67549999999999966</v>
      </c>
      <c r="G174" s="9">
        <f t="shared" si="100"/>
        <v>-5.4199999999999804E-2</v>
      </c>
      <c r="H174" s="9">
        <f t="shared" si="101"/>
        <v>-0.15359999999999929</v>
      </c>
      <c r="I174" s="9">
        <f>IF(data!M175&gt; 111.81,1,0)</f>
        <v>0</v>
      </c>
      <c r="J174" s="9">
        <f t="shared" si="102"/>
        <v>1</v>
      </c>
      <c r="K174" s="9">
        <f t="shared" si="103"/>
        <v>0</v>
      </c>
      <c r="L174" s="9">
        <f t="shared" si="104"/>
        <v>0.39740000000000464</v>
      </c>
      <c r="M174" s="9">
        <f>data!J174</f>
        <v>-5.5</v>
      </c>
      <c r="N174" s="9">
        <f>data!I174</f>
        <v>1.3149999999999999</v>
      </c>
      <c r="O174" s="9">
        <f>data!L174</f>
        <v>8.25</v>
      </c>
      <c r="P174" s="9">
        <f>data!K174</f>
        <v>8.5</v>
      </c>
      <c r="Q174" s="9">
        <f>data!R174</f>
        <v>8.5</v>
      </c>
      <c r="R174" s="9">
        <f t="shared" si="105"/>
        <v>-1.25</v>
      </c>
      <c r="S174" s="9">
        <f t="shared" si="106"/>
        <v>0.25</v>
      </c>
      <c r="T174" s="9">
        <f t="shared" si="107"/>
        <v>-1.6500000000000004</v>
      </c>
      <c r="U174" s="9">
        <f t="shared" si="108"/>
        <v>-1.5</v>
      </c>
      <c r="V174" s="9">
        <f t="shared" si="109"/>
        <v>-4.5</v>
      </c>
      <c r="W174" s="9">
        <f t="shared" si="110"/>
        <v>-9</v>
      </c>
      <c r="X174" s="9">
        <f t="shared" si="111"/>
        <v>-11.850000000000001</v>
      </c>
      <c r="Y174" s="9">
        <f t="shared" si="112"/>
        <v>-4.5</v>
      </c>
      <c r="Z174" s="9">
        <f t="shared" si="113"/>
        <v>-2.25</v>
      </c>
      <c r="AA174" s="9">
        <f t="shared" si="114"/>
        <v>1.0350000000000001</v>
      </c>
      <c r="AB174" s="9">
        <f t="shared" si="115"/>
        <v>0.18500000000000005</v>
      </c>
      <c r="AC174" s="9">
        <f t="shared" si="116"/>
        <v>-0.46499999999999997</v>
      </c>
      <c r="AD174" s="9">
        <f t="shared" si="117"/>
        <v>-0.84999999999999987</v>
      </c>
      <c r="AE174" s="9">
        <f t="shared" si="118"/>
        <v>-3.69</v>
      </c>
      <c r="AF174" s="9">
        <f t="shared" si="119"/>
        <v>-7.9649999999999999</v>
      </c>
      <c r="AG174" s="9">
        <f t="shared" si="120"/>
        <v>-11.065</v>
      </c>
      <c r="AH174" s="9">
        <f t="shared" si="121"/>
        <v>-6.0649999999999995</v>
      </c>
      <c r="AI174" s="9">
        <f t="shared" si="122"/>
        <v>-2.0649999999999999</v>
      </c>
      <c r="AJ174" s="9">
        <f t="shared" si="123"/>
        <v>0.25</v>
      </c>
      <c r="AK174" s="9">
        <f t="shared" si="124"/>
        <v>-0.5</v>
      </c>
      <c r="AL174" s="9">
        <f t="shared" si="125"/>
        <v>-1.75</v>
      </c>
      <c r="AM174" s="9">
        <f t="shared" si="126"/>
        <v>-2</v>
      </c>
      <c r="AN174" s="9">
        <f t="shared" si="127"/>
        <v>-4.125</v>
      </c>
      <c r="AO174" s="9">
        <f t="shared" si="128"/>
        <v>-9.5</v>
      </c>
      <c r="AP174" s="9">
        <f t="shared" si="129"/>
        <v>-11.125</v>
      </c>
      <c r="AQ174" s="9">
        <f t="shared" si="130"/>
        <v>-8.6</v>
      </c>
      <c r="AR174" s="9">
        <f t="shared" si="131"/>
        <v>-4.125</v>
      </c>
      <c r="AS174" s="9">
        <f t="shared" si="132"/>
        <v>0.25</v>
      </c>
      <c r="AT174" s="9">
        <f t="shared" si="133"/>
        <v>-0.5</v>
      </c>
      <c r="AU174" s="9">
        <f t="shared" si="134"/>
        <v>-1.375</v>
      </c>
      <c r="AV174" s="9">
        <f t="shared" si="135"/>
        <v>-1.75</v>
      </c>
      <c r="AW174" s="9">
        <f t="shared" si="136"/>
        <v>-2.875</v>
      </c>
      <c r="AX174" s="9">
        <f t="shared" si="137"/>
        <v>-8.125</v>
      </c>
      <c r="AY174" s="9">
        <f t="shared" si="138"/>
        <v>-8.5625</v>
      </c>
      <c r="AZ174" s="9">
        <f t="shared" si="139"/>
        <v>-7.75</v>
      </c>
      <c r="BA174" s="9">
        <f t="shared" si="140"/>
        <v>-2.8479999999999999</v>
      </c>
      <c r="BB174" s="9">
        <f t="shared" si="141"/>
        <v>0.25</v>
      </c>
      <c r="BC174" s="9">
        <f t="shared" si="142"/>
        <v>-0.5</v>
      </c>
      <c r="BD174" s="9">
        <f t="shared" si="143"/>
        <v>-1.625</v>
      </c>
      <c r="BE174" s="9">
        <f t="shared" si="144"/>
        <v>-2</v>
      </c>
      <c r="BF174" s="9">
        <f t="shared" si="145"/>
        <v>-2.875</v>
      </c>
      <c r="BG174" s="9">
        <f t="shared" si="146"/>
        <v>-8.25</v>
      </c>
      <c r="BH174" s="9">
        <f t="shared" si="147"/>
        <v>-8.875</v>
      </c>
      <c r="BI174" s="9">
        <f t="shared" si="148"/>
        <v>-6.75</v>
      </c>
      <c r="BJ174" s="9">
        <f t="shared" si="149"/>
        <v>-2.8125</v>
      </c>
    </row>
    <row r="175" spans="1:62" x14ac:dyDescent="0.2">
      <c r="A175" s="9">
        <f>data!M176-data!M175</f>
        <v>2.1699999999995612E-2</v>
      </c>
      <c r="B175" s="9">
        <f>data!C176-data!C175</f>
        <v>1.2300000000000004</v>
      </c>
      <c r="C175" s="9">
        <f>data!D176-data!D175</f>
        <v>1.3849999999999998</v>
      </c>
      <c r="D175" s="10">
        <f>data!B176-data!B175</f>
        <v>-7.4999999999999512E-3</v>
      </c>
      <c r="E175" s="9">
        <f>data!E175-data!G175</f>
        <v>2.2061000000000002</v>
      </c>
      <c r="F175" s="9">
        <f>(data!E175-data!F175)-(data!G175-data!H175)</f>
        <v>0.52190000000000036</v>
      </c>
      <c r="G175" s="9">
        <f t="shared" si="100"/>
        <v>-9.0000000000012292E-4</v>
      </c>
      <c r="H175" s="9">
        <f t="shared" si="101"/>
        <v>0.17919999999999958</v>
      </c>
      <c r="I175" s="9">
        <f>IF(data!M176&gt; 111.81,1,0)</f>
        <v>0</v>
      </c>
      <c r="J175" s="9">
        <f t="shared" si="102"/>
        <v>1</v>
      </c>
      <c r="K175" s="9">
        <f t="shared" si="103"/>
        <v>0</v>
      </c>
      <c r="L175" s="9">
        <f t="shared" si="104"/>
        <v>2.1699999999995612E-2</v>
      </c>
      <c r="M175" s="9">
        <f>data!J175</f>
        <v>-6.75</v>
      </c>
      <c r="N175" s="9">
        <f>data!I175</f>
        <v>2.35</v>
      </c>
      <c r="O175" s="9">
        <f>data!L175</f>
        <v>8.5</v>
      </c>
      <c r="P175" s="9">
        <f>data!K175</f>
        <v>8.75</v>
      </c>
      <c r="Q175" s="9">
        <f>data!R175</f>
        <v>8.75</v>
      </c>
      <c r="R175" s="9">
        <f t="shared" si="105"/>
        <v>1.5</v>
      </c>
      <c r="S175" s="9">
        <f t="shared" si="106"/>
        <v>-0.40000000000000036</v>
      </c>
      <c r="T175" s="9">
        <f t="shared" si="107"/>
        <v>-0.25</v>
      </c>
      <c r="U175" s="9">
        <f t="shared" si="108"/>
        <v>-3.25</v>
      </c>
      <c r="V175" s="9">
        <f t="shared" si="109"/>
        <v>-7.75</v>
      </c>
      <c r="W175" s="9">
        <f t="shared" si="110"/>
        <v>-10.600000000000001</v>
      </c>
      <c r="X175" s="9">
        <f t="shared" si="111"/>
        <v>-3.25</v>
      </c>
      <c r="Y175" s="9">
        <f t="shared" si="112"/>
        <v>-1</v>
      </c>
      <c r="Z175" s="9">
        <f t="shared" si="113"/>
        <v>-6.25</v>
      </c>
      <c r="AA175" s="9">
        <f t="shared" si="114"/>
        <v>-0.85000000000000009</v>
      </c>
      <c r="AB175" s="9">
        <f t="shared" si="115"/>
        <v>-1.5</v>
      </c>
      <c r="AC175" s="9">
        <f t="shared" si="116"/>
        <v>-1.885</v>
      </c>
      <c r="AD175" s="9">
        <f t="shared" si="117"/>
        <v>-4.7249999999999996</v>
      </c>
      <c r="AE175" s="9">
        <f t="shared" si="118"/>
        <v>-9</v>
      </c>
      <c r="AF175" s="9">
        <f t="shared" si="119"/>
        <v>-12.1</v>
      </c>
      <c r="AG175" s="9">
        <f t="shared" si="120"/>
        <v>-7.1</v>
      </c>
      <c r="AH175" s="9">
        <f t="shared" si="121"/>
        <v>-3.1</v>
      </c>
      <c r="AI175" s="9">
        <f t="shared" si="122"/>
        <v>-4.0999999999999996</v>
      </c>
      <c r="AJ175" s="9">
        <f t="shared" si="123"/>
        <v>-0.75</v>
      </c>
      <c r="AK175" s="9">
        <f t="shared" si="124"/>
        <v>-2</v>
      </c>
      <c r="AL175" s="9">
        <f t="shared" si="125"/>
        <v>-2.25</v>
      </c>
      <c r="AM175" s="9">
        <f t="shared" si="126"/>
        <v>-4.375</v>
      </c>
      <c r="AN175" s="9">
        <f t="shared" si="127"/>
        <v>-9.75</v>
      </c>
      <c r="AO175" s="9">
        <f t="shared" si="128"/>
        <v>-11.375</v>
      </c>
      <c r="AP175" s="9">
        <f t="shared" si="129"/>
        <v>-8.85</v>
      </c>
      <c r="AQ175" s="9">
        <f t="shared" si="130"/>
        <v>-4.375</v>
      </c>
      <c r="AR175" s="9">
        <f t="shared" si="131"/>
        <v>-4.75</v>
      </c>
      <c r="AS175" s="9">
        <f t="shared" si="132"/>
        <v>-0.75</v>
      </c>
      <c r="AT175" s="9">
        <f t="shared" si="133"/>
        <v>-1.625</v>
      </c>
      <c r="AU175" s="9">
        <f t="shared" si="134"/>
        <v>-2</v>
      </c>
      <c r="AV175" s="9">
        <f t="shared" si="135"/>
        <v>-3.125</v>
      </c>
      <c r="AW175" s="9">
        <f t="shared" si="136"/>
        <v>-8.375</v>
      </c>
      <c r="AX175" s="9">
        <f t="shared" si="137"/>
        <v>-8.8125</v>
      </c>
      <c r="AY175" s="9">
        <f t="shared" si="138"/>
        <v>-8</v>
      </c>
      <c r="AZ175" s="9">
        <f t="shared" si="139"/>
        <v>-3.0979999999999999</v>
      </c>
      <c r="BA175" s="9">
        <f t="shared" si="140"/>
        <v>-3.125</v>
      </c>
      <c r="BB175" s="9">
        <f t="shared" si="141"/>
        <v>-0.75</v>
      </c>
      <c r="BC175" s="9">
        <f t="shared" si="142"/>
        <v>-1.875</v>
      </c>
      <c r="BD175" s="9">
        <f t="shared" si="143"/>
        <v>-2.25</v>
      </c>
      <c r="BE175" s="9">
        <f t="shared" si="144"/>
        <v>-3.125</v>
      </c>
      <c r="BF175" s="9">
        <f t="shared" si="145"/>
        <v>-8.5</v>
      </c>
      <c r="BG175" s="9">
        <f t="shared" si="146"/>
        <v>-9.125</v>
      </c>
      <c r="BH175" s="9">
        <f t="shared" si="147"/>
        <v>-7</v>
      </c>
      <c r="BI175" s="9">
        <f t="shared" si="148"/>
        <v>-3.0625</v>
      </c>
      <c r="BJ175" s="9">
        <f t="shared" si="149"/>
        <v>-2.625</v>
      </c>
    </row>
    <row r="176" spans="1:62" x14ac:dyDescent="0.2">
      <c r="A176" s="9">
        <f>data!M177-data!M176</f>
        <v>-0.4672999999999945</v>
      </c>
      <c r="B176" s="9">
        <f>data!C177-data!C176</f>
        <v>-2.9400000000000013</v>
      </c>
      <c r="C176" s="9">
        <f>data!D177-data!D176</f>
        <v>-1.2349999999999994</v>
      </c>
      <c r="D176" s="10">
        <f>data!B177-data!B176</f>
        <v>-5.0000000000000044E-3</v>
      </c>
      <c r="E176" s="9">
        <f>data!E176-data!G176</f>
        <v>2.2052</v>
      </c>
      <c r="F176" s="9">
        <f>(data!E176-data!F176)-(data!G176-data!H176)</f>
        <v>0.70109999999999995</v>
      </c>
      <c r="G176" s="9">
        <f t="shared" si="100"/>
        <v>-6.4599999999999991E-2</v>
      </c>
      <c r="H176" s="9">
        <f t="shared" si="101"/>
        <v>-0.15310000000000024</v>
      </c>
      <c r="I176" s="9">
        <f>IF(data!M177&gt; 111.81,1,0)</f>
        <v>0</v>
      </c>
      <c r="J176" s="9">
        <f t="shared" si="102"/>
        <v>1</v>
      </c>
      <c r="K176" s="9">
        <f t="shared" si="103"/>
        <v>0</v>
      </c>
      <c r="L176" s="9">
        <f t="shared" si="104"/>
        <v>-0.4672999999999945</v>
      </c>
      <c r="M176" s="9">
        <f>data!J176</f>
        <v>-5.25</v>
      </c>
      <c r="N176" s="9">
        <f>data!I176</f>
        <v>1.5</v>
      </c>
      <c r="O176" s="9">
        <f>data!L176</f>
        <v>7.75</v>
      </c>
      <c r="P176" s="9">
        <f>data!K176</f>
        <v>8</v>
      </c>
      <c r="Q176" s="9">
        <f>data!R176</f>
        <v>8</v>
      </c>
      <c r="R176" s="9">
        <f t="shared" si="105"/>
        <v>-1.9000000000000004</v>
      </c>
      <c r="S176" s="9">
        <f t="shared" si="106"/>
        <v>-1.75</v>
      </c>
      <c r="T176" s="9">
        <f t="shared" si="107"/>
        <v>-4.75</v>
      </c>
      <c r="U176" s="9">
        <f t="shared" si="108"/>
        <v>-9.25</v>
      </c>
      <c r="V176" s="9">
        <f t="shared" si="109"/>
        <v>-12.100000000000001</v>
      </c>
      <c r="W176" s="9">
        <f t="shared" si="110"/>
        <v>-4.75</v>
      </c>
      <c r="X176" s="9">
        <f t="shared" si="111"/>
        <v>-2.5</v>
      </c>
      <c r="Y176" s="9">
        <f t="shared" si="112"/>
        <v>-7.75</v>
      </c>
      <c r="Z176" s="9">
        <f t="shared" si="113"/>
        <v>-12.25</v>
      </c>
      <c r="AA176" s="9">
        <f t="shared" si="114"/>
        <v>-0.65</v>
      </c>
      <c r="AB176" s="9">
        <f t="shared" si="115"/>
        <v>-1.0349999999999999</v>
      </c>
      <c r="AC176" s="9">
        <f t="shared" si="116"/>
        <v>-3.875</v>
      </c>
      <c r="AD176" s="9">
        <f t="shared" si="117"/>
        <v>-8.15</v>
      </c>
      <c r="AE176" s="9">
        <f t="shared" si="118"/>
        <v>-11.25</v>
      </c>
      <c r="AF176" s="9">
        <f t="shared" si="119"/>
        <v>-6.25</v>
      </c>
      <c r="AG176" s="9">
        <f t="shared" si="120"/>
        <v>-2.25</v>
      </c>
      <c r="AH176" s="9">
        <f t="shared" si="121"/>
        <v>-3.25</v>
      </c>
      <c r="AI176" s="9">
        <f t="shared" si="122"/>
        <v>-6.2</v>
      </c>
      <c r="AJ176" s="9">
        <f t="shared" si="123"/>
        <v>-1.25</v>
      </c>
      <c r="AK176" s="9">
        <f t="shared" si="124"/>
        <v>-1.5</v>
      </c>
      <c r="AL176" s="9">
        <f t="shared" si="125"/>
        <v>-3.625</v>
      </c>
      <c r="AM176" s="9">
        <f t="shared" si="126"/>
        <v>-9</v>
      </c>
      <c r="AN176" s="9">
        <f t="shared" si="127"/>
        <v>-10.625</v>
      </c>
      <c r="AO176" s="9">
        <f t="shared" si="128"/>
        <v>-8.1</v>
      </c>
      <c r="AP176" s="9">
        <f t="shared" si="129"/>
        <v>-3.625</v>
      </c>
      <c r="AQ176" s="9">
        <f t="shared" si="130"/>
        <v>-4</v>
      </c>
      <c r="AR176" s="9">
        <f t="shared" si="131"/>
        <v>-4.3125</v>
      </c>
      <c r="AS176" s="9">
        <f t="shared" si="132"/>
        <v>-0.875</v>
      </c>
      <c r="AT176" s="9">
        <f t="shared" si="133"/>
        <v>-1.25</v>
      </c>
      <c r="AU176" s="9">
        <f t="shared" si="134"/>
        <v>-2.375</v>
      </c>
      <c r="AV176" s="9">
        <f t="shared" si="135"/>
        <v>-7.625</v>
      </c>
      <c r="AW176" s="9">
        <f t="shared" si="136"/>
        <v>-8.0625</v>
      </c>
      <c r="AX176" s="9">
        <f t="shared" si="137"/>
        <v>-7.25</v>
      </c>
      <c r="AY176" s="9">
        <f t="shared" si="138"/>
        <v>-2.3479999999999999</v>
      </c>
      <c r="AZ176" s="9">
        <f t="shared" si="139"/>
        <v>-2.375</v>
      </c>
      <c r="BA176" s="9">
        <f t="shared" si="140"/>
        <v>-2.67</v>
      </c>
      <c r="BB176" s="9">
        <f t="shared" si="141"/>
        <v>-1.125</v>
      </c>
      <c r="BC176" s="9">
        <f t="shared" si="142"/>
        <v>-1.5</v>
      </c>
      <c r="BD176" s="9">
        <f t="shared" si="143"/>
        <v>-2.375</v>
      </c>
      <c r="BE176" s="9">
        <f t="shared" si="144"/>
        <v>-7.75</v>
      </c>
      <c r="BF176" s="9">
        <f t="shared" si="145"/>
        <v>-8.375</v>
      </c>
      <c r="BG176" s="9">
        <f t="shared" si="146"/>
        <v>-6.25</v>
      </c>
      <c r="BH176" s="9">
        <f t="shared" si="147"/>
        <v>-2.3125</v>
      </c>
      <c r="BI176" s="9">
        <f t="shared" si="148"/>
        <v>-1.875</v>
      </c>
      <c r="BJ176" s="9">
        <f t="shared" si="149"/>
        <v>-1.835</v>
      </c>
    </row>
    <row r="177" spans="1:62" x14ac:dyDescent="0.2">
      <c r="A177" s="9">
        <f>data!M178-data!M177</f>
        <v>-0.59329999999999927</v>
      </c>
      <c r="B177" s="9">
        <f>data!C178-data!C177</f>
        <v>3.0800000000000018</v>
      </c>
      <c r="C177" s="9">
        <f>data!D178-data!D177</f>
        <v>0.72749999999999915</v>
      </c>
      <c r="D177" s="10">
        <f>data!B178-data!B177</f>
        <v>4.7499999999999987E-2</v>
      </c>
      <c r="E177" s="9">
        <f>data!E177-data!G177</f>
        <v>2.1406000000000001</v>
      </c>
      <c r="F177" s="9">
        <f>(data!E177-data!F177)-(data!G177-data!H177)</f>
        <v>0.54799999999999971</v>
      </c>
      <c r="G177" s="9">
        <f t="shared" si="100"/>
        <v>-4.210000000000047E-2</v>
      </c>
      <c r="H177" s="9">
        <f t="shared" si="101"/>
        <v>-3.7699999999999734E-2</v>
      </c>
      <c r="I177" s="9">
        <f>IF(data!M178&gt; 111.81,1,0)</f>
        <v>0</v>
      </c>
      <c r="J177" s="9">
        <f t="shared" si="102"/>
        <v>1</v>
      </c>
      <c r="K177" s="9">
        <f t="shared" si="103"/>
        <v>0</v>
      </c>
      <c r="L177" s="9">
        <f t="shared" si="104"/>
        <v>-0.59329999999999927</v>
      </c>
      <c r="M177" s="9">
        <f>data!J177</f>
        <v>-7.15</v>
      </c>
      <c r="N177" s="9">
        <f>data!I177</f>
        <v>0.85</v>
      </c>
      <c r="O177" s="9">
        <f>data!L177</f>
        <v>6.5</v>
      </c>
      <c r="P177" s="9">
        <f>data!K177</f>
        <v>7.125</v>
      </c>
      <c r="Q177" s="9">
        <f>data!R177</f>
        <v>6.875</v>
      </c>
      <c r="R177" s="9">
        <f t="shared" si="105"/>
        <v>0.15000000000000036</v>
      </c>
      <c r="S177" s="9">
        <f t="shared" si="106"/>
        <v>-2.8499999999999996</v>
      </c>
      <c r="T177" s="9">
        <f t="shared" si="107"/>
        <v>-7.35</v>
      </c>
      <c r="U177" s="9">
        <f t="shared" si="108"/>
        <v>-10.200000000000001</v>
      </c>
      <c r="V177" s="9">
        <f t="shared" si="109"/>
        <v>-2.8499999999999996</v>
      </c>
      <c r="W177" s="9">
        <f t="shared" si="110"/>
        <v>-0.59999999999999964</v>
      </c>
      <c r="X177" s="9">
        <f t="shared" si="111"/>
        <v>-5.85</v>
      </c>
      <c r="Y177" s="9">
        <f t="shared" si="112"/>
        <v>-10.35</v>
      </c>
      <c r="Z177" s="9">
        <f t="shared" si="113"/>
        <v>-12.85</v>
      </c>
      <c r="AA177" s="9">
        <f t="shared" si="114"/>
        <v>-0.38499999999999995</v>
      </c>
      <c r="AB177" s="9">
        <f t="shared" si="115"/>
        <v>-3.2250000000000001</v>
      </c>
      <c r="AC177" s="9">
        <f t="shared" si="116"/>
        <v>-7.5</v>
      </c>
      <c r="AD177" s="9">
        <f t="shared" si="117"/>
        <v>-10.6</v>
      </c>
      <c r="AE177" s="9">
        <f t="shared" si="118"/>
        <v>-5.6</v>
      </c>
      <c r="AF177" s="9">
        <f t="shared" si="119"/>
        <v>-1.6</v>
      </c>
      <c r="AG177" s="9">
        <f t="shared" si="120"/>
        <v>-2.6</v>
      </c>
      <c r="AH177" s="9">
        <f t="shared" si="121"/>
        <v>-5.55</v>
      </c>
      <c r="AI177" s="9">
        <f t="shared" si="122"/>
        <v>-7.1</v>
      </c>
      <c r="AJ177" s="9">
        <f t="shared" si="123"/>
        <v>-0.25</v>
      </c>
      <c r="AK177" s="9">
        <f t="shared" si="124"/>
        <v>-2.375</v>
      </c>
      <c r="AL177" s="9">
        <f t="shared" si="125"/>
        <v>-7.75</v>
      </c>
      <c r="AM177" s="9">
        <f t="shared" si="126"/>
        <v>-9.375</v>
      </c>
      <c r="AN177" s="9">
        <f t="shared" si="127"/>
        <v>-6.85</v>
      </c>
      <c r="AO177" s="9">
        <f t="shared" si="128"/>
        <v>-2.375</v>
      </c>
      <c r="AP177" s="9">
        <f t="shared" si="129"/>
        <v>-2.75</v>
      </c>
      <c r="AQ177" s="9">
        <f t="shared" si="130"/>
        <v>-3.0625</v>
      </c>
      <c r="AR177" s="9">
        <f t="shared" si="131"/>
        <v>-2</v>
      </c>
      <c r="AS177" s="9">
        <f t="shared" si="132"/>
        <v>-0.375</v>
      </c>
      <c r="AT177" s="9">
        <f t="shared" si="133"/>
        <v>-1.5</v>
      </c>
      <c r="AU177" s="9">
        <f t="shared" si="134"/>
        <v>-6.75</v>
      </c>
      <c r="AV177" s="9">
        <f t="shared" si="135"/>
        <v>-7.1875</v>
      </c>
      <c r="AW177" s="9">
        <f t="shared" si="136"/>
        <v>-6.375</v>
      </c>
      <c r="AX177" s="9">
        <f t="shared" si="137"/>
        <v>-1.4729999999999999</v>
      </c>
      <c r="AY177" s="9">
        <f t="shared" si="138"/>
        <v>-1.5</v>
      </c>
      <c r="AZ177" s="9">
        <f t="shared" si="139"/>
        <v>-1.7949999999999999</v>
      </c>
      <c r="BA177" s="9">
        <f t="shared" si="140"/>
        <v>-0.625</v>
      </c>
      <c r="BB177" s="9">
        <f t="shared" si="141"/>
        <v>-0.375</v>
      </c>
      <c r="BC177" s="9">
        <f t="shared" si="142"/>
        <v>-1.25</v>
      </c>
      <c r="BD177" s="9">
        <f t="shared" si="143"/>
        <v>-6.625</v>
      </c>
      <c r="BE177" s="9">
        <f t="shared" si="144"/>
        <v>-7.25</v>
      </c>
      <c r="BF177" s="9">
        <f t="shared" si="145"/>
        <v>-5.125</v>
      </c>
      <c r="BG177" s="9">
        <f t="shared" si="146"/>
        <v>-1.1875</v>
      </c>
      <c r="BH177" s="9">
        <f t="shared" si="147"/>
        <v>-0.75</v>
      </c>
      <c r="BI177" s="9">
        <f t="shared" si="148"/>
        <v>-0.71</v>
      </c>
      <c r="BJ177" s="9">
        <f t="shared" si="149"/>
        <v>0.125</v>
      </c>
    </row>
    <row r="178" spans="1:62" x14ac:dyDescent="0.2">
      <c r="A178" s="9">
        <f>data!M179-data!M178</f>
        <v>0.35819999999999652</v>
      </c>
      <c r="B178" s="9">
        <f>data!C179-data!C178</f>
        <v>-1.7200000000000024</v>
      </c>
      <c r="C178" s="9">
        <f>data!D179-data!D178</f>
        <v>-0.92999999999999972</v>
      </c>
      <c r="D178" s="10">
        <f>data!B179-data!B178</f>
        <v>-5.0000000000000044E-3</v>
      </c>
      <c r="E178" s="9">
        <f>data!E178-data!G178</f>
        <v>2.0984999999999996</v>
      </c>
      <c r="F178" s="9">
        <f>(data!E178-data!F178)-(data!G178-data!H178)</f>
        <v>0.51029999999999998</v>
      </c>
      <c r="G178" s="9">
        <f t="shared" si="100"/>
        <v>0.2020000000000004</v>
      </c>
      <c r="H178" s="9">
        <f t="shared" si="101"/>
        <v>6.4100000000000268E-2</v>
      </c>
      <c r="I178" s="9">
        <f>IF(data!M179&gt; 111.81,1,0)</f>
        <v>0</v>
      </c>
      <c r="J178" s="9">
        <f t="shared" si="102"/>
        <v>1</v>
      </c>
      <c r="K178" s="9">
        <f t="shared" si="103"/>
        <v>0</v>
      </c>
      <c r="L178" s="9">
        <f t="shared" si="104"/>
        <v>0.35819999999999652</v>
      </c>
      <c r="M178" s="9">
        <f>data!J178</f>
        <v>-7</v>
      </c>
      <c r="N178" s="9">
        <f>data!I178</f>
        <v>0.46500000000000002</v>
      </c>
      <c r="O178" s="9">
        <f>data!L178</f>
        <v>6.25</v>
      </c>
      <c r="P178" s="9">
        <f>data!K178</f>
        <v>6.75</v>
      </c>
      <c r="Q178" s="9">
        <f>data!R178</f>
        <v>6.5</v>
      </c>
      <c r="R178" s="9">
        <f t="shared" si="105"/>
        <v>-3</v>
      </c>
      <c r="S178" s="9">
        <f t="shared" si="106"/>
        <v>-7.5</v>
      </c>
      <c r="T178" s="9">
        <f t="shared" si="107"/>
        <v>-10.350000000000001</v>
      </c>
      <c r="U178" s="9">
        <f t="shared" si="108"/>
        <v>-3</v>
      </c>
      <c r="V178" s="9">
        <f t="shared" si="109"/>
        <v>-0.75</v>
      </c>
      <c r="W178" s="9">
        <f t="shared" si="110"/>
        <v>-6</v>
      </c>
      <c r="X178" s="9">
        <f t="shared" si="111"/>
        <v>-10.5</v>
      </c>
      <c r="Y178" s="9">
        <f t="shared" si="112"/>
        <v>-13</v>
      </c>
      <c r="Z178" s="9">
        <f t="shared" si="113"/>
        <v>-12.75</v>
      </c>
      <c r="AA178" s="9">
        <f t="shared" si="114"/>
        <v>-2.84</v>
      </c>
      <c r="AB178" s="9">
        <f t="shared" si="115"/>
        <v>-7.1150000000000002</v>
      </c>
      <c r="AC178" s="9">
        <f t="shared" si="116"/>
        <v>-10.215</v>
      </c>
      <c r="AD178" s="9">
        <f t="shared" si="117"/>
        <v>-5.2149999999999999</v>
      </c>
      <c r="AE178" s="9">
        <f t="shared" si="118"/>
        <v>-1.2150000000000001</v>
      </c>
      <c r="AF178" s="9">
        <f t="shared" si="119"/>
        <v>-2.2149999999999999</v>
      </c>
      <c r="AG178" s="9">
        <f t="shared" si="120"/>
        <v>-5.165</v>
      </c>
      <c r="AH178" s="9">
        <f t="shared" si="121"/>
        <v>-6.7149999999999999</v>
      </c>
      <c r="AI178" s="9">
        <f t="shared" si="122"/>
        <v>-8.7149999999999999</v>
      </c>
      <c r="AJ178" s="9">
        <f t="shared" si="123"/>
        <v>-2.125</v>
      </c>
      <c r="AK178" s="9">
        <f t="shared" si="124"/>
        <v>-7.5</v>
      </c>
      <c r="AL178" s="9">
        <f t="shared" si="125"/>
        <v>-9.125</v>
      </c>
      <c r="AM178" s="9">
        <f t="shared" si="126"/>
        <v>-6.6</v>
      </c>
      <c r="AN178" s="9">
        <f t="shared" si="127"/>
        <v>-2.125</v>
      </c>
      <c r="AO178" s="9">
        <f t="shared" si="128"/>
        <v>-2.5</v>
      </c>
      <c r="AP178" s="9">
        <f t="shared" si="129"/>
        <v>-2.8125</v>
      </c>
      <c r="AQ178" s="9">
        <f t="shared" si="130"/>
        <v>-1.75</v>
      </c>
      <c r="AR178" s="9">
        <f t="shared" si="131"/>
        <v>-4.375</v>
      </c>
      <c r="AS178" s="9">
        <f t="shared" si="132"/>
        <v>-1.125</v>
      </c>
      <c r="AT178" s="9">
        <f t="shared" si="133"/>
        <v>-6.375</v>
      </c>
      <c r="AU178" s="9">
        <f t="shared" si="134"/>
        <v>-6.8125</v>
      </c>
      <c r="AV178" s="9">
        <f t="shared" si="135"/>
        <v>-6</v>
      </c>
      <c r="AW178" s="9">
        <f t="shared" si="136"/>
        <v>-1.0979999999999999</v>
      </c>
      <c r="AX178" s="9">
        <f t="shared" si="137"/>
        <v>-1.125</v>
      </c>
      <c r="AY178" s="9">
        <f t="shared" si="138"/>
        <v>-1.42</v>
      </c>
      <c r="AZ178" s="9">
        <f t="shared" si="139"/>
        <v>-0.25</v>
      </c>
      <c r="BA178" s="9">
        <f t="shared" si="140"/>
        <v>-1.625</v>
      </c>
      <c r="BB178" s="9">
        <f t="shared" si="141"/>
        <v>-0.875</v>
      </c>
      <c r="BC178" s="9">
        <f t="shared" si="142"/>
        <v>-6.25</v>
      </c>
      <c r="BD178" s="9">
        <f t="shared" si="143"/>
        <v>-6.875</v>
      </c>
      <c r="BE178" s="9">
        <f t="shared" si="144"/>
        <v>-4.75</v>
      </c>
      <c r="BF178" s="9">
        <f t="shared" si="145"/>
        <v>-0.8125</v>
      </c>
      <c r="BG178" s="9">
        <f t="shared" si="146"/>
        <v>-0.375</v>
      </c>
      <c r="BH178" s="9">
        <f t="shared" si="147"/>
        <v>-0.33499999999999996</v>
      </c>
      <c r="BI178" s="9">
        <f t="shared" si="148"/>
        <v>0.5</v>
      </c>
      <c r="BJ178" s="9">
        <f t="shared" si="149"/>
        <v>-0.375</v>
      </c>
    </row>
    <row r="179" spans="1:62" x14ac:dyDescent="0.2">
      <c r="A179" s="9">
        <f>data!M180-data!M179</f>
        <v>0.25240000000000862</v>
      </c>
      <c r="B179" s="9">
        <f>data!C180-data!C179</f>
        <v>5.73</v>
      </c>
      <c r="C179" s="9">
        <f>data!D180-data!D179</f>
        <v>0.36250000000000071</v>
      </c>
      <c r="D179" s="10">
        <f>data!B180-data!B179</f>
        <v>-2.2499999999999964E-2</v>
      </c>
      <c r="E179" s="9">
        <f>data!E179-data!G179</f>
        <v>2.3005</v>
      </c>
      <c r="F179" s="9">
        <f>(data!E179-data!F179)-(data!G179-data!H179)</f>
        <v>0.57440000000000024</v>
      </c>
      <c r="G179" s="9">
        <f t="shared" si="100"/>
        <v>-0.18730000000000002</v>
      </c>
      <c r="H179" s="9">
        <f t="shared" si="101"/>
        <v>5.1399999999999668E-2</v>
      </c>
      <c r="I179" s="9">
        <f>IF(data!M180&gt; 111.81,1,0)</f>
        <v>0</v>
      </c>
      <c r="J179" s="9">
        <f t="shared" si="102"/>
        <v>1</v>
      </c>
      <c r="K179" s="9">
        <f t="shared" si="103"/>
        <v>0</v>
      </c>
      <c r="L179" s="9">
        <f t="shared" si="104"/>
        <v>0.25240000000000862</v>
      </c>
      <c r="M179" s="9">
        <f>data!J179</f>
        <v>-10</v>
      </c>
      <c r="N179" s="9">
        <f>data!I179</f>
        <v>-2.375</v>
      </c>
      <c r="O179" s="9">
        <f>data!L179</f>
        <v>4.125</v>
      </c>
      <c r="P179" s="9">
        <f>data!K179</f>
        <v>5.625</v>
      </c>
      <c r="Q179" s="9">
        <f>data!R179</f>
        <v>5.625</v>
      </c>
      <c r="R179" s="9">
        <f t="shared" si="105"/>
        <v>-4.5</v>
      </c>
      <c r="S179" s="9">
        <f t="shared" si="106"/>
        <v>-7.3500000000000014</v>
      </c>
      <c r="T179" s="9">
        <f t="shared" si="107"/>
        <v>0</v>
      </c>
      <c r="U179" s="9">
        <f t="shared" si="108"/>
        <v>2.25</v>
      </c>
      <c r="V179" s="9">
        <f t="shared" si="109"/>
        <v>-3</v>
      </c>
      <c r="W179" s="9">
        <f t="shared" si="110"/>
        <v>-7.5</v>
      </c>
      <c r="X179" s="9">
        <f t="shared" si="111"/>
        <v>-10</v>
      </c>
      <c r="Y179" s="9">
        <f t="shared" si="112"/>
        <v>-9.75</v>
      </c>
      <c r="Z179" s="9">
        <f t="shared" si="113"/>
        <v>-10</v>
      </c>
      <c r="AA179" s="9">
        <f t="shared" si="114"/>
        <v>-4.2750000000000004</v>
      </c>
      <c r="AB179" s="9">
        <f t="shared" si="115"/>
        <v>-7.375</v>
      </c>
      <c r="AC179" s="9">
        <f t="shared" si="116"/>
        <v>-2.375</v>
      </c>
      <c r="AD179" s="9">
        <f t="shared" si="117"/>
        <v>1.625</v>
      </c>
      <c r="AE179" s="9">
        <f t="shared" si="118"/>
        <v>0.625</v>
      </c>
      <c r="AF179" s="9">
        <f t="shared" si="119"/>
        <v>-2.3250000000000002</v>
      </c>
      <c r="AG179" s="9">
        <f t="shared" si="120"/>
        <v>-3.875</v>
      </c>
      <c r="AH179" s="9">
        <f t="shared" si="121"/>
        <v>-5.875</v>
      </c>
      <c r="AI179" s="9">
        <f t="shared" si="122"/>
        <v>-7.5299999999999994</v>
      </c>
      <c r="AJ179" s="9">
        <f t="shared" si="123"/>
        <v>-5.375</v>
      </c>
      <c r="AK179" s="9">
        <f t="shared" si="124"/>
        <v>-7</v>
      </c>
      <c r="AL179" s="9">
        <f t="shared" si="125"/>
        <v>-4.4749999999999996</v>
      </c>
      <c r="AM179" s="9">
        <f t="shared" si="126"/>
        <v>0</v>
      </c>
      <c r="AN179" s="9">
        <f t="shared" si="127"/>
        <v>-0.375</v>
      </c>
      <c r="AO179" s="9">
        <f t="shared" si="128"/>
        <v>-0.6875</v>
      </c>
      <c r="AP179" s="9">
        <f t="shared" si="129"/>
        <v>0.375</v>
      </c>
      <c r="AQ179" s="9">
        <f t="shared" si="130"/>
        <v>-2.25</v>
      </c>
      <c r="AR179" s="9">
        <f t="shared" si="131"/>
        <v>-3.625</v>
      </c>
      <c r="AS179" s="9">
        <f t="shared" si="132"/>
        <v>-5.25</v>
      </c>
      <c r="AT179" s="9">
        <f t="shared" si="133"/>
        <v>-5.6875</v>
      </c>
      <c r="AU179" s="9">
        <f t="shared" si="134"/>
        <v>-4.875</v>
      </c>
      <c r="AV179" s="9">
        <f t="shared" si="135"/>
        <v>2.7000000000000135E-2</v>
      </c>
      <c r="AW179" s="9">
        <f t="shared" si="136"/>
        <v>0</v>
      </c>
      <c r="AX179" s="9">
        <f t="shared" si="137"/>
        <v>-0.29499999999999993</v>
      </c>
      <c r="AY179" s="9">
        <f t="shared" si="138"/>
        <v>0.875</v>
      </c>
      <c r="AZ179" s="9">
        <f t="shared" si="139"/>
        <v>-0.5</v>
      </c>
      <c r="BA179" s="9">
        <f t="shared" si="140"/>
        <v>-2.625</v>
      </c>
      <c r="BB179" s="9">
        <f t="shared" si="141"/>
        <v>-5.375</v>
      </c>
      <c r="BC179" s="9">
        <f t="shared" si="142"/>
        <v>-6</v>
      </c>
      <c r="BD179" s="9">
        <f t="shared" si="143"/>
        <v>-3.875</v>
      </c>
      <c r="BE179" s="9">
        <f t="shared" si="144"/>
        <v>6.25E-2</v>
      </c>
      <c r="BF179" s="9">
        <f t="shared" si="145"/>
        <v>0.5</v>
      </c>
      <c r="BG179" s="9">
        <f t="shared" si="146"/>
        <v>0.54</v>
      </c>
      <c r="BH179" s="9">
        <f t="shared" si="147"/>
        <v>1.375</v>
      </c>
      <c r="BI179" s="9">
        <f t="shared" si="148"/>
        <v>0.5</v>
      </c>
      <c r="BJ179" s="9">
        <f t="shared" si="149"/>
        <v>-1.81</v>
      </c>
    </row>
    <row r="180" spans="1:62" x14ac:dyDescent="0.2">
      <c r="A180" s="9">
        <f>data!M181-data!M180</f>
        <v>0.95940000000000225</v>
      </c>
      <c r="B180" s="9">
        <f>data!C181-data!C180</f>
        <v>-2.34</v>
      </c>
      <c r="C180" s="9">
        <f>data!D181-data!D180</f>
        <v>-7.5000000000002842E-3</v>
      </c>
      <c r="D180" s="10">
        <f>data!B181-data!B180</f>
        <v>-0.20000000000000007</v>
      </c>
      <c r="E180" s="9">
        <f>data!E180-data!G180</f>
        <v>2.1132</v>
      </c>
      <c r="F180" s="9">
        <f>(data!E180-data!F180)-(data!G180-data!H180)</f>
        <v>0.62579999999999991</v>
      </c>
      <c r="G180" s="9">
        <f t="shared" si="100"/>
        <v>0.27229999999999999</v>
      </c>
      <c r="H180" s="9">
        <f t="shared" si="101"/>
        <v>-0.24990000000000023</v>
      </c>
      <c r="I180" s="9">
        <f>IF(data!M181&gt; 111.81,1,0)</f>
        <v>0</v>
      </c>
      <c r="J180" s="9">
        <f t="shared" si="102"/>
        <v>1</v>
      </c>
      <c r="K180" s="9">
        <f t="shared" si="103"/>
        <v>0</v>
      </c>
      <c r="L180" s="9">
        <f t="shared" si="104"/>
        <v>0.95940000000000225</v>
      </c>
      <c r="M180" s="9">
        <f>data!J180</f>
        <v>-14.5</v>
      </c>
      <c r="N180" s="9">
        <f>data!I180</f>
        <v>-6.65</v>
      </c>
      <c r="O180" s="9">
        <f>data!L180</f>
        <v>-1.25</v>
      </c>
      <c r="P180" s="9">
        <f>data!K180</f>
        <v>0.375</v>
      </c>
      <c r="Q180" s="9">
        <f>data!R180</f>
        <v>0.25</v>
      </c>
      <c r="R180" s="9">
        <f t="shared" si="105"/>
        <v>-2.8500000000000014</v>
      </c>
      <c r="S180" s="9">
        <f t="shared" si="106"/>
        <v>4.5</v>
      </c>
      <c r="T180" s="9">
        <f t="shared" si="107"/>
        <v>6.75</v>
      </c>
      <c r="U180" s="9">
        <f t="shared" si="108"/>
        <v>1.5</v>
      </c>
      <c r="V180" s="9">
        <f t="shared" si="109"/>
        <v>-3</v>
      </c>
      <c r="W180" s="9">
        <f t="shared" si="110"/>
        <v>-5.5</v>
      </c>
      <c r="X180" s="9">
        <f t="shared" si="111"/>
        <v>-5.25</v>
      </c>
      <c r="Y180" s="9">
        <f t="shared" si="112"/>
        <v>-5.5</v>
      </c>
      <c r="Z180" s="9">
        <f t="shared" si="113"/>
        <v>-7</v>
      </c>
      <c r="AA180" s="9">
        <f t="shared" si="114"/>
        <v>-3.0999999999999996</v>
      </c>
      <c r="AB180" s="9">
        <f t="shared" si="115"/>
        <v>1.9000000000000004</v>
      </c>
      <c r="AC180" s="9">
        <f t="shared" si="116"/>
        <v>5.9</v>
      </c>
      <c r="AD180" s="9">
        <f t="shared" si="117"/>
        <v>4.9000000000000004</v>
      </c>
      <c r="AE180" s="9">
        <f t="shared" si="118"/>
        <v>1.9500000000000002</v>
      </c>
      <c r="AF180" s="9">
        <f t="shared" si="119"/>
        <v>0.40000000000000036</v>
      </c>
      <c r="AG180" s="9">
        <f t="shared" si="120"/>
        <v>-1.5999999999999996</v>
      </c>
      <c r="AH180" s="9">
        <f t="shared" si="121"/>
        <v>-3.254999999999999</v>
      </c>
      <c r="AI180" s="9">
        <f t="shared" si="122"/>
        <v>-2.3499999999999996</v>
      </c>
      <c r="AJ180" s="9">
        <f t="shared" si="123"/>
        <v>-1.625</v>
      </c>
      <c r="AK180" s="9">
        <f t="shared" si="124"/>
        <v>0.9</v>
      </c>
      <c r="AL180" s="9">
        <f t="shared" si="125"/>
        <v>5.375</v>
      </c>
      <c r="AM180" s="9">
        <f t="shared" si="126"/>
        <v>5</v>
      </c>
      <c r="AN180" s="9">
        <f t="shared" si="127"/>
        <v>4.6875</v>
      </c>
      <c r="AO180" s="9">
        <f t="shared" si="128"/>
        <v>5.75</v>
      </c>
      <c r="AP180" s="9">
        <f t="shared" si="129"/>
        <v>3.125</v>
      </c>
      <c r="AQ180" s="9">
        <f t="shared" si="130"/>
        <v>1.75</v>
      </c>
      <c r="AR180" s="9">
        <f t="shared" si="131"/>
        <v>3</v>
      </c>
      <c r="AS180" s="9">
        <f t="shared" si="132"/>
        <v>-0.4375</v>
      </c>
      <c r="AT180" s="9">
        <f t="shared" si="133"/>
        <v>0.375</v>
      </c>
      <c r="AU180" s="9">
        <f t="shared" si="134"/>
        <v>5.2770000000000001</v>
      </c>
      <c r="AV180" s="9">
        <f t="shared" si="135"/>
        <v>5.25</v>
      </c>
      <c r="AW180" s="9">
        <f t="shared" si="136"/>
        <v>4.9550000000000001</v>
      </c>
      <c r="AX180" s="9">
        <f t="shared" si="137"/>
        <v>6.125</v>
      </c>
      <c r="AY180" s="9">
        <f t="shared" si="138"/>
        <v>4.75</v>
      </c>
      <c r="AZ180" s="9">
        <f t="shared" si="139"/>
        <v>2.625</v>
      </c>
      <c r="BA180" s="9">
        <f t="shared" si="140"/>
        <v>3</v>
      </c>
      <c r="BB180" s="9">
        <f t="shared" si="141"/>
        <v>-0.625</v>
      </c>
      <c r="BC180" s="9">
        <f t="shared" si="142"/>
        <v>1.5</v>
      </c>
      <c r="BD180" s="9">
        <f t="shared" si="143"/>
        <v>5.4375</v>
      </c>
      <c r="BE180" s="9">
        <f t="shared" si="144"/>
        <v>5.875</v>
      </c>
      <c r="BF180" s="9">
        <f t="shared" si="145"/>
        <v>5.915</v>
      </c>
      <c r="BG180" s="9">
        <f t="shared" si="146"/>
        <v>6.75</v>
      </c>
      <c r="BH180" s="9">
        <f t="shared" si="147"/>
        <v>5.875</v>
      </c>
      <c r="BI180" s="9">
        <f t="shared" si="148"/>
        <v>3.5649999999999999</v>
      </c>
      <c r="BJ180" s="9">
        <f t="shared" si="149"/>
        <v>3.75</v>
      </c>
    </row>
    <row r="181" spans="1:62" x14ac:dyDescent="0.2">
      <c r="A181" s="9">
        <f>data!M182-data!M181</f>
        <v>-0.8586000000000098</v>
      </c>
      <c r="B181" s="9">
        <f>data!C182-data!C181</f>
        <v>1.6500000000000021</v>
      </c>
      <c r="C181" s="9">
        <f>data!D182-data!D181</f>
        <v>-0.39750000000000085</v>
      </c>
      <c r="D181" s="10">
        <f>data!B182-data!B181</f>
        <v>0.16249999999999998</v>
      </c>
      <c r="E181" s="9">
        <f>data!E181-data!G181</f>
        <v>2.3855</v>
      </c>
      <c r="F181" s="9">
        <f>(data!E181-data!F181)-(data!G181-data!H181)</f>
        <v>0.37589999999999968</v>
      </c>
      <c r="G181" s="9">
        <f t="shared" si="100"/>
        <v>1.3600000000000723E-2</v>
      </c>
      <c r="H181" s="9">
        <f t="shared" si="101"/>
        <v>1.8500000000000627E-2</v>
      </c>
      <c r="I181" s="9">
        <f>IF(data!M182&gt; 111.81,1,0)</f>
        <v>0</v>
      </c>
      <c r="J181" s="9">
        <f t="shared" si="102"/>
        <v>1</v>
      </c>
      <c r="K181" s="9">
        <f t="shared" si="103"/>
        <v>0</v>
      </c>
      <c r="L181" s="9">
        <f t="shared" si="104"/>
        <v>-0.8586000000000098</v>
      </c>
      <c r="M181" s="9">
        <f>data!J181</f>
        <v>-17.350000000000001</v>
      </c>
      <c r="N181" s="9">
        <f>data!I181</f>
        <v>-9.75</v>
      </c>
      <c r="O181" s="9">
        <f>data!L181</f>
        <v>-2.875</v>
      </c>
      <c r="P181" s="9">
        <f>data!K181</f>
        <v>-6.25E-2</v>
      </c>
      <c r="Q181" s="9">
        <f>data!R181</f>
        <v>-0.375</v>
      </c>
      <c r="R181" s="9">
        <f t="shared" si="105"/>
        <v>7.3500000000000014</v>
      </c>
      <c r="S181" s="9">
        <f t="shared" si="106"/>
        <v>9.6000000000000014</v>
      </c>
      <c r="T181" s="9">
        <f t="shared" si="107"/>
        <v>4.3500000000000014</v>
      </c>
      <c r="U181" s="9">
        <f t="shared" si="108"/>
        <v>-0.14999999999999858</v>
      </c>
      <c r="V181" s="9">
        <f t="shared" si="109"/>
        <v>-2.6499999999999986</v>
      </c>
      <c r="W181" s="9">
        <f t="shared" si="110"/>
        <v>-2.3999999999999986</v>
      </c>
      <c r="X181" s="9">
        <f t="shared" si="111"/>
        <v>-2.6499999999999986</v>
      </c>
      <c r="Y181" s="9">
        <f t="shared" si="112"/>
        <v>-4.1499999999999986</v>
      </c>
      <c r="Z181" s="9">
        <f t="shared" si="113"/>
        <v>-5.3999999999999986</v>
      </c>
      <c r="AA181" s="9">
        <f t="shared" si="114"/>
        <v>5</v>
      </c>
      <c r="AB181" s="9">
        <f t="shared" si="115"/>
        <v>9</v>
      </c>
      <c r="AC181" s="9">
        <f t="shared" si="116"/>
        <v>8</v>
      </c>
      <c r="AD181" s="9">
        <f t="shared" si="117"/>
        <v>5.05</v>
      </c>
      <c r="AE181" s="9">
        <f t="shared" si="118"/>
        <v>3.5</v>
      </c>
      <c r="AF181" s="9">
        <f t="shared" si="119"/>
        <v>1.5</v>
      </c>
      <c r="AG181" s="9">
        <f t="shared" si="120"/>
        <v>-0.15499999999999936</v>
      </c>
      <c r="AH181" s="9">
        <f t="shared" si="121"/>
        <v>0.75</v>
      </c>
      <c r="AI181" s="9">
        <f t="shared" si="122"/>
        <v>-1</v>
      </c>
      <c r="AJ181" s="9">
        <f t="shared" si="123"/>
        <v>2.5249999999999999</v>
      </c>
      <c r="AK181" s="9">
        <f t="shared" si="124"/>
        <v>7</v>
      </c>
      <c r="AL181" s="9">
        <f t="shared" si="125"/>
        <v>6.625</v>
      </c>
      <c r="AM181" s="9">
        <f t="shared" si="126"/>
        <v>6.3125</v>
      </c>
      <c r="AN181" s="9">
        <f t="shared" si="127"/>
        <v>7.375</v>
      </c>
      <c r="AO181" s="9">
        <f t="shared" si="128"/>
        <v>4.75</v>
      </c>
      <c r="AP181" s="9">
        <f t="shared" si="129"/>
        <v>3.375</v>
      </c>
      <c r="AQ181" s="9">
        <f t="shared" si="130"/>
        <v>4.625</v>
      </c>
      <c r="AR181" s="9">
        <f t="shared" si="131"/>
        <v>3.19</v>
      </c>
      <c r="AS181" s="9">
        <f t="shared" si="132"/>
        <v>0.8125</v>
      </c>
      <c r="AT181" s="9">
        <f t="shared" si="133"/>
        <v>5.7145000000000001</v>
      </c>
      <c r="AU181" s="9">
        <f t="shared" si="134"/>
        <v>5.6875</v>
      </c>
      <c r="AV181" s="9">
        <f t="shared" si="135"/>
        <v>5.3925000000000001</v>
      </c>
      <c r="AW181" s="9">
        <f t="shared" si="136"/>
        <v>6.5625</v>
      </c>
      <c r="AX181" s="9">
        <f t="shared" si="137"/>
        <v>5.1875</v>
      </c>
      <c r="AY181" s="9">
        <f t="shared" si="138"/>
        <v>3.0625</v>
      </c>
      <c r="AZ181" s="9">
        <f t="shared" si="139"/>
        <v>3.4375</v>
      </c>
      <c r="BA181" s="9">
        <f t="shared" si="140"/>
        <v>3.4375</v>
      </c>
      <c r="BB181" s="9">
        <f t="shared" si="141"/>
        <v>2.125</v>
      </c>
      <c r="BC181" s="9">
        <f t="shared" si="142"/>
        <v>6.0625</v>
      </c>
      <c r="BD181" s="9">
        <f t="shared" si="143"/>
        <v>6.5</v>
      </c>
      <c r="BE181" s="9">
        <f t="shared" si="144"/>
        <v>6.54</v>
      </c>
      <c r="BF181" s="9">
        <f t="shared" si="145"/>
        <v>7.375</v>
      </c>
      <c r="BG181" s="9">
        <f t="shared" si="146"/>
        <v>6.5</v>
      </c>
      <c r="BH181" s="9">
        <f t="shared" si="147"/>
        <v>4.1899999999999995</v>
      </c>
      <c r="BI181" s="9">
        <f t="shared" si="148"/>
        <v>4.375</v>
      </c>
      <c r="BJ181" s="9">
        <f t="shared" si="149"/>
        <v>4.1875</v>
      </c>
    </row>
    <row r="182" spans="1:62" x14ac:dyDescent="0.2">
      <c r="A182" s="9">
        <f>data!M183-data!M182</f>
        <v>-0.26059999999999661</v>
      </c>
      <c r="B182" s="9">
        <f>data!C183-data!C182</f>
        <v>0.57000000000000028</v>
      </c>
      <c r="C182" s="9">
        <f>data!D183-data!D182</f>
        <v>0.54250000000000043</v>
      </c>
      <c r="D182" s="10">
        <f>data!B183-data!B182</f>
        <v>6.5000000000000058E-2</v>
      </c>
      <c r="E182" s="9">
        <f>data!E182-data!G182</f>
        <v>2.3991000000000007</v>
      </c>
      <c r="F182" s="9">
        <f>(data!E182-data!F182)-(data!G182-data!H182)</f>
        <v>0.39440000000000031</v>
      </c>
      <c r="G182" s="9">
        <f t="shared" si="100"/>
        <v>-5.3900000000000947E-2</v>
      </c>
      <c r="H182" s="9">
        <f t="shared" si="101"/>
        <v>0.13499999999999945</v>
      </c>
      <c r="I182" s="9">
        <f>IF(data!M183&gt; 111.81,1,0)</f>
        <v>0</v>
      </c>
      <c r="J182" s="9">
        <f t="shared" si="102"/>
        <v>1</v>
      </c>
      <c r="K182" s="9">
        <f t="shared" si="103"/>
        <v>0</v>
      </c>
      <c r="L182" s="9">
        <f t="shared" si="104"/>
        <v>-0.26059999999999661</v>
      </c>
      <c r="M182" s="9">
        <f>data!J182</f>
        <v>-10</v>
      </c>
      <c r="N182" s="9">
        <f>data!I182</f>
        <v>-4.75</v>
      </c>
      <c r="O182" s="9">
        <f>data!L182</f>
        <v>-0.35</v>
      </c>
      <c r="P182" s="9">
        <f>data!K182</f>
        <v>0.75</v>
      </c>
      <c r="Q182" s="9">
        <f>data!R182</f>
        <v>1.75</v>
      </c>
      <c r="R182" s="9">
        <f t="shared" si="105"/>
        <v>2.25</v>
      </c>
      <c r="S182" s="9">
        <f t="shared" si="106"/>
        <v>-3</v>
      </c>
      <c r="T182" s="9">
        <f t="shared" si="107"/>
        <v>-7.5</v>
      </c>
      <c r="U182" s="9">
        <f t="shared" si="108"/>
        <v>-10</v>
      </c>
      <c r="V182" s="9">
        <f t="shared" si="109"/>
        <v>-9.75</v>
      </c>
      <c r="W182" s="9">
        <f t="shared" si="110"/>
        <v>-10</v>
      </c>
      <c r="X182" s="9">
        <f t="shared" si="111"/>
        <v>-11.5</v>
      </c>
      <c r="Y182" s="9">
        <f t="shared" si="112"/>
        <v>-12.75</v>
      </c>
      <c r="Z182" s="9">
        <f t="shared" si="113"/>
        <v>-10.25</v>
      </c>
      <c r="AA182" s="9">
        <f t="shared" si="114"/>
        <v>4</v>
      </c>
      <c r="AB182" s="9">
        <f t="shared" si="115"/>
        <v>3</v>
      </c>
      <c r="AC182" s="9">
        <f t="shared" si="116"/>
        <v>4.9999999999999822E-2</v>
      </c>
      <c r="AD182" s="9">
        <f t="shared" si="117"/>
        <v>-1.5</v>
      </c>
      <c r="AE182" s="9">
        <f t="shared" si="118"/>
        <v>-3.5</v>
      </c>
      <c r="AF182" s="9">
        <f t="shared" si="119"/>
        <v>-5.1549999999999994</v>
      </c>
      <c r="AG182" s="9">
        <f t="shared" si="120"/>
        <v>-4.25</v>
      </c>
      <c r="AH182" s="9">
        <f t="shared" si="121"/>
        <v>-6</v>
      </c>
      <c r="AI182" s="9">
        <f t="shared" si="122"/>
        <v>-5.5</v>
      </c>
      <c r="AJ182" s="9">
        <f t="shared" si="123"/>
        <v>4.4749999999999996</v>
      </c>
      <c r="AK182" s="9">
        <f t="shared" si="124"/>
        <v>4.0999999999999996</v>
      </c>
      <c r="AL182" s="9">
        <f t="shared" si="125"/>
        <v>3.7875000000000001</v>
      </c>
      <c r="AM182" s="9">
        <f t="shared" si="126"/>
        <v>4.8499999999999996</v>
      </c>
      <c r="AN182" s="9">
        <f t="shared" si="127"/>
        <v>2.2250000000000001</v>
      </c>
      <c r="AO182" s="9">
        <f t="shared" si="128"/>
        <v>0.85</v>
      </c>
      <c r="AP182" s="9">
        <f t="shared" si="129"/>
        <v>2.1</v>
      </c>
      <c r="AQ182" s="9">
        <f t="shared" si="130"/>
        <v>0.66500000000000004</v>
      </c>
      <c r="AR182" s="9">
        <f t="shared" si="131"/>
        <v>1.1000000000000001</v>
      </c>
      <c r="AS182" s="9">
        <f t="shared" si="132"/>
        <v>4.9020000000000001</v>
      </c>
      <c r="AT182" s="9">
        <f t="shared" si="133"/>
        <v>4.875</v>
      </c>
      <c r="AU182" s="9">
        <f t="shared" si="134"/>
        <v>4.58</v>
      </c>
      <c r="AV182" s="9">
        <f t="shared" si="135"/>
        <v>5.75</v>
      </c>
      <c r="AW182" s="9">
        <f t="shared" si="136"/>
        <v>4.375</v>
      </c>
      <c r="AX182" s="9">
        <f t="shared" si="137"/>
        <v>2.25</v>
      </c>
      <c r="AY182" s="9">
        <f t="shared" si="138"/>
        <v>2.625</v>
      </c>
      <c r="AZ182" s="9">
        <f t="shared" si="139"/>
        <v>2.625</v>
      </c>
      <c r="BA182" s="9">
        <f t="shared" si="140"/>
        <v>2.75</v>
      </c>
      <c r="BB182" s="9">
        <f t="shared" si="141"/>
        <v>3.9375</v>
      </c>
      <c r="BC182" s="9">
        <f t="shared" si="142"/>
        <v>4.375</v>
      </c>
      <c r="BD182" s="9">
        <f t="shared" si="143"/>
        <v>4.415</v>
      </c>
      <c r="BE182" s="9">
        <f t="shared" si="144"/>
        <v>5.25</v>
      </c>
      <c r="BF182" s="9">
        <f t="shared" si="145"/>
        <v>4.375</v>
      </c>
      <c r="BG182" s="9">
        <f t="shared" si="146"/>
        <v>2.0649999999999999</v>
      </c>
      <c r="BH182" s="9">
        <f t="shared" si="147"/>
        <v>2.25</v>
      </c>
      <c r="BI182" s="9">
        <f t="shared" si="148"/>
        <v>2.0625</v>
      </c>
      <c r="BJ182" s="9">
        <f t="shared" si="149"/>
        <v>2.125</v>
      </c>
    </row>
    <row r="183" spans="1:62" x14ac:dyDescent="0.2">
      <c r="A183" s="9">
        <f>data!M184-data!M183</f>
        <v>0.23510000000000275</v>
      </c>
      <c r="B183" s="9">
        <f>data!C184-data!C183</f>
        <v>1.3399999999999999</v>
      </c>
      <c r="C183" s="9">
        <f>data!D184-data!D183</f>
        <v>-0.70500000000000007</v>
      </c>
      <c r="D183" s="10">
        <f>data!B184-data!B183</f>
        <v>4.0000000000000036E-2</v>
      </c>
      <c r="E183" s="9">
        <f>data!E183-data!G183</f>
        <v>2.3451999999999997</v>
      </c>
      <c r="F183" s="9">
        <f>(data!E183-data!F183)-(data!G183-data!H183)</f>
        <v>0.52939999999999976</v>
      </c>
      <c r="G183" s="9">
        <f t="shared" si="100"/>
        <v>-2.0199999999999552E-2</v>
      </c>
      <c r="H183" s="9">
        <f t="shared" si="101"/>
        <v>0.10300000000000042</v>
      </c>
      <c r="I183" s="9">
        <f>IF(data!M184&gt; 111.81,1,0)</f>
        <v>0</v>
      </c>
      <c r="J183" s="9">
        <f t="shared" si="102"/>
        <v>1</v>
      </c>
      <c r="K183" s="9">
        <f t="shared" si="103"/>
        <v>0</v>
      </c>
      <c r="L183" s="9">
        <f t="shared" si="104"/>
        <v>0.23510000000000275</v>
      </c>
      <c r="M183" s="9">
        <f>data!J183</f>
        <v>-7.75</v>
      </c>
      <c r="N183" s="9">
        <f>data!I183</f>
        <v>-0.75</v>
      </c>
      <c r="O183" s="9">
        <f>data!L183</f>
        <v>4.125</v>
      </c>
      <c r="P183" s="9">
        <f>data!K183</f>
        <v>5.6520000000000001</v>
      </c>
      <c r="Q183" s="9">
        <f>data!R183</f>
        <v>5.6875</v>
      </c>
      <c r="R183" s="9">
        <f t="shared" si="105"/>
        <v>-5.25</v>
      </c>
      <c r="S183" s="9">
        <f t="shared" si="106"/>
        <v>-9.75</v>
      </c>
      <c r="T183" s="9">
        <f t="shared" si="107"/>
        <v>-12.25</v>
      </c>
      <c r="U183" s="9">
        <f t="shared" si="108"/>
        <v>-12</v>
      </c>
      <c r="V183" s="9">
        <f t="shared" si="109"/>
        <v>-12.25</v>
      </c>
      <c r="W183" s="9">
        <f t="shared" si="110"/>
        <v>-13.75</v>
      </c>
      <c r="X183" s="9">
        <f t="shared" si="111"/>
        <v>-15</v>
      </c>
      <c r="Y183" s="9">
        <f t="shared" si="112"/>
        <v>-12.5</v>
      </c>
      <c r="Z183" s="9">
        <f t="shared" si="113"/>
        <v>-8.1300000000000008</v>
      </c>
      <c r="AA183" s="9">
        <f t="shared" si="114"/>
        <v>-1</v>
      </c>
      <c r="AB183" s="9">
        <f t="shared" si="115"/>
        <v>-3.95</v>
      </c>
      <c r="AC183" s="9">
        <f t="shared" si="116"/>
        <v>-5.5</v>
      </c>
      <c r="AD183" s="9">
        <f t="shared" si="117"/>
        <v>-7.5</v>
      </c>
      <c r="AE183" s="9">
        <f t="shared" si="118"/>
        <v>-9.1549999999999994</v>
      </c>
      <c r="AF183" s="9">
        <f t="shared" si="119"/>
        <v>-8.25</v>
      </c>
      <c r="AG183" s="9">
        <f t="shared" si="120"/>
        <v>-10</v>
      </c>
      <c r="AH183" s="9">
        <f t="shared" si="121"/>
        <v>-9.5</v>
      </c>
      <c r="AI183" s="9">
        <f t="shared" si="122"/>
        <v>-6.5</v>
      </c>
      <c r="AJ183" s="9">
        <f t="shared" si="123"/>
        <v>-0.375</v>
      </c>
      <c r="AK183" s="9">
        <f t="shared" si="124"/>
        <v>-0.6875</v>
      </c>
      <c r="AL183" s="9">
        <f t="shared" si="125"/>
        <v>0.375</v>
      </c>
      <c r="AM183" s="9">
        <f t="shared" si="126"/>
        <v>-2.25</v>
      </c>
      <c r="AN183" s="9">
        <f t="shared" si="127"/>
        <v>-3.625</v>
      </c>
      <c r="AO183" s="9">
        <f t="shared" si="128"/>
        <v>-2.375</v>
      </c>
      <c r="AP183" s="9">
        <f t="shared" si="129"/>
        <v>-3.81</v>
      </c>
      <c r="AQ183" s="9">
        <f t="shared" si="130"/>
        <v>-3.375</v>
      </c>
      <c r="AR183" s="9">
        <f t="shared" si="131"/>
        <v>-1.9950000000000001</v>
      </c>
      <c r="AS183" s="9">
        <f t="shared" si="132"/>
        <v>-2.7000000000000135E-2</v>
      </c>
      <c r="AT183" s="9">
        <f t="shared" si="133"/>
        <v>-0.32200000000000006</v>
      </c>
      <c r="AU183" s="9">
        <f t="shared" si="134"/>
        <v>0.84799999999999986</v>
      </c>
      <c r="AV183" s="9">
        <f t="shared" si="135"/>
        <v>-0.52700000000000014</v>
      </c>
      <c r="AW183" s="9">
        <f t="shared" si="136"/>
        <v>-2.6520000000000001</v>
      </c>
      <c r="AX183" s="9">
        <f t="shared" si="137"/>
        <v>-2.2770000000000001</v>
      </c>
      <c r="AY183" s="9">
        <f t="shared" si="138"/>
        <v>-2.2770000000000001</v>
      </c>
      <c r="AZ183" s="9">
        <f t="shared" si="139"/>
        <v>-2.1520000000000001</v>
      </c>
      <c r="BA183" s="9">
        <f t="shared" si="140"/>
        <v>-1.0220000000000002</v>
      </c>
      <c r="BB183" s="9">
        <f t="shared" si="141"/>
        <v>0.4375</v>
      </c>
      <c r="BC183" s="9">
        <f t="shared" si="142"/>
        <v>0.47750000000000004</v>
      </c>
      <c r="BD183" s="9">
        <f t="shared" si="143"/>
        <v>1.3125</v>
      </c>
      <c r="BE183" s="9">
        <f t="shared" si="144"/>
        <v>0.4375</v>
      </c>
      <c r="BF183" s="9">
        <f t="shared" si="145"/>
        <v>-1.8725000000000001</v>
      </c>
      <c r="BG183" s="9">
        <f t="shared" si="146"/>
        <v>-1.6875</v>
      </c>
      <c r="BH183" s="9">
        <f t="shared" si="147"/>
        <v>-1.875</v>
      </c>
      <c r="BI183" s="9">
        <f t="shared" si="148"/>
        <v>-1.8125</v>
      </c>
      <c r="BJ183" s="9">
        <f t="shared" si="149"/>
        <v>-0.60749999999999993</v>
      </c>
    </row>
    <row r="184" spans="1:62" x14ac:dyDescent="0.2">
      <c r="A184" s="9">
        <f>data!M185-data!M184</f>
        <v>-0.6570999999999998</v>
      </c>
      <c r="B184" s="9">
        <f>data!C185-data!C184</f>
        <v>2.7099999999999973</v>
      </c>
      <c r="C184" s="9">
        <f>data!D185-data!D184</f>
        <v>0.15500000000000114</v>
      </c>
      <c r="D184" s="10">
        <f>data!B185-data!B184</f>
        <v>-3.2500000000000084E-2</v>
      </c>
      <c r="E184" s="9">
        <f>data!E184-data!G184</f>
        <v>2.3250000000000002</v>
      </c>
      <c r="F184" s="9">
        <f>(data!E184-data!F184)-(data!G184-data!H184)</f>
        <v>0.63240000000000018</v>
      </c>
      <c r="G184" s="9">
        <f t="shared" si="100"/>
        <v>2.8599999999999515E-2</v>
      </c>
      <c r="H184" s="9">
        <f t="shared" si="101"/>
        <v>-9.4000000000000639E-2</v>
      </c>
      <c r="I184" s="9">
        <f>IF(data!M185&gt; 111.81,1,0)</f>
        <v>0</v>
      </c>
      <c r="J184" s="9">
        <f t="shared" si="102"/>
        <v>1</v>
      </c>
      <c r="K184" s="9">
        <f t="shared" si="103"/>
        <v>0</v>
      </c>
      <c r="L184" s="9">
        <f t="shared" si="104"/>
        <v>-0.6570999999999998</v>
      </c>
      <c r="M184" s="9">
        <f>data!J184</f>
        <v>-13</v>
      </c>
      <c r="N184" s="9">
        <f>data!I184</f>
        <v>-1.75</v>
      </c>
      <c r="O184" s="9">
        <f>data!L184</f>
        <v>3.75</v>
      </c>
      <c r="P184" s="9">
        <f>data!K184</f>
        <v>5.625</v>
      </c>
      <c r="Q184" s="9">
        <f>data!R184</f>
        <v>6.125</v>
      </c>
      <c r="R184" s="9">
        <f t="shared" si="105"/>
        <v>-4.5</v>
      </c>
      <c r="S184" s="9">
        <f t="shared" si="106"/>
        <v>-7</v>
      </c>
      <c r="T184" s="9">
        <f t="shared" si="107"/>
        <v>-6.75</v>
      </c>
      <c r="U184" s="9">
        <f t="shared" si="108"/>
        <v>-7</v>
      </c>
      <c r="V184" s="9">
        <f t="shared" si="109"/>
        <v>-8.5</v>
      </c>
      <c r="W184" s="9">
        <f t="shared" si="110"/>
        <v>-9.75</v>
      </c>
      <c r="X184" s="9">
        <f t="shared" si="111"/>
        <v>-7.25</v>
      </c>
      <c r="Y184" s="9">
        <f t="shared" si="112"/>
        <v>-2.8800000000000008</v>
      </c>
      <c r="Z184" s="9">
        <f t="shared" si="113"/>
        <v>1.25</v>
      </c>
      <c r="AA184" s="9">
        <f t="shared" si="114"/>
        <v>-2.95</v>
      </c>
      <c r="AB184" s="9">
        <f t="shared" si="115"/>
        <v>-4.5</v>
      </c>
      <c r="AC184" s="9">
        <f t="shared" si="116"/>
        <v>-6.5</v>
      </c>
      <c r="AD184" s="9">
        <f t="shared" si="117"/>
        <v>-8.1549999999999994</v>
      </c>
      <c r="AE184" s="9">
        <f t="shared" si="118"/>
        <v>-7.25</v>
      </c>
      <c r="AF184" s="9">
        <f t="shared" si="119"/>
        <v>-9</v>
      </c>
      <c r="AG184" s="9">
        <f t="shared" si="120"/>
        <v>-8.5</v>
      </c>
      <c r="AH184" s="9">
        <f t="shared" si="121"/>
        <v>-5.5</v>
      </c>
      <c r="AI184" s="9">
        <f t="shared" si="122"/>
        <v>-3.5</v>
      </c>
      <c r="AJ184" s="9">
        <f t="shared" si="123"/>
        <v>-0.3125</v>
      </c>
      <c r="AK184" s="9">
        <f t="shared" si="124"/>
        <v>0.75</v>
      </c>
      <c r="AL184" s="9">
        <f t="shared" si="125"/>
        <v>-1.875</v>
      </c>
      <c r="AM184" s="9">
        <f t="shared" si="126"/>
        <v>-3.25</v>
      </c>
      <c r="AN184" s="9">
        <f t="shared" si="127"/>
        <v>-2</v>
      </c>
      <c r="AO184" s="9">
        <f t="shared" si="128"/>
        <v>-3.4350000000000001</v>
      </c>
      <c r="AP184" s="9">
        <f t="shared" si="129"/>
        <v>-3</v>
      </c>
      <c r="AQ184" s="9">
        <f t="shared" si="130"/>
        <v>-1.62</v>
      </c>
      <c r="AR184" s="9">
        <f t="shared" si="131"/>
        <v>0.75</v>
      </c>
      <c r="AS184" s="9">
        <f t="shared" si="132"/>
        <v>-0.29499999999999993</v>
      </c>
      <c r="AT184" s="9">
        <f t="shared" si="133"/>
        <v>0.875</v>
      </c>
      <c r="AU184" s="9">
        <f t="shared" si="134"/>
        <v>-0.5</v>
      </c>
      <c r="AV184" s="9">
        <f t="shared" si="135"/>
        <v>-2.625</v>
      </c>
      <c r="AW184" s="9">
        <f t="shared" si="136"/>
        <v>-2.25</v>
      </c>
      <c r="AX184" s="9">
        <f t="shared" si="137"/>
        <v>-2.25</v>
      </c>
      <c r="AY184" s="9">
        <f t="shared" si="138"/>
        <v>-2.125</v>
      </c>
      <c r="AZ184" s="9">
        <f t="shared" si="139"/>
        <v>-0.99500000000000011</v>
      </c>
      <c r="BA184" s="9">
        <f t="shared" si="140"/>
        <v>1.125</v>
      </c>
      <c r="BB184" s="9">
        <f t="shared" si="141"/>
        <v>4.0000000000000036E-2</v>
      </c>
      <c r="BC184" s="9">
        <f t="shared" si="142"/>
        <v>0.875</v>
      </c>
      <c r="BD184" s="9">
        <f t="shared" si="143"/>
        <v>0</v>
      </c>
      <c r="BE184" s="9">
        <f t="shared" si="144"/>
        <v>-2.31</v>
      </c>
      <c r="BF184" s="9">
        <f t="shared" si="145"/>
        <v>-2.125</v>
      </c>
      <c r="BG184" s="9">
        <f t="shared" si="146"/>
        <v>-2.3125</v>
      </c>
      <c r="BH184" s="9">
        <f t="shared" si="147"/>
        <v>-2.25</v>
      </c>
      <c r="BI184" s="9">
        <f t="shared" si="148"/>
        <v>-1.0449999999999999</v>
      </c>
      <c r="BJ184" s="9">
        <f t="shared" si="149"/>
        <v>1.25</v>
      </c>
    </row>
    <row r="185" spans="1:62" x14ac:dyDescent="0.2">
      <c r="A185" s="9">
        <f>data!M186-data!M185</f>
        <v>-0.14750000000000796</v>
      </c>
      <c r="B185" s="9">
        <f>data!C186-data!C185</f>
        <v>-3.4399999999999977</v>
      </c>
      <c r="C185" s="9">
        <f>data!D186-data!D185</f>
        <v>0.59499999999999886</v>
      </c>
      <c r="D185" s="10">
        <f>data!B186-data!B185</f>
        <v>0.19500000000000006</v>
      </c>
      <c r="E185" s="9">
        <f>data!E185-data!G185</f>
        <v>2.3535999999999997</v>
      </c>
      <c r="F185" s="9">
        <f>(data!E185-data!F185)-(data!G185-data!H185)</f>
        <v>0.53839999999999955</v>
      </c>
      <c r="G185" s="9">
        <f t="shared" si="100"/>
        <v>0.15419999999999989</v>
      </c>
      <c r="H185" s="9">
        <f t="shared" si="101"/>
        <v>0.10070000000000012</v>
      </c>
      <c r="I185" s="9">
        <f>IF(data!M186&gt; 111.81,1,0)</f>
        <v>0</v>
      </c>
      <c r="J185" s="9">
        <f t="shared" si="102"/>
        <v>1</v>
      </c>
      <c r="K185" s="9">
        <f t="shared" si="103"/>
        <v>0</v>
      </c>
      <c r="L185" s="9">
        <f t="shared" si="104"/>
        <v>-0.14750000000000796</v>
      </c>
      <c r="M185" s="9">
        <f>data!J185</f>
        <v>-17.5</v>
      </c>
      <c r="N185" s="9">
        <f>data!I185</f>
        <v>-4.7</v>
      </c>
      <c r="O185" s="9">
        <f>data!L185</f>
        <v>3.4375</v>
      </c>
      <c r="P185" s="9">
        <f>data!K185</f>
        <v>5.33</v>
      </c>
      <c r="Q185" s="9">
        <f>data!R185</f>
        <v>6.165</v>
      </c>
      <c r="R185" s="9">
        <f t="shared" si="105"/>
        <v>-2.5</v>
      </c>
      <c r="S185" s="9">
        <f t="shared" si="106"/>
        <v>-2.25</v>
      </c>
      <c r="T185" s="9">
        <f t="shared" si="107"/>
        <v>-2.5</v>
      </c>
      <c r="U185" s="9">
        <f t="shared" si="108"/>
        <v>-4</v>
      </c>
      <c r="V185" s="9">
        <f t="shared" si="109"/>
        <v>-5.25</v>
      </c>
      <c r="W185" s="9">
        <f t="shared" si="110"/>
        <v>-2.75</v>
      </c>
      <c r="X185" s="9">
        <f t="shared" si="111"/>
        <v>1.6199999999999992</v>
      </c>
      <c r="Y185" s="9">
        <f t="shared" si="112"/>
        <v>5.75</v>
      </c>
      <c r="Z185" s="9">
        <f t="shared" si="113"/>
        <v>5.2249999999999996</v>
      </c>
      <c r="AA185" s="9">
        <f t="shared" si="114"/>
        <v>-1.5499999999999998</v>
      </c>
      <c r="AB185" s="9">
        <f t="shared" si="115"/>
        <v>-3.55</v>
      </c>
      <c r="AC185" s="9">
        <f t="shared" si="116"/>
        <v>-5.2049999999999992</v>
      </c>
      <c r="AD185" s="9">
        <f t="shared" si="117"/>
        <v>-4.3</v>
      </c>
      <c r="AE185" s="9">
        <f t="shared" si="118"/>
        <v>-6.05</v>
      </c>
      <c r="AF185" s="9">
        <f t="shared" si="119"/>
        <v>-5.55</v>
      </c>
      <c r="AG185" s="9">
        <f t="shared" si="120"/>
        <v>-2.5499999999999998</v>
      </c>
      <c r="AH185" s="9">
        <f t="shared" si="121"/>
        <v>-0.54999999999999982</v>
      </c>
      <c r="AI185" s="9">
        <f t="shared" si="122"/>
        <v>-1.3049999999999997</v>
      </c>
      <c r="AJ185" s="9">
        <f t="shared" si="123"/>
        <v>1.0625</v>
      </c>
      <c r="AK185" s="9">
        <f t="shared" si="124"/>
        <v>-1.5625</v>
      </c>
      <c r="AL185" s="9">
        <f t="shared" si="125"/>
        <v>-2.9375</v>
      </c>
      <c r="AM185" s="9">
        <f t="shared" si="126"/>
        <v>-1.6875</v>
      </c>
      <c r="AN185" s="9">
        <f t="shared" si="127"/>
        <v>-3.1225000000000001</v>
      </c>
      <c r="AO185" s="9">
        <f t="shared" si="128"/>
        <v>-2.6875</v>
      </c>
      <c r="AP185" s="9">
        <f t="shared" si="129"/>
        <v>-1.3075000000000001</v>
      </c>
      <c r="AQ185" s="9">
        <f t="shared" si="130"/>
        <v>1.0625</v>
      </c>
      <c r="AR185" s="9">
        <f t="shared" si="131"/>
        <v>1.1875</v>
      </c>
      <c r="AS185" s="9">
        <f t="shared" si="132"/>
        <v>1.17</v>
      </c>
      <c r="AT185" s="9">
        <f t="shared" si="133"/>
        <v>-0.20500000000000007</v>
      </c>
      <c r="AU185" s="9">
        <f t="shared" si="134"/>
        <v>-2.33</v>
      </c>
      <c r="AV185" s="9">
        <f t="shared" si="135"/>
        <v>-1.9550000000000001</v>
      </c>
      <c r="AW185" s="9">
        <f t="shared" si="136"/>
        <v>-1.9550000000000001</v>
      </c>
      <c r="AX185" s="9">
        <f t="shared" si="137"/>
        <v>-1.83</v>
      </c>
      <c r="AY185" s="9">
        <f t="shared" si="138"/>
        <v>-0.70000000000000018</v>
      </c>
      <c r="AZ185" s="9">
        <f t="shared" si="139"/>
        <v>1.42</v>
      </c>
      <c r="BA185" s="9">
        <f t="shared" si="140"/>
        <v>1.5499999999999998</v>
      </c>
      <c r="BB185" s="9">
        <f t="shared" si="141"/>
        <v>0.83499999999999996</v>
      </c>
      <c r="BC185" s="9">
        <f t="shared" si="142"/>
        <v>-4.0000000000000036E-2</v>
      </c>
      <c r="BD185" s="9">
        <f t="shared" si="143"/>
        <v>-2.35</v>
      </c>
      <c r="BE185" s="9">
        <f t="shared" si="144"/>
        <v>-2.165</v>
      </c>
      <c r="BF185" s="9">
        <f t="shared" si="145"/>
        <v>-2.3525</v>
      </c>
      <c r="BG185" s="9">
        <f t="shared" si="146"/>
        <v>-2.29</v>
      </c>
      <c r="BH185" s="9">
        <f t="shared" si="147"/>
        <v>-1.085</v>
      </c>
      <c r="BI185" s="9">
        <f t="shared" si="148"/>
        <v>1.21</v>
      </c>
      <c r="BJ185" s="9">
        <f t="shared" si="149"/>
        <v>1.1749999999999998</v>
      </c>
    </row>
    <row r="186" spans="1:62" x14ac:dyDescent="0.2">
      <c r="A186" s="9">
        <f>data!M187-data!M186</f>
        <v>0.31810000000000116</v>
      </c>
      <c r="B186" s="9">
        <f>data!C187-data!C186</f>
        <v>-1.1400000000000006</v>
      </c>
      <c r="C186" s="9">
        <f>data!D187-data!D186</f>
        <v>-0.45500000000000007</v>
      </c>
      <c r="D186" s="10">
        <f>data!B187-data!B186</f>
        <v>-0.29749999999999999</v>
      </c>
      <c r="E186" s="9">
        <f>data!E186-data!G186</f>
        <v>2.5077999999999996</v>
      </c>
      <c r="F186" s="9">
        <f>(data!E186-data!F186)-(data!G186-data!H186)</f>
        <v>0.63909999999999967</v>
      </c>
      <c r="G186" s="9">
        <f t="shared" si="100"/>
        <v>5.1000000000001044E-3</v>
      </c>
      <c r="H186" s="9">
        <f t="shared" si="101"/>
        <v>-4.9799999999999955E-2</v>
      </c>
      <c r="I186" s="9">
        <f>IF(data!M187&gt; 111.81,1,0)</f>
        <v>0</v>
      </c>
      <c r="J186" s="9">
        <f t="shared" si="102"/>
        <v>1</v>
      </c>
      <c r="K186" s="9">
        <f t="shared" si="103"/>
        <v>0</v>
      </c>
      <c r="L186" s="9">
        <f t="shared" si="104"/>
        <v>0.31810000000000116</v>
      </c>
      <c r="M186" s="9">
        <f>data!J186</f>
        <v>-20</v>
      </c>
      <c r="N186" s="9">
        <f>data!I186</f>
        <v>-6.25</v>
      </c>
      <c r="O186" s="9">
        <f>data!L186</f>
        <v>4.5</v>
      </c>
      <c r="P186" s="9">
        <f>data!K186</f>
        <v>6.5</v>
      </c>
      <c r="Q186" s="9">
        <f>data!R186</f>
        <v>7</v>
      </c>
      <c r="R186" s="9">
        <f t="shared" si="105"/>
        <v>0.25</v>
      </c>
      <c r="S186" s="9">
        <f t="shared" si="106"/>
        <v>0</v>
      </c>
      <c r="T186" s="9">
        <f t="shared" si="107"/>
        <v>-1.5</v>
      </c>
      <c r="U186" s="9">
        <f t="shared" si="108"/>
        <v>-2.75</v>
      </c>
      <c r="V186" s="9">
        <f t="shared" si="109"/>
        <v>-0.25</v>
      </c>
      <c r="W186" s="9">
        <f t="shared" si="110"/>
        <v>4.1199999999999992</v>
      </c>
      <c r="X186" s="9">
        <f t="shared" si="111"/>
        <v>8.25</v>
      </c>
      <c r="Y186" s="9">
        <f t="shared" si="112"/>
        <v>7.7249999999999996</v>
      </c>
      <c r="Z186" s="9">
        <f t="shared" si="113"/>
        <v>-17.5</v>
      </c>
      <c r="AA186" s="9">
        <f t="shared" si="114"/>
        <v>-2</v>
      </c>
      <c r="AB186" s="9">
        <f t="shared" si="115"/>
        <v>-3.6549999999999994</v>
      </c>
      <c r="AC186" s="9">
        <f t="shared" si="116"/>
        <v>-2.75</v>
      </c>
      <c r="AD186" s="9">
        <f t="shared" si="117"/>
        <v>-4.5</v>
      </c>
      <c r="AE186" s="9">
        <f t="shared" si="118"/>
        <v>-4</v>
      </c>
      <c r="AF186" s="9">
        <f t="shared" si="119"/>
        <v>-1</v>
      </c>
      <c r="AG186" s="9">
        <f t="shared" si="120"/>
        <v>1</v>
      </c>
      <c r="AH186" s="9">
        <f t="shared" si="121"/>
        <v>0.24500000000000011</v>
      </c>
      <c r="AI186" s="9">
        <f t="shared" si="122"/>
        <v>-8.75</v>
      </c>
      <c r="AJ186" s="9">
        <f t="shared" si="123"/>
        <v>-2.625</v>
      </c>
      <c r="AK186" s="9">
        <f t="shared" si="124"/>
        <v>-4</v>
      </c>
      <c r="AL186" s="9">
        <f t="shared" si="125"/>
        <v>-2.75</v>
      </c>
      <c r="AM186" s="9">
        <f t="shared" si="126"/>
        <v>-4.1849999999999996</v>
      </c>
      <c r="AN186" s="9">
        <f t="shared" si="127"/>
        <v>-3.75</v>
      </c>
      <c r="AO186" s="9">
        <f t="shared" si="128"/>
        <v>-2.37</v>
      </c>
      <c r="AP186" s="9">
        <f t="shared" si="129"/>
        <v>0</v>
      </c>
      <c r="AQ186" s="9">
        <f t="shared" si="130"/>
        <v>0.125</v>
      </c>
      <c r="AR186" s="9">
        <f t="shared" si="131"/>
        <v>-5.5</v>
      </c>
      <c r="AS186" s="9">
        <f t="shared" si="132"/>
        <v>-1.375</v>
      </c>
      <c r="AT186" s="9">
        <f t="shared" si="133"/>
        <v>-3.5</v>
      </c>
      <c r="AU186" s="9">
        <f t="shared" si="134"/>
        <v>-3.125</v>
      </c>
      <c r="AV186" s="9">
        <f t="shared" si="135"/>
        <v>-3.125</v>
      </c>
      <c r="AW186" s="9">
        <f t="shared" si="136"/>
        <v>-3</v>
      </c>
      <c r="AX186" s="9">
        <f t="shared" si="137"/>
        <v>-1.87</v>
      </c>
      <c r="AY186" s="9">
        <f t="shared" si="138"/>
        <v>0.25</v>
      </c>
      <c r="AZ186" s="9">
        <f t="shared" si="139"/>
        <v>0.37999999999999989</v>
      </c>
      <c r="BA186" s="9">
        <f t="shared" si="140"/>
        <v>0.5</v>
      </c>
      <c r="BB186" s="9">
        <f t="shared" si="141"/>
        <v>-0.875</v>
      </c>
      <c r="BC186" s="9">
        <f t="shared" si="142"/>
        <v>-3.1850000000000001</v>
      </c>
      <c r="BD186" s="9">
        <f t="shared" si="143"/>
        <v>-3</v>
      </c>
      <c r="BE186" s="9">
        <f t="shared" si="144"/>
        <v>-3.1875</v>
      </c>
      <c r="BF186" s="9">
        <f t="shared" si="145"/>
        <v>-3.125</v>
      </c>
      <c r="BG186" s="9">
        <f t="shared" si="146"/>
        <v>-1.92</v>
      </c>
      <c r="BH186" s="9">
        <f t="shared" si="147"/>
        <v>0.375</v>
      </c>
      <c r="BI186" s="9">
        <f t="shared" si="148"/>
        <v>0.33999999999999986</v>
      </c>
      <c r="BJ186" s="9">
        <f t="shared" si="149"/>
        <v>2.375</v>
      </c>
    </row>
    <row r="187" spans="1:62" x14ac:dyDescent="0.2">
      <c r="A187" s="9">
        <f>data!M188-data!M187</f>
        <v>0.43410000000000082</v>
      </c>
      <c r="B187" s="9">
        <f>data!C188-data!C187</f>
        <v>-0.33999999999999986</v>
      </c>
      <c r="C187" s="9">
        <f>data!D188-data!D187</f>
        <v>-0.57499999999999929</v>
      </c>
      <c r="D187" s="10">
        <f>data!B188-data!B187</f>
        <v>-0.27500000000000013</v>
      </c>
      <c r="E187" s="9">
        <f>data!E187-data!G187</f>
        <v>2.5128999999999997</v>
      </c>
      <c r="F187" s="9">
        <f>(data!E187-data!F187)-(data!G187-data!H187)</f>
        <v>0.58929999999999971</v>
      </c>
      <c r="G187" s="9">
        <f t="shared" si="100"/>
        <v>-0.10219999999999985</v>
      </c>
      <c r="H187" s="9">
        <f t="shared" si="101"/>
        <v>0.10170000000000023</v>
      </c>
      <c r="I187" s="9">
        <f>IF(data!M188&gt; 111.81,1,0)</f>
        <v>0</v>
      </c>
      <c r="J187" s="9">
        <f t="shared" si="102"/>
        <v>1</v>
      </c>
      <c r="K187" s="9">
        <f t="shared" si="103"/>
        <v>0</v>
      </c>
      <c r="L187" s="9">
        <f t="shared" si="104"/>
        <v>0.43410000000000082</v>
      </c>
      <c r="M187" s="9">
        <f>data!J187</f>
        <v>-19.75</v>
      </c>
      <c r="N187" s="9">
        <f>data!I187</f>
        <v>-8.25</v>
      </c>
      <c r="O187" s="9">
        <f>data!L187</f>
        <v>1.875</v>
      </c>
      <c r="P187" s="9">
        <f>data!K187</f>
        <v>5.125</v>
      </c>
      <c r="Q187" s="9">
        <f>data!R187</f>
        <v>6.125</v>
      </c>
      <c r="R187" s="9">
        <f t="shared" si="105"/>
        <v>-0.25</v>
      </c>
      <c r="S187" s="9">
        <f t="shared" si="106"/>
        <v>-1.75</v>
      </c>
      <c r="T187" s="9">
        <f t="shared" si="107"/>
        <v>-3</v>
      </c>
      <c r="U187" s="9">
        <f t="shared" si="108"/>
        <v>-0.5</v>
      </c>
      <c r="V187" s="9">
        <f t="shared" si="109"/>
        <v>3.8699999999999992</v>
      </c>
      <c r="W187" s="9">
        <f t="shared" si="110"/>
        <v>8</v>
      </c>
      <c r="X187" s="9">
        <f t="shared" si="111"/>
        <v>7.4749999999999996</v>
      </c>
      <c r="Y187" s="9">
        <f t="shared" si="112"/>
        <v>-17.75</v>
      </c>
      <c r="Z187" s="9">
        <f t="shared" si="113"/>
        <v>-26.25</v>
      </c>
      <c r="AA187" s="9">
        <f t="shared" si="114"/>
        <v>-1.6549999999999994</v>
      </c>
      <c r="AB187" s="9">
        <f t="shared" si="115"/>
        <v>-0.75</v>
      </c>
      <c r="AC187" s="9">
        <f t="shared" si="116"/>
        <v>-2.5</v>
      </c>
      <c r="AD187" s="9">
        <f t="shared" si="117"/>
        <v>-2</v>
      </c>
      <c r="AE187" s="9">
        <f t="shared" si="118"/>
        <v>1</v>
      </c>
      <c r="AF187" s="9">
        <f t="shared" si="119"/>
        <v>3</v>
      </c>
      <c r="AG187" s="9">
        <f t="shared" si="120"/>
        <v>2.2450000000000001</v>
      </c>
      <c r="AH187" s="9">
        <f t="shared" si="121"/>
        <v>-6.75</v>
      </c>
      <c r="AI187" s="9">
        <f t="shared" si="122"/>
        <v>-6.75</v>
      </c>
      <c r="AJ187" s="9">
        <f t="shared" si="123"/>
        <v>-1.375</v>
      </c>
      <c r="AK187" s="9">
        <f t="shared" si="124"/>
        <v>-0.125</v>
      </c>
      <c r="AL187" s="9">
        <f t="shared" si="125"/>
        <v>-1.56</v>
      </c>
      <c r="AM187" s="9">
        <f t="shared" si="126"/>
        <v>-1.125</v>
      </c>
      <c r="AN187" s="9">
        <f t="shared" si="127"/>
        <v>0.25499999999999989</v>
      </c>
      <c r="AO187" s="9">
        <f t="shared" si="128"/>
        <v>2.625</v>
      </c>
      <c r="AP187" s="9">
        <f t="shared" si="129"/>
        <v>2.75</v>
      </c>
      <c r="AQ187" s="9">
        <f t="shared" si="130"/>
        <v>-2.875</v>
      </c>
      <c r="AR187" s="9">
        <f t="shared" si="131"/>
        <v>-1.125</v>
      </c>
      <c r="AS187" s="9">
        <f t="shared" si="132"/>
        <v>-2.125</v>
      </c>
      <c r="AT187" s="9">
        <f t="shared" si="133"/>
        <v>-1.75</v>
      </c>
      <c r="AU187" s="9">
        <f t="shared" si="134"/>
        <v>-1.75</v>
      </c>
      <c r="AV187" s="9">
        <f t="shared" si="135"/>
        <v>-1.625</v>
      </c>
      <c r="AW187" s="9">
        <f t="shared" si="136"/>
        <v>-0.49500000000000011</v>
      </c>
      <c r="AX187" s="9">
        <f t="shared" si="137"/>
        <v>1.625</v>
      </c>
      <c r="AY187" s="9">
        <f t="shared" si="138"/>
        <v>1.7549999999999999</v>
      </c>
      <c r="AZ187" s="9">
        <f t="shared" si="139"/>
        <v>1.875</v>
      </c>
      <c r="BA187" s="9">
        <f t="shared" si="140"/>
        <v>0.25</v>
      </c>
      <c r="BB187" s="9">
        <f t="shared" si="141"/>
        <v>-2.31</v>
      </c>
      <c r="BC187" s="9">
        <f t="shared" si="142"/>
        <v>-2.125</v>
      </c>
      <c r="BD187" s="9">
        <f t="shared" si="143"/>
        <v>-2.3125</v>
      </c>
      <c r="BE187" s="9">
        <f t="shared" si="144"/>
        <v>-2.25</v>
      </c>
      <c r="BF187" s="9">
        <f t="shared" si="145"/>
        <v>-1.0449999999999999</v>
      </c>
      <c r="BG187" s="9">
        <f t="shared" si="146"/>
        <v>1.25</v>
      </c>
      <c r="BH187" s="9">
        <f t="shared" si="147"/>
        <v>1.2149999999999999</v>
      </c>
      <c r="BI187" s="9">
        <f t="shared" si="148"/>
        <v>3.25</v>
      </c>
      <c r="BJ187" s="9">
        <f t="shared" si="149"/>
        <v>0.875</v>
      </c>
    </row>
    <row r="188" spans="1:62" x14ac:dyDescent="0.2">
      <c r="A188" s="9">
        <f>data!M189-data!M188</f>
        <v>2.0682000000000045</v>
      </c>
      <c r="B188" s="9">
        <f>data!C189-data!C188</f>
        <v>-1.9100000000000001</v>
      </c>
      <c r="C188" s="9">
        <f>data!D189-data!D188</f>
        <v>-0.40000000000000036</v>
      </c>
      <c r="D188" s="10">
        <f>data!B189-data!B188</f>
        <v>-0.83499999999999974</v>
      </c>
      <c r="E188" s="9">
        <f>data!E188-data!G188</f>
        <v>2.4106999999999998</v>
      </c>
      <c r="F188" s="9">
        <f>(data!E188-data!F188)-(data!G188-data!H188)</f>
        <v>0.69099999999999995</v>
      </c>
      <c r="G188" s="9">
        <f t="shared" si="100"/>
        <v>3.7900000000000045E-2</v>
      </c>
      <c r="H188" s="9">
        <f t="shared" si="101"/>
        <v>-3.3700000000000285E-2</v>
      </c>
      <c r="I188" s="9">
        <f>IF(data!M189&gt; 111.81,1,0)</f>
        <v>0</v>
      </c>
      <c r="J188" s="9">
        <f t="shared" si="102"/>
        <v>1</v>
      </c>
      <c r="K188" s="9">
        <f t="shared" si="103"/>
        <v>0</v>
      </c>
      <c r="L188" s="9">
        <f t="shared" si="104"/>
        <v>2.0682000000000045</v>
      </c>
      <c r="M188" s="9">
        <f>data!J188</f>
        <v>-20</v>
      </c>
      <c r="N188" s="9">
        <f>data!I188</f>
        <v>-9.9049999999999994</v>
      </c>
      <c r="O188" s="9">
        <f>data!L188</f>
        <v>0.5</v>
      </c>
      <c r="P188" s="9">
        <f>data!K188</f>
        <v>3</v>
      </c>
      <c r="Q188" s="9">
        <f>data!R188</f>
        <v>3.8149999999999999</v>
      </c>
      <c r="R188" s="9">
        <f t="shared" si="105"/>
        <v>-1.5</v>
      </c>
      <c r="S188" s="9">
        <f t="shared" si="106"/>
        <v>-2.75</v>
      </c>
      <c r="T188" s="9">
        <f t="shared" si="107"/>
        <v>-0.25</v>
      </c>
      <c r="U188" s="9">
        <f t="shared" si="108"/>
        <v>4.1199999999999992</v>
      </c>
      <c r="V188" s="9">
        <f t="shared" si="109"/>
        <v>8.25</v>
      </c>
      <c r="W188" s="9">
        <f t="shared" si="110"/>
        <v>7.7249999999999996</v>
      </c>
      <c r="X188" s="9">
        <f t="shared" si="111"/>
        <v>-17.5</v>
      </c>
      <c r="Y188" s="9">
        <f t="shared" si="112"/>
        <v>-26</v>
      </c>
      <c r="Z188" s="9">
        <f t="shared" si="113"/>
        <v>-28</v>
      </c>
      <c r="AA188" s="9">
        <f t="shared" si="114"/>
        <v>0.90499999999999936</v>
      </c>
      <c r="AB188" s="9">
        <f t="shared" si="115"/>
        <v>-0.84500000000000064</v>
      </c>
      <c r="AC188" s="9">
        <f t="shared" si="116"/>
        <v>-0.34500000000000064</v>
      </c>
      <c r="AD188" s="9">
        <f t="shared" si="117"/>
        <v>2.6549999999999994</v>
      </c>
      <c r="AE188" s="9">
        <f t="shared" si="118"/>
        <v>4.6549999999999994</v>
      </c>
      <c r="AF188" s="9">
        <f t="shared" si="119"/>
        <v>3.8999999999999995</v>
      </c>
      <c r="AG188" s="9">
        <f t="shared" si="120"/>
        <v>-5.0950000000000006</v>
      </c>
      <c r="AH188" s="9">
        <f t="shared" si="121"/>
        <v>-5.0950000000000006</v>
      </c>
      <c r="AI188" s="9">
        <f t="shared" si="122"/>
        <v>-3.7200000000000006</v>
      </c>
      <c r="AJ188" s="9">
        <f t="shared" si="123"/>
        <v>1.25</v>
      </c>
      <c r="AK188" s="9">
        <f t="shared" si="124"/>
        <v>-0.185</v>
      </c>
      <c r="AL188" s="9">
        <f t="shared" si="125"/>
        <v>0.25</v>
      </c>
      <c r="AM188" s="9">
        <f t="shared" si="126"/>
        <v>1.63</v>
      </c>
      <c r="AN188" s="9">
        <f t="shared" si="127"/>
        <v>4</v>
      </c>
      <c r="AO188" s="9">
        <f t="shared" si="128"/>
        <v>4.125</v>
      </c>
      <c r="AP188" s="9">
        <f t="shared" si="129"/>
        <v>-1.5</v>
      </c>
      <c r="AQ188" s="9">
        <f t="shared" si="130"/>
        <v>0.25</v>
      </c>
      <c r="AR188" s="9">
        <f t="shared" si="131"/>
        <v>-3</v>
      </c>
      <c r="AS188" s="9">
        <f t="shared" si="132"/>
        <v>0.375</v>
      </c>
      <c r="AT188" s="9">
        <f t="shared" si="133"/>
        <v>0.375</v>
      </c>
      <c r="AU188" s="9">
        <f t="shared" si="134"/>
        <v>0.5</v>
      </c>
      <c r="AV188" s="9">
        <f t="shared" si="135"/>
        <v>1.63</v>
      </c>
      <c r="AW188" s="9">
        <f t="shared" si="136"/>
        <v>3.75</v>
      </c>
      <c r="AX188" s="9">
        <f t="shared" si="137"/>
        <v>3.88</v>
      </c>
      <c r="AY188" s="9">
        <f t="shared" si="138"/>
        <v>4</v>
      </c>
      <c r="AZ188" s="9">
        <f t="shared" si="139"/>
        <v>2.375</v>
      </c>
      <c r="BA188" s="9">
        <f t="shared" si="140"/>
        <v>-2</v>
      </c>
      <c r="BB188" s="9">
        <f t="shared" si="141"/>
        <v>0.18500000000000005</v>
      </c>
      <c r="BC188" s="9">
        <f t="shared" si="142"/>
        <v>-2.4999999999999467E-3</v>
      </c>
      <c r="BD188" s="9">
        <f t="shared" si="143"/>
        <v>6.0000000000000053E-2</v>
      </c>
      <c r="BE188" s="9">
        <f t="shared" si="144"/>
        <v>1.2650000000000001</v>
      </c>
      <c r="BF188" s="9">
        <f t="shared" si="145"/>
        <v>3.56</v>
      </c>
      <c r="BG188" s="9">
        <f t="shared" si="146"/>
        <v>3.5249999999999999</v>
      </c>
      <c r="BH188" s="9">
        <f t="shared" si="147"/>
        <v>5.5600000000000005</v>
      </c>
      <c r="BI188" s="9">
        <f t="shared" si="148"/>
        <v>3.1850000000000001</v>
      </c>
      <c r="BJ188" s="9">
        <f t="shared" si="149"/>
        <v>6.0000000000000053E-2</v>
      </c>
    </row>
    <row r="189" spans="1:62" x14ac:dyDescent="0.2">
      <c r="A189" s="9">
        <f>data!M190-data!M189</f>
        <v>0.83050000000000068</v>
      </c>
      <c r="B189" s="9">
        <f>data!C190-data!C189</f>
        <v>-1.0800000000000018</v>
      </c>
      <c r="C189" s="9">
        <f>data!D190-data!D189</f>
        <v>0.22499999999999964</v>
      </c>
      <c r="D189" s="10">
        <f>data!B190-data!B189</f>
        <v>0.10499999999999998</v>
      </c>
      <c r="E189" s="9">
        <f>data!E189-data!G189</f>
        <v>2.4485999999999999</v>
      </c>
      <c r="F189" s="9">
        <f>(data!E189-data!F189)-(data!G189-data!H189)</f>
        <v>0.65729999999999966</v>
      </c>
      <c r="G189" s="9">
        <f t="shared" si="100"/>
        <v>-7.8699999999999548E-2</v>
      </c>
      <c r="H189" s="9">
        <f t="shared" si="101"/>
        <v>2.9900000000000593E-2</v>
      </c>
      <c r="I189" s="9">
        <f>IF(data!M190&gt; 111.81,1,0)</f>
        <v>0</v>
      </c>
      <c r="J189" s="9">
        <f t="shared" si="102"/>
        <v>1</v>
      </c>
      <c r="K189" s="9">
        <f t="shared" si="103"/>
        <v>0</v>
      </c>
      <c r="L189" s="9">
        <f t="shared" si="104"/>
        <v>0.83050000000000068</v>
      </c>
      <c r="M189" s="9">
        <f>data!J189</f>
        <v>-21.5</v>
      </c>
      <c r="N189" s="9">
        <f>data!I189</f>
        <v>-9</v>
      </c>
      <c r="O189" s="9">
        <f>data!L189</f>
        <v>1.75</v>
      </c>
      <c r="P189" s="9">
        <f>data!K189</f>
        <v>3.375</v>
      </c>
      <c r="Q189" s="9">
        <f>data!R189</f>
        <v>4</v>
      </c>
      <c r="R189" s="9">
        <f t="shared" si="105"/>
        <v>-1.25</v>
      </c>
      <c r="S189" s="9">
        <f t="shared" si="106"/>
        <v>1.25</v>
      </c>
      <c r="T189" s="9">
        <f t="shared" si="107"/>
        <v>5.6199999999999992</v>
      </c>
      <c r="U189" s="9">
        <f t="shared" si="108"/>
        <v>9.75</v>
      </c>
      <c r="V189" s="9">
        <f t="shared" si="109"/>
        <v>9.2249999999999996</v>
      </c>
      <c r="W189" s="9">
        <f t="shared" si="110"/>
        <v>-16</v>
      </c>
      <c r="X189" s="9">
        <f t="shared" si="111"/>
        <v>-24.5</v>
      </c>
      <c r="Y189" s="9">
        <f t="shared" si="112"/>
        <v>-26.5</v>
      </c>
      <c r="Z189" s="9">
        <f t="shared" si="113"/>
        <v>-43.5</v>
      </c>
      <c r="AA189" s="9">
        <f t="shared" si="114"/>
        <v>-1.75</v>
      </c>
      <c r="AB189" s="9">
        <f t="shared" si="115"/>
        <v>-1.25</v>
      </c>
      <c r="AC189" s="9">
        <f t="shared" si="116"/>
        <v>1.75</v>
      </c>
      <c r="AD189" s="9">
        <f t="shared" si="117"/>
        <v>3.75</v>
      </c>
      <c r="AE189" s="9">
        <f t="shared" si="118"/>
        <v>2.9950000000000001</v>
      </c>
      <c r="AF189" s="9">
        <f t="shared" si="119"/>
        <v>-6</v>
      </c>
      <c r="AG189" s="9">
        <f t="shared" si="120"/>
        <v>-6</v>
      </c>
      <c r="AH189" s="9">
        <f t="shared" si="121"/>
        <v>-4.625</v>
      </c>
      <c r="AI189" s="9">
        <f t="shared" si="122"/>
        <v>-9</v>
      </c>
      <c r="AJ189" s="9">
        <f t="shared" si="123"/>
        <v>-1.4350000000000001</v>
      </c>
      <c r="AK189" s="9">
        <f t="shared" si="124"/>
        <v>-1</v>
      </c>
      <c r="AL189" s="9">
        <f t="shared" si="125"/>
        <v>0.37999999999999989</v>
      </c>
      <c r="AM189" s="9">
        <f t="shared" si="126"/>
        <v>2.75</v>
      </c>
      <c r="AN189" s="9">
        <f t="shared" si="127"/>
        <v>2.875</v>
      </c>
      <c r="AO189" s="9">
        <f t="shared" si="128"/>
        <v>-2.75</v>
      </c>
      <c r="AP189" s="9">
        <f t="shared" si="129"/>
        <v>-1</v>
      </c>
      <c r="AQ189" s="9">
        <f t="shared" si="130"/>
        <v>-4.25</v>
      </c>
      <c r="AR189" s="9">
        <f t="shared" si="131"/>
        <v>-3.25</v>
      </c>
      <c r="AS189" s="9">
        <f t="shared" si="132"/>
        <v>0</v>
      </c>
      <c r="AT189" s="9">
        <f t="shared" si="133"/>
        <v>0.125</v>
      </c>
      <c r="AU189" s="9">
        <f t="shared" si="134"/>
        <v>1.2549999999999999</v>
      </c>
      <c r="AV189" s="9">
        <f t="shared" si="135"/>
        <v>3.375</v>
      </c>
      <c r="AW189" s="9">
        <f t="shared" si="136"/>
        <v>3.5049999999999999</v>
      </c>
      <c r="AX189" s="9">
        <f t="shared" si="137"/>
        <v>3.625</v>
      </c>
      <c r="AY189" s="9">
        <f t="shared" si="138"/>
        <v>2</v>
      </c>
      <c r="AZ189" s="9">
        <f t="shared" si="139"/>
        <v>-2.375</v>
      </c>
      <c r="BA189" s="9">
        <f t="shared" si="140"/>
        <v>3.25</v>
      </c>
      <c r="BB189" s="9">
        <f t="shared" si="141"/>
        <v>-0.1875</v>
      </c>
      <c r="BC189" s="9">
        <f t="shared" si="142"/>
        <v>-0.125</v>
      </c>
      <c r="BD189" s="9">
        <f t="shared" si="143"/>
        <v>1.08</v>
      </c>
      <c r="BE189" s="9">
        <f t="shared" si="144"/>
        <v>3.375</v>
      </c>
      <c r="BF189" s="9">
        <f t="shared" si="145"/>
        <v>3.34</v>
      </c>
      <c r="BG189" s="9">
        <f t="shared" si="146"/>
        <v>5.375</v>
      </c>
      <c r="BH189" s="9">
        <f t="shared" si="147"/>
        <v>3</v>
      </c>
      <c r="BI189" s="9">
        <f t="shared" si="148"/>
        <v>-0.125</v>
      </c>
      <c r="BJ189" s="9">
        <f t="shared" si="149"/>
        <v>1.7999999999999998</v>
      </c>
    </row>
    <row r="190" spans="1:62" x14ac:dyDescent="0.2">
      <c r="A190" s="9">
        <f>data!M191-data!M190</f>
        <v>-0.48629999999999995</v>
      </c>
      <c r="B190" s="9">
        <f>data!C191-data!C190</f>
        <v>-0.76999999999999957</v>
      </c>
      <c r="C190" s="9">
        <f>data!D191-data!D190</f>
        <v>-4.9999999999998934E-2</v>
      </c>
      <c r="D190" s="10">
        <f>data!B191-data!B190</f>
        <v>0.60749999999999993</v>
      </c>
      <c r="E190" s="9">
        <f>data!E190-data!G190</f>
        <v>2.3699000000000003</v>
      </c>
      <c r="F190" s="9">
        <f>(data!E190-data!F190)-(data!G190-data!H190)</f>
        <v>0.68720000000000026</v>
      </c>
      <c r="G190" s="9">
        <f t="shared" si="100"/>
        <v>5.0499999999999545E-2</v>
      </c>
      <c r="H190" s="9">
        <f t="shared" si="101"/>
        <v>2.7299999999999658E-2</v>
      </c>
      <c r="I190" s="9">
        <f>IF(data!M191&gt; 111.81,1,0)</f>
        <v>0</v>
      </c>
      <c r="J190" s="9">
        <f t="shared" si="102"/>
        <v>1</v>
      </c>
      <c r="K190" s="9">
        <f t="shared" si="103"/>
        <v>0</v>
      </c>
      <c r="L190" s="9">
        <f t="shared" si="104"/>
        <v>-0.48629999999999995</v>
      </c>
      <c r="M190" s="9">
        <f>data!J190</f>
        <v>-22.75</v>
      </c>
      <c r="N190" s="9">
        <f>data!I190</f>
        <v>-10.75</v>
      </c>
      <c r="O190" s="9">
        <f>data!L190</f>
        <v>0.315</v>
      </c>
      <c r="P190" s="9">
        <f>data!K190</f>
        <v>3.375</v>
      </c>
      <c r="Q190" s="9">
        <f>data!R190</f>
        <v>3.8125</v>
      </c>
      <c r="R190" s="9">
        <f t="shared" si="105"/>
        <v>2.5</v>
      </c>
      <c r="S190" s="9">
        <f t="shared" si="106"/>
        <v>6.8699999999999992</v>
      </c>
      <c r="T190" s="9">
        <f t="shared" si="107"/>
        <v>11</v>
      </c>
      <c r="U190" s="9">
        <f t="shared" si="108"/>
        <v>10.475</v>
      </c>
      <c r="V190" s="9">
        <f t="shared" si="109"/>
        <v>-14.75</v>
      </c>
      <c r="W190" s="9">
        <f t="shared" si="110"/>
        <v>-23.25</v>
      </c>
      <c r="X190" s="9">
        <f t="shared" si="111"/>
        <v>-25.25</v>
      </c>
      <c r="Y190" s="9">
        <f t="shared" si="112"/>
        <v>-42.25</v>
      </c>
      <c r="Z190" s="9">
        <f t="shared" si="113"/>
        <v>-14</v>
      </c>
      <c r="AA190" s="9">
        <f t="shared" si="114"/>
        <v>0.5</v>
      </c>
      <c r="AB190" s="9">
        <f t="shared" si="115"/>
        <v>3.5</v>
      </c>
      <c r="AC190" s="9">
        <f t="shared" si="116"/>
        <v>5.5</v>
      </c>
      <c r="AD190" s="9">
        <f t="shared" si="117"/>
        <v>4.7450000000000001</v>
      </c>
      <c r="AE190" s="9">
        <f t="shared" si="118"/>
        <v>-4.25</v>
      </c>
      <c r="AF190" s="9">
        <f t="shared" si="119"/>
        <v>-4.25</v>
      </c>
      <c r="AG190" s="9">
        <f t="shared" si="120"/>
        <v>-2.875</v>
      </c>
      <c r="AH190" s="9">
        <f t="shared" si="121"/>
        <v>-7.25</v>
      </c>
      <c r="AI190" s="9">
        <f t="shared" si="122"/>
        <v>-3.5</v>
      </c>
      <c r="AJ190" s="9">
        <f t="shared" si="123"/>
        <v>0.435</v>
      </c>
      <c r="AK190" s="9">
        <f t="shared" si="124"/>
        <v>1.8149999999999999</v>
      </c>
      <c r="AL190" s="9">
        <f t="shared" si="125"/>
        <v>4.1849999999999996</v>
      </c>
      <c r="AM190" s="9">
        <f t="shared" si="126"/>
        <v>4.3099999999999996</v>
      </c>
      <c r="AN190" s="9">
        <f t="shared" si="127"/>
        <v>-1.3149999999999999</v>
      </c>
      <c r="AO190" s="9">
        <f t="shared" si="128"/>
        <v>0.435</v>
      </c>
      <c r="AP190" s="9">
        <f t="shared" si="129"/>
        <v>-2.8149999999999999</v>
      </c>
      <c r="AQ190" s="9">
        <f t="shared" si="130"/>
        <v>-1.8149999999999999</v>
      </c>
      <c r="AR190" s="9">
        <f t="shared" si="131"/>
        <v>-0.94</v>
      </c>
      <c r="AS190" s="9">
        <f t="shared" si="132"/>
        <v>0.125</v>
      </c>
      <c r="AT190" s="9">
        <f t="shared" si="133"/>
        <v>1.2549999999999999</v>
      </c>
      <c r="AU190" s="9">
        <f t="shared" si="134"/>
        <v>3.375</v>
      </c>
      <c r="AV190" s="9">
        <f t="shared" si="135"/>
        <v>3.5049999999999999</v>
      </c>
      <c r="AW190" s="9">
        <f t="shared" si="136"/>
        <v>3.625</v>
      </c>
      <c r="AX190" s="9">
        <f t="shared" si="137"/>
        <v>2</v>
      </c>
      <c r="AY190" s="9">
        <f t="shared" si="138"/>
        <v>-2.375</v>
      </c>
      <c r="AZ190" s="9">
        <f t="shared" si="139"/>
        <v>3.25</v>
      </c>
      <c r="BA190" s="9">
        <f t="shared" si="140"/>
        <v>2</v>
      </c>
      <c r="BB190" s="9">
        <f t="shared" si="141"/>
        <v>6.25E-2</v>
      </c>
      <c r="BC190" s="9">
        <f t="shared" si="142"/>
        <v>1.2675000000000001</v>
      </c>
      <c r="BD190" s="9">
        <f t="shared" si="143"/>
        <v>3.5625</v>
      </c>
      <c r="BE190" s="9">
        <f t="shared" si="144"/>
        <v>3.5274999999999999</v>
      </c>
      <c r="BF190" s="9">
        <f t="shared" si="145"/>
        <v>5.5625</v>
      </c>
      <c r="BG190" s="9">
        <f t="shared" si="146"/>
        <v>3.1875</v>
      </c>
      <c r="BH190" s="9">
        <f t="shared" si="147"/>
        <v>6.25E-2</v>
      </c>
      <c r="BI190" s="9">
        <f t="shared" si="148"/>
        <v>1.9874999999999998</v>
      </c>
      <c r="BJ190" s="9">
        <f t="shared" si="149"/>
        <v>6.4375</v>
      </c>
    </row>
    <row r="191" spans="1:62" x14ac:dyDescent="0.2">
      <c r="A191" s="9">
        <f>data!M192-data!M191</f>
        <v>0.81860000000000355</v>
      </c>
      <c r="B191" s="9">
        <f>data!C192-data!C191</f>
        <v>1.8399999999999999</v>
      </c>
      <c r="C191" s="9">
        <f>data!D192-data!D191</f>
        <v>0.40499999999999936</v>
      </c>
      <c r="D191" s="10">
        <f>data!B192-data!B191</f>
        <v>-4.5000000000000151E-2</v>
      </c>
      <c r="E191" s="9">
        <f>data!E191-data!G191</f>
        <v>2.4203999999999999</v>
      </c>
      <c r="F191" s="9">
        <f>(data!E191-data!F191)-(data!G191-data!H191)</f>
        <v>0.71449999999999991</v>
      </c>
      <c r="G191" s="9">
        <f t="shared" si="100"/>
        <v>-2.3800000000000043E-2</v>
      </c>
      <c r="H191" s="9">
        <f t="shared" si="101"/>
        <v>4.1200000000000125E-2</v>
      </c>
      <c r="I191" s="9">
        <f>IF(data!M192&gt; 111.81,1,0)</f>
        <v>0</v>
      </c>
      <c r="J191" s="9">
        <f t="shared" si="102"/>
        <v>1</v>
      </c>
      <c r="K191" s="9">
        <f t="shared" si="103"/>
        <v>0</v>
      </c>
      <c r="L191" s="9">
        <f t="shared" si="104"/>
        <v>0.81860000000000355</v>
      </c>
      <c r="M191" s="9">
        <f>data!J191</f>
        <v>-20.25</v>
      </c>
      <c r="N191" s="9">
        <f>data!I191</f>
        <v>-10.25</v>
      </c>
      <c r="O191" s="9">
        <f>data!L191</f>
        <v>0.75</v>
      </c>
      <c r="P191" s="9">
        <f>data!K191</f>
        <v>3.5</v>
      </c>
      <c r="Q191" s="9">
        <f>data!R191</f>
        <v>3.875</v>
      </c>
      <c r="R191" s="9">
        <f t="shared" si="105"/>
        <v>4.3699999999999992</v>
      </c>
      <c r="S191" s="9">
        <f t="shared" si="106"/>
        <v>8.5</v>
      </c>
      <c r="T191" s="9">
        <f t="shared" si="107"/>
        <v>7.9749999999999996</v>
      </c>
      <c r="U191" s="9">
        <f t="shared" si="108"/>
        <v>-17.25</v>
      </c>
      <c r="V191" s="9">
        <f t="shared" si="109"/>
        <v>-25.75</v>
      </c>
      <c r="W191" s="9">
        <f t="shared" si="110"/>
        <v>-27.75</v>
      </c>
      <c r="X191" s="9">
        <f t="shared" si="111"/>
        <v>-44.75</v>
      </c>
      <c r="Y191" s="9">
        <f t="shared" si="112"/>
        <v>-16.5</v>
      </c>
      <c r="Z191" s="9">
        <f t="shared" si="113"/>
        <v>-23.75</v>
      </c>
      <c r="AA191" s="9">
        <f t="shared" si="114"/>
        <v>3</v>
      </c>
      <c r="AB191" s="9">
        <f t="shared" si="115"/>
        <v>5</v>
      </c>
      <c r="AC191" s="9">
        <f t="shared" si="116"/>
        <v>4.2450000000000001</v>
      </c>
      <c r="AD191" s="9">
        <f t="shared" si="117"/>
        <v>-4.75</v>
      </c>
      <c r="AE191" s="9">
        <f t="shared" si="118"/>
        <v>-4.75</v>
      </c>
      <c r="AF191" s="9">
        <f t="shared" si="119"/>
        <v>-3.375</v>
      </c>
      <c r="AG191" s="9">
        <f t="shared" si="120"/>
        <v>-7.75</v>
      </c>
      <c r="AH191" s="9">
        <f t="shared" si="121"/>
        <v>-4</v>
      </c>
      <c r="AI191" s="9">
        <f t="shared" si="122"/>
        <v>-2.5</v>
      </c>
      <c r="AJ191" s="9">
        <f t="shared" si="123"/>
        <v>1.38</v>
      </c>
      <c r="AK191" s="9">
        <f t="shared" si="124"/>
        <v>3.75</v>
      </c>
      <c r="AL191" s="9">
        <f t="shared" si="125"/>
        <v>3.875</v>
      </c>
      <c r="AM191" s="9">
        <f t="shared" si="126"/>
        <v>-1.75</v>
      </c>
      <c r="AN191" s="9">
        <f t="shared" si="127"/>
        <v>0</v>
      </c>
      <c r="AO191" s="9">
        <f t="shared" si="128"/>
        <v>-3.25</v>
      </c>
      <c r="AP191" s="9">
        <f t="shared" si="129"/>
        <v>-2.25</v>
      </c>
      <c r="AQ191" s="9">
        <f t="shared" si="130"/>
        <v>-1.375</v>
      </c>
      <c r="AR191" s="9">
        <f t="shared" si="131"/>
        <v>-3</v>
      </c>
      <c r="AS191" s="9">
        <f t="shared" si="132"/>
        <v>1.1299999999999999</v>
      </c>
      <c r="AT191" s="9">
        <f t="shared" si="133"/>
        <v>3.25</v>
      </c>
      <c r="AU191" s="9">
        <f t="shared" si="134"/>
        <v>3.38</v>
      </c>
      <c r="AV191" s="9">
        <f t="shared" si="135"/>
        <v>3.5</v>
      </c>
      <c r="AW191" s="9">
        <f t="shared" si="136"/>
        <v>1.875</v>
      </c>
      <c r="AX191" s="9">
        <f t="shared" si="137"/>
        <v>-2.5</v>
      </c>
      <c r="AY191" s="9">
        <f t="shared" si="138"/>
        <v>3.125</v>
      </c>
      <c r="AZ191" s="9">
        <f t="shared" si="139"/>
        <v>1.875</v>
      </c>
      <c r="BA191" s="9">
        <f t="shared" si="140"/>
        <v>-1.25</v>
      </c>
      <c r="BB191" s="9">
        <f t="shared" si="141"/>
        <v>1.2050000000000001</v>
      </c>
      <c r="BC191" s="9">
        <f t="shared" si="142"/>
        <v>3.5</v>
      </c>
      <c r="BD191" s="9">
        <f t="shared" si="143"/>
        <v>3.4649999999999999</v>
      </c>
      <c r="BE191" s="9">
        <f t="shared" si="144"/>
        <v>5.5</v>
      </c>
      <c r="BF191" s="9">
        <f t="shared" si="145"/>
        <v>3.125</v>
      </c>
      <c r="BG191" s="9">
        <f t="shared" si="146"/>
        <v>0</v>
      </c>
      <c r="BH191" s="9">
        <f t="shared" si="147"/>
        <v>1.9249999999999998</v>
      </c>
      <c r="BI191" s="9">
        <f t="shared" si="148"/>
        <v>6.375</v>
      </c>
      <c r="BJ191" s="9">
        <f t="shared" si="149"/>
        <v>1.375</v>
      </c>
    </row>
    <row r="192" spans="1:62" x14ac:dyDescent="0.2">
      <c r="A192" s="9">
        <f>data!M193-data!M192</f>
        <v>1.2842999999999876</v>
      </c>
      <c r="B192" s="9">
        <f>data!C193-data!C192</f>
        <v>2.41</v>
      </c>
      <c r="C192" s="9">
        <f>data!D193-data!D192</f>
        <v>1.5150000000000006</v>
      </c>
      <c r="D192" s="10">
        <f>data!B193-data!B192</f>
        <v>-0.57000000000000006</v>
      </c>
      <c r="E192" s="9">
        <f>data!E192-data!G192</f>
        <v>2.3965999999999998</v>
      </c>
      <c r="F192" s="9">
        <f>(data!E192-data!F192)-(data!G192-data!H192)</f>
        <v>0.75570000000000004</v>
      </c>
      <c r="G192" s="9">
        <f t="shared" si="100"/>
        <v>-0.16500000000000004</v>
      </c>
      <c r="H192" s="9">
        <f t="shared" si="101"/>
        <v>-9.1800000000000104E-2</v>
      </c>
      <c r="I192" s="9">
        <f>IF(data!M193&gt; 111.81,1,0)</f>
        <v>0</v>
      </c>
      <c r="J192" s="9">
        <f t="shared" si="102"/>
        <v>1</v>
      </c>
      <c r="K192" s="9">
        <f t="shared" si="103"/>
        <v>0</v>
      </c>
      <c r="L192" s="9">
        <f t="shared" si="104"/>
        <v>1.2842999999999876</v>
      </c>
      <c r="M192" s="9">
        <f>data!J192</f>
        <v>-15.88</v>
      </c>
      <c r="N192" s="9">
        <f>data!I192</f>
        <v>-7.25</v>
      </c>
      <c r="O192" s="9">
        <f>data!L192</f>
        <v>2.13</v>
      </c>
      <c r="P192" s="9">
        <f>data!K192</f>
        <v>4.63</v>
      </c>
      <c r="Q192" s="9">
        <f>data!R192</f>
        <v>5.08</v>
      </c>
      <c r="R192" s="9">
        <f t="shared" si="105"/>
        <v>4.1300000000000008</v>
      </c>
      <c r="S192" s="9">
        <f t="shared" si="106"/>
        <v>3.6050000000000004</v>
      </c>
      <c r="T192" s="9">
        <f t="shared" si="107"/>
        <v>-21.619999999999997</v>
      </c>
      <c r="U192" s="9">
        <f t="shared" si="108"/>
        <v>-30.119999999999997</v>
      </c>
      <c r="V192" s="9">
        <f t="shared" si="109"/>
        <v>-32.119999999999997</v>
      </c>
      <c r="W192" s="9">
        <f t="shared" si="110"/>
        <v>-49.12</v>
      </c>
      <c r="X192" s="9">
        <f t="shared" si="111"/>
        <v>-20.869999999999997</v>
      </c>
      <c r="Y192" s="9">
        <f t="shared" si="112"/>
        <v>-28.119999999999997</v>
      </c>
      <c r="Z192" s="9">
        <f t="shared" si="113"/>
        <v>5.5050000000000008</v>
      </c>
      <c r="AA192" s="9">
        <f t="shared" si="114"/>
        <v>2</v>
      </c>
      <c r="AB192" s="9">
        <f t="shared" si="115"/>
        <v>1.2450000000000001</v>
      </c>
      <c r="AC192" s="9">
        <f t="shared" si="116"/>
        <v>-7.75</v>
      </c>
      <c r="AD192" s="9">
        <f t="shared" si="117"/>
        <v>-7.75</v>
      </c>
      <c r="AE192" s="9">
        <f t="shared" si="118"/>
        <v>-6.375</v>
      </c>
      <c r="AF192" s="9">
        <f t="shared" si="119"/>
        <v>-10.75</v>
      </c>
      <c r="AG192" s="9">
        <f t="shared" si="120"/>
        <v>-7</v>
      </c>
      <c r="AH192" s="9">
        <f t="shared" si="121"/>
        <v>-5.5</v>
      </c>
      <c r="AI192" s="9">
        <f t="shared" si="122"/>
        <v>-3.25</v>
      </c>
      <c r="AJ192" s="9">
        <f t="shared" si="123"/>
        <v>2.37</v>
      </c>
      <c r="AK192" s="9">
        <f t="shared" si="124"/>
        <v>2.4950000000000001</v>
      </c>
      <c r="AL192" s="9">
        <f t="shared" si="125"/>
        <v>-3.13</v>
      </c>
      <c r="AM192" s="9">
        <f t="shared" si="126"/>
        <v>-1.38</v>
      </c>
      <c r="AN192" s="9">
        <f t="shared" si="127"/>
        <v>-4.63</v>
      </c>
      <c r="AO192" s="9">
        <f t="shared" si="128"/>
        <v>-3.63</v>
      </c>
      <c r="AP192" s="9">
        <f t="shared" si="129"/>
        <v>-2.7549999999999999</v>
      </c>
      <c r="AQ192" s="9">
        <f t="shared" si="130"/>
        <v>-4.38</v>
      </c>
      <c r="AR192" s="9">
        <f t="shared" si="131"/>
        <v>-5.63</v>
      </c>
      <c r="AS192" s="9">
        <f t="shared" si="132"/>
        <v>2.12</v>
      </c>
      <c r="AT192" s="9">
        <f t="shared" si="133"/>
        <v>2.25</v>
      </c>
      <c r="AU192" s="9">
        <f t="shared" si="134"/>
        <v>2.37</v>
      </c>
      <c r="AV192" s="9">
        <f t="shared" si="135"/>
        <v>0.74500000000000011</v>
      </c>
      <c r="AW192" s="9">
        <f t="shared" si="136"/>
        <v>-3.63</v>
      </c>
      <c r="AX192" s="9">
        <f t="shared" si="137"/>
        <v>1.9950000000000001</v>
      </c>
      <c r="AY192" s="9">
        <f t="shared" si="138"/>
        <v>0.74500000000000011</v>
      </c>
      <c r="AZ192" s="9">
        <f t="shared" si="139"/>
        <v>-2.38</v>
      </c>
      <c r="BA192" s="9">
        <f t="shared" si="140"/>
        <v>-3.0049999999999999</v>
      </c>
      <c r="BB192" s="9">
        <f t="shared" si="141"/>
        <v>2.2949999999999999</v>
      </c>
      <c r="BC192" s="9">
        <f t="shared" si="142"/>
        <v>2.2599999999999998</v>
      </c>
      <c r="BD192" s="9">
        <f t="shared" si="143"/>
        <v>4.2949999999999999</v>
      </c>
      <c r="BE192" s="9">
        <f t="shared" si="144"/>
        <v>1.92</v>
      </c>
      <c r="BF192" s="9">
        <f t="shared" si="145"/>
        <v>-1.2050000000000001</v>
      </c>
      <c r="BG192" s="9">
        <f t="shared" si="146"/>
        <v>0.71999999999999975</v>
      </c>
      <c r="BH192" s="9">
        <f t="shared" si="147"/>
        <v>5.17</v>
      </c>
      <c r="BI192" s="9">
        <f t="shared" si="148"/>
        <v>0.16999999999999993</v>
      </c>
      <c r="BJ192" s="9">
        <f t="shared" si="149"/>
        <v>-2.33</v>
      </c>
    </row>
    <row r="193" spans="1:62" x14ac:dyDescent="0.2">
      <c r="A193" s="9">
        <f>data!M194-data!M193</f>
        <v>0.1296000000000106</v>
      </c>
      <c r="B193" s="9">
        <f>data!C194-data!C193</f>
        <v>2.6000000000000014</v>
      </c>
      <c r="C193" s="9">
        <f>data!D194-data!D193</f>
        <v>-0.48249999999999993</v>
      </c>
      <c r="D193" s="10">
        <f>data!B194-data!B193</f>
        <v>-0.29249999999999998</v>
      </c>
      <c r="E193" s="9">
        <f>data!E193-data!G193</f>
        <v>2.2315999999999998</v>
      </c>
      <c r="F193" s="9">
        <f>(data!E193-data!F193)-(data!G193-data!H193)</f>
        <v>0.66389999999999993</v>
      </c>
      <c r="G193" s="9">
        <f t="shared" si="100"/>
        <v>-4.7899999999999832E-2</v>
      </c>
      <c r="H193" s="9">
        <f t="shared" si="101"/>
        <v>6.7200000000000371E-2</v>
      </c>
      <c r="I193" s="9">
        <f>IF(data!M194&gt; 111.81,1,0)</f>
        <v>0</v>
      </c>
      <c r="J193" s="9">
        <f t="shared" si="102"/>
        <v>1</v>
      </c>
      <c r="K193" s="9">
        <f t="shared" si="103"/>
        <v>0</v>
      </c>
      <c r="L193" s="9">
        <f t="shared" si="104"/>
        <v>0.1296000000000106</v>
      </c>
      <c r="M193" s="9">
        <f>data!J193</f>
        <v>-11.75</v>
      </c>
      <c r="N193" s="9">
        <f>data!I193</f>
        <v>-5.25</v>
      </c>
      <c r="O193" s="9">
        <f>data!L193</f>
        <v>4.5</v>
      </c>
      <c r="P193" s="9">
        <f>data!K193</f>
        <v>6.75</v>
      </c>
      <c r="Q193" s="9">
        <f>data!R193</f>
        <v>7.375</v>
      </c>
      <c r="R193" s="9">
        <f t="shared" si="105"/>
        <v>-0.52500000000000036</v>
      </c>
      <c r="S193" s="9">
        <f t="shared" si="106"/>
        <v>-25.75</v>
      </c>
      <c r="T193" s="9">
        <f t="shared" si="107"/>
        <v>-34.25</v>
      </c>
      <c r="U193" s="9">
        <f t="shared" si="108"/>
        <v>-36.25</v>
      </c>
      <c r="V193" s="9">
        <f t="shared" si="109"/>
        <v>-53.25</v>
      </c>
      <c r="W193" s="9">
        <f t="shared" si="110"/>
        <v>-25</v>
      </c>
      <c r="X193" s="9">
        <f t="shared" si="111"/>
        <v>-32.25</v>
      </c>
      <c r="Y193" s="9">
        <f t="shared" si="112"/>
        <v>1.375</v>
      </c>
      <c r="Z193" s="9">
        <f t="shared" si="113"/>
        <v>-4.125</v>
      </c>
      <c r="AA193" s="9">
        <f t="shared" si="114"/>
        <v>-0.75499999999999989</v>
      </c>
      <c r="AB193" s="9">
        <f t="shared" si="115"/>
        <v>-9.75</v>
      </c>
      <c r="AC193" s="9">
        <f t="shared" si="116"/>
        <v>-9.75</v>
      </c>
      <c r="AD193" s="9">
        <f t="shared" si="117"/>
        <v>-8.375</v>
      </c>
      <c r="AE193" s="9">
        <f t="shared" si="118"/>
        <v>-12.75</v>
      </c>
      <c r="AF193" s="9">
        <f t="shared" si="119"/>
        <v>-9</v>
      </c>
      <c r="AG193" s="9">
        <f t="shared" si="120"/>
        <v>-7.5</v>
      </c>
      <c r="AH193" s="9">
        <f t="shared" si="121"/>
        <v>-5.25</v>
      </c>
      <c r="AI193" s="9">
        <f t="shared" si="122"/>
        <v>-4.5</v>
      </c>
      <c r="AJ193" s="9">
        <f t="shared" si="123"/>
        <v>0.125</v>
      </c>
      <c r="AK193" s="9">
        <f t="shared" si="124"/>
        <v>-5.5</v>
      </c>
      <c r="AL193" s="9">
        <f t="shared" si="125"/>
        <v>-3.75</v>
      </c>
      <c r="AM193" s="9">
        <f t="shared" si="126"/>
        <v>-7</v>
      </c>
      <c r="AN193" s="9">
        <f t="shared" si="127"/>
        <v>-6</v>
      </c>
      <c r="AO193" s="9">
        <f t="shared" si="128"/>
        <v>-5.125</v>
      </c>
      <c r="AP193" s="9">
        <f t="shared" si="129"/>
        <v>-6.75</v>
      </c>
      <c r="AQ193" s="9">
        <f t="shared" si="130"/>
        <v>-8</v>
      </c>
      <c r="AR193" s="9">
        <f t="shared" si="131"/>
        <v>-9</v>
      </c>
      <c r="AS193" s="9">
        <f t="shared" si="132"/>
        <v>0.12999999999999989</v>
      </c>
      <c r="AT193" s="9">
        <f t="shared" si="133"/>
        <v>0.25</v>
      </c>
      <c r="AU193" s="9">
        <f t="shared" si="134"/>
        <v>-1.375</v>
      </c>
      <c r="AV193" s="9">
        <f t="shared" si="135"/>
        <v>-5.75</v>
      </c>
      <c r="AW193" s="9">
        <f t="shared" si="136"/>
        <v>-0.125</v>
      </c>
      <c r="AX193" s="9">
        <f t="shared" si="137"/>
        <v>-1.375</v>
      </c>
      <c r="AY193" s="9">
        <f t="shared" si="138"/>
        <v>-4.5</v>
      </c>
      <c r="AZ193" s="9">
        <f t="shared" si="139"/>
        <v>-5.125</v>
      </c>
      <c r="BA193" s="9">
        <f t="shared" si="140"/>
        <v>-7.875</v>
      </c>
      <c r="BB193" s="9">
        <f t="shared" si="141"/>
        <v>-3.5000000000000142E-2</v>
      </c>
      <c r="BC193" s="9">
        <f t="shared" si="142"/>
        <v>2</v>
      </c>
      <c r="BD193" s="9">
        <f t="shared" si="143"/>
        <v>-0.375</v>
      </c>
      <c r="BE193" s="9">
        <f t="shared" si="144"/>
        <v>-3.5</v>
      </c>
      <c r="BF193" s="9">
        <f t="shared" si="145"/>
        <v>-1.5750000000000002</v>
      </c>
      <c r="BG193" s="9">
        <f t="shared" si="146"/>
        <v>2.875</v>
      </c>
      <c r="BH193" s="9">
        <f t="shared" si="147"/>
        <v>-2.125</v>
      </c>
      <c r="BI193" s="9">
        <f t="shared" si="148"/>
        <v>-4.625</v>
      </c>
      <c r="BJ193" s="9">
        <f t="shared" si="149"/>
        <v>-8</v>
      </c>
    </row>
    <row r="194" spans="1:62" x14ac:dyDescent="0.2">
      <c r="A194" s="9">
        <f>data!M195-data!M194</f>
        <v>-0.46920000000000073</v>
      </c>
      <c r="B194" s="9">
        <f>data!C195-data!C194</f>
        <v>6.41</v>
      </c>
      <c r="C194" s="9">
        <f>data!D195-data!D194</f>
        <v>2.0999999999999996</v>
      </c>
      <c r="D194" s="10">
        <f>data!B195-data!B194</f>
        <v>3.2500000000000195E-2</v>
      </c>
      <c r="E194" s="9">
        <f>data!E194-data!G194</f>
        <v>2.1837</v>
      </c>
      <c r="F194" s="9">
        <f>(data!E194-data!F194)-(data!G194-data!H194)</f>
        <v>0.73110000000000031</v>
      </c>
      <c r="G194" s="9">
        <f t="shared" si="100"/>
        <v>0.13880000000000026</v>
      </c>
      <c r="H194" s="9">
        <f t="shared" si="101"/>
        <v>0.22150000000000003</v>
      </c>
      <c r="I194" s="9">
        <f>IF(data!M195&gt; 111.81,1,0)</f>
        <v>0</v>
      </c>
      <c r="J194" s="9">
        <f t="shared" si="102"/>
        <v>1</v>
      </c>
      <c r="K194" s="9">
        <f t="shared" si="103"/>
        <v>0</v>
      </c>
      <c r="L194" s="9">
        <f t="shared" si="104"/>
        <v>-0.46920000000000073</v>
      </c>
      <c r="M194" s="9">
        <f>data!J194</f>
        <v>-12.275</v>
      </c>
      <c r="N194" s="9">
        <f>data!I194</f>
        <v>-6.0049999999999999</v>
      </c>
      <c r="O194" s="9">
        <f>data!L194</f>
        <v>4.625</v>
      </c>
      <c r="P194" s="9">
        <f>data!K194</f>
        <v>6.88</v>
      </c>
      <c r="Q194" s="9">
        <f>data!R194</f>
        <v>7.34</v>
      </c>
      <c r="R194" s="9">
        <f t="shared" si="105"/>
        <v>-25.225000000000001</v>
      </c>
      <c r="S194" s="9">
        <f t="shared" si="106"/>
        <v>-33.725000000000001</v>
      </c>
      <c r="T194" s="9">
        <f t="shared" si="107"/>
        <v>-35.725000000000001</v>
      </c>
      <c r="U194" s="9">
        <f t="shared" si="108"/>
        <v>-52.725000000000001</v>
      </c>
      <c r="V194" s="9">
        <f t="shared" si="109"/>
        <v>-24.475000000000001</v>
      </c>
      <c r="W194" s="9">
        <f t="shared" si="110"/>
        <v>-31.725000000000001</v>
      </c>
      <c r="X194" s="9">
        <f t="shared" si="111"/>
        <v>1.9000000000000004</v>
      </c>
      <c r="Y194" s="9">
        <f t="shared" si="112"/>
        <v>-3.5999999999999996</v>
      </c>
      <c r="Z194" s="9">
        <f t="shared" si="113"/>
        <v>-22.225000000000001</v>
      </c>
      <c r="AA194" s="9">
        <f t="shared" si="114"/>
        <v>-8.995000000000001</v>
      </c>
      <c r="AB194" s="9">
        <f t="shared" si="115"/>
        <v>-8.995000000000001</v>
      </c>
      <c r="AC194" s="9">
        <f t="shared" si="116"/>
        <v>-7.62</v>
      </c>
      <c r="AD194" s="9">
        <f t="shared" si="117"/>
        <v>-11.995000000000001</v>
      </c>
      <c r="AE194" s="9">
        <f t="shared" si="118"/>
        <v>-8.245000000000001</v>
      </c>
      <c r="AF194" s="9">
        <f t="shared" si="119"/>
        <v>-6.7450000000000001</v>
      </c>
      <c r="AG194" s="9">
        <f t="shared" si="120"/>
        <v>-4.4950000000000001</v>
      </c>
      <c r="AH194" s="9">
        <f t="shared" si="121"/>
        <v>-3.7450000000000001</v>
      </c>
      <c r="AI194" s="9">
        <f t="shared" si="122"/>
        <v>-6.2450000000000001</v>
      </c>
      <c r="AJ194" s="9">
        <f t="shared" si="123"/>
        <v>-5.625</v>
      </c>
      <c r="AK194" s="9">
        <f t="shared" si="124"/>
        <v>-3.875</v>
      </c>
      <c r="AL194" s="9">
        <f t="shared" si="125"/>
        <v>-7.125</v>
      </c>
      <c r="AM194" s="9">
        <f t="shared" si="126"/>
        <v>-6.125</v>
      </c>
      <c r="AN194" s="9">
        <f t="shared" si="127"/>
        <v>-5.25</v>
      </c>
      <c r="AO194" s="9">
        <f t="shared" si="128"/>
        <v>-6.875</v>
      </c>
      <c r="AP194" s="9">
        <f t="shared" si="129"/>
        <v>-8.125</v>
      </c>
      <c r="AQ194" s="9">
        <f t="shared" si="130"/>
        <v>-9.125</v>
      </c>
      <c r="AR194" s="9">
        <f t="shared" si="131"/>
        <v>-7.6875</v>
      </c>
      <c r="AS194" s="9">
        <f t="shared" si="132"/>
        <v>0.12000000000000011</v>
      </c>
      <c r="AT194" s="9">
        <f t="shared" si="133"/>
        <v>-1.5049999999999999</v>
      </c>
      <c r="AU194" s="9">
        <f t="shared" si="134"/>
        <v>-5.88</v>
      </c>
      <c r="AV194" s="9">
        <f t="shared" si="135"/>
        <v>-0.25499999999999989</v>
      </c>
      <c r="AW194" s="9">
        <f t="shared" si="136"/>
        <v>-1.5049999999999999</v>
      </c>
      <c r="AX194" s="9">
        <f t="shared" si="137"/>
        <v>-4.63</v>
      </c>
      <c r="AY194" s="9">
        <f t="shared" si="138"/>
        <v>-5.2549999999999999</v>
      </c>
      <c r="AZ194" s="9">
        <f t="shared" si="139"/>
        <v>-8.004999999999999</v>
      </c>
      <c r="BA194" s="9">
        <f t="shared" si="140"/>
        <v>-9.004999999999999</v>
      </c>
      <c r="BB194" s="9">
        <f t="shared" si="141"/>
        <v>2.0350000000000001</v>
      </c>
      <c r="BC194" s="9">
        <f t="shared" si="142"/>
        <v>-0.33999999999999986</v>
      </c>
      <c r="BD194" s="9">
        <f t="shared" si="143"/>
        <v>-3.4649999999999999</v>
      </c>
      <c r="BE194" s="9">
        <f t="shared" si="144"/>
        <v>-1.54</v>
      </c>
      <c r="BF194" s="9">
        <f t="shared" si="145"/>
        <v>2.91</v>
      </c>
      <c r="BG194" s="9">
        <f t="shared" si="146"/>
        <v>-2.09</v>
      </c>
      <c r="BH194" s="9">
        <f t="shared" si="147"/>
        <v>-4.59</v>
      </c>
      <c r="BI194" s="9">
        <f t="shared" si="148"/>
        <v>-7.9649999999999999</v>
      </c>
      <c r="BJ194" s="9">
        <f t="shared" si="149"/>
        <v>-8.4649999999999999</v>
      </c>
    </row>
    <row r="195" spans="1:62" x14ac:dyDescent="0.2">
      <c r="A195" s="9">
        <f>data!M196-data!M195</f>
        <v>-0.31419999999999959</v>
      </c>
      <c r="B195" s="9">
        <f>data!C196-data!C195</f>
        <v>2.6700000000000017</v>
      </c>
      <c r="C195" s="9">
        <f>data!D196-data!D195</f>
        <v>0.97000000000000064</v>
      </c>
      <c r="D195" s="10">
        <f>data!B196-data!B195</f>
        <v>0.41749999999999998</v>
      </c>
      <c r="E195" s="9">
        <f>data!E195-data!G195</f>
        <v>2.3225000000000002</v>
      </c>
      <c r="F195" s="9">
        <f>(data!E195-data!F195)-(data!G195-data!H195)</f>
        <v>0.95260000000000034</v>
      </c>
      <c r="G195" s="9">
        <f t="shared" ref="G195:G258" si="150">E196-E195</f>
        <v>5.9499999999999442E-2</v>
      </c>
      <c r="H195" s="9">
        <f t="shared" ref="H195:H258" si="151">F196-F195</f>
        <v>0.15819999999999945</v>
      </c>
      <c r="I195" s="9">
        <f>IF(data!M196&gt; 111.81,1,0)</f>
        <v>0</v>
      </c>
      <c r="J195" s="9">
        <f t="shared" ref="J195:J258" si="152">1-I195</f>
        <v>1</v>
      </c>
      <c r="K195" s="9">
        <f t="shared" ref="K195:K258" si="153">A195*I195</f>
        <v>0</v>
      </c>
      <c r="L195" s="9">
        <f t="shared" ref="L195:L258" si="154">A195*J195</f>
        <v>-0.31419999999999959</v>
      </c>
      <c r="M195" s="9">
        <f>data!J195</f>
        <v>-37.5</v>
      </c>
      <c r="N195" s="9">
        <f>data!I195</f>
        <v>-15</v>
      </c>
      <c r="O195" s="9">
        <f>data!L195</f>
        <v>-1</v>
      </c>
      <c r="P195" s="9">
        <f>data!K195</f>
        <v>7</v>
      </c>
      <c r="Q195" s="9">
        <f>data!R195</f>
        <v>9.375</v>
      </c>
      <c r="R195" s="9">
        <f t="shared" ref="R195:R258" si="155">M196-M195</f>
        <v>-8.5</v>
      </c>
      <c r="S195" s="9">
        <f t="shared" ref="S195:S258" si="156">M197-M195</f>
        <v>-10.5</v>
      </c>
      <c r="T195" s="9">
        <f t="shared" ref="T195:T258" si="157">M198-M195</f>
        <v>-27.5</v>
      </c>
      <c r="U195" s="9">
        <f t="shared" ref="U195:U258" si="158">M199-M195</f>
        <v>0.75</v>
      </c>
      <c r="V195" s="9">
        <f t="shared" ref="V195:V258" si="159">M200-M195</f>
        <v>-6.5</v>
      </c>
      <c r="W195" s="9">
        <f t="shared" ref="W195:W258" si="160">M201-M195</f>
        <v>27.125</v>
      </c>
      <c r="X195" s="9">
        <f t="shared" ref="X195:X258" si="161">M202-M195</f>
        <v>21.625</v>
      </c>
      <c r="Y195" s="9">
        <f t="shared" ref="Y195:Y258" si="162">M203-M195</f>
        <v>3</v>
      </c>
      <c r="Z195" s="9">
        <f t="shared" ref="Z195:Z258" si="163">M204-M195</f>
        <v>-10.5</v>
      </c>
      <c r="AA195" s="9">
        <f t="shared" ref="AA195:AA258" si="164">N196-N195</f>
        <v>0</v>
      </c>
      <c r="AB195" s="9">
        <f t="shared" ref="AB195:AB258" si="165">N197-N195</f>
        <v>1.375</v>
      </c>
      <c r="AC195" s="9">
        <f t="shared" ref="AC195:AC258" si="166">N198-N195</f>
        <v>-3</v>
      </c>
      <c r="AD195" s="9">
        <f t="shared" ref="AD195:AD258" si="167">N199-N195</f>
        <v>0.75</v>
      </c>
      <c r="AE195" s="9">
        <f t="shared" ref="AE195:AE258" si="168">N200-N195</f>
        <v>2.25</v>
      </c>
      <c r="AF195" s="9">
        <f t="shared" ref="AF195:AF258" si="169">N201-N195</f>
        <v>4.5</v>
      </c>
      <c r="AG195" s="9">
        <f t="shared" ref="AG195:AG258" si="170">N202-N195</f>
        <v>5.25</v>
      </c>
      <c r="AH195" s="9">
        <f t="shared" ref="AH195:AH258" si="171">N203-N195</f>
        <v>2.75</v>
      </c>
      <c r="AI195" s="9">
        <f t="shared" ref="AI195:AI258" si="172">N204-N195</f>
        <v>-5</v>
      </c>
      <c r="AJ195" s="9">
        <f t="shared" ref="AJ195:AJ258" si="173">O196-O195</f>
        <v>1.75</v>
      </c>
      <c r="AK195" s="9">
        <f t="shared" ref="AK195:AK258" si="174">O197-O195</f>
        <v>-1.5</v>
      </c>
      <c r="AL195" s="9">
        <f t="shared" ref="AL195:AL258" si="175">O198-O195</f>
        <v>-0.5</v>
      </c>
      <c r="AM195" s="9">
        <f t="shared" ref="AM195:AM258" si="176">O199-O195</f>
        <v>0.375</v>
      </c>
      <c r="AN195" s="9">
        <f t="shared" ref="AN195:AN258" si="177">O200-O195</f>
        <v>-1.25</v>
      </c>
      <c r="AO195" s="9">
        <f t="shared" ref="AO195:AO258" si="178">O201-O195</f>
        <v>-2.5</v>
      </c>
      <c r="AP195" s="9">
        <f t="shared" ref="AP195:AP258" si="179">O202-O195</f>
        <v>-3.5</v>
      </c>
      <c r="AQ195" s="9">
        <f t="shared" ref="AQ195:AQ258" si="180">O203-O195</f>
        <v>-2.0625</v>
      </c>
      <c r="AR195" s="9">
        <f t="shared" ref="AR195:AR258" si="181">O204-O195</f>
        <v>-7.5</v>
      </c>
      <c r="AS195" s="9">
        <f t="shared" ref="AS195:AS258" si="182">P196 - P195</f>
        <v>-1.625</v>
      </c>
      <c r="AT195" s="9">
        <f t="shared" ref="AT195:AT258" si="183">P197 - P195</f>
        <v>-6</v>
      </c>
      <c r="AU195" s="9">
        <f t="shared" ref="AU195:AU258" si="184">P198 - P195</f>
        <v>-0.375</v>
      </c>
      <c r="AV195" s="9">
        <f t="shared" ref="AV195:AV258" si="185">P199 - P195</f>
        <v>-1.625</v>
      </c>
      <c r="AW195" s="9">
        <f t="shared" ref="AW195:AW258" si="186">P200 - P195</f>
        <v>-4.75</v>
      </c>
      <c r="AX195" s="9">
        <f t="shared" ref="AX195:AX258" si="187">P201 - P195</f>
        <v>-5.375</v>
      </c>
      <c r="AY195" s="9">
        <f t="shared" ref="AY195:AY258" si="188">P202 - P195</f>
        <v>-8.125</v>
      </c>
      <c r="AZ195" s="9">
        <f t="shared" ref="AZ195:AZ258" si="189">P203 - P195</f>
        <v>-9.125</v>
      </c>
      <c r="BA195" s="9">
        <f t="shared" ref="BA195:BA258" si="190">P204 - P195</f>
        <v>-8.375</v>
      </c>
      <c r="BB195" s="9">
        <f t="shared" ref="BB195:BB258" si="191">Q196 - Q195</f>
        <v>-2.375</v>
      </c>
      <c r="BC195" s="9">
        <f t="shared" ref="BC195:BC258" si="192">Q197 - Q195</f>
        <v>-5.5</v>
      </c>
      <c r="BD195" s="9">
        <f t="shared" ref="BD195:BD258" si="193">Q198 - Q195</f>
        <v>-3.5750000000000002</v>
      </c>
      <c r="BE195" s="9">
        <f t="shared" ref="BE195:BE258" si="194">Q199 - Q195</f>
        <v>0.875</v>
      </c>
      <c r="BF195" s="9">
        <f t="shared" ref="BF195:BF258" si="195">Q200 - Q195</f>
        <v>-4.125</v>
      </c>
      <c r="BG195" s="9">
        <f t="shared" ref="BG195:BG258" si="196">Q201 - Q195</f>
        <v>-6.625</v>
      </c>
      <c r="BH195" s="9">
        <f t="shared" ref="BH195:BH258" si="197">Q202 - Q195</f>
        <v>-10</v>
      </c>
      <c r="BI195" s="9">
        <f t="shared" ref="BI195:BI258" si="198">Q203 - Q195</f>
        <v>-10.5</v>
      </c>
      <c r="BJ195" s="9">
        <f t="shared" ref="BJ195:BJ258" si="199">Q204 - Q195</f>
        <v>-10.125</v>
      </c>
    </row>
    <row r="196" spans="1:62" x14ac:dyDescent="0.2">
      <c r="A196" s="9">
        <f>data!M197-data!M196</f>
        <v>2.8541999999999916</v>
      </c>
      <c r="B196" s="9">
        <f>data!C197-data!C196</f>
        <v>10.399999999999999</v>
      </c>
      <c r="C196" s="9">
        <f>data!D197-data!D196</f>
        <v>-0.53000000000000114</v>
      </c>
      <c r="D196" s="10">
        <f>data!B197-data!B196</f>
        <v>-0.56999999999999984</v>
      </c>
      <c r="E196" s="9">
        <f>data!E196-data!G196</f>
        <v>2.3819999999999997</v>
      </c>
      <c r="F196" s="9">
        <f>(data!E196-data!F196)-(data!G196-data!H196)</f>
        <v>1.1107999999999998</v>
      </c>
      <c r="G196" s="9">
        <f t="shared" si="150"/>
        <v>-0.23389999999999977</v>
      </c>
      <c r="H196" s="9">
        <f t="shared" si="151"/>
        <v>0.19510000000000027</v>
      </c>
      <c r="I196" s="9">
        <f>IF(data!M197&gt; 111.81,1,0)</f>
        <v>0</v>
      </c>
      <c r="J196" s="9">
        <f t="shared" si="152"/>
        <v>1</v>
      </c>
      <c r="K196" s="9">
        <f t="shared" si="153"/>
        <v>0</v>
      </c>
      <c r="L196" s="9">
        <f t="shared" si="154"/>
        <v>2.8541999999999916</v>
      </c>
      <c r="M196" s="9">
        <f>data!J196</f>
        <v>-46</v>
      </c>
      <c r="N196" s="9">
        <f>data!I196</f>
        <v>-15</v>
      </c>
      <c r="O196" s="9">
        <f>data!L196</f>
        <v>0.75</v>
      </c>
      <c r="P196" s="9">
        <f>data!K196</f>
        <v>5.375</v>
      </c>
      <c r="Q196" s="9">
        <f>data!R196</f>
        <v>7</v>
      </c>
      <c r="R196" s="9">
        <f t="shared" si="155"/>
        <v>-2</v>
      </c>
      <c r="S196" s="9">
        <f t="shared" si="156"/>
        <v>-19</v>
      </c>
      <c r="T196" s="9">
        <f t="shared" si="157"/>
        <v>9.25</v>
      </c>
      <c r="U196" s="9">
        <f t="shared" si="158"/>
        <v>2</v>
      </c>
      <c r="V196" s="9">
        <f t="shared" si="159"/>
        <v>35.625</v>
      </c>
      <c r="W196" s="9">
        <f t="shared" si="160"/>
        <v>30.125</v>
      </c>
      <c r="X196" s="9">
        <f t="shared" si="161"/>
        <v>11.5</v>
      </c>
      <c r="Y196" s="9">
        <f t="shared" si="162"/>
        <v>-2</v>
      </c>
      <c r="Z196" s="9">
        <f t="shared" si="163"/>
        <v>-2</v>
      </c>
      <c r="AA196" s="9">
        <f t="shared" si="164"/>
        <v>1.375</v>
      </c>
      <c r="AB196" s="9">
        <f t="shared" si="165"/>
        <v>-3</v>
      </c>
      <c r="AC196" s="9">
        <f t="shared" si="166"/>
        <v>0.75</v>
      </c>
      <c r="AD196" s="9">
        <f t="shared" si="167"/>
        <v>2.25</v>
      </c>
      <c r="AE196" s="9">
        <f t="shared" si="168"/>
        <v>4.5</v>
      </c>
      <c r="AF196" s="9">
        <f t="shared" si="169"/>
        <v>5.25</v>
      </c>
      <c r="AG196" s="9">
        <f t="shared" si="170"/>
        <v>2.75</v>
      </c>
      <c r="AH196" s="9">
        <f t="shared" si="171"/>
        <v>-5</v>
      </c>
      <c r="AI196" s="9">
        <f t="shared" si="172"/>
        <v>-7.5</v>
      </c>
      <c r="AJ196" s="9">
        <f t="shared" si="173"/>
        <v>-3.25</v>
      </c>
      <c r="AK196" s="9">
        <f t="shared" si="174"/>
        <v>-2.25</v>
      </c>
      <c r="AL196" s="9">
        <f t="shared" si="175"/>
        <v>-1.375</v>
      </c>
      <c r="AM196" s="9">
        <f t="shared" si="176"/>
        <v>-3</v>
      </c>
      <c r="AN196" s="9">
        <f t="shared" si="177"/>
        <v>-4.25</v>
      </c>
      <c r="AO196" s="9">
        <f t="shared" si="178"/>
        <v>-5.25</v>
      </c>
      <c r="AP196" s="9">
        <f t="shared" si="179"/>
        <v>-3.8125</v>
      </c>
      <c r="AQ196" s="9">
        <f t="shared" si="180"/>
        <v>-9.25</v>
      </c>
      <c r="AR196" s="9">
        <f t="shared" si="181"/>
        <v>-15.5</v>
      </c>
      <c r="AS196" s="9">
        <f t="shared" si="182"/>
        <v>-4.375</v>
      </c>
      <c r="AT196" s="9">
        <f t="shared" si="183"/>
        <v>1.25</v>
      </c>
      <c r="AU196" s="9">
        <f t="shared" si="184"/>
        <v>0</v>
      </c>
      <c r="AV196" s="9">
        <f t="shared" si="185"/>
        <v>-3.125</v>
      </c>
      <c r="AW196" s="9">
        <f t="shared" si="186"/>
        <v>-3.75</v>
      </c>
      <c r="AX196" s="9">
        <f t="shared" si="187"/>
        <v>-6.5</v>
      </c>
      <c r="AY196" s="9">
        <f t="shared" si="188"/>
        <v>-7.5</v>
      </c>
      <c r="AZ196" s="9">
        <f t="shared" si="189"/>
        <v>-6.75</v>
      </c>
      <c r="BA196" s="9">
        <f t="shared" si="190"/>
        <v>-17</v>
      </c>
      <c r="BB196" s="9">
        <f t="shared" si="191"/>
        <v>-3.125</v>
      </c>
      <c r="BC196" s="9">
        <f t="shared" si="192"/>
        <v>-1.2000000000000002</v>
      </c>
      <c r="BD196" s="9">
        <f t="shared" si="193"/>
        <v>3.25</v>
      </c>
      <c r="BE196" s="9">
        <f t="shared" si="194"/>
        <v>-1.75</v>
      </c>
      <c r="BF196" s="9">
        <f t="shared" si="195"/>
        <v>-4.25</v>
      </c>
      <c r="BG196" s="9">
        <f t="shared" si="196"/>
        <v>-7.625</v>
      </c>
      <c r="BH196" s="9">
        <f t="shared" si="197"/>
        <v>-8.125</v>
      </c>
      <c r="BI196" s="9">
        <f t="shared" si="198"/>
        <v>-7.75</v>
      </c>
      <c r="BJ196" s="9">
        <f t="shared" si="199"/>
        <v>-17.5</v>
      </c>
    </row>
    <row r="197" spans="1:62" x14ac:dyDescent="0.2">
      <c r="A197" s="9">
        <f>data!M198-data!M197</f>
        <v>4.4575999999999993</v>
      </c>
      <c r="B197" s="9">
        <f>data!C198-data!C197</f>
        <v>24.810000000000002</v>
      </c>
      <c r="C197" s="9">
        <f>data!D198-data!D197</f>
        <v>7.1025000000000009</v>
      </c>
      <c r="D197" s="10">
        <f>data!B198-data!B197</f>
        <v>-2.1749999999999998</v>
      </c>
      <c r="E197" s="9">
        <f>data!E197-data!G197</f>
        <v>2.1480999999999999</v>
      </c>
      <c r="F197" s="9">
        <f>(data!E197-data!F197)-(data!G197-data!H197)</f>
        <v>1.3059000000000001</v>
      </c>
      <c r="G197" s="9">
        <f t="shared" si="150"/>
        <v>0.19340000000000002</v>
      </c>
      <c r="H197" s="9">
        <f t="shared" si="151"/>
        <v>0.25339999999999985</v>
      </c>
      <c r="I197" s="9">
        <f>IF(data!M198&gt; 111.81,1,0)</f>
        <v>0</v>
      </c>
      <c r="J197" s="9">
        <f t="shared" si="152"/>
        <v>1</v>
      </c>
      <c r="K197" s="9">
        <f t="shared" si="153"/>
        <v>0</v>
      </c>
      <c r="L197" s="9">
        <f t="shared" si="154"/>
        <v>4.4575999999999993</v>
      </c>
      <c r="M197" s="9">
        <f>data!J197</f>
        <v>-48</v>
      </c>
      <c r="N197" s="9">
        <f>data!I197</f>
        <v>-13.625</v>
      </c>
      <c r="O197" s="9">
        <f>data!L197</f>
        <v>-2.5</v>
      </c>
      <c r="P197" s="9">
        <f>data!K197</f>
        <v>1</v>
      </c>
      <c r="Q197" s="9">
        <f>data!R197</f>
        <v>3.875</v>
      </c>
      <c r="R197" s="9">
        <f t="shared" si="155"/>
        <v>-17</v>
      </c>
      <c r="S197" s="9">
        <f t="shared" si="156"/>
        <v>11.25</v>
      </c>
      <c r="T197" s="9">
        <f t="shared" si="157"/>
        <v>4</v>
      </c>
      <c r="U197" s="9">
        <f t="shared" si="158"/>
        <v>37.625</v>
      </c>
      <c r="V197" s="9">
        <f t="shared" si="159"/>
        <v>32.125</v>
      </c>
      <c r="W197" s="9">
        <f t="shared" si="160"/>
        <v>13.5</v>
      </c>
      <c r="X197" s="9">
        <f t="shared" si="161"/>
        <v>0</v>
      </c>
      <c r="Y197" s="9">
        <f t="shared" si="162"/>
        <v>0</v>
      </c>
      <c r="Z197" s="9">
        <f t="shared" si="163"/>
        <v>19</v>
      </c>
      <c r="AA197" s="9">
        <f t="shared" si="164"/>
        <v>-4.375</v>
      </c>
      <c r="AB197" s="9">
        <f t="shared" si="165"/>
        <v>-0.625</v>
      </c>
      <c r="AC197" s="9">
        <f t="shared" si="166"/>
        <v>0.875</v>
      </c>
      <c r="AD197" s="9">
        <f t="shared" si="167"/>
        <v>3.125</v>
      </c>
      <c r="AE197" s="9">
        <f t="shared" si="168"/>
        <v>3.875</v>
      </c>
      <c r="AF197" s="9">
        <f t="shared" si="169"/>
        <v>1.375</v>
      </c>
      <c r="AG197" s="9">
        <f t="shared" si="170"/>
        <v>-6.375</v>
      </c>
      <c r="AH197" s="9">
        <f t="shared" si="171"/>
        <v>-8.875</v>
      </c>
      <c r="AI197" s="9">
        <f t="shared" si="172"/>
        <v>-8.875</v>
      </c>
      <c r="AJ197" s="9">
        <f t="shared" si="173"/>
        <v>1</v>
      </c>
      <c r="AK197" s="9">
        <f t="shared" si="174"/>
        <v>1.875</v>
      </c>
      <c r="AL197" s="9">
        <f t="shared" si="175"/>
        <v>0.25</v>
      </c>
      <c r="AM197" s="9">
        <f t="shared" si="176"/>
        <v>-1</v>
      </c>
      <c r="AN197" s="9">
        <f t="shared" si="177"/>
        <v>-2</v>
      </c>
      <c r="AO197" s="9">
        <f t="shared" si="178"/>
        <v>-0.5625</v>
      </c>
      <c r="AP197" s="9">
        <f t="shared" si="179"/>
        <v>-6</v>
      </c>
      <c r="AQ197" s="9">
        <f t="shared" si="180"/>
        <v>-12.25</v>
      </c>
      <c r="AR197" s="9">
        <f t="shared" si="181"/>
        <v>-10.75</v>
      </c>
      <c r="AS197" s="9">
        <f t="shared" si="182"/>
        <v>5.625</v>
      </c>
      <c r="AT197" s="9">
        <f t="shared" si="183"/>
        <v>4.375</v>
      </c>
      <c r="AU197" s="9">
        <f t="shared" si="184"/>
        <v>1.25</v>
      </c>
      <c r="AV197" s="9">
        <f t="shared" si="185"/>
        <v>0.625</v>
      </c>
      <c r="AW197" s="9">
        <f t="shared" si="186"/>
        <v>-2.125</v>
      </c>
      <c r="AX197" s="9">
        <f t="shared" si="187"/>
        <v>-3.125</v>
      </c>
      <c r="AY197" s="9">
        <f t="shared" si="188"/>
        <v>-2.375</v>
      </c>
      <c r="AZ197" s="9">
        <f t="shared" si="189"/>
        <v>-12.625</v>
      </c>
      <c r="BA197" s="9">
        <f t="shared" si="190"/>
        <v>-10.75</v>
      </c>
      <c r="BB197" s="9">
        <f t="shared" si="191"/>
        <v>1.9249999999999998</v>
      </c>
      <c r="BC197" s="9">
        <f t="shared" si="192"/>
        <v>6.375</v>
      </c>
      <c r="BD197" s="9">
        <f t="shared" si="193"/>
        <v>1.375</v>
      </c>
      <c r="BE197" s="9">
        <f t="shared" si="194"/>
        <v>-1.125</v>
      </c>
      <c r="BF197" s="9">
        <f t="shared" si="195"/>
        <v>-4.5</v>
      </c>
      <c r="BG197" s="9">
        <f t="shared" si="196"/>
        <v>-5</v>
      </c>
      <c r="BH197" s="9">
        <f t="shared" si="197"/>
        <v>-4.625</v>
      </c>
      <c r="BI197" s="9">
        <f t="shared" si="198"/>
        <v>-14.375</v>
      </c>
      <c r="BJ197" s="9">
        <f t="shared" si="199"/>
        <v>-13.125</v>
      </c>
    </row>
    <row r="198" spans="1:62" x14ac:dyDescent="0.2">
      <c r="A198" s="9">
        <f>data!M199-data!M198</f>
        <v>-0.27349999999999852</v>
      </c>
      <c r="B198" s="9">
        <f>data!C199-data!C198</f>
        <v>0.37999999999999545</v>
      </c>
      <c r="C198" s="9">
        <f>data!D199-data!D198</f>
        <v>-4.1750000000000007</v>
      </c>
      <c r="D198" s="10">
        <f>data!B199-data!B198</f>
        <v>-0.55000000000000071</v>
      </c>
      <c r="E198" s="9">
        <f>data!E198-data!G198</f>
        <v>2.3414999999999999</v>
      </c>
      <c r="F198" s="9">
        <f>(data!E198-data!F198)-(data!G198-data!H198)</f>
        <v>1.5592999999999999</v>
      </c>
      <c r="G198" s="9">
        <f t="shared" si="150"/>
        <v>-5.9999999999993392E-4</v>
      </c>
      <c r="H198" s="9">
        <f t="shared" si="151"/>
        <v>-4.2199999999999793E-2</v>
      </c>
      <c r="I198" s="9">
        <f>IF(data!M199&gt; 111.81,1,0)</f>
        <v>0</v>
      </c>
      <c r="J198" s="9">
        <f t="shared" si="152"/>
        <v>1</v>
      </c>
      <c r="K198" s="9">
        <f t="shared" si="153"/>
        <v>0</v>
      </c>
      <c r="L198" s="9">
        <f t="shared" si="154"/>
        <v>-0.27349999999999852</v>
      </c>
      <c r="M198" s="9">
        <f>data!J198</f>
        <v>-65</v>
      </c>
      <c r="N198" s="9">
        <f>data!I198</f>
        <v>-18</v>
      </c>
      <c r="O198" s="9">
        <f>data!L198</f>
        <v>-1.5</v>
      </c>
      <c r="P198" s="9">
        <f>data!K198</f>
        <v>6.625</v>
      </c>
      <c r="Q198" s="9">
        <f>data!R198</f>
        <v>5.8</v>
      </c>
      <c r="R198" s="9">
        <f t="shared" si="155"/>
        <v>28.25</v>
      </c>
      <c r="S198" s="9">
        <f t="shared" si="156"/>
        <v>21</v>
      </c>
      <c r="T198" s="9">
        <f t="shared" si="157"/>
        <v>54.625</v>
      </c>
      <c r="U198" s="9">
        <f t="shared" si="158"/>
        <v>49.125</v>
      </c>
      <c r="V198" s="9">
        <f t="shared" si="159"/>
        <v>30.5</v>
      </c>
      <c r="W198" s="9">
        <f t="shared" si="160"/>
        <v>17</v>
      </c>
      <c r="X198" s="9">
        <f t="shared" si="161"/>
        <v>17</v>
      </c>
      <c r="Y198" s="9">
        <f t="shared" si="162"/>
        <v>36</v>
      </c>
      <c r="Z198" s="9">
        <f t="shared" si="163"/>
        <v>30</v>
      </c>
      <c r="AA198" s="9">
        <f t="shared" si="164"/>
        <v>3.75</v>
      </c>
      <c r="AB198" s="9">
        <f t="shared" si="165"/>
        <v>5.25</v>
      </c>
      <c r="AC198" s="9">
        <f t="shared" si="166"/>
        <v>7.5</v>
      </c>
      <c r="AD198" s="9">
        <f t="shared" si="167"/>
        <v>8.25</v>
      </c>
      <c r="AE198" s="9">
        <f t="shared" si="168"/>
        <v>5.75</v>
      </c>
      <c r="AF198" s="9">
        <f t="shared" si="169"/>
        <v>-2</v>
      </c>
      <c r="AG198" s="9">
        <f t="shared" si="170"/>
        <v>-4.5</v>
      </c>
      <c r="AH198" s="9">
        <f t="shared" si="171"/>
        <v>-4.5</v>
      </c>
      <c r="AI198" s="9">
        <f t="shared" si="172"/>
        <v>-5.75</v>
      </c>
      <c r="AJ198" s="9">
        <f t="shared" si="173"/>
        <v>0.875</v>
      </c>
      <c r="AK198" s="9">
        <f t="shared" si="174"/>
        <v>-0.75</v>
      </c>
      <c r="AL198" s="9">
        <f t="shared" si="175"/>
        <v>-2</v>
      </c>
      <c r="AM198" s="9">
        <f t="shared" si="176"/>
        <v>-3</v>
      </c>
      <c r="AN198" s="9">
        <f t="shared" si="177"/>
        <v>-1.5625</v>
      </c>
      <c r="AO198" s="9">
        <f t="shared" si="178"/>
        <v>-7</v>
      </c>
      <c r="AP198" s="9">
        <f t="shared" si="179"/>
        <v>-13.25</v>
      </c>
      <c r="AQ198" s="9">
        <f t="shared" si="180"/>
        <v>-11.75</v>
      </c>
      <c r="AR198" s="9">
        <f t="shared" si="181"/>
        <v>-14.25</v>
      </c>
      <c r="AS198" s="9">
        <f t="shared" si="182"/>
        <v>-1.25</v>
      </c>
      <c r="AT198" s="9">
        <f t="shared" si="183"/>
        <v>-4.375</v>
      </c>
      <c r="AU198" s="9">
        <f t="shared" si="184"/>
        <v>-5</v>
      </c>
      <c r="AV198" s="9">
        <f t="shared" si="185"/>
        <v>-7.75</v>
      </c>
      <c r="AW198" s="9">
        <f t="shared" si="186"/>
        <v>-8.75</v>
      </c>
      <c r="AX198" s="9">
        <f t="shared" si="187"/>
        <v>-8</v>
      </c>
      <c r="AY198" s="9">
        <f t="shared" si="188"/>
        <v>-18.25</v>
      </c>
      <c r="AZ198" s="9">
        <f t="shared" si="189"/>
        <v>-16.375</v>
      </c>
      <c r="BA198" s="9">
        <f t="shared" si="190"/>
        <v>-18.375</v>
      </c>
      <c r="BB198" s="9">
        <f t="shared" si="191"/>
        <v>4.45</v>
      </c>
      <c r="BC198" s="9">
        <f t="shared" si="192"/>
        <v>-0.54999999999999982</v>
      </c>
      <c r="BD198" s="9">
        <f t="shared" si="193"/>
        <v>-3.05</v>
      </c>
      <c r="BE198" s="9">
        <f t="shared" si="194"/>
        <v>-6.4249999999999998</v>
      </c>
      <c r="BF198" s="9">
        <f t="shared" si="195"/>
        <v>-6.9249999999999998</v>
      </c>
      <c r="BG198" s="9">
        <f t="shared" si="196"/>
        <v>-6.55</v>
      </c>
      <c r="BH198" s="9">
        <f t="shared" si="197"/>
        <v>-16.3</v>
      </c>
      <c r="BI198" s="9">
        <f t="shared" si="198"/>
        <v>-15.05</v>
      </c>
      <c r="BJ198" s="9">
        <f t="shared" si="199"/>
        <v>-16.3</v>
      </c>
    </row>
    <row r="199" spans="1:62" x14ac:dyDescent="0.2">
      <c r="A199" s="9">
        <f>data!M200-data!M199</f>
        <v>4.118700000000004</v>
      </c>
      <c r="B199" s="9">
        <f>data!C200-data!C199</f>
        <v>8.7999999999999972</v>
      </c>
      <c r="C199" s="9">
        <f>data!D200-data!D199</f>
        <v>7.9200000000000017</v>
      </c>
      <c r="D199" s="10">
        <f>data!B200-data!B199</f>
        <v>-1.5749999999999993</v>
      </c>
      <c r="E199" s="9">
        <f>data!E199-data!G199</f>
        <v>2.3409</v>
      </c>
      <c r="F199" s="9">
        <f>(data!E199-data!F199)-(data!G199-data!H199)</f>
        <v>1.5171000000000001</v>
      </c>
      <c r="G199" s="9">
        <f t="shared" si="150"/>
        <v>-0.15229999999999988</v>
      </c>
      <c r="H199" s="9">
        <f t="shared" si="151"/>
        <v>-0.12370000000000037</v>
      </c>
      <c r="I199" s="9">
        <f>IF(data!M200&gt; 111.81,1,0)</f>
        <v>0</v>
      </c>
      <c r="J199" s="9">
        <f t="shared" si="152"/>
        <v>1</v>
      </c>
      <c r="K199" s="9">
        <f t="shared" si="153"/>
        <v>0</v>
      </c>
      <c r="L199" s="9">
        <f t="shared" si="154"/>
        <v>4.118700000000004</v>
      </c>
      <c r="M199" s="9">
        <f>data!J199</f>
        <v>-36.75</v>
      </c>
      <c r="N199" s="9">
        <f>data!I199</f>
        <v>-14.25</v>
      </c>
      <c r="O199" s="9">
        <f>data!L199</f>
        <v>-0.625</v>
      </c>
      <c r="P199" s="9">
        <f>data!K199</f>
        <v>5.375</v>
      </c>
      <c r="Q199" s="9">
        <f>data!R199</f>
        <v>10.25</v>
      </c>
      <c r="R199" s="9">
        <f t="shared" si="155"/>
        <v>-7.25</v>
      </c>
      <c r="S199" s="9">
        <f t="shared" si="156"/>
        <v>26.375</v>
      </c>
      <c r="T199" s="9">
        <f t="shared" si="157"/>
        <v>20.875</v>
      </c>
      <c r="U199" s="9">
        <f t="shared" si="158"/>
        <v>2.25</v>
      </c>
      <c r="V199" s="9">
        <f t="shared" si="159"/>
        <v>-11.25</v>
      </c>
      <c r="W199" s="9">
        <f t="shared" si="160"/>
        <v>-11.25</v>
      </c>
      <c r="X199" s="9">
        <f t="shared" si="161"/>
        <v>7.75</v>
      </c>
      <c r="Y199" s="9">
        <f t="shared" si="162"/>
        <v>1.75</v>
      </c>
      <c r="Z199" s="9">
        <f t="shared" si="163"/>
        <v>8.75</v>
      </c>
      <c r="AA199" s="9">
        <f t="shared" si="164"/>
        <v>1.5</v>
      </c>
      <c r="AB199" s="9">
        <f t="shared" si="165"/>
        <v>3.75</v>
      </c>
      <c r="AC199" s="9">
        <f t="shared" si="166"/>
        <v>4.5</v>
      </c>
      <c r="AD199" s="9">
        <f t="shared" si="167"/>
        <v>2</v>
      </c>
      <c r="AE199" s="9">
        <f t="shared" si="168"/>
        <v>-5.75</v>
      </c>
      <c r="AF199" s="9">
        <f t="shared" si="169"/>
        <v>-8.25</v>
      </c>
      <c r="AG199" s="9">
        <f t="shared" si="170"/>
        <v>-8.25</v>
      </c>
      <c r="AH199" s="9">
        <f t="shared" si="171"/>
        <v>-9.5</v>
      </c>
      <c r="AI199" s="9">
        <f t="shared" si="172"/>
        <v>-8.25</v>
      </c>
      <c r="AJ199" s="9">
        <f t="shared" si="173"/>
        <v>-1.625</v>
      </c>
      <c r="AK199" s="9">
        <f t="shared" si="174"/>
        <v>-2.875</v>
      </c>
      <c r="AL199" s="9">
        <f t="shared" si="175"/>
        <v>-3.875</v>
      </c>
      <c r="AM199" s="9">
        <f t="shared" si="176"/>
        <v>-2.4375</v>
      </c>
      <c r="AN199" s="9">
        <f t="shared" si="177"/>
        <v>-7.875</v>
      </c>
      <c r="AO199" s="9">
        <f t="shared" si="178"/>
        <v>-14.125</v>
      </c>
      <c r="AP199" s="9">
        <f t="shared" si="179"/>
        <v>-12.625</v>
      </c>
      <c r="AQ199" s="9">
        <f t="shared" si="180"/>
        <v>-15.125</v>
      </c>
      <c r="AR199" s="9">
        <f t="shared" si="181"/>
        <v>-11.875</v>
      </c>
      <c r="AS199" s="9">
        <f t="shared" si="182"/>
        <v>-3.125</v>
      </c>
      <c r="AT199" s="9">
        <f t="shared" si="183"/>
        <v>-3.75</v>
      </c>
      <c r="AU199" s="9">
        <f t="shared" si="184"/>
        <v>-6.5</v>
      </c>
      <c r="AV199" s="9">
        <f t="shared" si="185"/>
        <v>-7.5</v>
      </c>
      <c r="AW199" s="9">
        <f t="shared" si="186"/>
        <v>-6.75</v>
      </c>
      <c r="AX199" s="9">
        <f t="shared" si="187"/>
        <v>-17</v>
      </c>
      <c r="AY199" s="9">
        <f t="shared" si="188"/>
        <v>-15.125</v>
      </c>
      <c r="AZ199" s="9">
        <f t="shared" si="189"/>
        <v>-17.125</v>
      </c>
      <c r="BA199" s="9">
        <f t="shared" si="190"/>
        <v>-12</v>
      </c>
      <c r="BB199" s="9">
        <f t="shared" si="191"/>
        <v>-5</v>
      </c>
      <c r="BC199" s="9">
        <f t="shared" si="192"/>
        <v>-7.5</v>
      </c>
      <c r="BD199" s="9">
        <f t="shared" si="193"/>
        <v>-10.875</v>
      </c>
      <c r="BE199" s="9">
        <f t="shared" si="194"/>
        <v>-11.375</v>
      </c>
      <c r="BF199" s="9">
        <f t="shared" si="195"/>
        <v>-11</v>
      </c>
      <c r="BG199" s="9">
        <f t="shared" si="196"/>
        <v>-20.75</v>
      </c>
      <c r="BH199" s="9">
        <f t="shared" si="197"/>
        <v>-19.5</v>
      </c>
      <c r="BI199" s="9">
        <f t="shared" si="198"/>
        <v>-20.75</v>
      </c>
      <c r="BJ199" s="9">
        <f t="shared" si="199"/>
        <v>-11.375</v>
      </c>
    </row>
    <row r="200" spans="1:62" x14ac:dyDescent="0.2">
      <c r="A200" s="9">
        <f>data!M201-data!M200</f>
        <v>-2.078000000000003</v>
      </c>
      <c r="B200" s="9">
        <f>data!C201-data!C200</f>
        <v>-19.239999999999995</v>
      </c>
      <c r="C200" s="9">
        <f>data!D201-data!D200</f>
        <v>-1.5175000000000018</v>
      </c>
      <c r="D200" s="10">
        <f>data!B201-data!B200</f>
        <v>-0.14500000000000046</v>
      </c>
      <c r="E200" s="9">
        <f>data!E200-data!G200</f>
        <v>2.1886000000000001</v>
      </c>
      <c r="F200" s="9">
        <f>(data!E200-data!F200)-(data!G200-data!H200)</f>
        <v>1.3933999999999997</v>
      </c>
      <c r="G200" s="9">
        <f t="shared" si="150"/>
        <v>0.28839999999999977</v>
      </c>
      <c r="H200" s="9">
        <f t="shared" si="151"/>
        <v>8.8600000000000012E-2</v>
      </c>
      <c r="I200" s="9">
        <f>IF(data!M201&gt; 111.81,1,0)</f>
        <v>0</v>
      </c>
      <c r="J200" s="9">
        <f t="shared" si="152"/>
        <v>1</v>
      </c>
      <c r="K200" s="9">
        <f t="shared" si="153"/>
        <v>0</v>
      </c>
      <c r="L200" s="9">
        <f t="shared" si="154"/>
        <v>-2.078000000000003</v>
      </c>
      <c r="M200" s="9">
        <f>data!J200</f>
        <v>-44</v>
      </c>
      <c r="N200" s="9">
        <f>data!I200</f>
        <v>-12.75</v>
      </c>
      <c r="O200" s="9">
        <f>data!L200</f>
        <v>-2.25</v>
      </c>
      <c r="P200" s="9">
        <f>data!K200</f>
        <v>2.25</v>
      </c>
      <c r="Q200" s="9">
        <f>data!R200</f>
        <v>5.25</v>
      </c>
      <c r="R200" s="9">
        <f t="shared" si="155"/>
        <v>33.625</v>
      </c>
      <c r="S200" s="9">
        <f t="shared" si="156"/>
        <v>28.125</v>
      </c>
      <c r="T200" s="9">
        <f t="shared" si="157"/>
        <v>9.5</v>
      </c>
      <c r="U200" s="9">
        <f t="shared" si="158"/>
        <v>-4</v>
      </c>
      <c r="V200" s="9">
        <f t="shared" si="159"/>
        <v>-4</v>
      </c>
      <c r="W200" s="9">
        <f t="shared" si="160"/>
        <v>15</v>
      </c>
      <c r="X200" s="9">
        <f t="shared" si="161"/>
        <v>9</v>
      </c>
      <c r="Y200" s="9">
        <f t="shared" si="162"/>
        <v>16</v>
      </c>
      <c r="Z200" s="9">
        <f t="shared" si="163"/>
        <v>13</v>
      </c>
      <c r="AA200" s="9">
        <f t="shared" si="164"/>
        <v>2.25</v>
      </c>
      <c r="AB200" s="9">
        <f t="shared" si="165"/>
        <v>3</v>
      </c>
      <c r="AC200" s="9">
        <f t="shared" si="166"/>
        <v>0.5</v>
      </c>
      <c r="AD200" s="9">
        <f t="shared" si="167"/>
        <v>-7.25</v>
      </c>
      <c r="AE200" s="9">
        <f t="shared" si="168"/>
        <v>-9.75</v>
      </c>
      <c r="AF200" s="9">
        <f t="shared" si="169"/>
        <v>-9.75</v>
      </c>
      <c r="AG200" s="9">
        <f t="shared" si="170"/>
        <v>-11</v>
      </c>
      <c r="AH200" s="9">
        <f t="shared" si="171"/>
        <v>-9.75</v>
      </c>
      <c r="AI200" s="9">
        <f t="shared" si="172"/>
        <v>-7.75</v>
      </c>
      <c r="AJ200" s="9">
        <f t="shared" si="173"/>
        <v>-1.25</v>
      </c>
      <c r="AK200" s="9">
        <f t="shared" si="174"/>
        <v>-2.25</v>
      </c>
      <c r="AL200" s="9">
        <f t="shared" si="175"/>
        <v>-0.8125</v>
      </c>
      <c r="AM200" s="9">
        <f t="shared" si="176"/>
        <v>-6.25</v>
      </c>
      <c r="AN200" s="9">
        <f t="shared" si="177"/>
        <v>-12.5</v>
      </c>
      <c r="AO200" s="9">
        <f t="shared" si="178"/>
        <v>-11</v>
      </c>
      <c r="AP200" s="9">
        <f t="shared" si="179"/>
        <v>-13.5</v>
      </c>
      <c r="AQ200" s="9">
        <f t="shared" si="180"/>
        <v>-10.25</v>
      </c>
      <c r="AR200" s="9">
        <f t="shared" si="181"/>
        <v>-11.375</v>
      </c>
      <c r="AS200" s="9">
        <f t="shared" si="182"/>
        <v>-0.625</v>
      </c>
      <c r="AT200" s="9">
        <f t="shared" si="183"/>
        <v>-3.375</v>
      </c>
      <c r="AU200" s="9">
        <f t="shared" si="184"/>
        <v>-4.375</v>
      </c>
      <c r="AV200" s="9">
        <f t="shared" si="185"/>
        <v>-3.625</v>
      </c>
      <c r="AW200" s="9">
        <f t="shared" si="186"/>
        <v>-13.875</v>
      </c>
      <c r="AX200" s="9">
        <f t="shared" si="187"/>
        <v>-12</v>
      </c>
      <c r="AY200" s="9">
        <f t="shared" si="188"/>
        <v>-14</v>
      </c>
      <c r="AZ200" s="9">
        <f t="shared" si="189"/>
        <v>-8.875</v>
      </c>
      <c r="BA200" s="9">
        <f t="shared" si="190"/>
        <v>-5.25</v>
      </c>
      <c r="BB200" s="9">
        <f t="shared" si="191"/>
        <v>-2.5</v>
      </c>
      <c r="BC200" s="9">
        <f t="shared" si="192"/>
        <v>-5.875</v>
      </c>
      <c r="BD200" s="9">
        <f t="shared" si="193"/>
        <v>-6.375</v>
      </c>
      <c r="BE200" s="9">
        <f t="shared" si="194"/>
        <v>-6</v>
      </c>
      <c r="BF200" s="9">
        <f t="shared" si="195"/>
        <v>-15.75</v>
      </c>
      <c r="BG200" s="9">
        <f t="shared" si="196"/>
        <v>-14.5</v>
      </c>
      <c r="BH200" s="9">
        <f t="shared" si="197"/>
        <v>-15.75</v>
      </c>
      <c r="BI200" s="9">
        <f t="shared" si="198"/>
        <v>-6.375</v>
      </c>
      <c r="BJ200" s="9">
        <f t="shared" si="199"/>
        <v>-7.75</v>
      </c>
    </row>
    <row r="201" spans="1:62" x14ac:dyDescent="0.2">
      <c r="A201" s="9">
        <f>data!M202-data!M201</f>
        <v>-0.37179999999999325</v>
      </c>
      <c r="B201" s="9">
        <f>data!C202-data!C201</f>
        <v>-3.7899999999999991</v>
      </c>
      <c r="C201" s="9">
        <f>data!D202-data!D201</f>
        <v>-3.067499999999999</v>
      </c>
      <c r="D201" s="10">
        <f>data!B202-data!B201</f>
        <v>0.14250000000000007</v>
      </c>
      <c r="E201" s="9">
        <f>data!E201-data!G201</f>
        <v>2.4769999999999999</v>
      </c>
      <c r="F201" s="9">
        <f>(data!E201-data!F201)-(data!G201-data!H201)</f>
        <v>1.4819999999999998</v>
      </c>
      <c r="G201" s="9">
        <f t="shared" si="150"/>
        <v>-0.20409999999999995</v>
      </c>
      <c r="H201" s="9">
        <f t="shared" si="151"/>
        <v>4.610000000000003E-2</v>
      </c>
      <c r="I201" s="9">
        <f>IF(data!M202&gt; 111.81,1,0)</f>
        <v>0</v>
      </c>
      <c r="J201" s="9">
        <f t="shared" si="152"/>
        <v>1</v>
      </c>
      <c r="K201" s="9">
        <f t="shared" si="153"/>
        <v>0</v>
      </c>
      <c r="L201" s="9">
        <f t="shared" si="154"/>
        <v>-0.37179999999999325</v>
      </c>
      <c r="M201" s="9">
        <f>data!J201</f>
        <v>-10.375</v>
      </c>
      <c r="N201" s="9">
        <f>data!I201</f>
        <v>-10.5</v>
      </c>
      <c r="O201" s="9">
        <f>data!L201</f>
        <v>-3.5</v>
      </c>
      <c r="P201" s="9">
        <f>data!K201</f>
        <v>1.625</v>
      </c>
      <c r="Q201" s="9">
        <f>data!R201</f>
        <v>2.75</v>
      </c>
      <c r="R201" s="9">
        <f t="shared" si="155"/>
        <v>-5.5</v>
      </c>
      <c r="S201" s="9">
        <f t="shared" si="156"/>
        <v>-24.125</v>
      </c>
      <c r="T201" s="9">
        <f t="shared" si="157"/>
        <v>-37.625</v>
      </c>
      <c r="U201" s="9">
        <f t="shared" si="158"/>
        <v>-37.625</v>
      </c>
      <c r="V201" s="9">
        <f t="shared" si="159"/>
        <v>-18.625</v>
      </c>
      <c r="W201" s="9">
        <f t="shared" si="160"/>
        <v>-24.625</v>
      </c>
      <c r="X201" s="9">
        <f t="shared" si="161"/>
        <v>-17.625</v>
      </c>
      <c r="Y201" s="9">
        <f t="shared" si="162"/>
        <v>-20.625</v>
      </c>
      <c r="Z201" s="9">
        <f t="shared" si="163"/>
        <v>-21.125</v>
      </c>
      <c r="AA201" s="9">
        <f t="shared" si="164"/>
        <v>0.75</v>
      </c>
      <c r="AB201" s="9">
        <f t="shared" si="165"/>
        <v>-1.75</v>
      </c>
      <c r="AC201" s="9">
        <f t="shared" si="166"/>
        <v>-9.5</v>
      </c>
      <c r="AD201" s="9">
        <f t="shared" si="167"/>
        <v>-12</v>
      </c>
      <c r="AE201" s="9">
        <f t="shared" si="168"/>
        <v>-12</v>
      </c>
      <c r="AF201" s="9">
        <f t="shared" si="169"/>
        <v>-13.25</v>
      </c>
      <c r="AG201" s="9">
        <f t="shared" si="170"/>
        <v>-12</v>
      </c>
      <c r="AH201" s="9">
        <f t="shared" si="171"/>
        <v>-10</v>
      </c>
      <c r="AI201" s="9">
        <f t="shared" si="172"/>
        <v>-10</v>
      </c>
      <c r="AJ201" s="9">
        <f t="shared" si="173"/>
        <v>-1</v>
      </c>
      <c r="AK201" s="9">
        <f t="shared" si="174"/>
        <v>0.4375</v>
      </c>
      <c r="AL201" s="9">
        <f t="shared" si="175"/>
        <v>-5</v>
      </c>
      <c r="AM201" s="9">
        <f t="shared" si="176"/>
        <v>-11.25</v>
      </c>
      <c r="AN201" s="9">
        <f t="shared" si="177"/>
        <v>-9.75</v>
      </c>
      <c r="AO201" s="9">
        <f t="shared" si="178"/>
        <v>-12.25</v>
      </c>
      <c r="AP201" s="9">
        <f t="shared" si="179"/>
        <v>-9</v>
      </c>
      <c r="AQ201" s="9">
        <f t="shared" si="180"/>
        <v>-10.125</v>
      </c>
      <c r="AR201" s="9">
        <f t="shared" si="181"/>
        <v>-8</v>
      </c>
      <c r="AS201" s="9">
        <f t="shared" si="182"/>
        <v>-2.75</v>
      </c>
      <c r="AT201" s="9">
        <f t="shared" si="183"/>
        <v>-3.75</v>
      </c>
      <c r="AU201" s="9">
        <f t="shared" si="184"/>
        <v>-3</v>
      </c>
      <c r="AV201" s="9">
        <f t="shared" si="185"/>
        <v>-13.25</v>
      </c>
      <c r="AW201" s="9">
        <f t="shared" si="186"/>
        <v>-11.375</v>
      </c>
      <c r="AX201" s="9">
        <f t="shared" si="187"/>
        <v>-13.375</v>
      </c>
      <c r="AY201" s="9">
        <f t="shared" si="188"/>
        <v>-8.25</v>
      </c>
      <c r="AZ201" s="9">
        <f t="shared" si="189"/>
        <v>-4.625</v>
      </c>
      <c r="BA201" s="9">
        <f t="shared" si="190"/>
        <v>-4.125</v>
      </c>
      <c r="BB201" s="9">
        <f t="shared" si="191"/>
        <v>-3.375</v>
      </c>
      <c r="BC201" s="9">
        <f t="shared" si="192"/>
        <v>-3.875</v>
      </c>
      <c r="BD201" s="9">
        <f t="shared" si="193"/>
        <v>-3.5</v>
      </c>
      <c r="BE201" s="9">
        <f t="shared" si="194"/>
        <v>-13.25</v>
      </c>
      <c r="BF201" s="9">
        <f t="shared" si="195"/>
        <v>-12</v>
      </c>
      <c r="BG201" s="9">
        <f t="shared" si="196"/>
        <v>-13.25</v>
      </c>
      <c r="BH201" s="9">
        <f t="shared" si="197"/>
        <v>-3.875</v>
      </c>
      <c r="BI201" s="9">
        <f t="shared" si="198"/>
        <v>-5.25</v>
      </c>
      <c r="BJ201" s="9">
        <f t="shared" si="199"/>
        <v>-3.75</v>
      </c>
    </row>
    <row r="202" spans="1:62" x14ac:dyDescent="0.2">
      <c r="A202" s="9">
        <f>data!M203-data!M202</f>
        <v>1.5760999999999967</v>
      </c>
      <c r="B202" s="9">
        <f>data!C203-data!C202</f>
        <v>10.210000000000001</v>
      </c>
      <c r="C202" s="9">
        <f>data!D203-data!D202</f>
        <v>1.3724999999999987</v>
      </c>
      <c r="D202" s="10">
        <f>data!B203-data!B202</f>
        <v>-0.66000000000000014</v>
      </c>
      <c r="E202" s="9">
        <f>data!E202-data!G202</f>
        <v>2.2728999999999999</v>
      </c>
      <c r="F202" s="9">
        <f>(data!E202-data!F202)-(data!G202-data!H202)</f>
        <v>1.5280999999999998</v>
      </c>
      <c r="G202" s="9">
        <f t="shared" si="150"/>
        <v>-3.5000000000000142E-2</v>
      </c>
      <c r="H202" s="9">
        <f t="shared" si="151"/>
        <v>5.7200000000000362E-2</v>
      </c>
      <c r="I202" s="9">
        <f>IF(data!M203&gt; 111.81,1,0)</f>
        <v>0</v>
      </c>
      <c r="J202" s="9">
        <f t="shared" si="152"/>
        <v>1</v>
      </c>
      <c r="K202" s="9">
        <f t="shared" si="153"/>
        <v>0</v>
      </c>
      <c r="L202" s="9">
        <f t="shared" si="154"/>
        <v>1.5760999999999967</v>
      </c>
      <c r="M202" s="9">
        <f>data!J202</f>
        <v>-15.875</v>
      </c>
      <c r="N202" s="9">
        <f>data!I202</f>
        <v>-9.75</v>
      </c>
      <c r="O202" s="9">
        <f>data!L202</f>
        <v>-4.5</v>
      </c>
      <c r="P202" s="9">
        <f>data!K202</f>
        <v>-1.125</v>
      </c>
      <c r="Q202" s="9">
        <f>data!R202</f>
        <v>-0.625</v>
      </c>
      <c r="R202" s="9">
        <f t="shared" si="155"/>
        <v>-18.625</v>
      </c>
      <c r="S202" s="9">
        <f t="shared" si="156"/>
        <v>-32.125</v>
      </c>
      <c r="T202" s="9">
        <f t="shared" si="157"/>
        <v>-32.125</v>
      </c>
      <c r="U202" s="9">
        <f t="shared" si="158"/>
        <v>-13.125</v>
      </c>
      <c r="V202" s="9">
        <f t="shared" si="159"/>
        <v>-19.125</v>
      </c>
      <c r="W202" s="9">
        <f t="shared" si="160"/>
        <v>-12.125</v>
      </c>
      <c r="X202" s="9">
        <f t="shared" si="161"/>
        <v>-15.125</v>
      </c>
      <c r="Y202" s="9">
        <f t="shared" si="162"/>
        <v>-15.625</v>
      </c>
      <c r="Z202" s="9">
        <f t="shared" si="163"/>
        <v>4.25</v>
      </c>
      <c r="AA202" s="9">
        <f t="shared" si="164"/>
        <v>-2.5</v>
      </c>
      <c r="AB202" s="9">
        <f t="shared" si="165"/>
        <v>-10.25</v>
      </c>
      <c r="AC202" s="9">
        <f t="shared" si="166"/>
        <v>-12.75</v>
      </c>
      <c r="AD202" s="9">
        <f t="shared" si="167"/>
        <v>-12.75</v>
      </c>
      <c r="AE202" s="9">
        <f t="shared" si="168"/>
        <v>-14</v>
      </c>
      <c r="AF202" s="9">
        <f t="shared" si="169"/>
        <v>-12.75</v>
      </c>
      <c r="AG202" s="9">
        <f t="shared" si="170"/>
        <v>-10.75</v>
      </c>
      <c r="AH202" s="9">
        <f t="shared" si="171"/>
        <v>-10.75</v>
      </c>
      <c r="AI202" s="9">
        <f t="shared" si="172"/>
        <v>-0.125</v>
      </c>
      <c r="AJ202" s="9">
        <f t="shared" si="173"/>
        <v>1.4375</v>
      </c>
      <c r="AK202" s="9">
        <f t="shared" si="174"/>
        <v>-4</v>
      </c>
      <c r="AL202" s="9">
        <f t="shared" si="175"/>
        <v>-10.25</v>
      </c>
      <c r="AM202" s="9">
        <f t="shared" si="176"/>
        <v>-8.75</v>
      </c>
      <c r="AN202" s="9">
        <f t="shared" si="177"/>
        <v>-11.25</v>
      </c>
      <c r="AO202" s="9">
        <f t="shared" si="178"/>
        <v>-8</v>
      </c>
      <c r="AP202" s="9">
        <f t="shared" si="179"/>
        <v>-9.125</v>
      </c>
      <c r="AQ202" s="9">
        <f t="shared" si="180"/>
        <v>-7</v>
      </c>
      <c r="AR202" s="9">
        <f t="shared" si="181"/>
        <v>6.125</v>
      </c>
      <c r="AS202" s="9">
        <f t="shared" si="182"/>
        <v>-1</v>
      </c>
      <c r="AT202" s="9">
        <f t="shared" si="183"/>
        <v>-0.25</v>
      </c>
      <c r="AU202" s="9">
        <f t="shared" si="184"/>
        <v>-10.5</v>
      </c>
      <c r="AV202" s="9">
        <f t="shared" si="185"/>
        <v>-8.625</v>
      </c>
      <c r="AW202" s="9">
        <f t="shared" si="186"/>
        <v>-10.625</v>
      </c>
      <c r="AX202" s="9">
        <f t="shared" si="187"/>
        <v>-5.5</v>
      </c>
      <c r="AY202" s="9">
        <f t="shared" si="188"/>
        <v>-1.875</v>
      </c>
      <c r="AZ202" s="9">
        <f t="shared" si="189"/>
        <v>-1.375</v>
      </c>
      <c r="BA202" s="9">
        <f t="shared" si="190"/>
        <v>9.875</v>
      </c>
      <c r="BB202" s="9">
        <f t="shared" si="191"/>
        <v>-0.5</v>
      </c>
      <c r="BC202" s="9">
        <f t="shared" si="192"/>
        <v>-0.125</v>
      </c>
      <c r="BD202" s="9">
        <f t="shared" si="193"/>
        <v>-9.875</v>
      </c>
      <c r="BE202" s="9">
        <f t="shared" si="194"/>
        <v>-8.625</v>
      </c>
      <c r="BF202" s="9">
        <f t="shared" si="195"/>
        <v>-9.875</v>
      </c>
      <c r="BG202" s="9">
        <f t="shared" si="196"/>
        <v>-0.5</v>
      </c>
      <c r="BH202" s="9">
        <f t="shared" si="197"/>
        <v>-1.875</v>
      </c>
      <c r="BI202" s="9">
        <f t="shared" si="198"/>
        <v>-0.375</v>
      </c>
      <c r="BJ202" s="9">
        <f t="shared" si="199"/>
        <v>12.125</v>
      </c>
    </row>
    <row r="203" spans="1:62" x14ac:dyDescent="0.2">
      <c r="A203" s="9">
        <f>data!M204-data!M203</f>
        <v>2.6584000000000003</v>
      </c>
      <c r="B203" s="9">
        <f>data!C204-data!C203</f>
        <v>6.3599999999999994</v>
      </c>
      <c r="C203" s="9">
        <f>data!D204-data!D203</f>
        <v>-1.3900000000000006</v>
      </c>
      <c r="D203" s="10">
        <f>data!B204-data!B203</f>
        <v>-8.2499999999999574E-2</v>
      </c>
      <c r="E203" s="9">
        <f>data!E203-data!G203</f>
        <v>2.2378999999999998</v>
      </c>
      <c r="F203" s="9">
        <f>(data!E203-data!F203)-(data!G203-data!H203)</f>
        <v>1.5853000000000002</v>
      </c>
      <c r="G203" s="9">
        <f t="shared" si="150"/>
        <v>-0.44149999999999978</v>
      </c>
      <c r="H203" s="9">
        <f t="shared" si="151"/>
        <v>-0.32550000000000034</v>
      </c>
      <c r="I203" s="9">
        <f>IF(data!M204&gt; 111.81,1,0)</f>
        <v>0</v>
      </c>
      <c r="J203" s="9">
        <f t="shared" si="152"/>
        <v>1</v>
      </c>
      <c r="K203" s="9">
        <f t="shared" si="153"/>
        <v>0</v>
      </c>
      <c r="L203" s="9">
        <f t="shared" si="154"/>
        <v>2.6584000000000003</v>
      </c>
      <c r="M203" s="9">
        <f>data!J203</f>
        <v>-34.5</v>
      </c>
      <c r="N203" s="9">
        <f>data!I203</f>
        <v>-12.25</v>
      </c>
      <c r="O203" s="9">
        <f>data!L203</f>
        <v>-3.0625</v>
      </c>
      <c r="P203" s="9">
        <f>data!K203</f>
        <v>-2.125</v>
      </c>
      <c r="Q203" s="9">
        <f>data!R203</f>
        <v>-1.125</v>
      </c>
      <c r="R203" s="9">
        <f t="shared" si="155"/>
        <v>-13.5</v>
      </c>
      <c r="S203" s="9">
        <f t="shared" si="156"/>
        <v>-13.5</v>
      </c>
      <c r="T203" s="9">
        <f t="shared" si="157"/>
        <v>5.5</v>
      </c>
      <c r="U203" s="9">
        <f t="shared" si="158"/>
        <v>-0.5</v>
      </c>
      <c r="V203" s="9">
        <f t="shared" si="159"/>
        <v>6.5</v>
      </c>
      <c r="W203" s="9">
        <f t="shared" si="160"/>
        <v>3.5</v>
      </c>
      <c r="X203" s="9">
        <f t="shared" si="161"/>
        <v>3</v>
      </c>
      <c r="Y203" s="9">
        <f t="shared" si="162"/>
        <v>22.875</v>
      </c>
      <c r="Z203" s="9">
        <f t="shared" si="163"/>
        <v>3.5</v>
      </c>
      <c r="AA203" s="9">
        <f t="shared" si="164"/>
        <v>-7.75</v>
      </c>
      <c r="AB203" s="9">
        <f t="shared" si="165"/>
        <v>-10.25</v>
      </c>
      <c r="AC203" s="9">
        <f t="shared" si="166"/>
        <v>-10.25</v>
      </c>
      <c r="AD203" s="9">
        <f t="shared" si="167"/>
        <v>-11.5</v>
      </c>
      <c r="AE203" s="9">
        <f t="shared" si="168"/>
        <v>-10.25</v>
      </c>
      <c r="AF203" s="9">
        <f t="shared" si="169"/>
        <v>-8.25</v>
      </c>
      <c r="AG203" s="9">
        <f t="shared" si="170"/>
        <v>-8.25</v>
      </c>
      <c r="AH203" s="9">
        <f t="shared" si="171"/>
        <v>2.375</v>
      </c>
      <c r="AI203" s="9">
        <f t="shared" si="172"/>
        <v>-8.25</v>
      </c>
      <c r="AJ203" s="9">
        <f t="shared" si="173"/>
        <v>-5.4375</v>
      </c>
      <c r="AK203" s="9">
        <f t="shared" si="174"/>
        <v>-11.6875</v>
      </c>
      <c r="AL203" s="9">
        <f t="shared" si="175"/>
        <v>-10.1875</v>
      </c>
      <c r="AM203" s="9">
        <f t="shared" si="176"/>
        <v>-12.6875</v>
      </c>
      <c r="AN203" s="9">
        <f t="shared" si="177"/>
        <v>-9.4375</v>
      </c>
      <c r="AO203" s="9">
        <f t="shared" si="178"/>
        <v>-10.5625</v>
      </c>
      <c r="AP203" s="9">
        <f t="shared" si="179"/>
        <v>-8.4375</v>
      </c>
      <c r="AQ203" s="9">
        <f t="shared" si="180"/>
        <v>4.6875</v>
      </c>
      <c r="AR203" s="9">
        <f t="shared" si="181"/>
        <v>1.3125</v>
      </c>
      <c r="AS203" s="9">
        <f t="shared" si="182"/>
        <v>0.75</v>
      </c>
      <c r="AT203" s="9">
        <f t="shared" si="183"/>
        <v>-9.5</v>
      </c>
      <c r="AU203" s="9">
        <f t="shared" si="184"/>
        <v>-7.625</v>
      </c>
      <c r="AV203" s="9">
        <f t="shared" si="185"/>
        <v>-9.625</v>
      </c>
      <c r="AW203" s="9">
        <f t="shared" si="186"/>
        <v>-4.5</v>
      </c>
      <c r="AX203" s="9">
        <f t="shared" si="187"/>
        <v>-0.875</v>
      </c>
      <c r="AY203" s="9">
        <f t="shared" si="188"/>
        <v>-0.375</v>
      </c>
      <c r="AZ203" s="9">
        <f t="shared" si="189"/>
        <v>10.875</v>
      </c>
      <c r="BA203" s="9">
        <f t="shared" si="190"/>
        <v>5.75</v>
      </c>
      <c r="BB203" s="9">
        <f t="shared" si="191"/>
        <v>0.375</v>
      </c>
      <c r="BC203" s="9">
        <f t="shared" si="192"/>
        <v>-9.375</v>
      </c>
      <c r="BD203" s="9">
        <f t="shared" si="193"/>
        <v>-8.125</v>
      </c>
      <c r="BE203" s="9">
        <f t="shared" si="194"/>
        <v>-9.375</v>
      </c>
      <c r="BF203" s="9">
        <f t="shared" si="195"/>
        <v>0</v>
      </c>
      <c r="BG203" s="9">
        <f t="shared" si="196"/>
        <v>-1.375</v>
      </c>
      <c r="BH203" s="9">
        <f t="shared" si="197"/>
        <v>0.125</v>
      </c>
      <c r="BI203" s="9">
        <f t="shared" si="198"/>
        <v>12.625</v>
      </c>
      <c r="BJ203" s="9">
        <f t="shared" si="199"/>
        <v>9.625</v>
      </c>
    </row>
    <row r="204" spans="1:62" x14ac:dyDescent="0.2">
      <c r="A204" s="9">
        <f>data!M205-data!M204</f>
        <v>-1.9821000000000026</v>
      </c>
      <c r="B204" s="9">
        <f>data!C205-data!C204</f>
        <v>-16.829999999999998</v>
      </c>
      <c r="C204" s="9">
        <f>data!D205-data!D204</f>
        <v>-2.1524999999999999</v>
      </c>
      <c r="D204" s="10">
        <f>data!B205-data!B204</f>
        <v>0.5649999999999995</v>
      </c>
      <c r="E204" s="9">
        <f>data!E204-data!G204</f>
        <v>1.7964</v>
      </c>
      <c r="F204" s="9">
        <f>(data!E204-data!F204)-(data!G204-data!H204)</f>
        <v>1.2597999999999998</v>
      </c>
      <c r="G204" s="9">
        <f t="shared" si="150"/>
        <v>-0.27540000000000009</v>
      </c>
      <c r="H204" s="9">
        <f t="shared" si="151"/>
        <v>-0.11850000000000005</v>
      </c>
      <c r="I204" s="9">
        <f>IF(data!M205&gt; 111.81,1,0)</f>
        <v>0</v>
      </c>
      <c r="J204" s="9">
        <f t="shared" si="152"/>
        <v>1</v>
      </c>
      <c r="K204" s="9">
        <f t="shared" si="153"/>
        <v>0</v>
      </c>
      <c r="L204" s="9">
        <f t="shared" si="154"/>
        <v>-1.9821000000000026</v>
      </c>
      <c r="M204" s="9">
        <f>data!J204</f>
        <v>-48</v>
      </c>
      <c r="N204" s="9">
        <f>data!I204</f>
        <v>-20</v>
      </c>
      <c r="O204" s="9">
        <f>data!L204</f>
        <v>-8.5</v>
      </c>
      <c r="P204" s="9">
        <f>data!K204</f>
        <v>-1.375</v>
      </c>
      <c r="Q204" s="9">
        <f>data!R204</f>
        <v>-0.75</v>
      </c>
      <c r="R204" s="9">
        <f t="shared" si="155"/>
        <v>0</v>
      </c>
      <c r="S204" s="9">
        <f t="shared" si="156"/>
        <v>19</v>
      </c>
      <c r="T204" s="9">
        <f t="shared" si="157"/>
        <v>13</v>
      </c>
      <c r="U204" s="9">
        <f t="shared" si="158"/>
        <v>20</v>
      </c>
      <c r="V204" s="9">
        <f t="shared" si="159"/>
        <v>17</v>
      </c>
      <c r="W204" s="9">
        <f t="shared" si="160"/>
        <v>16.5</v>
      </c>
      <c r="X204" s="9">
        <f t="shared" si="161"/>
        <v>36.375</v>
      </c>
      <c r="Y204" s="9">
        <f t="shared" si="162"/>
        <v>17</v>
      </c>
      <c r="Z204" s="9">
        <f t="shared" si="163"/>
        <v>16.375</v>
      </c>
      <c r="AA204" s="9">
        <f t="shared" si="164"/>
        <v>-2.5</v>
      </c>
      <c r="AB204" s="9">
        <f t="shared" si="165"/>
        <v>-2.5</v>
      </c>
      <c r="AC204" s="9">
        <f t="shared" si="166"/>
        <v>-3.75</v>
      </c>
      <c r="AD204" s="9">
        <f t="shared" si="167"/>
        <v>-2.5</v>
      </c>
      <c r="AE204" s="9">
        <f t="shared" si="168"/>
        <v>-0.5</v>
      </c>
      <c r="AF204" s="9">
        <f t="shared" si="169"/>
        <v>-0.5</v>
      </c>
      <c r="AG204" s="9">
        <f t="shared" si="170"/>
        <v>10.125</v>
      </c>
      <c r="AH204" s="9">
        <f t="shared" si="171"/>
        <v>-0.5</v>
      </c>
      <c r="AI204" s="9">
        <f t="shared" si="172"/>
        <v>-4.6900000000000013</v>
      </c>
      <c r="AJ204" s="9">
        <f t="shared" si="173"/>
        <v>-6.25</v>
      </c>
      <c r="AK204" s="9">
        <f t="shared" si="174"/>
        <v>-4.75</v>
      </c>
      <c r="AL204" s="9">
        <f t="shared" si="175"/>
        <v>-7.25</v>
      </c>
      <c r="AM204" s="9">
        <f t="shared" si="176"/>
        <v>-4</v>
      </c>
      <c r="AN204" s="9">
        <f t="shared" si="177"/>
        <v>-5.125</v>
      </c>
      <c r="AO204" s="9">
        <f t="shared" si="178"/>
        <v>-3</v>
      </c>
      <c r="AP204" s="9">
        <f t="shared" si="179"/>
        <v>10.125</v>
      </c>
      <c r="AQ204" s="9">
        <f t="shared" si="180"/>
        <v>6.75</v>
      </c>
      <c r="AR204" s="9">
        <f t="shared" si="181"/>
        <v>3.0599999999999996</v>
      </c>
      <c r="AS204" s="9">
        <f t="shared" si="182"/>
        <v>-10.25</v>
      </c>
      <c r="AT204" s="9">
        <f t="shared" si="183"/>
        <v>-8.375</v>
      </c>
      <c r="AU204" s="9">
        <f t="shared" si="184"/>
        <v>-10.375</v>
      </c>
      <c r="AV204" s="9">
        <f t="shared" si="185"/>
        <v>-5.25</v>
      </c>
      <c r="AW204" s="9">
        <f t="shared" si="186"/>
        <v>-1.625</v>
      </c>
      <c r="AX204" s="9">
        <f t="shared" si="187"/>
        <v>-1.125</v>
      </c>
      <c r="AY204" s="9">
        <f t="shared" si="188"/>
        <v>10.125</v>
      </c>
      <c r="AZ204" s="9">
        <f t="shared" si="189"/>
        <v>5</v>
      </c>
      <c r="BA204" s="9">
        <f t="shared" si="190"/>
        <v>5.375</v>
      </c>
      <c r="BB204" s="9">
        <f t="shared" si="191"/>
        <v>-9.75</v>
      </c>
      <c r="BC204" s="9">
        <f t="shared" si="192"/>
        <v>-8.5</v>
      </c>
      <c r="BD204" s="9">
        <f t="shared" si="193"/>
        <v>-9.75</v>
      </c>
      <c r="BE204" s="9">
        <f t="shared" si="194"/>
        <v>-0.375</v>
      </c>
      <c r="BF204" s="9">
        <f t="shared" si="195"/>
        <v>-1.75</v>
      </c>
      <c r="BG204" s="9">
        <f t="shared" si="196"/>
        <v>-0.25</v>
      </c>
      <c r="BH204" s="9">
        <f t="shared" si="197"/>
        <v>12.25</v>
      </c>
      <c r="BI204" s="9">
        <f t="shared" si="198"/>
        <v>9.25</v>
      </c>
      <c r="BJ204" s="9">
        <f t="shared" si="199"/>
        <v>8.1900000000000013</v>
      </c>
    </row>
    <row r="205" spans="1:62" x14ac:dyDescent="0.2">
      <c r="A205" s="9">
        <f>data!M206-data!M205</f>
        <v>1.8434000000000026</v>
      </c>
      <c r="B205" s="9">
        <f>data!C206-data!C205</f>
        <v>4.0899999999999963</v>
      </c>
      <c r="C205" s="9">
        <f>data!D206-data!D205</f>
        <v>2.4775000000000027</v>
      </c>
      <c r="D205" s="10">
        <f>data!B206-data!B205</f>
        <v>0.28000000000000025</v>
      </c>
      <c r="E205" s="9">
        <f>data!E205-data!G205</f>
        <v>1.5209999999999999</v>
      </c>
      <c r="F205" s="9">
        <f>(data!E205-data!F205)-(data!G205-data!H205)</f>
        <v>1.1412999999999998</v>
      </c>
      <c r="G205" s="9">
        <f t="shared" si="150"/>
        <v>-0.19229999999999992</v>
      </c>
      <c r="H205" s="9">
        <f t="shared" si="151"/>
        <v>-0.16199999999999992</v>
      </c>
      <c r="I205" s="9">
        <f>IF(data!M206&gt; 111.81,1,0)</f>
        <v>0</v>
      </c>
      <c r="J205" s="9">
        <f t="shared" si="152"/>
        <v>1</v>
      </c>
      <c r="K205" s="9">
        <f t="shared" si="153"/>
        <v>0</v>
      </c>
      <c r="L205" s="9">
        <f t="shared" si="154"/>
        <v>1.8434000000000026</v>
      </c>
      <c r="M205" s="9">
        <f>data!J205</f>
        <v>-48</v>
      </c>
      <c r="N205" s="9">
        <f>data!I205</f>
        <v>-22.5</v>
      </c>
      <c r="O205" s="9">
        <f>data!L205</f>
        <v>-14.75</v>
      </c>
      <c r="P205" s="9">
        <f>data!K205</f>
        <v>-11.625</v>
      </c>
      <c r="Q205" s="9">
        <f>data!R205</f>
        <v>-10.5</v>
      </c>
      <c r="R205" s="9">
        <f t="shared" si="155"/>
        <v>19</v>
      </c>
      <c r="S205" s="9">
        <f t="shared" si="156"/>
        <v>13</v>
      </c>
      <c r="T205" s="9">
        <f t="shared" si="157"/>
        <v>20</v>
      </c>
      <c r="U205" s="9">
        <f t="shared" si="158"/>
        <v>17</v>
      </c>
      <c r="V205" s="9">
        <f t="shared" si="159"/>
        <v>16.5</v>
      </c>
      <c r="W205" s="9">
        <f t="shared" si="160"/>
        <v>36.375</v>
      </c>
      <c r="X205" s="9">
        <f t="shared" si="161"/>
        <v>17</v>
      </c>
      <c r="Y205" s="9">
        <f t="shared" si="162"/>
        <v>16.375</v>
      </c>
      <c r="Z205" s="9">
        <f t="shared" si="163"/>
        <v>14.560000000000002</v>
      </c>
      <c r="AA205" s="9">
        <f t="shared" si="164"/>
        <v>0</v>
      </c>
      <c r="AB205" s="9">
        <f t="shared" si="165"/>
        <v>-1.25</v>
      </c>
      <c r="AC205" s="9">
        <f t="shared" si="166"/>
        <v>0</v>
      </c>
      <c r="AD205" s="9">
        <f t="shared" si="167"/>
        <v>2</v>
      </c>
      <c r="AE205" s="9">
        <f t="shared" si="168"/>
        <v>2</v>
      </c>
      <c r="AF205" s="9">
        <f t="shared" si="169"/>
        <v>12.625</v>
      </c>
      <c r="AG205" s="9">
        <f t="shared" si="170"/>
        <v>2</v>
      </c>
      <c r="AH205" s="9">
        <f t="shared" si="171"/>
        <v>-2.1900000000000013</v>
      </c>
      <c r="AI205" s="9">
        <f t="shared" si="172"/>
        <v>-8.75</v>
      </c>
      <c r="AJ205" s="9">
        <f t="shared" si="173"/>
        <v>1.5</v>
      </c>
      <c r="AK205" s="9">
        <f t="shared" si="174"/>
        <v>-1</v>
      </c>
      <c r="AL205" s="9">
        <f t="shared" si="175"/>
        <v>2.25</v>
      </c>
      <c r="AM205" s="9">
        <f t="shared" si="176"/>
        <v>1.125</v>
      </c>
      <c r="AN205" s="9">
        <f t="shared" si="177"/>
        <v>3.25</v>
      </c>
      <c r="AO205" s="9">
        <f t="shared" si="178"/>
        <v>16.375</v>
      </c>
      <c r="AP205" s="9">
        <f t="shared" si="179"/>
        <v>13</v>
      </c>
      <c r="AQ205" s="9">
        <f t="shared" si="180"/>
        <v>9.3099999999999987</v>
      </c>
      <c r="AR205" s="9">
        <f t="shared" si="181"/>
        <v>-0.875</v>
      </c>
      <c r="AS205" s="9">
        <f t="shared" si="182"/>
        <v>1.875</v>
      </c>
      <c r="AT205" s="9">
        <f t="shared" si="183"/>
        <v>-0.125</v>
      </c>
      <c r="AU205" s="9">
        <f t="shared" si="184"/>
        <v>5</v>
      </c>
      <c r="AV205" s="9">
        <f t="shared" si="185"/>
        <v>8.625</v>
      </c>
      <c r="AW205" s="9">
        <f t="shared" si="186"/>
        <v>9.125</v>
      </c>
      <c r="AX205" s="9">
        <f t="shared" si="187"/>
        <v>20.375</v>
      </c>
      <c r="AY205" s="9">
        <f t="shared" si="188"/>
        <v>15.25</v>
      </c>
      <c r="AZ205" s="9">
        <f t="shared" si="189"/>
        <v>15.625</v>
      </c>
      <c r="BA205" s="9">
        <f t="shared" si="190"/>
        <v>5.81</v>
      </c>
      <c r="BB205" s="9">
        <f t="shared" si="191"/>
        <v>1.25</v>
      </c>
      <c r="BC205" s="9">
        <f t="shared" si="192"/>
        <v>0</v>
      </c>
      <c r="BD205" s="9">
        <f t="shared" si="193"/>
        <v>9.375</v>
      </c>
      <c r="BE205" s="9">
        <f t="shared" si="194"/>
        <v>8</v>
      </c>
      <c r="BF205" s="9">
        <f t="shared" si="195"/>
        <v>9.5</v>
      </c>
      <c r="BG205" s="9">
        <f t="shared" si="196"/>
        <v>22</v>
      </c>
      <c r="BH205" s="9">
        <f t="shared" si="197"/>
        <v>19</v>
      </c>
      <c r="BI205" s="9">
        <f t="shared" si="198"/>
        <v>17.940000000000001</v>
      </c>
      <c r="BJ205" s="9">
        <f t="shared" si="199"/>
        <v>8.125</v>
      </c>
    </row>
    <row r="206" spans="1:62" x14ac:dyDescent="0.2">
      <c r="A206" s="9">
        <f>data!M207-data!M206</f>
        <v>-3.1711999999999989</v>
      </c>
      <c r="B206" s="9">
        <f>data!C207-data!C206</f>
        <v>-5.6499999999999986</v>
      </c>
      <c r="C206" s="9">
        <f>data!D207-data!D206</f>
        <v>-0.52750000000000341</v>
      </c>
      <c r="D206" s="10">
        <f>data!B207-data!B206</f>
        <v>0.11249999999999982</v>
      </c>
      <c r="E206" s="9">
        <f>data!E206-data!G206</f>
        <v>1.3287</v>
      </c>
      <c r="F206" s="9">
        <f>(data!E206-data!F206)-(data!G206-data!H206)</f>
        <v>0.97929999999999984</v>
      </c>
      <c r="G206" s="9">
        <f t="shared" si="150"/>
        <v>-0.1532</v>
      </c>
      <c r="H206" s="9">
        <f t="shared" si="151"/>
        <v>-2.1599999999999731E-2</v>
      </c>
      <c r="I206" s="9">
        <f>IF(data!M207&gt; 111.81,1,0)</f>
        <v>0</v>
      </c>
      <c r="J206" s="9">
        <f t="shared" si="152"/>
        <v>1</v>
      </c>
      <c r="K206" s="9">
        <f t="shared" si="153"/>
        <v>0</v>
      </c>
      <c r="L206" s="9">
        <f t="shared" si="154"/>
        <v>-3.1711999999999989</v>
      </c>
      <c r="M206" s="9">
        <f>data!J206</f>
        <v>-29</v>
      </c>
      <c r="N206" s="9">
        <f>data!I206</f>
        <v>-22.5</v>
      </c>
      <c r="O206" s="9">
        <f>data!L206</f>
        <v>-13.25</v>
      </c>
      <c r="P206" s="9">
        <f>data!K206</f>
        <v>-9.75</v>
      </c>
      <c r="Q206" s="9">
        <f>data!R206</f>
        <v>-9.25</v>
      </c>
      <c r="R206" s="9">
        <f t="shared" si="155"/>
        <v>-6</v>
      </c>
      <c r="S206" s="9">
        <f t="shared" si="156"/>
        <v>1</v>
      </c>
      <c r="T206" s="9">
        <f t="shared" si="157"/>
        <v>-2</v>
      </c>
      <c r="U206" s="9">
        <f t="shared" si="158"/>
        <v>-2.5</v>
      </c>
      <c r="V206" s="9">
        <f t="shared" si="159"/>
        <v>17.375</v>
      </c>
      <c r="W206" s="9">
        <f t="shared" si="160"/>
        <v>-2</v>
      </c>
      <c r="X206" s="9">
        <f t="shared" si="161"/>
        <v>-2.625</v>
      </c>
      <c r="Y206" s="9">
        <f t="shared" si="162"/>
        <v>-4.4399999999999977</v>
      </c>
      <c r="Z206" s="9">
        <f t="shared" si="163"/>
        <v>-12</v>
      </c>
      <c r="AA206" s="9">
        <f t="shared" si="164"/>
        <v>-1.25</v>
      </c>
      <c r="AB206" s="9">
        <f t="shared" si="165"/>
        <v>0</v>
      </c>
      <c r="AC206" s="9">
        <f t="shared" si="166"/>
        <v>2</v>
      </c>
      <c r="AD206" s="9">
        <f t="shared" si="167"/>
        <v>2</v>
      </c>
      <c r="AE206" s="9">
        <f t="shared" si="168"/>
        <v>12.625</v>
      </c>
      <c r="AF206" s="9">
        <f t="shared" si="169"/>
        <v>2</v>
      </c>
      <c r="AG206" s="9">
        <f t="shared" si="170"/>
        <v>-2.1900000000000013</v>
      </c>
      <c r="AH206" s="9">
        <f t="shared" si="171"/>
        <v>-8.75</v>
      </c>
      <c r="AI206" s="9">
        <f t="shared" si="172"/>
        <v>-23.5</v>
      </c>
      <c r="AJ206" s="9">
        <f t="shared" si="173"/>
        <v>-2.5</v>
      </c>
      <c r="AK206" s="9">
        <f t="shared" si="174"/>
        <v>0.75</v>
      </c>
      <c r="AL206" s="9">
        <f t="shared" si="175"/>
        <v>-0.375</v>
      </c>
      <c r="AM206" s="9">
        <f t="shared" si="176"/>
        <v>1.75</v>
      </c>
      <c r="AN206" s="9">
        <f t="shared" si="177"/>
        <v>14.875</v>
      </c>
      <c r="AO206" s="9">
        <f t="shared" si="178"/>
        <v>11.5</v>
      </c>
      <c r="AP206" s="9">
        <f t="shared" si="179"/>
        <v>7.81</v>
      </c>
      <c r="AQ206" s="9">
        <f t="shared" si="180"/>
        <v>-2.375</v>
      </c>
      <c r="AR206" s="9">
        <f t="shared" si="181"/>
        <v>-14.75</v>
      </c>
      <c r="AS206" s="9">
        <f t="shared" si="182"/>
        <v>-2</v>
      </c>
      <c r="AT206" s="9">
        <f t="shared" si="183"/>
        <v>3.125</v>
      </c>
      <c r="AU206" s="9">
        <f t="shared" si="184"/>
        <v>6.75</v>
      </c>
      <c r="AV206" s="9">
        <f t="shared" si="185"/>
        <v>7.25</v>
      </c>
      <c r="AW206" s="9">
        <f t="shared" si="186"/>
        <v>18.5</v>
      </c>
      <c r="AX206" s="9">
        <f t="shared" si="187"/>
        <v>13.375</v>
      </c>
      <c r="AY206" s="9">
        <f t="shared" si="188"/>
        <v>13.75</v>
      </c>
      <c r="AZ206" s="9">
        <f t="shared" si="189"/>
        <v>3.9349999999999996</v>
      </c>
      <c r="BA206" s="9">
        <f t="shared" si="190"/>
        <v>-8.25</v>
      </c>
      <c r="BB206" s="9">
        <f t="shared" si="191"/>
        <v>-1.25</v>
      </c>
      <c r="BC206" s="9">
        <f t="shared" si="192"/>
        <v>8.125</v>
      </c>
      <c r="BD206" s="9">
        <f t="shared" si="193"/>
        <v>6.75</v>
      </c>
      <c r="BE206" s="9">
        <f t="shared" si="194"/>
        <v>8.25</v>
      </c>
      <c r="BF206" s="9">
        <f t="shared" si="195"/>
        <v>20.75</v>
      </c>
      <c r="BG206" s="9">
        <f t="shared" si="196"/>
        <v>17.75</v>
      </c>
      <c r="BH206" s="9">
        <f t="shared" si="197"/>
        <v>16.690000000000001</v>
      </c>
      <c r="BI206" s="9">
        <f t="shared" si="198"/>
        <v>6.875</v>
      </c>
      <c r="BJ206" s="9">
        <f t="shared" si="199"/>
        <v>-5.25</v>
      </c>
    </row>
    <row r="207" spans="1:62" x14ac:dyDescent="0.2">
      <c r="A207" s="9">
        <f>data!M208-data!M207</f>
        <v>-2.1912000000000091</v>
      </c>
      <c r="B207" s="9">
        <f>data!C208-data!C207</f>
        <v>-9.3500000000000014</v>
      </c>
      <c r="C207" s="9">
        <f>data!D208-data!D207</f>
        <v>-0.94499999999999673</v>
      </c>
      <c r="D207" s="10">
        <f>data!B208-data!B207</f>
        <v>2.6350000000000002</v>
      </c>
      <c r="E207" s="9">
        <f>data!E207-data!G207</f>
        <v>1.1755</v>
      </c>
      <c r="F207" s="9">
        <f>(data!E207-data!F207)-(data!G207-data!H207)</f>
        <v>0.95770000000000011</v>
      </c>
      <c r="G207" s="9">
        <f t="shared" si="150"/>
        <v>-0.28839999999999999</v>
      </c>
      <c r="H207" s="9">
        <f t="shared" si="151"/>
        <v>-0.37440000000000018</v>
      </c>
      <c r="I207" s="9">
        <f>IF(data!M208&gt; 111.81,1,0)</f>
        <v>0</v>
      </c>
      <c r="J207" s="9">
        <f t="shared" si="152"/>
        <v>1</v>
      </c>
      <c r="K207" s="9">
        <f t="shared" si="153"/>
        <v>0</v>
      </c>
      <c r="L207" s="9">
        <f t="shared" si="154"/>
        <v>-2.1912000000000091</v>
      </c>
      <c r="M207" s="9">
        <f>data!J207</f>
        <v>-35</v>
      </c>
      <c r="N207" s="9">
        <f>data!I207</f>
        <v>-23.75</v>
      </c>
      <c r="O207" s="9">
        <f>data!L207</f>
        <v>-15.75</v>
      </c>
      <c r="P207" s="9">
        <f>data!K207</f>
        <v>-11.75</v>
      </c>
      <c r="Q207" s="9">
        <f>data!R207</f>
        <v>-10.5</v>
      </c>
      <c r="R207" s="9">
        <f t="shared" si="155"/>
        <v>7</v>
      </c>
      <c r="S207" s="9">
        <f t="shared" si="156"/>
        <v>4</v>
      </c>
      <c r="T207" s="9">
        <f t="shared" si="157"/>
        <v>3.5</v>
      </c>
      <c r="U207" s="9">
        <f t="shared" si="158"/>
        <v>23.375</v>
      </c>
      <c r="V207" s="9">
        <f t="shared" si="159"/>
        <v>4</v>
      </c>
      <c r="W207" s="9">
        <f t="shared" si="160"/>
        <v>3.375</v>
      </c>
      <c r="X207" s="9">
        <f t="shared" si="161"/>
        <v>1.5600000000000023</v>
      </c>
      <c r="Y207" s="9">
        <f t="shared" si="162"/>
        <v>-6</v>
      </c>
      <c r="Z207" s="9">
        <f t="shared" si="163"/>
        <v>0.75</v>
      </c>
      <c r="AA207" s="9">
        <f t="shared" si="164"/>
        <v>1.25</v>
      </c>
      <c r="AB207" s="9">
        <f t="shared" si="165"/>
        <v>3.25</v>
      </c>
      <c r="AC207" s="9">
        <f t="shared" si="166"/>
        <v>3.25</v>
      </c>
      <c r="AD207" s="9">
        <f t="shared" si="167"/>
        <v>13.875</v>
      </c>
      <c r="AE207" s="9">
        <f t="shared" si="168"/>
        <v>3.25</v>
      </c>
      <c r="AF207" s="9">
        <f t="shared" si="169"/>
        <v>-0.94000000000000128</v>
      </c>
      <c r="AG207" s="9">
        <f t="shared" si="170"/>
        <v>-7.5</v>
      </c>
      <c r="AH207" s="9">
        <f t="shared" si="171"/>
        <v>-22.25</v>
      </c>
      <c r="AI207" s="9">
        <f t="shared" si="172"/>
        <v>-22.875</v>
      </c>
      <c r="AJ207" s="9">
        <f t="shared" si="173"/>
        <v>3.25</v>
      </c>
      <c r="AK207" s="9">
        <f t="shared" si="174"/>
        <v>2.125</v>
      </c>
      <c r="AL207" s="9">
        <f t="shared" si="175"/>
        <v>4.25</v>
      </c>
      <c r="AM207" s="9">
        <f t="shared" si="176"/>
        <v>17.375</v>
      </c>
      <c r="AN207" s="9">
        <f t="shared" si="177"/>
        <v>14</v>
      </c>
      <c r="AO207" s="9">
        <f t="shared" si="178"/>
        <v>10.309999999999999</v>
      </c>
      <c r="AP207" s="9">
        <f t="shared" si="179"/>
        <v>0.125</v>
      </c>
      <c r="AQ207" s="9">
        <f t="shared" si="180"/>
        <v>-12.25</v>
      </c>
      <c r="AR207" s="9">
        <f t="shared" si="181"/>
        <v>-18.375</v>
      </c>
      <c r="AS207" s="9">
        <f t="shared" si="182"/>
        <v>5.125</v>
      </c>
      <c r="AT207" s="9">
        <f t="shared" si="183"/>
        <v>8.75</v>
      </c>
      <c r="AU207" s="9">
        <f t="shared" si="184"/>
        <v>9.25</v>
      </c>
      <c r="AV207" s="9">
        <f t="shared" si="185"/>
        <v>20.5</v>
      </c>
      <c r="AW207" s="9">
        <f t="shared" si="186"/>
        <v>15.375</v>
      </c>
      <c r="AX207" s="9">
        <f t="shared" si="187"/>
        <v>15.75</v>
      </c>
      <c r="AY207" s="9">
        <f t="shared" si="188"/>
        <v>5.9349999999999996</v>
      </c>
      <c r="AZ207" s="9">
        <f t="shared" si="189"/>
        <v>-6.25</v>
      </c>
      <c r="BA207" s="9">
        <f t="shared" si="190"/>
        <v>-8.3150000000000013</v>
      </c>
      <c r="BB207" s="9">
        <f t="shared" si="191"/>
        <v>9.375</v>
      </c>
      <c r="BC207" s="9">
        <f t="shared" si="192"/>
        <v>8</v>
      </c>
      <c r="BD207" s="9">
        <f t="shared" si="193"/>
        <v>9.5</v>
      </c>
      <c r="BE207" s="9">
        <f t="shared" si="194"/>
        <v>22</v>
      </c>
      <c r="BF207" s="9">
        <f t="shared" si="195"/>
        <v>19</v>
      </c>
      <c r="BG207" s="9">
        <f t="shared" si="196"/>
        <v>17.940000000000001</v>
      </c>
      <c r="BH207" s="9">
        <f t="shared" si="197"/>
        <v>8.125</v>
      </c>
      <c r="BI207" s="9">
        <f t="shared" si="198"/>
        <v>-4</v>
      </c>
      <c r="BJ207" s="9">
        <f t="shared" si="199"/>
        <v>-3.125</v>
      </c>
    </row>
    <row r="208" spans="1:62" x14ac:dyDescent="0.2">
      <c r="A208" s="9">
        <f>data!M209-data!M208</f>
        <v>0.13160000000000593</v>
      </c>
      <c r="B208" s="9">
        <f>data!C209-data!C208</f>
        <v>-1.5499999999999972</v>
      </c>
      <c r="C208" s="9">
        <f>data!D209-data!D208</f>
        <v>-1.4775000000000027</v>
      </c>
      <c r="D208" s="10">
        <f>data!B209-data!B208</f>
        <v>0.19749999999999979</v>
      </c>
      <c r="E208" s="9">
        <f>data!E208-data!G208</f>
        <v>0.8871</v>
      </c>
      <c r="F208" s="9">
        <f>(data!E208-data!F208)-(data!G208-data!H208)</f>
        <v>0.58329999999999993</v>
      </c>
      <c r="G208" s="9">
        <f t="shared" si="150"/>
        <v>3.4700000000000175E-2</v>
      </c>
      <c r="H208" s="9">
        <f t="shared" si="151"/>
        <v>-0.12939999999999974</v>
      </c>
      <c r="I208" s="9">
        <f>IF(data!M209&gt; 111.81,1,0)</f>
        <v>0</v>
      </c>
      <c r="J208" s="9">
        <f t="shared" si="152"/>
        <v>1</v>
      </c>
      <c r="K208" s="9">
        <f t="shared" si="153"/>
        <v>0</v>
      </c>
      <c r="L208" s="9">
        <f t="shared" si="154"/>
        <v>0.13160000000000593</v>
      </c>
      <c r="M208" s="9">
        <f>data!J208</f>
        <v>-28</v>
      </c>
      <c r="N208" s="9">
        <f>data!I208</f>
        <v>-22.5</v>
      </c>
      <c r="O208" s="9">
        <f>data!L208</f>
        <v>-12.5</v>
      </c>
      <c r="P208" s="9">
        <f>data!K208</f>
        <v>-6.625</v>
      </c>
      <c r="Q208" s="9">
        <f>data!R208</f>
        <v>-1.125</v>
      </c>
      <c r="R208" s="9">
        <f t="shared" si="155"/>
        <v>-3</v>
      </c>
      <c r="S208" s="9">
        <f t="shared" si="156"/>
        <v>-3.5</v>
      </c>
      <c r="T208" s="9">
        <f t="shared" si="157"/>
        <v>16.375</v>
      </c>
      <c r="U208" s="9">
        <f t="shared" si="158"/>
        <v>-3</v>
      </c>
      <c r="V208" s="9">
        <f t="shared" si="159"/>
        <v>-3.625</v>
      </c>
      <c r="W208" s="9">
        <f t="shared" si="160"/>
        <v>-5.4399999999999977</v>
      </c>
      <c r="X208" s="9">
        <f t="shared" si="161"/>
        <v>-13</v>
      </c>
      <c r="Y208" s="9">
        <f t="shared" si="162"/>
        <v>-6.25</v>
      </c>
      <c r="Z208" s="9">
        <f t="shared" si="163"/>
        <v>-9</v>
      </c>
      <c r="AA208" s="9">
        <f t="shared" si="164"/>
        <v>2</v>
      </c>
      <c r="AB208" s="9">
        <f t="shared" si="165"/>
        <v>2</v>
      </c>
      <c r="AC208" s="9">
        <f t="shared" si="166"/>
        <v>12.625</v>
      </c>
      <c r="AD208" s="9">
        <f t="shared" si="167"/>
        <v>2</v>
      </c>
      <c r="AE208" s="9">
        <f t="shared" si="168"/>
        <v>-2.1900000000000013</v>
      </c>
      <c r="AF208" s="9">
        <f t="shared" si="169"/>
        <v>-8.75</v>
      </c>
      <c r="AG208" s="9">
        <f t="shared" si="170"/>
        <v>-23.5</v>
      </c>
      <c r="AH208" s="9">
        <f t="shared" si="171"/>
        <v>-24.125</v>
      </c>
      <c r="AI208" s="9">
        <f t="shared" si="172"/>
        <v>-26.5</v>
      </c>
      <c r="AJ208" s="9">
        <f t="shared" si="173"/>
        <v>-1.125</v>
      </c>
      <c r="AK208" s="9">
        <f t="shared" si="174"/>
        <v>1</v>
      </c>
      <c r="AL208" s="9">
        <f t="shared" si="175"/>
        <v>14.125</v>
      </c>
      <c r="AM208" s="9">
        <f t="shared" si="176"/>
        <v>10.75</v>
      </c>
      <c r="AN208" s="9">
        <f t="shared" si="177"/>
        <v>7.06</v>
      </c>
      <c r="AO208" s="9">
        <f t="shared" si="178"/>
        <v>-3.125</v>
      </c>
      <c r="AP208" s="9">
        <f t="shared" si="179"/>
        <v>-15.5</v>
      </c>
      <c r="AQ208" s="9">
        <f t="shared" si="180"/>
        <v>-21.625</v>
      </c>
      <c r="AR208" s="9">
        <f t="shared" si="181"/>
        <v>-20.5</v>
      </c>
      <c r="AS208" s="9">
        <f t="shared" si="182"/>
        <v>3.625</v>
      </c>
      <c r="AT208" s="9">
        <f t="shared" si="183"/>
        <v>4.125</v>
      </c>
      <c r="AU208" s="9">
        <f t="shared" si="184"/>
        <v>15.375</v>
      </c>
      <c r="AV208" s="9">
        <f t="shared" si="185"/>
        <v>10.25</v>
      </c>
      <c r="AW208" s="9">
        <f t="shared" si="186"/>
        <v>10.625</v>
      </c>
      <c r="AX208" s="9">
        <f t="shared" si="187"/>
        <v>0.80999999999999961</v>
      </c>
      <c r="AY208" s="9">
        <f t="shared" si="188"/>
        <v>-11.375</v>
      </c>
      <c r="AZ208" s="9">
        <f t="shared" si="189"/>
        <v>-13.440000000000001</v>
      </c>
      <c r="BA208" s="9">
        <f t="shared" si="190"/>
        <v>-9.875</v>
      </c>
      <c r="BB208" s="9">
        <f t="shared" si="191"/>
        <v>-1.375</v>
      </c>
      <c r="BC208" s="9">
        <f t="shared" si="192"/>
        <v>0.125</v>
      </c>
      <c r="BD208" s="9">
        <f t="shared" si="193"/>
        <v>12.625</v>
      </c>
      <c r="BE208" s="9">
        <f t="shared" si="194"/>
        <v>9.625</v>
      </c>
      <c r="BF208" s="9">
        <f t="shared" si="195"/>
        <v>8.5650000000000013</v>
      </c>
      <c r="BG208" s="9">
        <f t="shared" si="196"/>
        <v>-1.25</v>
      </c>
      <c r="BH208" s="9">
        <f t="shared" si="197"/>
        <v>-13.375</v>
      </c>
      <c r="BI208" s="9">
        <f t="shared" si="198"/>
        <v>-12.5</v>
      </c>
      <c r="BJ208" s="9">
        <f t="shared" si="199"/>
        <v>-7.625</v>
      </c>
    </row>
    <row r="209" spans="1:62" x14ac:dyDescent="0.2">
      <c r="A209" s="9">
        <f>data!M210-data!M209</f>
        <v>0.34140000000000725</v>
      </c>
      <c r="B209" s="9">
        <f>data!C210-data!C209</f>
        <v>-4.1900000000000048</v>
      </c>
      <c r="C209" s="9">
        <f>data!D210-data!D209</f>
        <v>0.25750000000000028</v>
      </c>
      <c r="D209" s="10">
        <f>data!B210-data!B209</f>
        <v>-4.7499999999999876E-2</v>
      </c>
      <c r="E209" s="9">
        <f>data!E209-data!G209</f>
        <v>0.92180000000000017</v>
      </c>
      <c r="F209" s="9">
        <f>(data!E209-data!F209)-(data!G209-data!H209)</f>
        <v>0.45390000000000019</v>
      </c>
      <c r="G209" s="9">
        <f t="shared" si="150"/>
        <v>0.27299999999999969</v>
      </c>
      <c r="H209" s="9">
        <f t="shared" si="151"/>
        <v>0.30649999999999977</v>
      </c>
      <c r="I209" s="9">
        <f>IF(data!M210&gt; 111.81,1,0)</f>
        <v>0</v>
      </c>
      <c r="J209" s="9">
        <f t="shared" si="152"/>
        <v>1</v>
      </c>
      <c r="K209" s="9">
        <f t="shared" si="153"/>
        <v>0</v>
      </c>
      <c r="L209" s="9">
        <f t="shared" si="154"/>
        <v>0.34140000000000725</v>
      </c>
      <c r="M209" s="9">
        <f>data!J209</f>
        <v>-31</v>
      </c>
      <c r="N209" s="9">
        <f>data!I209</f>
        <v>-20.5</v>
      </c>
      <c r="O209" s="9">
        <f>data!L209</f>
        <v>-13.625</v>
      </c>
      <c r="P209" s="9">
        <f>data!K209</f>
        <v>-3</v>
      </c>
      <c r="Q209" s="9">
        <f>data!R209</f>
        <v>-2.5</v>
      </c>
      <c r="R209" s="9">
        <f t="shared" si="155"/>
        <v>-0.5</v>
      </c>
      <c r="S209" s="9">
        <f t="shared" si="156"/>
        <v>19.375</v>
      </c>
      <c r="T209" s="9">
        <f t="shared" si="157"/>
        <v>0</v>
      </c>
      <c r="U209" s="9">
        <f t="shared" si="158"/>
        <v>-0.625</v>
      </c>
      <c r="V209" s="9">
        <f t="shared" si="159"/>
        <v>-2.4399999999999977</v>
      </c>
      <c r="W209" s="9">
        <f t="shared" si="160"/>
        <v>-10</v>
      </c>
      <c r="X209" s="9">
        <f t="shared" si="161"/>
        <v>-3.25</v>
      </c>
      <c r="Y209" s="9">
        <f t="shared" si="162"/>
        <v>-6</v>
      </c>
      <c r="Z209" s="9">
        <f t="shared" si="163"/>
        <v>-10</v>
      </c>
      <c r="AA209" s="9">
        <f t="shared" si="164"/>
        <v>0</v>
      </c>
      <c r="AB209" s="9">
        <f t="shared" si="165"/>
        <v>10.625</v>
      </c>
      <c r="AC209" s="9">
        <f t="shared" si="166"/>
        <v>0</v>
      </c>
      <c r="AD209" s="9">
        <f t="shared" si="167"/>
        <v>-4.1900000000000013</v>
      </c>
      <c r="AE209" s="9">
        <f t="shared" si="168"/>
        <v>-10.75</v>
      </c>
      <c r="AF209" s="9">
        <f t="shared" si="169"/>
        <v>-25.5</v>
      </c>
      <c r="AG209" s="9">
        <f t="shared" si="170"/>
        <v>-26.125</v>
      </c>
      <c r="AH209" s="9">
        <f t="shared" si="171"/>
        <v>-28.5</v>
      </c>
      <c r="AI209" s="9">
        <f t="shared" si="172"/>
        <v>-45.72</v>
      </c>
      <c r="AJ209" s="9">
        <f t="shared" si="173"/>
        <v>2.125</v>
      </c>
      <c r="AK209" s="9">
        <f t="shared" si="174"/>
        <v>15.25</v>
      </c>
      <c r="AL209" s="9">
        <f t="shared" si="175"/>
        <v>11.875</v>
      </c>
      <c r="AM209" s="9">
        <f t="shared" si="176"/>
        <v>8.1849999999999987</v>
      </c>
      <c r="AN209" s="9">
        <f t="shared" si="177"/>
        <v>-2</v>
      </c>
      <c r="AO209" s="9">
        <f t="shared" si="178"/>
        <v>-14.375</v>
      </c>
      <c r="AP209" s="9">
        <f t="shared" si="179"/>
        <v>-20.5</v>
      </c>
      <c r="AQ209" s="9">
        <f t="shared" si="180"/>
        <v>-19.375</v>
      </c>
      <c r="AR209" s="9">
        <f t="shared" si="181"/>
        <v>-40.125</v>
      </c>
      <c r="AS209" s="9">
        <f t="shared" si="182"/>
        <v>0.5</v>
      </c>
      <c r="AT209" s="9">
        <f t="shared" si="183"/>
        <v>11.75</v>
      </c>
      <c r="AU209" s="9">
        <f t="shared" si="184"/>
        <v>6.625</v>
      </c>
      <c r="AV209" s="9">
        <f t="shared" si="185"/>
        <v>7</v>
      </c>
      <c r="AW209" s="9">
        <f t="shared" si="186"/>
        <v>-2.8150000000000004</v>
      </c>
      <c r="AX209" s="9">
        <f t="shared" si="187"/>
        <v>-15</v>
      </c>
      <c r="AY209" s="9">
        <f t="shared" si="188"/>
        <v>-17.065000000000001</v>
      </c>
      <c r="AZ209" s="9">
        <f t="shared" si="189"/>
        <v>-13.5</v>
      </c>
      <c r="BA209" s="9">
        <f t="shared" si="190"/>
        <v>-17.75</v>
      </c>
      <c r="BB209" s="9">
        <f t="shared" si="191"/>
        <v>1.5</v>
      </c>
      <c r="BC209" s="9">
        <f t="shared" si="192"/>
        <v>14</v>
      </c>
      <c r="BD209" s="9">
        <f t="shared" si="193"/>
        <v>11</v>
      </c>
      <c r="BE209" s="9">
        <f t="shared" si="194"/>
        <v>9.9400000000000013</v>
      </c>
      <c r="BF209" s="9">
        <f t="shared" si="195"/>
        <v>0.125</v>
      </c>
      <c r="BG209" s="9">
        <f t="shared" si="196"/>
        <v>-12</v>
      </c>
      <c r="BH209" s="9">
        <f t="shared" si="197"/>
        <v>-11.125</v>
      </c>
      <c r="BI209" s="9">
        <f t="shared" si="198"/>
        <v>-6.25</v>
      </c>
      <c r="BJ209" s="9">
        <f t="shared" si="199"/>
        <v>-6.5649999999999995</v>
      </c>
    </row>
    <row r="210" spans="1:62" x14ac:dyDescent="0.2">
      <c r="A210" s="9">
        <f>data!M211-data!M210</f>
        <v>0.27439999999999998</v>
      </c>
      <c r="B210" s="9">
        <f>data!C211-data!C210</f>
        <v>3.6300000000000026</v>
      </c>
      <c r="C210" s="9">
        <f>data!D211-data!D210</f>
        <v>0.21499999999999986</v>
      </c>
      <c r="D210" s="10">
        <f>data!B211-data!B210</f>
        <v>0.14999999999999991</v>
      </c>
      <c r="E210" s="9">
        <f>data!E210-data!G210</f>
        <v>1.1947999999999999</v>
      </c>
      <c r="F210" s="9">
        <f>(data!E210-data!F210)-(data!G210-data!H210)</f>
        <v>0.76039999999999996</v>
      </c>
      <c r="G210" s="9">
        <f t="shared" si="150"/>
        <v>-0.10079999999999978</v>
      </c>
      <c r="H210" s="9">
        <f t="shared" si="151"/>
        <v>-3.4100000000000019E-2</v>
      </c>
      <c r="I210" s="9">
        <f>IF(data!M211&gt; 111.81,1,0)</f>
        <v>0</v>
      </c>
      <c r="J210" s="9">
        <f t="shared" si="152"/>
        <v>1</v>
      </c>
      <c r="K210" s="9">
        <f t="shared" si="153"/>
        <v>0</v>
      </c>
      <c r="L210" s="9">
        <f t="shared" si="154"/>
        <v>0.27439999999999998</v>
      </c>
      <c r="M210" s="9">
        <f>data!J210</f>
        <v>-31.5</v>
      </c>
      <c r="N210" s="9">
        <f>data!I210</f>
        <v>-20.5</v>
      </c>
      <c r="O210" s="9">
        <f>data!L210</f>
        <v>-11.5</v>
      </c>
      <c r="P210" s="9">
        <f>data!K210</f>
        <v>-2.5</v>
      </c>
      <c r="Q210" s="9">
        <f>data!R210</f>
        <v>-1</v>
      </c>
      <c r="R210" s="9">
        <f t="shared" si="155"/>
        <v>19.875</v>
      </c>
      <c r="S210" s="9">
        <f t="shared" si="156"/>
        <v>0.5</v>
      </c>
      <c r="T210" s="9">
        <f t="shared" si="157"/>
        <v>-0.125</v>
      </c>
      <c r="U210" s="9">
        <f t="shared" si="158"/>
        <v>-1.9399999999999977</v>
      </c>
      <c r="V210" s="9">
        <f t="shared" si="159"/>
        <v>-9.5</v>
      </c>
      <c r="W210" s="9">
        <f t="shared" si="160"/>
        <v>-2.75</v>
      </c>
      <c r="X210" s="9">
        <f t="shared" si="161"/>
        <v>-5.5</v>
      </c>
      <c r="Y210" s="9">
        <f t="shared" si="162"/>
        <v>-9.5</v>
      </c>
      <c r="Z210" s="9">
        <f t="shared" si="163"/>
        <v>-5.5</v>
      </c>
      <c r="AA210" s="9">
        <f t="shared" si="164"/>
        <v>10.625</v>
      </c>
      <c r="AB210" s="9">
        <f t="shared" si="165"/>
        <v>0</v>
      </c>
      <c r="AC210" s="9">
        <f t="shared" si="166"/>
        <v>-4.1900000000000013</v>
      </c>
      <c r="AD210" s="9">
        <f t="shared" si="167"/>
        <v>-10.75</v>
      </c>
      <c r="AE210" s="9">
        <f t="shared" si="168"/>
        <v>-25.5</v>
      </c>
      <c r="AF210" s="9">
        <f t="shared" si="169"/>
        <v>-26.125</v>
      </c>
      <c r="AG210" s="9">
        <f t="shared" si="170"/>
        <v>-28.5</v>
      </c>
      <c r="AH210" s="9">
        <f t="shared" si="171"/>
        <v>-45.72</v>
      </c>
      <c r="AI210" s="9">
        <f t="shared" si="172"/>
        <v>-45.129999999999995</v>
      </c>
      <c r="AJ210" s="9">
        <f t="shared" si="173"/>
        <v>13.125</v>
      </c>
      <c r="AK210" s="9">
        <f t="shared" si="174"/>
        <v>9.75</v>
      </c>
      <c r="AL210" s="9">
        <f t="shared" si="175"/>
        <v>6.06</v>
      </c>
      <c r="AM210" s="9">
        <f t="shared" si="176"/>
        <v>-4.125</v>
      </c>
      <c r="AN210" s="9">
        <f t="shared" si="177"/>
        <v>-16.5</v>
      </c>
      <c r="AO210" s="9">
        <f t="shared" si="178"/>
        <v>-22.625</v>
      </c>
      <c r="AP210" s="9">
        <f t="shared" si="179"/>
        <v>-21.5</v>
      </c>
      <c r="AQ210" s="9">
        <f t="shared" si="180"/>
        <v>-42.25</v>
      </c>
      <c r="AR210" s="9">
        <f t="shared" si="181"/>
        <v>-44.25</v>
      </c>
      <c r="AS210" s="9">
        <f t="shared" si="182"/>
        <v>11.25</v>
      </c>
      <c r="AT210" s="9">
        <f t="shared" si="183"/>
        <v>6.125</v>
      </c>
      <c r="AU210" s="9">
        <f t="shared" si="184"/>
        <v>6.5</v>
      </c>
      <c r="AV210" s="9">
        <f t="shared" si="185"/>
        <v>-3.3150000000000004</v>
      </c>
      <c r="AW210" s="9">
        <f t="shared" si="186"/>
        <v>-15.5</v>
      </c>
      <c r="AX210" s="9">
        <f t="shared" si="187"/>
        <v>-17.565000000000001</v>
      </c>
      <c r="AY210" s="9">
        <f t="shared" si="188"/>
        <v>-14</v>
      </c>
      <c r="AZ210" s="9">
        <f t="shared" si="189"/>
        <v>-18.25</v>
      </c>
      <c r="BA210" s="9">
        <f t="shared" si="190"/>
        <v>-25.25</v>
      </c>
      <c r="BB210" s="9">
        <f t="shared" si="191"/>
        <v>12.5</v>
      </c>
      <c r="BC210" s="9">
        <f t="shared" si="192"/>
        <v>9.5</v>
      </c>
      <c r="BD210" s="9">
        <f t="shared" si="193"/>
        <v>8.4400000000000013</v>
      </c>
      <c r="BE210" s="9">
        <f t="shared" si="194"/>
        <v>-1.375</v>
      </c>
      <c r="BF210" s="9">
        <f t="shared" si="195"/>
        <v>-13.5</v>
      </c>
      <c r="BG210" s="9">
        <f t="shared" si="196"/>
        <v>-12.625</v>
      </c>
      <c r="BH210" s="9">
        <f t="shared" si="197"/>
        <v>-7.75</v>
      </c>
      <c r="BI210" s="9">
        <f t="shared" si="198"/>
        <v>-8.0649999999999995</v>
      </c>
      <c r="BJ210" s="9">
        <f t="shared" si="199"/>
        <v>-12.815</v>
      </c>
    </row>
    <row r="211" spans="1:62" x14ac:dyDescent="0.2">
      <c r="A211" s="9">
        <f>data!M212-data!M211</f>
        <v>1.8357999999999919</v>
      </c>
      <c r="B211" s="9">
        <f>data!C212-data!C211</f>
        <v>3.2899999999999991</v>
      </c>
      <c r="C211" s="9">
        <f>data!D212-data!D211</f>
        <v>0.42000000000000171</v>
      </c>
      <c r="D211" s="10">
        <f>data!B212-data!B211</f>
        <v>-0.63000000000000034</v>
      </c>
      <c r="E211" s="9">
        <f>data!E211-data!G211</f>
        <v>1.0940000000000001</v>
      </c>
      <c r="F211" s="9">
        <f>(data!E211-data!F211)-(data!G211-data!H211)</f>
        <v>0.72629999999999995</v>
      </c>
      <c r="G211" s="9">
        <f t="shared" si="150"/>
        <v>-1.2000000000000899E-3</v>
      </c>
      <c r="H211" s="9">
        <f t="shared" si="151"/>
        <v>1.749999999999996E-2</v>
      </c>
      <c r="I211" s="9">
        <f>IF(data!M212&gt; 111.81,1,0)</f>
        <v>0</v>
      </c>
      <c r="J211" s="9">
        <f t="shared" si="152"/>
        <v>1</v>
      </c>
      <c r="K211" s="9">
        <f t="shared" si="153"/>
        <v>0</v>
      </c>
      <c r="L211" s="9">
        <f t="shared" si="154"/>
        <v>1.8357999999999919</v>
      </c>
      <c r="M211" s="9">
        <f>data!J211</f>
        <v>-11.625</v>
      </c>
      <c r="N211" s="9">
        <f>data!I211</f>
        <v>-9.875</v>
      </c>
      <c r="O211" s="9">
        <f>data!L211</f>
        <v>1.625</v>
      </c>
      <c r="P211" s="9">
        <f>data!K211</f>
        <v>8.75</v>
      </c>
      <c r="Q211" s="9">
        <f>data!R211</f>
        <v>11.5</v>
      </c>
      <c r="R211" s="9">
        <f t="shared" si="155"/>
        <v>-19.375</v>
      </c>
      <c r="S211" s="9">
        <f t="shared" si="156"/>
        <v>-20</v>
      </c>
      <c r="T211" s="9">
        <f t="shared" si="157"/>
        <v>-21.814999999999998</v>
      </c>
      <c r="U211" s="9">
        <f t="shared" si="158"/>
        <v>-29.375</v>
      </c>
      <c r="V211" s="9">
        <f t="shared" si="159"/>
        <v>-22.625</v>
      </c>
      <c r="W211" s="9">
        <f t="shared" si="160"/>
        <v>-25.375</v>
      </c>
      <c r="X211" s="9">
        <f t="shared" si="161"/>
        <v>-29.375</v>
      </c>
      <c r="Y211" s="9">
        <f t="shared" si="162"/>
        <v>-25.375</v>
      </c>
      <c r="Z211" s="9">
        <f t="shared" si="163"/>
        <v>-19.375</v>
      </c>
      <c r="AA211" s="9">
        <f t="shared" si="164"/>
        <v>-10.625</v>
      </c>
      <c r="AB211" s="9">
        <f t="shared" si="165"/>
        <v>-14.815000000000001</v>
      </c>
      <c r="AC211" s="9">
        <f t="shared" si="166"/>
        <v>-21.375</v>
      </c>
      <c r="AD211" s="9">
        <f t="shared" si="167"/>
        <v>-36.125</v>
      </c>
      <c r="AE211" s="9">
        <f t="shared" si="168"/>
        <v>-36.75</v>
      </c>
      <c r="AF211" s="9">
        <f t="shared" si="169"/>
        <v>-39.125</v>
      </c>
      <c r="AG211" s="9">
        <f t="shared" si="170"/>
        <v>-56.344999999999999</v>
      </c>
      <c r="AH211" s="9">
        <f t="shared" si="171"/>
        <v>-55.754999999999995</v>
      </c>
      <c r="AI211" s="9">
        <f t="shared" si="172"/>
        <v>-50.125</v>
      </c>
      <c r="AJ211" s="9">
        <f t="shared" si="173"/>
        <v>-3.375</v>
      </c>
      <c r="AK211" s="9">
        <f t="shared" si="174"/>
        <v>-7.0650000000000004</v>
      </c>
      <c r="AL211" s="9">
        <f t="shared" si="175"/>
        <v>-17.25</v>
      </c>
      <c r="AM211" s="9">
        <f t="shared" si="176"/>
        <v>-29.625</v>
      </c>
      <c r="AN211" s="9">
        <f t="shared" si="177"/>
        <v>-35.75</v>
      </c>
      <c r="AO211" s="9">
        <f t="shared" si="178"/>
        <v>-34.625</v>
      </c>
      <c r="AP211" s="9">
        <f t="shared" si="179"/>
        <v>-55.375</v>
      </c>
      <c r="AQ211" s="9">
        <f t="shared" si="180"/>
        <v>-57.375</v>
      </c>
      <c r="AR211" s="9">
        <f t="shared" si="181"/>
        <v>-53.125</v>
      </c>
      <c r="AS211" s="9">
        <f t="shared" si="182"/>
        <v>-5.125</v>
      </c>
      <c r="AT211" s="9">
        <f t="shared" si="183"/>
        <v>-4.75</v>
      </c>
      <c r="AU211" s="9">
        <f t="shared" si="184"/>
        <v>-14.565000000000001</v>
      </c>
      <c r="AV211" s="9">
        <f t="shared" si="185"/>
        <v>-26.75</v>
      </c>
      <c r="AW211" s="9">
        <f t="shared" si="186"/>
        <v>-28.815000000000001</v>
      </c>
      <c r="AX211" s="9">
        <f t="shared" si="187"/>
        <v>-25.25</v>
      </c>
      <c r="AY211" s="9">
        <f t="shared" si="188"/>
        <v>-29.5</v>
      </c>
      <c r="AZ211" s="9">
        <f t="shared" si="189"/>
        <v>-36.5</v>
      </c>
      <c r="BA211" s="9">
        <f t="shared" si="190"/>
        <v>-32.75</v>
      </c>
      <c r="BB211" s="9">
        <f t="shared" si="191"/>
        <v>-3</v>
      </c>
      <c r="BC211" s="9">
        <f t="shared" si="192"/>
        <v>-4.0599999999999996</v>
      </c>
      <c r="BD211" s="9">
        <f t="shared" si="193"/>
        <v>-13.875</v>
      </c>
      <c r="BE211" s="9">
        <f t="shared" si="194"/>
        <v>-26</v>
      </c>
      <c r="BF211" s="9">
        <f t="shared" si="195"/>
        <v>-25.125</v>
      </c>
      <c r="BG211" s="9">
        <f t="shared" si="196"/>
        <v>-20.25</v>
      </c>
      <c r="BH211" s="9">
        <f t="shared" si="197"/>
        <v>-20.564999999999998</v>
      </c>
      <c r="BI211" s="9">
        <f t="shared" si="198"/>
        <v>-25.314999999999998</v>
      </c>
      <c r="BJ211" s="9">
        <f t="shared" si="199"/>
        <v>-22</v>
      </c>
    </row>
    <row r="212" spans="1:62" x14ac:dyDescent="0.2">
      <c r="A212" s="9">
        <f>data!M213-data!M212</f>
        <v>1.3986000000000018</v>
      </c>
      <c r="B212" s="9">
        <f>data!C213-data!C212</f>
        <v>1.1600000000000037</v>
      </c>
      <c r="C212" s="9">
        <f>data!D213-data!D212</f>
        <v>2.6125000000000007</v>
      </c>
      <c r="D212" s="10">
        <f>data!B213-data!B212</f>
        <v>6.25E-2</v>
      </c>
      <c r="E212" s="9">
        <f>data!E212-data!G212</f>
        <v>1.0928</v>
      </c>
      <c r="F212" s="9">
        <f>(data!E212-data!F212)-(data!G212-data!H212)</f>
        <v>0.74379999999999991</v>
      </c>
      <c r="G212" s="9">
        <f t="shared" si="150"/>
        <v>0.28439999999999999</v>
      </c>
      <c r="H212" s="9">
        <f t="shared" si="151"/>
        <v>0.19190000000000018</v>
      </c>
      <c r="I212" s="9">
        <f>IF(data!M213&gt; 111.81,1,0)</f>
        <v>0</v>
      </c>
      <c r="J212" s="9">
        <f t="shared" si="152"/>
        <v>1</v>
      </c>
      <c r="K212" s="9">
        <f t="shared" si="153"/>
        <v>0</v>
      </c>
      <c r="L212" s="9">
        <f t="shared" si="154"/>
        <v>1.3986000000000018</v>
      </c>
      <c r="M212" s="9">
        <f>data!J212</f>
        <v>-31</v>
      </c>
      <c r="N212" s="9">
        <f>data!I212</f>
        <v>-20.5</v>
      </c>
      <c r="O212" s="9">
        <f>data!L212</f>
        <v>-1.75</v>
      </c>
      <c r="P212" s="9">
        <f>data!K212</f>
        <v>3.625</v>
      </c>
      <c r="Q212" s="9">
        <f>data!R212</f>
        <v>8.5</v>
      </c>
      <c r="R212" s="9">
        <f t="shared" si="155"/>
        <v>-0.625</v>
      </c>
      <c r="S212" s="9">
        <f t="shared" si="156"/>
        <v>-2.4399999999999977</v>
      </c>
      <c r="T212" s="9">
        <f t="shared" si="157"/>
        <v>-10</v>
      </c>
      <c r="U212" s="9">
        <f t="shared" si="158"/>
        <v>-3.25</v>
      </c>
      <c r="V212" s="9">
        <f t="shared" si="159"/>
        <v>-6</v>
      </c>
      <c r="W212" s="9">
        <f t="shared" si="160"/>
        <v>-10</v>
      </c>
      <c r="X212" s="9">
        <f t="shared" si="161"/>
        <v>-6</v>
      </c>
      <c r="Y212" s="9">
        <f t="shared" si="162"/>
        <v>0</v>
      </c>
      <c r="Z212" s="9">
        <f t="shared" si="163"/>
        <v>11.5</v>
      </c>
      <c r="AA212" s="9">
        <f t="shared" si="164"/>
        <v>-4.1900000000000013</v>
      </c>
      <c r="AB212" s="9">
        <f t="shared" si="165"/>
        <v>-10.75</v>
      </c>
      <c r="AC212" s="9">
        <f t="shared" si="166"/>
        <v>-25.5</v>
      </c>
      <c r="AD212" s="9">
        <f t="shared" si="167"/>
        <v>-26.125</v>
      </c>
      <c r="AE212" s="9">
        <f t="shared" si="168"/>
        <v>-28.5</v>
      </c>
      <c r="AF212" s="9">
        <f t="shared" si="169"/>
        <v>-45.72</v>
      </c>
      <c r="AG212" s="9">
        <f t="shared" si="170"/>
        <v>-45.129999999999995</v>
      </c>
      <c r="AH212" s="9">
        <f t="shared" si="171"/>
        <v>-39.5</v>
      </c>
      <c r="AI212" s="9">
        <f t="shared" si="172"/>
        <v>-27.5</v>
      </c>
      <c r="AJ212" s="9">
        <f t="shared" si="173"/>
        <v>-3.6900000000000004</v>
      </c>
      <c r="AK212" s="9">
        <f t="shared" si="174"/>
        <v>-13.875</v>
      </c>
      <c r="AL212" s="9">
        <f t="shared" si="175"/>
        <v>-26.25</v>
      </c>
      <c r="AM212" s="9">
        <f t="shared" si="176"/>
        <v>-32.375</v>
      </c>
      <c r="AN212" s="9">
        <f t="shared" si="177"/>
        <v>-31.25</v>
      </c>
      <c r="AO212" s="9">
        <f t="shared" si="178"/>
        <v>-52</v>
      </c>
      <c r="AP212" s="9">
        <f t="shared" si="179"/>
        <v>-54</v>
      </c>
      <c r="AQ212" s="9">
        <f t="shared" si="180"/>
        <v>-49.75</v>
      </c>
      <c r="AR212" s="9">
        <f t="shared" si="181"/>
        <v>-39.25</v>
      </c>
      <c r="AS212" s="9">
        <f t="shared" si="182"/>
        <v>0.375</v>
      </c>
      <c r="AT212" s="9">
        <f t="shared" si="183"/>
        <v>-9.4400000000000013</v>
      </c>
      <c r="AU212" s="9">
        <f t="shared" si="184"/>
        <v>-21.625</v>
      </c>
      <c r="AV212" s="9">
        <f t="shared" si="185"/>
        <v>-23.69</v>
      </c>
      <c r="AW212" s="9">
        <f t="shared" si="186"/>
        <v>-20.125</v>
      </c>
      <c r="AX212" s="9">
        <f t="shared" si="187"/>
        <v>-24.375</v>
      </c>
      <c r="AY212" s="9">
        <f t="shared" si="188"/>
        <v>-31.375</v>
      </c>
      <c r="AZ212" s="9">
        <f t="shared" si="189"/>
        <v>-27.625</v>
      </c>
      <c r="BA212" s="9">
        <f t="shared" si="190"/>
        <v>-18.625</v>
      </c>
      <c r="BB212" s="9">
        <f t="shared" si="191"/>
        <v>-1.0599999999999996</v>
      </c>
      <c r="BC212" s="9">
        <f t="shared" si="192"/>
        <v>-10.875</v>
      </c>
      <c r="BD212" s="9">
        <f t="shared" si="193"/>
        <v>-23</v>
      </c>
      <c r="BE212" s="9">
        <f t="shared" si="194"/>
        <v>-22.125</v>
      </c>
      <c r="BF212" s="9">
        <f t="shared" si="195"/>
        <v>-17.25</v>
      </c>
      <c r="BG212" s="9">
        <f t="shared" si="196"/>
        <v>-17.564999999999998</v>
      </c>
      <c r="BH212" s="9">
        <f t="shared" si="197"/>
        <v>-22.314999999999998</v>
      </c>
      <c r="BI212" s="9">
        <f t="shared" si="198"/>
        <v>-19</v>
      </c>
      <c r="BJ212" s="9">
        <f t="shared" si="199"/>
        <v>-10</v>
      </c>
    </row>
    <row r="213" spans="1:62" x14ac:dyDescent="0.2">
      <c r="A213" s="9">
        <f>data!M214-data!M213</f>
        <v>7.3000000000007503E-3</v>
      </c>
      <c r="B213" s="9">
        <f>data!C214-data!C213</f>
        <v>-2.4299999999999997</v>
      </c>
      <c r="C213" s="9">
        <f>data!D214-data!D213</f>
        <v>-0.64000000000000057</v>
      </c>
      <c r="D213" s="10">
        <f>data!B214-data!B213</f>
        <v>0.24000000000000021</v>
      </c>
      <c r="E213" s="9">
        <f>data!E213-data!G213</f>
        <v>1.3772</v>
      </c>
      <c r="F213" s="9">
        <f>(data!E213-data!F213)-(data!G213-data!H213)</f>
        <v>0.93570000000000009</v>
      </c>
      <c r="G213" s="9">
        <f t="shared" si="150"/>
        <v>0.16610000000000014</v>
      </c>
      <c r="H213" s="9">
        <f t="shared" si="151"/>
        <v>6.7300000000000026E-2</v>
      </c>
      <c r="I213" s="9">
        <f>IF(data!M214&gt; 111.81,1,0)</f>
        <v>0</v>
      </c>
      <c r="J213" s="9">
        <f t="shared" si="152"/>
        <v>1</v>
      </c>
      <c r="K213" s="9">
        <f t="shared" si="153"/>
        <v>0</v>
      </c>
      <c r="L213" s="9">
        <f t="shared" si="154"/>
        <v>7.3000000000007503E-3</v>
      </c>
      <c r="M213" s="9">
        <f>data!J213</f>
        <v>-31.625</v>
      </c>
      <c r="N213" s="9">
        <f>data!I213</f>
        <v>-24.69</v>
      </c>
      <c r="O213" s="9">
        <f>data!L213</f>
        <v>-5.44</v>
      </c>
      <c r="P213" s="9">
        <f>data!K213</f>
        <v>4</v>
      </c>
      <c r="Q213" s="9">
        <f>data!R213</f>
        <v>7.44</v>
      </c>
      <c r="R213" s="9">
        <f t="shared" si="155"/>
        <v>-1.8149999999999977</v>
      </c>
      <c r="S213" s="9">
        <f t="shared" si="156"/>
        <v>-9.375</v>
      </c>
      <c r="T213" s="9">
        <f t="shared" si="157"/>
        <v>-2.625</v>
      </c>
      <c r="U213" s="9">
        <f t="shared" si="158"/>
        <v>-5.375</v>
      </c>
      <c r="V213" s="9">
        <f t="shared" si="159"/>
        <v>-9.375</v>
      </c>
      <c r="W213" s="9">
        <f t="shared" si="160"/>
        <v>-5.375</v>
      </c>
      <c r="X213" s="9">
        <f t="shared" si="161"/>
        <v>0.625</v>
      </c>
      <c r="Y213" s="9">
        <f t="shared" si="162"/>
        <v>12.125</v>
      </c>
      <c r="Z213" s="9">
        <f t="shared" si="163"/>
        <v>9.625</v>
      </c>
      <c r="AA213" s="9">
        <f t="shared" si="164"/>
        <v>-6.5599999999999987</v>
      </c>
      <c r="AB213" s="9">
        <f t="shared" si="165"/>
        <v>-21.31</v>
      </c>
      <c r="AC213" s="9">
        <f t="shared" si="166"/>
        <v>-21.934999999999999</v>
      </c>
      <c r="AD213" s="9">
        <f t="shared" si="167"/>
        <v>-24.31</v>
      </c>
      <c r="AE213" s="9">
        <f t="shared" si="168"/>
        <v>-41.53</v>
      </c>
      <c r="AF213" s="9">
        <f t="shared" si="169"/>
        <v>-40.94</v>
      </c>
      <c r="AG213" s="9">
        <f t="shared" si="170"/>
        <v>-35.31</v>
      </c>
      <c r="AH213" s="9">
        <f t="shared" si="171"/>
        <v>-23.31</v>
      </c>
      <c r="AI213" s="9">
        <f t="shared" si="172"/>
        <v>-27.374999999999996</v>
      </c>
      <c r="AJ213" s="9">
        <f t="shared" si="173"/>
        <v>-10.184999999999999</v>
      </c>
      <c r="AK213" s="9">
        <f t="shared" si="174"/>
        <v>-22.56</v>
      </c>
      <c r="AL213" s="9">
        <f t="shared" si="175"/>
        <v>-28.684999999999999</v>
      </c>
      <c r="AM213" s="9">
        <f t="shared" si="176"/>
        <v>-27.56</v>
      </c>
      <c r="AN213" s="9">
        <f t="shared" si="177"/>
        <v>-48.31</v>
      </c>
      <c r="AO213" s="9">
        <f t="shared" si="178"/>
        <v>-50.31</v>
      </c>
      <c r="AP213" s="9">
        <f t="shared" si="179"/>
        <v>-46.06</v>
      </c>
      <c r="AQ213" s="9">
        <f t="shared" si="180"/>
        <v>-35.56</v>
      </c>
      <c r="AR213" s="9">
        <f t="shared" si="181"/>
        <v>-40.625</v>
      </c>
      <c r="AS213" s="9">
        <f t="shared" si="182"/>
        <v>-9.8150000000000013</v>
      </c>
      <c r="AT213" s="9">
        <f t="shared" si="183"/>
        <v>-22</v>
      </c>
      <c r="AU213" s="9">
        <f t="shared" si="184"/>
        <v>-24.065000000000001</v>
      </c>
      <c r="AV213" s="9">
        <f t="shared" si="185"/>
        <v>-20.5</v>
      </c>
      <c r="AW213" s="9">
        <f t="shared" si="186"/>
        <v>-24.75</v>
      </c>
      <c r="AX213" s="9">
        <f t="shared" si="187"/>
        <v>-31.75</v>
      </c>
      <c r="AY213" s="9">
        <f t="shared" si="188"/>
        <v>-28</v>
      </c>
      <c r="AZ213" s="9">
        <f t="shared" si="189"/>
        <v>-19</v>
      </c>
      <c r="BA213" s="9">
        <f t="shared" si="190"/>
        <v>-25.625</v>
      </c>
      <c r="BB213" s="9">
        <f t="shared" si="191"/>
        <v>-9.8150000000000013</v>
      </c>
      <c r="BC213" s="9">
        <f t="shared" si="192"/>
        <v>-21.94</v>
      </c>
      <c r="BD213" s="9">
        <f t="shared" si="193"/>
        <v>-21.065000000000001</v>
      </c>
      <c r="BE213" s="9">
        <f t="shared" si="194"/>
        <v>-16.190000000000001</v>
      </c>
      <c r="BF213" s="9">
        <f t="shared" si="195"/>
        <v>-16.504999999999999</v>
      </c>
      <c r="BG213" s="9">
        <f t="shared" si="196"/>
        <v>-21.254999999999999</v>
      </c>
      <c r="BH213" s="9">
        <f t="shared" si="197"/>
        <v>-17.940000000000001</v>
      </c>
      <c r="BI213" s="9">
        <f t="shared" si="198"/>
        <v>-8.9400000000000013</v>
      </c>
      <c r="BJ213" s="9">
        <f t="shared" si="199"/>
        <v>-16.254999999999999</v>
      </c>
    </row>
    <row r="214" spans="1:62" x14ac:dyDescent="0.2">
      <c r="A214" s="9">
        <f>data!M215-data!M214</f>
        <v>-0.37139999999999418</v>
      </c>
      <c r="B214" s="9">
        <f>data!C215-data!C214</f>
        <v>-1.470000000000006</v>
      </c>
      <c r="C214" s="9">
        <f>data!D215-data!D214</f>
        <v>-2.9875000000000007</v>
      </c>
      <c r="D214" s="10">
        <f>data!B215-data!B214</f>
        <v>0.38750000000000018</v>
      </c>
      <c r="E214" s="9">
        <f>data!E214-data!G214</f>
        <v>1.5433000000000001</v>
      </c>
      <c r="F214" s="9">
        <f>(data!E214-data!F214)-(data!G214-data!H214)</f>
        <v>1.0030000000000001</v>
      </c>
      <c r="G214" s="9">
        <f t="shared" si="150"/>
        <v>0.10739999999999972</v>
      </c>
      <c r="H214" s="9">
        <f t="shared" si="151"/>
        <v>7.3599999999999888E-2</v>
      </c>
      <c r="I214" s="9">
        <f>IF(data!M215&gt; 111.81,1,0)</f>
        <v>0</v>
      </c>
      <c r="J214" s="9">
        <f t="shared" si="152"/>
        <v>1</v>
      </c>
      <c r="K214" s="9">
        <f t="shared" si="153"/>
        <v>0</v>
      </c>
      <c r="L214" s="9">
        <f t="shared" si="154"/>
        <v>-0.37139999999999418</v>
      </c>
      <c r="M214" s="9">
        <f>data!J214</f>
        <v>-33.44</v>
      </c>
      <c r="N214" s="9">
        <f>data!I214</f>
        <v>-31.25</v>
      </c>
      <c r="O214" s="9">
        <f>data!L214</f>
        <v>-15.625</v>
      </c>
      <c r="P214" s="9">
        <f>data!K214</f>
        <v>-5.8150000000000004</v>
      </c>
      <c r="Q214" s="9">
        <f>data!R214</f>
        <v>-2.375</v>
      </c>
      <c r="R214" s="9">
        <f t="shared" si="155"/>
        <v>-7.5600000000000023</v>
      </c>
      <c r="S214" s="9">
        <f t="shared" si="156"/>
        <v>-0.81000000000000227</v>
      </c>
      <c r="T214" s="9">
        <f t="shared" si="157"/>
        <v>-3.5600000000000023</v>
      </c>
      <c r="U214" s="9">
        <f t="shared" si="158"/>
        <v>-7.5600000000000023</v>
      </c>
      <c r="V214" s="9">
        <f t="shared" si="159"/>
        <v>-3.5600000000000023</v>
      </c>
      <c r="W214" s="9">
        <f t="shared" si="160"/>
        <v>2.4399999999999977</v>
      </c>
      <c r="X214" s="9">
        <f t="shared" si="161"/>
        <v>13.939999999999998</v>
      </c>
      <c r="Y214" s="9">
        <f t="shared" si="162"/>
        <v>11.439999999999998</v>
      </c>
      <c r="Z214" s="9">
        <f t="shared" si="163"/>
        <v>7.9399999999999977</v>
      </c>
      <c r="AA214" s="9">
        <f t="shared" si="164"/>
        <v>-14.75</v>
      </c>
      <c r="AB214" s="9">
        <f t="shared" si="165"/>
        <v>-15.375</v>
      </c>
      <c r="AC214" s="9">
        <f t="shared" si="166"/>
        <v>-17.75</v>
      </c>
      <c r="AD214" s="9">
        <f t="shared" si="167"/>
        <v>-34.97</v>
      </c>
      <c r="AE214" s="9">
        <f t="shared" si="168"/>
        <v>-34.379999999999995</v>
      </c>
      <c r="AF214" s="9">
        <f t="shared" si="169"/>
        <v>-28.75</v>
      </c>
      <c r="AG214" s="9">
        <f t="shared" si="170"/>
        <v>-16.75</v>
      </c>
      <c r="AH214" s="9">
        <f t="shared" si="171"/>
        <v>-20.814999999999998</v>
      </c>
      <c r="AI214" s="9">
        <f t="shared" si="172"/>
        <v>-24.75</v>
      </c>
      <c r="AJ214" s="9">
        <f t="shared" si="173"/>
        <v>-12.375</v>
      </c>
      <c r="AK214" s="9">
        <f t="shared" si="174"/>
        <v>-18.5</v>
      </c>
      <c r="AL214" s="9">
        <f t="shared" si="175"/>
        <v>-17.375</v>
      </c>
      <c r="AM214" s="9">
        <f t="shared" si="176"/>
        <v>-38.125</v>
      </c>
      <c r="AN214" s="9">
        <f t="shared" si="177"/>
        <v>-40.125</v>
      </c>
      <c r="AO214" s="9">
        <f t="shared" si="178"/>
        <v>-35.875</v>
      </c>
      <c r="AP214" s="9">
        <f t="shared" si="179"/>
        <v>-25.375</v>
      </c>
      <c r="AQ214" s="9">
        <f t="shared" si="180"/>
        <v>-30.439999999999998</v>
      </c>
      <c r="AR214" s="9">
        <f t="shared" si="181"/>
        <v>-32.875</v>
      </c>
      <c r="AS214" s="9">
        <f t="shared" si="182"/>
        <v>-12.184999999999999</v>
      </c>
      <c r="AT214" s="9">
        <f t="shared" si="183"/>
        <v>-14.25</v>
      </c>
      <c r="AU214" s="9">
        <f t="shared" si="184"/>
        <v>-10.684999999999999</v>
      </c>
      <c r="AV214" s="9">
        <f t="shared" si="185"/>
        <v>-14.934999999999999</v>
      </c>
      <c r="AW214" s="9">
        <f t="shared" si="186"/>
        <v>-21.934999999999999</v>
      </c>
      <c r="AX214" s="9">
        <f t="shared" si="187"/>
        <v>-18.184999999999999</v>
      </c>
      <c r="AY214" s="9">
        <f t="shared" si="188"/>
        <v>-9.1849999999999987</v>
      </c>
      <c r="AZ214" s="9">
        <f t="shared" si="189"/>
        <v>-15.809999999999999</v>
      </c>
      <c r="BA214" s="9">
        <f t="shared" si="190"/>
        <v>-17.684999999999999</v>
      </c>
      <c r="BB214" s="9">
        <f t="shared" si="191"/>
        <v>-12.125</v>
      </c>
      <c r="BC214" s="9">
        <f t="shared" si="192"/>
        <v>-11.25</v>
      </c>
      <c r="BD214" s="9">
        <f t="shared" si="193"/>
        <v>-6.375</v>
      </c>
      <c r="BE214" s="9">
        <f t="shared" si="194"/>
        <v>-6.6899999999999995</v>
      </c>
      <c r="BF214" s="9">
        <f t="shared" si="195"/>
        <v>-11.44</v>
      </c>
      <c r="BG214" s="9">
        <f t="shared" si="196"/>
        <v>-8.125</v>
      </c>
      <c r="BH214" s="9">
        <f t="shared" si="197"/>
        <v>0.875</v>
      </c>
      <c r="BI214" s="9">
        <f t="shared" si="198"/>
        <v>-6.4399999999999995</v>
      </c>
      <c r="BJ214" s="9">
        <f t="shared" si="199"/>
        <v>-7.125</v>
      </c>
    </row>
    <row r="215" spans="1:62" x14ac:dyDescent="0.2">
      <c r="A215" s="9">
        <f>data!M216-data!M215</f>
        <v>0.55029999999999291</v>
      </c>
      <c r="B215" s="9">
        <f>data!C216-data!C215</f>
        <v>-0.43999999999999773</v>
      </c>
      <c r="C215" s="9">
        <f>data!D216-data!D215</f>
        <v>-3.5000000000000142E-2</v>
      </c>
      <c r="D215" s="10">
        <f>data!B216-data!B215</f>
        <v>8.9999999999999858E-2</v>
      </c>
      <c r="E215" s="9">
        <f>data!E215-data!G215</f>
        <v>1.6506999999999998</v>
      </c>
      <c r="F215" s="9">
        <f>(data!E215-data!F215)-(data!G215-data!H215)</f>
        <v>1.0766</v>
      </c>
      <c r="G215" s="9">
        <f t="shared" si="150"/>
        <v>-2.6299999999999546E-2</v>
      </c>
      <c r="H215" s="9">
        <f t="shared" si="151"/>
        <v>-2.1199999999999664E-2</v>
      </c>
      <c r="I215" s="9">
        <f>IF(data!M216&gt; 111.81,1,0)</f>
        <v>0</v>
      </c>
      <c r="J215" s="9">
        <f t="shared" si="152"/>
        <v>1</v>
      </c>
      <c r="K215" s="9">
        <f t="shared" si="153"/>
        <v>0</v>
      </c>
      <c r="L215" s="9">
        <f t="shared" si="154"/>
        <v>0.55029999999999291</v>
      </c>
      <c r="M215" s="9">
        <f>data!J215</f>
        <v>-41</v>
      </c>
      <c r="N215" s="9">
        <f>data!I215</f>
        <v>-46</v>
      </c>
      <c r="O215" s="9">
        <f>data!L215</f>
        <v>-28</v>
      </c>
      <c r="P215" s="9">
        <f>data!K215</f>
        <v>-18</v>
      </c>
      <c r="Q215" s="9">
        <f>data!R215</f>
        <v>-14.5</v>
      </c>
      <c r="R215" s="9">
        <f t="shared" si="155"/>
        <v>6.75</v>
      </c>
      <c r="S215" s="9">
        <f t="shared" si="156"/>
        <v>4</v>
      </c>
      <c r="T215" s="9">
        <f t="shared" si="157"/>
        <v>0</v>
      </c>
      <c r="U215" s="9">
        <f t="shared" si="158"/>
        <v>4</v>
      </c>
      <c r="V215" s="9">
        <f t="shared" si="159"/>
        <v>10</v>
      </c>
      <c r="W215" s="9">
        <f t="shared" si="160"/>
        <v>21.5</v>
      </c>
      <c r="X215" s="9">
        <f t="shared" si="161"/>
        <v>19</v>
      </c>
      <c r="Y215" s="9">
        <f t="shared" si="162"/>
        <v>15.5</v>
      </c>
      <c r="Z215" s="9">
        <f t="shared" si="163"/>
        <v>17.25</v>
      </c>
      <c r="AA215" s="9">
        <f t="shared" si="164"/>
        <v>-0.625</v>
      </c>
      <c r="AB215" s="9">
        <f t="shared" si="165"/>
        <v>-3</v>
      </c>
      <c r="AC215" s="9">
        <f t="shared" si="166"/>
        <v>-20.22</v>
      </c>
      <c r="AD215" s="9">
        <f t="shared" si="167"/>
        <v>-19.629999999999995</v>
      </c>
      <c r="AE215" s="9">
        <f t="shared" si="168"/>
        <v>-14</v>
      </c>
      <c r="AF215" s="9">
        <f t="shared" si="169"/>
        <v>-2</v>
      </c>
      <c r="AG215" s="9">
        <f t="shared" si="170"/>
        <v>-6.0649999999999977</v>
      </c>
      <c r="AH215" s="9">
        <f t="shared" si="171"/>
        <v>-10</v>
      </c>
      <c r="AI215" s="9">
        <f t="shared" si="172"/>
        <v>-1.5</v>
      </c>
      <c r="AJ215" s="9">
        <f t="shared" si="173"/>
        <v>-6.125</v>
      </c>
      <c r="AK215" s="9">
        <f t="shared" si="174"/>
        <v>-5</v>
      </c>
      <c r="AL215" s="9">
        <f t="shared" si="175"/>
        <v>-25.75</v>
      </c>
      <c r="AM215" s="9">
        <f t="shared" si="176"/>
        <v>-27.75</v>
      </c>
      <c r="AN215" s="9">
        <f t="shared" si="177"/>
        <v>-23.5</v>
      </c>
      <c r="AO215" s="9">
        <f t="shared" si="178"/>
        <v>-13</v>
      </c>
      <c r="AP215" s="9">
        <f t="shared" si="179"/>
        <v>-18.064999999999998</v>
      </c>
      <c r="AQ215" s="9">
        <f t="shared" si="180"/>
        <v>-20.5</v>
      </c>
      <c r="AR215" s="9">
        <f t="shared" si="181"/>
        <v>-14.75</v>
      </c>
      <c r="AS215" s="9">
        <f t="shared" si="182"/>
        <v>-2.0650000000000013</v>
      </c>
      <c r="AT215" s="9">
        <f t="shared" si="183"/>
        <v>1.5</v>
      </c>
      <c r="AU215" s="9">
        <f t="shared" si="184"/>
        <v>-2.75</v>
      </c>
      <c r="AV215" s="9">
        <f t="shared" si="185"/>
        <v>-9.75</v>
      </c>
      <c r="AW215" s="9">
        <f t="shared" si="186"/>
        <v>-6</v>
      </c>
      <c r="AX215" s="9">
        <f t="shared" si="187"/>
        <v>3</v>
      </c>
      <c r="AY215" s="9">
        <f t="shared" si="188"/>
        <v>-3.625</v>
      </c>
      <c r="AZ215" s="9">
        <f t="shared" si="189"/>
        <v>-5.5</v>
      </c>
      <c r="BA215" s="9">
        <f t="shared" si="190"/>
        <v>-5</v>
      </c>
      <c r="BB215" s="9">
        <f t="shared" si="191"/>
        <v>0.875</v>
      </c>
      <c r="BC215" s="9">
        <f t="shared" si="192"/>
        <v>5.75</v>
      </c>
      <c r="BD215" s="9">
        <f t="shared" si="193"/>
        <v>5.4350000000000005</v>
      </c>
      <c r="BE215" s="9">
        <f t="shared" si="194"/>
        <v>0.6850000000000005</v>
      </c>
      <c r="BF215" s="9">
        <f t="shared" si="195"/>
        <v>4</v>
      </c>
      <c r="BG215" s="9">
        <f t="shared" si="196"/>
        <v>13</v>
      </c>
      <c r="BH215" s="9">
        <f t="shared" si="197"/>
        <v>5.6850000000000005</v>
      </c>
      <c r="BI215" s="9">
        <f t="shared" si="198"/>
        <v>5</v>
      </c>
      <c r="BJ215" s="9">
        <f t="shared" si="199"/>
        <v>5.5</v>
      </c>
    </row>
    <row r="216" spans="1:62" x14ac:dyDescent="0.2">
      <c r="A216" s="9">
        <f>data!M217-data!M216</f>
        <v>1.7286000000000001</v>
      </c>
      <c r="B216" s="9">
        <f>data!C217-data!C216</f>
        <v>6.3699999999999974</v>
      </c>
      <c r="C216" s="9">
        <f>data!D217-data!D216</f>
        <v>-0.88250000000000028</v>
      </c>
      <c r="D216" s="10">
        <f>data!B217-data!B216</f>
        <v>0.5625</v>
      </c>
      <c r="E216" s="9">
        <f>data!E216-data!G216</f>
        <v>1.6244000000000003</v>
      </c>
      <c r="F216" s="9">
        <f>(data!E216-data!F216)-(data!G216-data!H216)</f>
        <v>1.0554000000000003</v>
      </c>
      <c r="G216" s="9">
        <f t="shared" si="150"/>
        <v>-0.12050000000000027</v>
      </c>
      <c r="H216" s="9">
        <f t="shared" si="151"/>
        <v>-0.10570000000000024</v>
      </c>
      <c r="I216" s="9">
        <f>IF(data!M217&gt; 111.81,1,0)</f>
        <v>0</v>
      </c>
      <c r="J216" s="9">
        <f t="shared" si="152"/>
        <v>1</v>
      </c>
      <c r="K216" s="9">
        <f t="shared" si="153"/>
        <v>0</v>
      </c>
      <c r="L216" s="9">
        <f t="shared" si="154"/>
        <v>1.7286000000000001</v>
      </c>
      <c r="M216" s="9">
        <f>data!J216</f>
        <v>-34.25</v>
      </c>
      <c r="N216" s="9">
        <f>data!I216</f>
        <v>-46.625</v>
      </c>
      <c r="O216" s="9">
        <f>data!L216</f>
        <v>-34.125</v>
      </c>
      <c r="P216" s="9">
        <f>data!K216</f>
        <v>-20.065000000000001</v>
      </c>
      <c r="Q216" s="9">
        <f>data!R216</f>
        <v>-13.625</v>
      </c>
      <c r="R216" s="9">
        <f t="shared" si="155"/>
        <v>-2.75</v>
      </c>
      <c r="S216" s="9">
        <f t="shared" si="156"/>
        <v>-6.75</v>
      </c>
      <c r="T216" s="9">
        <f t="shared" si="157"/>
        <v>-2.75</v>
      </c>
      <c r="U216" s="9">
        <f t="shared" si="158"/>
        <v>3.25</v>
      </c>
      <c r="V216" s="9">
        <f t="shared" si="159"/>
        <v>14.75</v>
      </c>
      <c r="W216" s="9">
        <f t="shared" si="160"/>
        <v>12.25</v>
      </c>
      <c r="X216" s="9">
        <f t="shared" si="161"/>
        <v>8.75</v>
      </c>
      <c r="Y216" s="9">
        <f t="shared" si="162"/>
        <v>10.5</v>
      </c>
      <c r="Z216" s="9">
        <f t="shared" si="163"/>
        <v>10.75</v>
      </c>
      <c r="AA216" s="9">
        <f t="shared" si="164"/>
        <v>-2.375</v>
      </c>
      <c r="AB216" s="9">
        <f t="shared" si="165"/>
        <v>-19.594999999999999</v>
      </c>
      <c r="AC216" s="9">
        <f t="shared" si="166"/>
        <v>-19.004999999999995</v>
      </c>
      <c r="AD216" s="9">
        <f t="shared" si="167"/>
        <v>-13.375</v>
      </c>
      <c r="AE216" s="9">
        <f t="shared" si="168"/>
        <v>-1.375</v>
      </c>
      <c r="AF216" s="9">
        <f t="shared" si="169"/>
        <v>-5.4399999999999977</v>
      </c>
      <c r="AG216" s="9">
        <f t="shared" si="170"/>
        <v>-9.375</v>
      </c>
      <c r="AH216" s="9">
        <f t="shared" si="171"/>
        <v>-0.875</v>
      </c>
      <c r="AI216" s="9">
        <f t="shared" si="172"/>
        <v>-0.375</v>
      </c>
      <c r="AJ216" s="9">
        <f t="shared" si="173"/>
        <v>1.125</v>
      </c>
      <c r="AK216" s="9">
        <f t="shared" si="174"/>
        <v>-19.625</v>
      </c>
      <c r="AL216" s="9">
        <f t="shared" si="175"/>
        <v>-21.625</v>
      </c>
      <c r="AM216" s="9">
        <f t="shared" si="176"/>
        <v>-17.375</v>
      </c>
      <c r="AN216" s="9">
        <f t="shared" si="177"/>
        <v>-6.875</v>
      </c>
      <c r="AO216" s="9">
        <f t="shared" si="178"/>
        <v>-11.939999999999998</v>
      </c>
      <c r="AP216" s="9">
        <f t="shared" si="179"/>
        <v>-14.375</v>
      </c>
      <c r="AQ216" s="9">
        <f t="shared" si="180"/>
        <v>-8.625</v>
      </c>
      <c r="AR216" s="9">
        <f t="shared" si="181"/>
        <v>-7.125</v>
      </c>
      <c r="AS216" s="9">
        <f t="shared" si="182"/>
        <v>3.5650000000000013</v>
      </c>
      <c r="AT216" s="9">
        <f t="shared" si="183"/>
        <v>-0.68499999999999872</v>
      </c>
      <c r="AU216" s="9">
        <f t="shared" si="184"/>
        <v>-7.6849999999999987</v>
      </c>
      <c r="AV216" s="9">
        <f t="shared" si="185"/>
        <v>-3.9349999999999987</v>
      </c>
      <c r="AW216" s="9">
        <f t="shared" si="186"/>
        <v>5.0650000000000013</v>
      </c>
      <c r="AX216" s="9">
        <f t="shared" si="187"/>
        <v>-1.5599999999999987</v>
      </c>
      <c r="AY216" s="9">
        <f t="shared" si="188"/>
        <v>-3.4349999999999987</v>
      </c>
      <c r="AZ216" s="9">
        <f t="shared" si="189"/>
        <v>-2.9349999999999987</v>
      </c>
      <c r="BA216" s="9">
        <f t="shared" si="190"/>
        <v>-2.6849999999999987</v>
      </c>
      <c r="BB216" s="9">
        <f t="shared" si="191"/>
        <v>4.875</v>
      </c>
      <c r="BC216" s="9">
        <f t="shared" si="192"/>
        <v>4.5600000000000005</v>
      </c>
      <c r="BD216" s="9">
        <f t="shared" si="193"/>
        <v>-0.1899999999999995</v>
      </c>
      <c r="BE216" s="9">
        <f t="shared" si="194"/>
        <v>3.125</v>
      </c>
      <c r="BF216" s="9">
        <f t="shared" si="195"/>
        <v>12.125</v>
      </c>
      <c r="BG216" s="9">
        <f t="shared" si="196"/>
        <v>4.8100000000000005</v>
      </c>
      <c r="BH216" s="9">
        <f t="shared" si="197"/>
        <v>4.125</v>
      </c>
      <c r="BI216" s="9">
        <f t="shared" si="198"/>
        <v>4.625</v>
      </c>
      <c r="BJ216" s="9">
        <f t="shared" si="199"/>
        <v>4.875</v>
      </c>
    </row>
    <row r="217" spans="1:62" x14ac:dyDescent="0.2">
      <c r="A217" s="9">
        <f>data!M218-data!M217</f>
        <v>0.90399999999999636</v>
      </c>
      <c r="B217" s="9">
        <f>data!C218-data!C217</f>
        <v>-2.9499999999999957</v>
      </c>
      <c r="C217" s="9">
        <f>data!D218-data!D217</f>
        <v>0.78999999999999915</v>
      </c>
      <c r="D217" s="10">
        <f>data!B218-data!B217</f>
        <v>0.2775000000000003</v>
      </c>
      <c r="E217" s="9">
        <f>data!E217-data!G217</f>
        <v>1.5039</v>
      </c>
      <c r="F217" s="9">
        <f>(data!E217-data!F217)-(data!G217-data!H217)</f>
        <v>0.9497000000000001</v>
      </c>
      <c r="G217" s="9">
        <f t="shared" si="150"/>
        <v>0.22920000000000007</v>
      </c>
      <c r="H217" s="9">
        <f t="shared" si="151"/>
        <v>0.21830000000000005</v>
      </c>
      <c r="I217" s="9">
        <f>IF(data!M218&gt; 111.81,1,0)</f>
        <v>0</v>
      </c>
      <c r="J217" s="9">
        <f t="shared" si="152"/>
        <v>1</v>
      </c>
      <c r="K217" s="9">
        <f t="shared" si="153"/>
        <v>0</v>
      </c>
      <c r="L217" s="9">
        <f t="shared" si="154"/>
        <v>0.90399999999999636</v>
      </c>
      <c r="M217" s="9">
        <f>data!J217</f>
        <v>-37</v>
      </c>
      <c r="N217" s="9">
        <f>data!I217</f>
        <v>-49</v>
      </c>
      <c r="O217" s="9">
        <f>data!L217</f>
        <v>-33</v>
      </c>
      <c r="P217" s="9">
        <f>data!K217</f>
        <v>-16.5</v>
      </c>
      <c r="Q217" s="9">
        <f>data!R217</f>
        <v>-8.75</v>
      </c>
      <c r="R217" s="9">
        <f t="shared" si="155"/>
        <v>-4</v>
      </c>
      <c r="S217" s="9">
        <f t="shared" si="156"/>
        <v>0</v>
      </c>
      <c r="T217" s="9">
        <f t="shared" si="157"/>
        <v>6</v>
      </c>
      <c r="U217" s="9">
        <f t="shared" si="158"/>
        <v>17.5</v>
      </c>
      <c r="V217" s="9">
        <f t="shared" si="159"/>
        <v>15</v>
      </c>
      <c r="W217" s="9">
        <f t="shared" si="160"/>
        <v>11.5</v>
      </c>
      <c r="X217" s="9">
        <f t="shared" si="161"/>
        <v>13.25</v>
      </c>
      <c r="Y217" s="9">
        <f t="shared" si="162"/>
        <v>13.5</v>
      </c>
      <c r="Z217" s="9">
        <f t="shared" si="163"/>
        <v>18</v>
      </c>
      <c r="AA217" s="9">
        <f t="shared" si="164"/>
        <v>-17.22</v>
      </c>
      <c r="AB217" s="9">
        <f t="shared" si="165"/>
        <v>-16.629999999999995</v>
      </c>
      <c r="AC217" s="9">
        <f t="shared" si="166"/>
        <v>-11</v>
      </c>
      <c r="AD217" s="9">
        <f t="shared" si="167"/>
        <v>1</v>
      </c>
      <c r="AE217" s="9">
        <f t="shared" si="168"/>
        <v>-3.0649999999999977</v>
      </c>
      <c r="AF217" s="9">
        <f t="shared" si="169"/>
        <v>-7</v>
      </c>
      <c r="AG217" s="9">
        <f t="shared" si="170"/>
        <v>1.5</v>
      </c>
      <c r="AH217" s="9">
        <f t="shared" si="171"/>
        <v>2</v>
      </c>
      <c r="AI217" s="9">
        <f t="shared" si="172"/>
        <v>12.5</v>
      </c>
      <c r="AJ217" s="9">
        <f t="shared" si="173"/>
        <v>-20.75</v>
      </c>
      <c r="AK217" s="9">
        <f t="shared" si="174"/>
        <v>-22.75</v>
      </c>
      <c r="AL217" s="9">
        <f t="shared" si="175"/>
        <v>-18.5</v>
      </c>
      <c r="AM217" s="9">
        <f t="shared" si="176"/>
        <v>-8</v>
      </c>
      <c r="AN217" s="9">
        <f t="shared" si="177"/>
        <v>-13.064999999999998</v>
      </c>
      <c r="AO217" s="9">
        <f t="shared" si="178"/>
        <v>-15.5</v>
      </c>
      <c r="AP217" s="9">
        <f t="shared" si="179"/>
        <v>-9.75</v>
      </c>
      <c r="AQ217" s="9">
        <f t="shared" si="180"/>
        <v>-8.25</v>
      </c>
      <c r="AR217" s="9">
        <f t="shared" si="181"/>
        <v>2</v>
      </c>
      <c r="AS217" s="9">
        <f t="shared" si="182"/>
        <v>-4.25</v>
      </c>
      <c r="AT217" s="9">
        <f t="shared" si="183"/>
        <v>-11.25</v>
      </c>
      <c r="AU217" s="9">
        <f t="shared" si="184"/>
        <v>-7.5</v>
      </c>
      <c r="AV217" s="9">
        <f t="shared" si="185"/>
        <v>1.5</v>
      </c>
      <c r="AW217" s="9">
        <f t="shared" si="186"/>
        <v>-5.125</v>
      </c>
      <c r="AX217" s="9">
        <f t="shared" si="187"/>
        <v>-7</v>
      </c>
      <c r="AY217" s="9">
        <f t="shared" si="188"/>
        <v>-6.5</v>
      </c>
      <c r="AZ217" s="9">
        <f t="shared" si="189"/>
        <v>-6.25</v>
      </c>
      <c r="BA217" s="9">
        <f t="shared" si="190"/>
        <v>3</v>
      </c>
      <c r="BB217" s="9">
        <f t="shared" si="191"/>
        <v>-0.3149999999999995</v>
      </c>
      <c r="BC217" s="9">
        <f t="shared" si="192"/>
        <v>-5.0649999999999995</v>
      </c>
      <c r="BD217" s="9">
        <f t="shared" si="193"/>
        <v>-1.75</v>
      </c>
      <c r="BE217" s="9">
        <f t="shared" si="194"/>
        <v>7.25</v>
      </c>
      <c r="BF217" s="9">
        <f t="shared" si="195"/>
        <v>-6.4999999999999503E-2</v>
      </c>
      <c r="BG217" s="9">
        <f t="shared" si="196"/>
        <v>-0.75</v>
      </c>
      <c r="BH217" s="9">
        <f t="shared" si="197"/>
        <v>-0.25</v>
      </c>
      <c r="BI217" s="9">
        <f t="shared" si="198"/>
        <v>0</v>
      </c>
      <c r="BJ217" s="9">
        <f t="shared" si="199"/>
        <v>3.37</v>
      </c>
    </row>
    <row r="218" spans="1:62" x14ac:dyDescent="0.2">
      <c r="A218" s="9">
        <f>data!M219-data!M218</f>
        <v>0.46529999999999916</v>
      </c>
      <c r="B218" s="9">
        <f>data!C219-data!C218</f>
        <v>2.9799999999999969</v>
      </c>
      <c r="C218" s="9">
        <f>data!D219-data!D218</f>
        <v>-0.1474999999999973</v>
      </c>
      <c r="D218" s="10">
        <f>data!B219-data!B218</f>
        <v>0.2224999999999997</v>
      </c>
      <c r="E218" s="9">
        <f>data!E218-data!G218</f>
        <v>1.7331000000000001</v>
      </c>
      <c r="F218" s="9">
        <f>(data!E218-data!F218)-(data!G218-data!H218)</f>
        <v>1.1680000000000001</v>
      </c>
      <c r="G218" s="9">
        <f t="shared" si="150"/>
        <v>-0.16139999999999999</v>
      </c>
      <c r="H218" s="9">
        <f t="shared" si="151"/>
        <v>-0.1373000000000002</v>
      </c>
      <c r="I218" s="9">
        <f>IF(data!M219&gt; 111.81,1,0)</f>
        <v>0</v>
      </c>
      <c r="J218" s="9">
        <f t="shared" si="152"/>
        <v>1</v>
      </c>
      <c r="K218" s="9">
        <f t="shared" si="153"/>
        <v>0</v>
      </c>
      <c r="L218" s="9">
        <f t="shared" si="154"/>
        <v>0.46529999999999916</v>
      </c>
      <c r="M218" s="9">
        <f>data!J218</f>
        <v>-41</v>
      </c>
      <c r="N218" s="9">
        <f>data!I218</f>
        <v>-66.22</v>
      </c>
      <c r="O218" s="9">
        <f>data!L218</f>
        <v>-53.75</v>
      </c>
      <c r="P218" s="9">
        <f>data!K218</f>
        <v>-20.75</v>
      </c>
      <c r="Q218" s="9">
        <f>data!R218</f>
        <v>-9.0649999999999995</v>
      </c>
      <c r="R218" s="9">
        <f t="shared" si="155"/>
        <v>4</v>
      </c>
      <c r="S218" s="9">
        <f t="shared" si="156"/>
        <v>10</v>
      </c>
      <c r="T218" s="9">
        <f t="shared" si="157"/>
        <v>21.5</v>
      </c>
      <c r="U218" s="9">
        <f t="shared" si="158"/>
        <v>19</v>
      </c>
      <c r="V218" s="9">
        <f t="shared" si="159"/>
        <v>15.5</v>
      </c>
      <c r="W218" s="9">
        <f t="shared" si="160"/>
        <v>17.25</v>
      </c>
      <c r="X218" s="9">
        <f t="shared" si="161"/>
        <v>17.5</v>
      </c>
      <c r="Y218" s="9">
        <f t="shared" si="162"/>
        <v>22</v>
      </c>
      <c r="Z218" s="9">
        <f t="shared" si="163"/>
        <v>19</v>
      </c>
      <c r="AA218" s="9">
        <f t="shared" si="164"/>
        <v>0.59000000000000341</v>
      </c>
      <c r="AB218" s="9">
        <f t="shared" si="165"/>
        <v>6.2199999999999989</v>
      </c>
      <c r="AC218" s="9">
        <f t="shared" si="166"/>
        <v>18.22</v>
      </c>
      <c r="AD218" s="9">
        <f t="shared" si="167"/>
        <v>14.155000000000001</v>
      </c>
      <c r="AE218" s="9">
        <f t="shared" si="168"/>
        <v>10.219999999999999</v>
      </c>
      <c r="AF218" s="9">
        <f t="shared" si="169"/>
        <v>18.72</v>
      </c>
      <c r="AG218" s="9">
        <f t="shared" si="170"/>
        <v>19.22</v>
      </c>
      <c r="AH218" s="9">
        <f t="shared" si="171"/>
        <v>29.72</v>
      </c>
      <c r="AI218" s="9">
        <f t="shared" si="172"/>
        <v>23.22</v>
      </c>
      <c r="AJ218" s="9">
        <f t="shared" si="173"/>
        <v>-2</v>
      </c>
      <c r="AK218" s="9">
        <f t="shared" si="174"/>
        <v>2.25</v>
      </c>
      <c r="AL218" s="9">
        <f t="shared" si="175"/>
        <v>12.75</v>
      </c>
      <c r="AM218" s="9">
        <f t="shared" si="176"/>
        <v>7.6850000000000023</v>
      </c>
      <c r="AN218" s="9">
        <f t="shared" si="177"/>
        <v>5.25</v>
      </c>
      <c r="AO218" s="9">
        <f t="shared" si="178"/>
        <v>11</v>
      </c>
      <c r="AP218" s="9">
        <f t="shared" si="179"/>
        <v>12.5</v>
      </c>
      <c r="AQ218" s="9">
        <f t="shared" si="180"/>
        <v>22.75</v>
      </c>
      <c r="AR218" s="9">
        <f t="shared" si="181"/>
        <v>16.25</v>
      </c>
      <c r="AS218" s="9">
        <f t="shared" si="182"/>
        <v>-7</v>
      </c>
      <c r="AT218" s="9">
        <f t="shared" si="183"/>
        <v>-3.25</v>
      </c>
      <c r="AU218" s="9">
        <f t="shared" si="184"/>
        <v>5.75</v>
      </c>
      <c r="AV218" s="9">
        <f t="shared" si="185"/>
        <v>-0.875</v>
      </c>
      <c r="AW218" s="9">
        <f t="shared" si="186"/>
        <v>-2.75</v>
      </c>
      <c r="AX218" s="9">
        <f t="shared" si="187"/>
        <v>-2.25</v>
      </c>
      <c r="AY218" s="9">
        <f t="shared" si="188"/>
        <v>-2</v>
      </c>
      <c r="AZ218" s="9">
        <f t="shared" si="189"/>
        <v>7.25</v>
      </c>
      <c r="BA218" s="9">
        <f t="shared" si="190"/>
        <v>1.75</v>
      </c>
      <c r="BB218" s="9">
        <f t="shared" si="191"/>
        <v>-4.75</v>
      </c>
      <c r="BC218" s="9">
        <f t="shared" si="192"/>
        <v>-1.4350000000000005</v>
      </c>
      <c r="BD218" s="9">
        <f t="shared" si="193"/>
        <v>7.5649999999999995</v>
      </c>
      <c r="BE218" s="9">
        <f t="shared" si="194"/>
        <v>0.25</v>
      </c>
      <c r="BF218" s="9">
        <f t="shared" si="195"/>
        <v>-0.4350000000000005</v>
      </c>
      <c r="BG218" s="9">
        <f t="shared" si="196"/>
        <v>6.4999999999999503E-2</v>
      </c>
      <c r="BH218" s="9">
        <f t="shared" si="197"/>
        <v>0.3149999999999995</v>
      </c>
      <c r="BI218" s="9">
        <f t="shared" si="198"/>
        <v>3.6849999999999996</v>
      </c>
      <c r="BJ218" s="9">
        <f t="shared" si="199"/>
        <v>3.0649999999999995</v>
      </c>
    </row>
    <row r="219" spans="1:62" x14ac:dyDescent="0.2">
      <c r="A219" s="9">
        <f>data!M220-data!M219</f>
        <v>-1.2830999999999904</v>
      </c>
      <c r="B219" s="9">
        <f>data!C220-data!C219</f>
        <v>-6.9699999999999989</v>
      </c>
      <c r="C219" s="9">
        <f>data!D220-data!D219</f>
        <v>0.16249999999999787</v>
      </c>
      <c r="D219" s="10">
        <f>data!B220-data!B219</f>
        <v>0.54500000000000015</v>
      </c>
      <c r="E219" s="9">
        <f>data!E219-data!G219</f>
        <v>1.5717000000000001</v>
      </c>
      <c r="F219" s="9">
        <f>(data!E219-data!F219)-(data!G219-data!H219)</f>
        <v>1.0306999999999999</v>
      </c>
      <c r="G219" s="9">
        <f t="shared" si="150"/>
        <v>-5.5000000000000604E-3</v>
      </c>
      <c r="H219" s="9">
        <f t="shared" si="151"/>
        <v>-2.9999999999996696E-4</v>
      </c>
      <c r="I219" s="9">
        <f>IF(data!M220&gt; 111.81,1,0)</f>
        <v>0</v>
      </c>
      <c r="J219" s="9">
        <f t="shared" si="152"/>
        <v>1</v>
      </c>
      <c r="K219" s="9">
        <f t="shared" si="153"/>
        <v>0</v>
      </c>
      <c r="L219" s="9">
        <f t="shared" si="154"/>
        <v>-1.2830999999999904</v>
      </c>
      <c r="M219" s="9">
        <f>data!J219</f>
        <v>-37</v>
      </c>
      <c r="N219" s="9">
        <f>data!I219</f>
        <v>-65.63</v>
      </c>
      <c r="O219" s="9">
        <f>data!L219</f>
        <v>-55.75</v>
      </c>
      <c r="P219" s="9">
        <f>data!K219</f>
        <v>-27.75</v>
      </c>
      <c r="Q219" s="9">
        <f>data!R219</f>
        <v>-13.815</v>
      </c>
      <c r="R219" s="9">
        <f t="shared" si="155"/>
        <v>6</v>
      </c>
      <c r="S219" s="9">
        <f t="shared" si="156"/>
        <v>17.5</v>
      </c>
      <c r="T219" s="9">
        <f t="shared" si="157"/>
        <v>15</v>
      </c>
      <c r="U219" s="9">
        <f t="shared" si="158"/>
        <v>11.5</v>
      </c>
      <c r="V219" s="9">
        <f t="shared" si="159"/>
        <v>13.25</v>
      </c>
      <c r="W219" s="9">
        <f t="shared" si="160"/>
        <v>13.5</v>
      </c>
      <c r="X219" s="9">
        <f t="shared" si="161"/>
        <v>18</v>
      </c>
      <c r="Y219" s="9">
        <f t="shared" si="162"/>
        <v>15</v>
      </c>
      <c r="Z219" s="9">
        <f t="shared" si="163"/>
        <v>16</v>
      </c>
      <c r="AA219" s="9">
        <f t="shared" si="164"/>
        <v>5.6299999999999955</v>
      </c>
      <c r="AB219" s="9">
        <f t="shared" si="165"/>
        <v>17.629999999999995</v>
      </c>
      <c r="AC219" s="9">
        <f t="shared" si="166"/>
        <v>13.564999999999998</v>
      </c>
      <c r="AD219" s="9">
        <f t="shared" si="167"/>
        <v>9.6299999999999955</v>
      </c>
      <c r="AE219" s="9">
        <f t="shared" si="168"/>
        <v>18.129999999999995</v>
      </c>
      <c r="AF219" s="9">
        <f t="shared" si="169"/>
        <v>18.629999999999995</v>
      </c>
      <c r="AG219" s="9">
        <f t="shared" si="170"/>
        <v>29.129999999999995</v>
      </c>
      <c r="AH219" s="9">
        <f t="shared" si="171"/>
        <v>22.629999999999995</v>
      </c>
      <c r="AI219" s="9">
        <f t="shared" si="172"/>
        <v>25.129999999999995</v>
      </c>
      <c r="AJ219" s="9">
        <f t="shared" si="173"/>
        <v>4.25</v>
      </c>
      <c r="AK219" s="9">
        <f t="shared" si="174"/>
        <v>14.75</v>
      </c>
      <c r="AL219" s="9">
        <f t="shared" si="175"/>
        <v>9.6850000000000023</v>
      </c>
      <c r="AM219" s="9">
        <f t="shared" si="176"/>
        <v>7.25</v>
      </c>
      <c r="AN219" s="9">
        <f t="shared" si="177"/>
        <v>13</v>
      </c>
      <c r="AO219" s="9">
        <f t="shared" si="178"/>
        <v>14.5</v>
      </c>
      <c r="AP219" s="9">
        <f t="shared" si="179"/>
        <v>24.75</v>
      </c>
      <c r="AQ219" s="9">
        <f t="shared" si="180"/>
        <v>18.25</v>
      </c>
      <c r="AR219" s="9">
        <f t="shared" si="181"/>
        <v>20.75</v>
      </c>
      <c r="AS219" s="9">
        <f t="shared" si="182"/>
        <v>3.75</v>
      </c>
      <c r="AT219" s="9">
        <f t="shared" si="183"/>
        <v>12.75</v>
      </c>
      <c r="AU219" s="9">
        <f t="shared" si="184"/>
        <v>6.125</v>
      </c>
      <c r="AV219" s="9">
        <f t="shared" si="185"/>
        <v>4.25</v>
      </c>
      <c r="AW219" s="9">
        <f t="shared" si="186"/>
        <v>4.75</v>
      </c>
      <c r="AX219" s="9">
        <f t="shared" si="187"/>
        <v>5</v>
      </c>
      <c r="AY219" s="9">
        <f t="shared" si="188"/>
        <v>14.25</v>
      </c>
      <c r="AZ219" s="9">
        <f t="shared" si="189"/>
        <v>8.75</v>
      </c>
      <c r="BA219" s="9">
        <f t="shared" si="190"/>
        <v>9.75</v>
      </c>
      <c r="BB219" s="9">
        <f t="shared" si="191"/>
        <v>3.3149999999999995</v>
      </c>
      <c r="BC219" s="9">
        <f t="shared" si="192"/>
        <v>12.315</v>
      </c>
      <c r="BD219" s="9">
        <f t="shared" si="193"/>
        <v>5</v>
      </c>
      <c r="BE219" s="9">
        <f t="shared" si="194"/>
        <v>4.3149999999999995</v>
      </c>
      <c r="BF219" s="9">
        <f t="shared" si="195"/>
        <v>4.8149999999999995</v>
      </c>
      <c r="BG219" s="9">
        <f t="shared" si="196"/>
        <v>5.0649999999999995</v>
      </c>
      <c r="BH219" s="9">
        <f t="shared" si="197"/>
        <v>8.4349999999999987</v>
      </c>
      <c r="BI219" s="9">
        <f t="shared" si="198"/>
        <v>7.8149999999999995</v>
      </c>
      <c r="BJ219" s="9">
        <f t="shared" si="199"/>
        <v>4.3149999999999995</v>
      </c>
    </row>
    <row r="220" spans="1:62" x14ac:dyDescent="0.2">
      <c r="A220" s="9">
        <f>data!M221-data!M220</f>
        <v>-3.0525000000000091</v>
      </c>
      <c r="B220" s="9">
        <f>data!C221-data!C220</f>
        <v>3.5300000000000011</v>
      </c>
      <c r="C220" s="9">
        <f>data!D221-data!D220</f>
        <v>0.35500000000000043</v>
      </c>
      <c r="D220" s="10">
        <f>data!B221-data!B220</f>
        <v>0.9325</v>
      </c>
      <c r="E220" s="9">
        <f>data!E220-data!G220</f>
        <v>1.5662</v>
      </c>
      <c r="F220" s="9">
        <f>(data!E220-data!F220)-(data!G220-data!H220)</f>
        <v>1.0304</v>
      </c>
      <c r="G220" s="9">
        <f t="shared" si="150"/>
        <v>-0.2018000000000002</v>
      </c>
      <c r="H220" s="9">
        <f t="shared" si="151"/>
        <v>-0.13080000000000014</v>
      </c>
      <c r="I220" s="9">
        <f>IF(data!M221&gt; 111.81,1,0)</f>
        <v>0</v>
      </c>
      <c r="J220" s="9">
        <f t="shared" si="152"/>
        <v>1</v>
      </c>
      <c r="K220" s="9">
        <f t="shared" si="153"/>
        <v>0</v>
      </c>
      <c r="L220" s="9">
        <f t="shared" si="154"/>
        <v>-3.0525000000000091</v>
      </c>
      <c r="M220" s="9">
        <f>data!J220</f>
        <v>-31</v>
      </c>
      <c r="N220" s="9">
        <f>data!I220</f>
        <v>-60</v>
      </c>
      <c r="O220" s="9">
        <f>data!L220</f>
        <v>-51.5</v>
      </c>
      <c r="P220" s="9">
        <f>data!K220</f>
        <v>-24</v>
      </c>
      <c r="Q220" s="9">
        <f>data!R220</f>
        <v>-10.5</v>
      </c>
      <c r="R220" s="9">
        <f t="shared" si="155"/>
        <v>11.5</v>
      </c>
      <c r="S220" s="9">
        <f t="shared" si="156"/>
        <v>9</v>
      </c>
      <c r="T220" s="9">
        <f t="shared" si="157"/>
        <v>5.5</v>
      </c>
      <c r="U220" s="9">
        <f t="shared" si="158"/>
        <v>7.25</v>
      </c>
      <c r="V220" s="9">
        <f t="shared" si="159"/>
        <v>7.5</v>
      </c>
      <c r="W220" s="9">
        <f t="shared" si="160"/>
        <v>12</v>
      </c>
      <c r="X220" s="9">
        <f t="shared" si="161"/>
        <v>9</v>
      </c>
      <c r="Y220" s="9">
        <f t="shared" si="162"/>
        <v>10</v>
      </c>
      <c r="Z220" s="9">
        <f t="shared" si="163"/>
        <v>11.5</v>
      </c>
      <c r="AA220" s="9">
        <f t="shared" si="164"/>
        <v>12</v>
      </c>
      <c r="AB220" s="9">
        <f t="shared" si="165"/>
        <v>7.9350000000000023</v>
      </c>
      <c r="AC220" s="9">
        <f t="shared" si="166"/>
        <v>4</v>
      </c>
      <c r="AD220" s="9">
        <f t="shared" si="167"/>
        <v>12.5</v>
      </c>
      <c r="AE220" s="9">
        <f t="shared" si="168"/>
        <v>13</v>
      </c>
      <c r="AF220" s="9">
        <f t="shared" si="169"/>
        <v>23.5</v>
      </c>
      <c r="AG220" s="9">
        <f t="shared" si="170"/>
        <v>17</v>
      </c>
      <c r="AH220" s="9">
        <f t="shared" si="171"/>
        <v>19.5</v>
      </c>
      <c r="AI220" s="9">
        <f t="shared" si="172"/>
        <v>22</v>
      </c>
      <c r="AJ220" s="9">
        <f t="shared" si="173"/>
        <v>10.5</v>
      </c>
      <c r="AK220" s="9">
        <f t="shared" si="174"/>
        <v>5.4350000000000023</v>
      </c>
      <c r="AL220" s="9">
        <f t="shared" si="175"/>
        <v>3</v>
      </c>
      <c r="AM220" s="9">
        <f t="shared" si="176"/>
        <v>8.75</v>
      </c>
      <c r="AN220" s="9">
        <f t="shared" si="177"/>
        <v>10.25</v>
      </c>
      <c r="AO220" s="9">
        <f t="shared" si="178"/>
        <v>20.5</v>
      </c>
      <c r="AP220" s="9">
        <f t="shared" si="179"/>
        <v>14</v>
      </c>
      <c r="AQ220" s="9">
        <f t="shared" si="180"/>
        <v>16.5</v>
      </c>
      <c r="AR220" s="9">
        <f t="shared" si="181"/>
        <v>18.5</v>
      </c>
      <c r="AS220" s="9">
        <f t="shared" si="182"/>
        <v>9</v>
      </c>
      <c r="AT220" s="9">
        <f t="shared" si="183"/>
        <v>2.375</v>
      </c>
      <c r="AU220" s="9">
        <f t="shared" si="184"/>
        <v>0.5</v>
      </c>
      <c r="AV220" s="9">
        <f t="shared" si="185"/>
        <v>1</v>
      </c>
      <c r="AW220" s="9">
        <f t="shared" si="186"/>
        <v>1.25</v>
      </c>
      <c r="AX220" s="9">
        <f t="shared" si="187"/>
        <v>10.5</v>
      </c>
      <c r="AY220" s="9">
        <f t="shared" si="188"/>
        <v>5</v>
      </c>
      <c r="AZ220" s="9">
        <f t="shared" si="189"/>
        <v>6</v>
      </c>
      <c r="BA220" s="9">
        <f t="shared" si="190"/>
        <v>4.5</v>
      </c>
      <c r="BB220" s="9">
        <f t="shared" si="191"/>
        <v>9</v>
      </c>
      <c r="BC220" s="9">
        <f t="shared" si="192"/>
        <v>1.6850000000000005</v>
      </c>
      <c r="BD220" s="9">
        <f t="shared" si="193"/>
        <v>1</v>
      </c>
      <c r="BE220" s="9">
        <f t="shared" si="194"/>
        <v>1.5</v>
      </c>
      <c r="BF220" s="9">
        <f t="shared" si="195"/>
        <v>1.75</v>
      </c>
      <c r="BG220" s="9">
        <f t="shared" si="196"/>
        <v>5.12</v>
      </c>
      <c r="BH220" s="9">
        <f t="shared" si="197"/>
        <v>4.5</v>
      </c>
      <c r="BI220" s="9">
        <f t="shared" si="198"/>
        <v>1</v>
      </c>
      <c r="BJ220" s="9">
        <f t="shared" si="199"/>
        <v>3</v>
      </c>
    </row>
    <row r="221" spans="1:62" x14ac:dyDescent="0.2">
      <c r="A221" s="9">
        <f>data!M222-data!M221</f>
        <v>0.78070000000001016</v>
      </c>
      <c r="B221" s="9">
        <f>data!C222-data!C221</f>
        <v>-4.8500000000000014</v>
      </c>
      <c r="C221" s="9">
        <f>data!D222-data!D221</f>
        <v>-1.0925000000000011</v>
      </c>
      <c r="D221" s="10">
        <f>data!B222-data!B221</f>
        <v>1.0000000000000009E-2</v>
      </c>
      <c r="E221" s="9">
        <f>data!E221-data!G221</f>
        <v>1.3643999999999998</v>
      </c>
      <c r="F221" s="9">
        <f>(data!E221-data!F221)-(data!G221-data!H221)</f>
        <v>0.89959999999999984</v>
      </c>
      <c r="G221" s="9">
        <f t="shared" si="150"/>
        <v>5.8699999999999974E-2</v>
      </c>
      <c r="H221" s="9">
        <f t="shared" si="151"/>
        <v>4.0899999999999825E-2</v>
      </c>
      <c r="I221" s="9">
        <f>IF(data!M222&gt; 111.81,1,0)</f>
        <v>0</v>
      </c>
      <c r="J221" s="9">
        <f t="shared" si="152"/>
        <v>1</v>
      </c>
      <c r="K221" s="9">
        <f t="shared" si="153"/>
        <v>0</v>
      </c>
      <c r="L221" s="9">
        <f t="shared" si="154"/>
        <v>0.78070000000001016</v>
      </c>
      <c r="M221" s="9">
        <f>data!J221</f>
        <v>-19.5</v>
      </c>
      <c r="N221" s="9">
        <f>data!I221</f>
        <v>-48</v>
      </c>
      <c r="O221" s="9">
        <f>data!L221</f>
        <v>-41</v>
      </c>
      <c r="P221" s="9">
        <f>data!K221</f>
        <v>-15</v>
      </c>
      <c r="Q221" s="9">
        <f>data!R221</f>
        <v>-1.5</v>
      </c>
      <c r="R221" s="9">
        <f t="shared" si="155"/>
        <v>-2.5</v>
      </c>
      <c r="S221" s="9">
        <f t="shared" si="156"/>
        <v>-6</v>
      </c>
      <c r="T221" s="9">
        <f t="shared" si="157"/>
        <v>-4.25</v>
      </c>
      <c r="U221" s="9">
        <f t="shared" si="158"/>
        <v>-4</v>
      </c>
      <c r="V221" s="9">
        <f t="shared" si="159"/>
        <v>0.5</v>
      </c>
      <c r="W221" s="9">
        <f t="shared" si="160"/>
        <v>-2.5</v>
      </c>
      <c r="X221" s="9">
        <f t="shared" si="161"/>
        <v>-1.5</v>
      </c>
      <c r="Y221" s="9">
        <f t="shared" si="162"/>
        <v>0</v>
      </c>
      <c r="Z221" s="9">
        <f t="shared" si="163"/>
        <v>-4.75</v>
      </c>
      <c r="AA221" s="9">
        <f t="shared" si="164"/>
        <v>-4.0649999999999977</v>
      </c>
      <c r="AB221" s="9">
        <f t="shared" si="165"/>
        <v>-8</v>
      </c>
      <c r="AC221" s="9">
        <f t="shared" si="166"/>
        <v>0.5</v>
      </c>
      <c r="AD221" s="9">
        <f t="shared" si="167"/>
        <v>1</v>
      </c>
      <c r="AE221" s="9">
        <f t="shared" si="168"/>
        <v>11.5</v>
      </c>
      <c r="AF221" s="9">
        <f t="shared" si="169"/>
        <v>5</v>
      </c>
      <c r="AG221" s="9">
        <f t="shared" si="170"/>
        <v>7.5</v>
      </c>
      <c r="AH221" s="9">
        <f t="shared" si="171"/>
        <v>10</v>
      </c>
      <c r="AI221" s="9">
        <f t="shared" si="172"/>
        <v>9.25</v>
      </c>
      <c r="AJ221" s="9">
        <f t="shared" si="173"/>
        <v>-5.0649999999999977</v>
      </c>
      <c r="AK221" s="9">
        <f t="shared" si="174"/>
        <v>-7.5</v>
      </c>
      <c r="AL221" s="9">
        <f t="shared" si="175"/>
        <v>-1.75</v>
      </c>
      <c r="AM221" s="9">
        <f t="shared" si="176"/>
        <v>-0.25</v>
      </c>
      <c r="AN221" s="9">
        <f t="shared" si="177"/>
        <v>10</v>
      </c>
      <c r="AO221" s="9">
        <f t="shared" si="178"/>
        <v>3.5</v>
      </c>
      <c r="AP221" s="9">
        <f t="shared" si="179"/>
        <v>6</v>
      </c>
      <c r="AQ221" s="9">
        <f t="shared" si="180"/>
        <v>8</v>
      </c>
      <c r="AR221" s="9">
        <f t="shared" si="181"/>
        <v>7.375</v>
      </c>
      <c r="AS221" s="9">
        <f t="shared" si="182"/>
        <v>-6.625</v>
      </c>
      <c r="AT221" s="9">
        <f t="shared" si="183"/>
        <v>-8.5</v>
      </c>
      <c r="AU221" s="9">
        <f t="shared" si="184"/>
        <v>-8</v>
      </c>
      <c r="AV221" s="9">
        <f t="shared" si="185"/>
        <v>-7.75</v>
      </c>
      <c r="AW221" s="9">
        <f t="shared" si="186"/>
        <v>1.5</v>
      </c>
      <c r="AX221" s="9">
        <f t="shared" si="187"/>
        <v>-4</v>
      </c>
      <c r="AY221" s="9">
        <f t="shared" si="188"/>
        <v>-3</v>
      </c>
      <c r="AZ221" s="9">
        <f t="shared" si="189"/>
        <v>-4.5</v>
      </c>
      <c r="BA221" s="9">
        <f t="shared" si="190"/>
        <v>-4.25</v>
      </c>
      <c r="BB221" s="9">
        <f t="shared" si="191"/>
        <v>-7.3149999999999995</v>
      </c>
      <c r="BC221" s="9">
        <f t="shared" si="192"/>
        <v>-8</v>
      </c>
      <c r="BD221" s="9">
        <f t="shared" si="193"/>
        <v>-7.5</v>
      </c>
      <c r="BE221" s="9">
        <f t="shared" si="194"/>
        <v>-7.25</v>
      </c>
      <c r="BF221" s="9">
        <f t="shared" si="195"/>
        <v>-3.88</v>
      </c>
      <c r="BG221" s="9">
        <f t="shared" si="196"/>
        <v>-4.5</v>
      </c>
      <c r="BH221" s="9">
        <f t="shared" si="197"/>
        <v>-8</v>
      </c>
      <c r="BI221" s="9">
        <f t="shared" si="198"/>
        <v>-6</v>
      </c>
      <c r="BJ221" s="9">
        <f t="shared" si="199"/>
        <v>-5.88</v>
      </c>
    </row>
    <row r="222" spans="1:62" x14ac:dyDescent="0.2">
      <c r="A222" s="9">
        <f>data!M223-data!M222</f>
        <v>-1.1959000000000088</v>
      </c>
      <c r="B222" s="9">
        <f>data!C223-data!C222</f>
        <v>-1.3399999999999963</v>
      </c>
      <c r="C222" s="9">
        <f>data!D223-data!D222</f>
        <v>-0.49249999999999972</v>
      </c>
      <c r="D222" s="10">
        <f>data!B223-data!B222</f>
        <v>0.29749999999999999</v>
      </c>
      <c r="E222" s="9">
        <f>data!E222-data!G222</f>
        <v>1.4230999999999998</v>
      </c>
      <c r="F222" s="9">
        <f>(data!E222-data!F222)-(data!G222-data!H222)</f>
        <v>0.94049999999999967</v>
      </c>
      <c r="G222" s="9">
        <f t="shared" si="150"/>
        <v>3.7200000000000122E-2</v>
      </c>
      <c r="H222" s="9">
        <f t="shared" si="151"/>
        <v>-2.0899999999999697E-2</v>
      </c>
      <c r="I222" s="9">
        <f>IF(data!M223&gt; 111.81,1,0)</f>
        <v>0</v>
      </c>
      <c r="J222" s="9">
        <f t="shared" si="152"/>
        <v>1</v>
      </c>
      <c r="K222" s="9">
        <f t="shared" si="153"/>
        <v>0</v>
      </c>
      <c r="L222" s="9">
        <f t="shared" si="154"/>
        <v>-1.1959000000000088</v>
      </c>
      <c r="M222" s="9">
        <f>data!J222</f>
        <v>-22</v>
      </c>
      <c r="N222" s="9">
        <f>data!I222</f>
        <v>-52.064999999999998</v>
      </c>
      <c r="O222" s="9">
        <f>data!L222</f>
        <v>-46.064999999999998</v>
      </c>
      <c r="P222" s="9">
        <f>data!K222</f>
        <v>-21.625</v>
      </c>
      <c r="Q222" s="9">
        <f>data!R222</f>
        <v>-8.8149999999999995</v>
      </c>
      <c r="R222" s="9">
        <f t="shared" si="155"/>
        <v>-3.5</v>
      </c>
      <c r="S222" s="9">
        <f t="shared" si="156"/>
        <v>-1.75</v>
      </c>
      <c r="T222" s="9">
        <f t="shared" si="157"/>
        <v>-1.5</v>
      </c>
      <c r="U222" s="9">
        <f t="shared" si="158"/>
        <v>3</v>
      </c>
      <c r="V222" s="9">
        <f t="shared" si="159"/>
        <v>0</v>
      </c>
      <c r="W222" s="9">
        <f t="shared" si="160"/>
        <v>1</v>
      </c>
      <c r="X222" s="9">
        <f t="shared" si="161"/>
        <v>2.5</v>
      </c>
      <c r="Y222" s="9">
        <f t="shared" si="162"/>
        <v>-2.25</v>
      </c>
      <c r="Z222" s="9">
        <f t="shared" si="163"/>
        <v>-5</v>
      </c>
      <c r="AA222" s="9">
        <f t="shared" si="164"/>
        <v>-3.9350000000000023</v>
      </c>
      <c r="AB222" s="9">
        <f t="shared" si="165"/>
        <v>4.5649999999999977</v>
      </c>
      <c r="AC222" s="9">
        <f t="shared" si="166"/>
        <v>5.0649999999999977</v>
      </c>
      <c r="AD222" s="9">
        <f t="shared" si="167"/>
        <v>15.564999999999998</v>
      </c>
      <c r="AE222" s="9">
        <f t="shared" si="168"/>
        <v>9.0649999999999977</v>
      </c>
      <c r="AF222" s="9">
        <f t="shared" si="169"/>
        <v>11.564999999999998</v>
      </c>
      <c r="AG222" s="9">
        <f t="shared" si="170"/>
        <v>14.064999999999998</v>
      </c>
      <c r="AH222" s="9">
        <f t="shared" si="171"/>
        <v>13.314999999999998</v>
      </c>
      <c r="AI222" s="9">
        <f t="shared" si="172"/>
        <v>7.5649999999999977</v>
      </c>
      <c r="AJ222" s="9">
        <f t="shared" si="173"/>
        <v>-2.4350000000000023</v>
      </c>
      <c r="AK222" s="9">
        <f t="shared" si="174"/>
        <v>3.3149999999999977</v>
      </c>
      <c r="AL222" s="9">
        <f t="shared" si="175"/>
        <v>4.8149999999999977</v>
      </c>
      <c r="AM222" s="9">
        <f t="shared" si="176"/>
        <v>15.064999999999998</v>
      </c>
      <c r="AN222" s="9">
        <f t="shared" si="177"/>
        <v>8.5649999999999977</v>
      </c>
      <c r="AO222" s="9">
        <f t="shared" si="178"/>
        <v>11.064999999999998</v>
      </c>
      <c r="AP222" s="9">
        <f t="shared" si="179"/>
        <v>13.064999999999998</v>
      </c>
      <c r="AQ222" s="9">
        <f t="shared" si="180"/>
        <v>12.439999999999998</v>
      </c>
      <c r="AR222" s="9">
        <f t="shared" si="181"/>
        <v>8.5649999999999977</v>
      </c>
      <c r="AS222" s="9">
        <f t="shared" si="182"/>
        <v>-1.875</v>
      </c>
      <c r="AT222" s="9">
        <f t="shared" si="183"/>
        <v>-1.375</v>
      </c>
      <c r="AU222" s="9">
        <f t="shared" si="184"/>
        <v>-1.125</v>
      </c>
      <c r="AV222" s="9">
        <f t="shared" si="185"/>
        <v>8.125</v>
      </c>
      <c r="AW222" s="9">
        <f t="shared" si="186"/>
        <v>2.625</v>
      </c>
      <c r="AX222" s="9">
        <f t="shared" si="187"/>
        <v>3.625</v>
      </c>
      <c r="AY222" s="9">
        <f t="shared" si="188"/>
        <v>2.125</v>
      </c>
      <c r="AZ222" s="9">
        <f t="shared" si="189"/>
        <v>2.375</v>
      </c>
      <c r="BA222" s="9">
        <f t="shared" si="190"/>
        <v>-1.375</v>
      </c>
      <c r="BB222" s="9">
        <f t="shared" si="191"/>
        <v>-0.6850000000000005</v>
      </c>
      <c r="BC222" s="9">
        <f t="shared" si="192"/>
        <v>-0.1850000000000005</v>
      </c>
      <c r="BD222" s="9">
        <f t="shared" si="193"/>
        <v>6.4999999999999503E-2</v>
      </c>
      <c r="BE222" s="9">
        <f t="shared" si="194"/>
        <v>3.4349999999999996</v>
      </c>
      <c r="BF222" s="9">
        <f t="shared" si="195"/>
        <v>2.8149999999999995</v>
      </c>
      <c r="BG222" s="9">
        <f t="shared" si="196"/>
        <v>-0.6850000000000005</v>
      </c>
      <c r="BH222" s="9">
        <f t="shared" si="197"/>
        <v>1.3149999999999995</v>
      </c>
      <c r="BI222" s="9">
        <f t="shared" si="198"/>
        <v>1.4349999999999996</v>
      </c>
      <c r="BJ222" s="9">
        <f t="shared" si="199"/>
        <v>-1.6850000000000005</v>
      </c>
    </row>
    <row r="223" spans="1:62" x14ac:dyDescent="0.2">
      <c r="A223" s="9">
        <f>data!M224-data!M223</f>
        <v>0.11679999999999779</v>
      </c>
      <c r="B223" s="9">
        <f>data!C224-data!C223</f>
        <v>-3.1700000000000017</v>
      </c>
      <c r="C223" s="9">
        <f>data!D224-data!D223</f>
        <v>-1.3099999999999987</v>
      </c>
      <c r="D223" s="10">
        <f>data!B224-data!B223</f>
        <v>-0.13500000000000001</v>
      </c>
      <c r="E223" s="9">
        <f>data!E223-data!G223</f>
        <v>1.4602999999999999</v>
      </c>
      <c r="F223" s="9">
        <f>(data!E223-data!F223)-(data!G223-data!H223)</f>
        <v>0.91959999999999997</v>
      </c>
      <c r="G223" s="9">
        <f t="shared" si="150"/>
        <v>2.3000000000001908E-3</v>
      </c>
      <c r="H223" s="9">
        <f t="shared" si="151"/>
        <v>6.050000000000022E-2</v>
      </c>
      <c r="I223" s="9">
        <f>IF(data!M224&gt; 111.81,1,0)</f>
        <v>0</v>
      </c>
      <c r="J223" s="9">
        <f t="shared" si="152"/>
        <v>1</v>
      </c>
      <c r="K223" s="9">
        <f t="shared" si="153"/>
        <v>0</v>
      </c>
      <c r="L223" s="9">
        <f t="shared" si="154"/>
        <v>0.11679999999999779</v>
      </c>
      <c r="M223" s="9">
        <f>data!J223</f>
        <v>-25.5</v>
      </c>
      <c r="N223" s="9">
        <f>data!I223</f>
        <v>-56</v>
      </c>
      <c r="O223" s="9">
        <f>data!L223</f>
        <v>-48.5</v>
      </c>
      <c r="P223" s="9">
        <f>data!K223</f>
        <v>-23.5</v>
      </c>
      <c r="Q223" s="9">
        <f>data!R223</f>
        <v>-9.5</v>
      </c>
      <c r="R223" s="9">
        <f t="shared" si="155"/>
        <v>1.75</v>
      </c>
      <c r="S223" s="9">
        <f t="shared" si="156"/>
        <v>2</v>
      </c>
      <c r="T223" s="9">
        <f t="shared" si="157"/>
        <v>6.5</v>
      </c>
      <c r="U223" s="9">
        <f t="shared" si="158"/>
        <v>3.5</v>
      </c>
      <c r="V223" s="9">
        <f t="shared" si="159"/>
        <v>4.5</v>
      </c>
      <c r="W223" s="9">
        <f t="shared" si="160"/>
        <v>6</v>
      </c>
      <c r="X223" s="9">
        <f t="shared" si="161"/>
        <v>1.25</v>
      </c>
      <c r="Y223" s="9">
        <f t="shared" si="162"/>
        <v>-1.5</v>
      </c>
      <c r="Z223" s="9">
        <f t="shared" si="163"/>
        <v>-3.375</v>
      </c>
      <c r="AA223" s="9">
        <f t="shared" si="164"/>
        <v>8.5</v>
      </c>
      <c r="AB223" s="9">
        <f t="shared" si="165"/>
        <v>9</v>
      </c>
      <c r="AC223" s="9">
        <f t="shared" si="166"/>
        <v>19.5</v>
      </c>
      <c r="AD223" s="9">
        <f t="shared" si="167"/>
        <v>13</v>
      </c>
      <c r="AE223" s="9">
        <f t="shared" si="168"/>
        <v>15.5</v>
      </c>
      <c r="AF223" s="9">
        <f t="shared" si="169"/>
        <v>18</v>
      </c>
      <c r="AG223" s="9">
        <f t="shared" si="170"/>
        <v>17.25</v>
      </c>
      <c r="AH223" s="9">
        <f t="shared" si="171"/>
        <v>11.5</v>
      </c>
      <c r="AI223" s="9">
        <f t="shared" si="172"/>
        <v>11.369999999999997</v>
      </c>
      <c r="AJ223" s="9">
        <f t="shared" si="173"/>
        <v>5.75</v>
      </c>
      <c r="AK223" s="9">
        <f t="shared" si="174"/>
        <v>7.25</v>
      </c>
      <c r="AL223" s="9">
        <f t="shared" si="175"/>
        <v>17.5</v>
      </c>
      <c r="AM223" s="9">
        <f t="shared" si="176"/>
        <v>11</v>
      </c>
      <c r="AN223" s="9">
        <f t="shared" si="177"/>
        <v>13.5</v>
      </c>
      <c r="AO223" s="9">
        <f t="shared" si="178"/>
        <v>15.5</v>
      </c>
      <c r="AP223" s="9">
        <f t="shared" si="179"/>
        <v>14.875</v>
      </c>
      <c r="AQ223" s="9">
        <f t="shared" si="180"/>
        <v>11</v>
      </c>
      <c r="AR223" s="9">
        <f t="shared" si="181"/>
        <v>9.1850000000000023</v>
      </c>
      <c r="AS223" s="9">
        <f t="shared" si="182"/>
        <v>0.5</v>
      </c>
      <c r="AT223" s="9">
        <f t="shared" si="183"/>
        <v>0.75</v>
      </c>
      <c r="AU223" s="9">
        <f t="shared" si="184"/>
        <v>10</v>
      </c>
      <c r="AV223" s="9">
        <f t="shared" si="185"/>
        <v>4.5</v>
      </c>
      <c r="AW223" s="9">
        <f t="shared" si="186"/>
        <v>5.5</v>
      </c>
      <c r="AX223" s="9">
        <f t="shared" si="187"/>
        <v>4</v>
      </c>
      <c r="AY223" s="9">
        <f t="shared" si="188"/>
        <v>4.25</v>
      </c>
      <c r="AZ223" s="9">
        <f t="shared" si="189"/>
        <v>0.5</v>
      </c>
      <c r="BA223" s="9">
        <f t="shared" si="190"/>
        <v>-2.8150000000000013</v>
      </c>
      <c r="BB223" s="9">
        <f t="shared" si="191"/>
        <v>0.5</v>
      </c>
      <c r="BC223" s="9">
        <f t="shared" si="192"/>
        <v>0.75</v>
      </c>
      <c r="BD223" s="9">
        <f t="shared" si="193"/>
        <v>4.12</v>
      </c>
      <c r="BE223" s="9">
        <f t="shared" si="194"/>
        <v>3.5</v>
      </c>
      <c r="BF223" s="9">
        <f t="shared" si="195"/>
        <v>0</v>
      </c>
      <c r="BG223" s="9">
        <f t="shared" si="196"/>
        <v>2</v>
      </c>
      <c r="BH223" s="9">
        <f t="shared" si="197"/>
        <v>2.12</v>
      </c>
      <c r="BI223" s="9">
        <f t="shared" si="198"/>
        <v>-1</v>
      </c>
      <c r="BJ223" s="9">
        <f t="shared" si="199"/>
        <v>-5.1899999999999995</v>
      </c>
    </row>
    <row r="224" spans="1:62" x14ac:dyDescent="0.2">
      <c r="A224" s="9">
        <f>data!M225-data!M224</f>
        <v>-0.18779999999999575</v>
      </c>
      <c r="B224" s="9">
        <f>data!C225-data!C224</f>
        <v>-2.5900000000000034</v>
      </c>
      <c r="C224" s="9">
        <f>data!D225-data!D224</f>
        <v>-0.41000000000000014</v>
      </c>
      <c r="D224" s="10">
        <f>data!B225-data!B224</f>
        <v>-0.25</v>
      </c>
      <c r="E224" s="9">
        <f>data!E224-data!G224</f>
        <v>1.4626000000000001</v>
      </c>
      <c r="F224" s="9">
        <f>(data!E224-data!F224)-(data!G224-data!H224)</f>
        <v>0.98010000000000019</v>
      </c>
      <c r="G224" s="9">
        <f t="shared" si="150"/>
        <v>2.849999999999997E-2</v>
      </c>
      <c r="H224" s="9">
        <f t="shared" si="151"/>
        <v>-4.530000000000034E-2</v>
      </c>
      <c r="I224" s="9">
        <f>IF(data!M225&gt; 111.81,1,0)</f>
        <v>0</v>
      </c>
      <c r="J224" s="9">
        <f t="shared" si="152"/>
        <v>1</v>
      </c>
      <c r="K224" s="9">
        <f t="shared" si="153"/>
        <v>0</v>
      </c>
      <c r="L224" s="9">
        <f t="shared" si="154"/>
        <v>-0.18779999999999575</v>
      </c>
      <c r="M224" s="9">
        <f>data!J224</f>
        <v>-23.75</v>
      </c>
      <c r="N224" s="9">
        <f>data!I224</f>
        <v>-47.5</v>
      </c>
      <c r="O224" s="9">
        <f>data!L224</f>
        <v>-42.75</v>
      </c>
      <c r="P224" s="9">
        <f>data!K224</f>
        <v>-23</v>
      </c>
      <c r="Q224" s="9">
        <f>data!R224</f>
        <v>-9</v>
      </c>
      <c r="R224" s="9">
        <f t="shared" si="155"/>
        <v>0.25</v>
      </c>
      <c r="S224" s="9">
        <f t="shared" si="156"/>
        <v>4.75</v>
      </c>
      <c r="T224" s="9">
        <f t="shared" si="157"/>
        <v>1.75</v>
      </c>
      <c r="U224" s="9">
        <f t="shared" si="158"/>
        <v>2.75</v>
      </c>
      <c r="V224" s="9">
        <f t="shared" si="159"/>
        <v>4.25</v>
      </c>
      <c r="W224" s="9">
        <f t="shared" si="160"/>
        <v>-0.5</v>
      </c>
      <c r="X224" s="9">
        <f t="shared" si="161"/>
        <v>-3.25</v>
      </c>
      <c r="Y224" s="9">
        <f t="shared" si="162"/>
        <v>-5.125</v>
      </c>
      <c r="Z224" s="9">
        <f t="shared" si="163"/>
        <v>-3.5</v>
      </c>
      <c r="AA224" s="9">
        <f t="shared" si="164"/>
        <v>0.5</v>
      </c>
      <c r="AB224" s="9">
        <f t="shared" si="165"/>
        <v>11</v>
      </c>
      <c r="AC224" s="9">
        <f t="shared" si="166"/>
        <v>4.5</v>
      </c>
      <c r="AD224" s="9">
        <f t="shared" si="167"/>
        <v>7</v>
      </c>
      <c r="AE224" s="9">
        <f t="shared" si="168"/>
        <v>9.5</v>
      </c>
      <c r="AF224" s="9">
        <f t="shared" si="169"/>
        <v>8.75</v>
      </c>
      <c r="AG224" s="9">
        <f t="shared" si="170"/>
        <v>3</v>
      </c>
      <c r="AH224" s="9">
        <f t="shared" si="171"/>
        <v>2.8699999999999974</v>
      </c>
      <c r="AI224" s="9">
        <f t="shared" si="172"/>
        <v>4</v>
      </c>
      <c r="AJ224" s="9">
        <f t="shared" si="173"/>
        <v>1.5</v>
      </c>
      <c r="AK224" s="9">
        <f t="shared" si="174"/>
        <v>11.75</v>
      </c>
      <c r="AL224" s="9">
        <f t="shared" si="175"/>
        <v>5.25</v>
      </c>
      <c r="AM224" s="9">
        <f t="shared" si="176"/>
        <v>7.75</v>
      </c>
      <c r="AN224" s="9">
        <f t="shared" si="177"/>
        <v>9.75</v>
      </c>
      <c r="AO224" s="9">
        <f t="shared" si="178"/>
        <v>9.125</v>
      </c>
      <c r="AP224" s="9">
        <f t="shared" si="179"/>
        <v>5.25</v>
      </c>
      <c r="AQ224" s="9">
        <f t="shared" si="180"/>
        <v>3.4350000000000023</v>
      </c>
      <c r="AR224" s="9">
        <f t="shared" si="181"/>
        <v>4.25</v>
      </c>
      <c r="AS224" s="9">
        <f t="shared" si="182"/>
        <v>0.25</v>
      </c>
      <c r="AT224" s="9">
        <f t="shared" si="183"/>
        <v>9.5</v>
      </c>
      <c r="AU224" s="9">
        <f t="shared" si="184"/>
        <v>4</v>
      </c>
      <c r="AV224" s="9">
        <f t="shared" si="185"/>
        <v>5</v>
      </c>
      <c r="AW224" s="9">
        <f t="shared" si="186"/>
        <v>3.5</v>
      </c>
      <c r="AX224" s="9">
        <f t="shared" si="187"/>
        <v>3.75</v>
      </c>
      <c r="AY224" s="9">
        <f t="shared" si="188"/>
        <v>0</v>
      </c>
      <c r="AZ224" s="9">
        <f t="shared" si="189"/>
        <v>-3.3150000000000013</v>
      </c>
      <c r="BA224" s="9">
        <f t="shared" si="190"/>
        <v>-5</v>
      </c>
      <c r="BB224" s="9">
        <f t="shared" si="191"/>
        <v>0.25</v>
      </c>
      <c r="BC224" s="9">
        <f t="shared" si="192"/>
        <v>3.62</v>
      </c>
      <c r="BD224" s="9">
        <f t="shared" si="193"/>
        <v>3</v>
      </c>
      <c r="BE224" s="9">
        <f t="shared" si="194"/>
        <v>-0.5</v>
      </c>
      <c r="BF224" s="9">
        <f t="shared" si="195"/>
        <v>1.5</v>
      </c>
      <c r="BG224" s="9">
        <f t="shared" si="196"/>
        <v>1.62</v>
      </c>
      <c r="BH224" s="9">
        <f t="shared" si="197"/>
        <v>-1.5</v>
      </c>
      <c r="BI224" s="9">
        <f t="shared" si="198"/>
        <v>-5.6899999999999995</v>
      </c>
      <c r="BJ224" s="9">
        <f t="shared" si="199"/>
        <v>-7</v>
      </c>
    </row>
    <row r="225" spans="1:62" x14ac:dyDescent="0.2">
      <c r="A225" s="9">
        <f>data!M226-data!M225</f>
        <v>-0.54749999999999943</v>
      </c>
      <c r="B225" s="9">
        <f>data!C226-data!C225</f>
        <v>2.8800000000000026</v>
      </c>
      <c r="C225" s="9">
        <f>data!D226-data!D225</f>
        <v>0.58499999999999908</v>
      </c>
      <c r="D225" s="10">
        <f>data!B226-data!B225</f>
        <v>-0.10250000000000004</v>
      </c>
      <c r="E225" s="9">
        <f>data!E225-data!G225</f>
        <v>1.4911000000000001</v>
      </c>
      <c r="F225" s="9">
        <f>(data!E225-data!F225)-(data!G225-data!H225)</f>
        <v>0.93479999999999985</v>
      </c>
      <c r="G225" s="9">
        <f t="shared" si="150"/>
        <v>6.5199999999999925E-2</v>
      </c>
      <c r="H225" s="9">
        <f t="shared" si="151"/>
        <v>9.0500000000000247E-2</v>
      </c>
      <c r="I225" s="9">
        <f>IF(data!M226&gt; 111.81,1,0)</f>
        <v>0</v>
      </c>
      <c r="J225" s="9">
        <f t="shared" si="152"/>
        <v>1</v>
      </c>
      <c r="K225" s="9">
        <f t="shared" si="153"/>
        <v>0</v>
      </c>
      <c r="L225" s="9">
        <f t="shared" si="154"/>
        <v>-0.54749999999999943</v>
      </c>
      <c r="M225" s="9">
        <f>data!J225</f>
        <v>-23.5</v>
      </c>
      <c r="N225" s="9">
        <f>data!I225</f>
        <v>-47</v>
      </c>
      <c r="O225" s="9">
        <f>data!L225</f>
        <v>-41.25</v>
      </c>
      <c r="P225" s="9">
        <f>data!K225</f>
        <v>-22.75</v>
      </c>
      <c r="Q225" s="9">
        <f>data!R225</f>
        <v>-8.75</v>
      </c>
      <c r="R225" s="9">
        <f t="shared" si="155"/>
        <v>4.5</v>
      </c>
      <c r="S225" s="9">
        <f t="shared" si="156"/>
        <v>1.5</v>
      </c>
      <c r="T225" s="9">
        <f t="shared" si="157"/>
        <v>2.5</v>
      </c>
      <c r="U225" s="9">
        <f t="shared" si="158"/>
        <v>4</v>
      </c>
      <c r="V225" s="9">
        <f t="shared" si="159"/>
        <v>-0.75</v>
      </c>
      <c r="W225" s="9">
        <f t="shared" si="160"/>
        <v>-3.5</v>
      </c>
      <c r="X225" s="9">
        <f t="shared" si="161"/>
        <v>-5.375</v>
      </c>
      <c r="Y225" s="9">
        <f t="shared" si="162"/>
        <v>-3.75</v>
      </c>
      <c r="Z225" s="9">
        <f t="shared" si="163"/>
        <v>-7</v>
      </c>
      <c r="AA225" s="9">
        <f t="shared" si="164"/>
        <v>10.5</v>
      </c>
      <c r="AB225" s="9">
        <f t="shared" si="165"/>
        <v>4</v>
      </c>
      <c r="AC225" s="9">
        <f t="shared" si="166"/>
        <v>6.5</v>
      </c>
      <c r="AD225" s="9">
        <f t="shared" si="167"/>
        <v>9</v>
      </c>
      <c r="AE225" s="9">
        <f t="shared" si="168"/>
        <v>8.25</v>
      </c>
      <c r="AF225" s="9">
        <f t="shared" si="169"/>
        <v>2.5</v>
      </c>
      <c r="AG225" s="9">
        <f t="shared" si="170"/>
        <v>2.3699999999999974</v>
      </c>
      <c r="AH225" s="9">
        <f t="shared" si="171"/>
        <v>3.5</v>
      </c>
      <c r="AI225" s="9">
        <f t="shared" si="172"/>
        <v>1</v>
      </c>
      <c r="AJ225" s="9">
        <f t="shared" si="173"/>
        <v>10.25</v>
      </c>
      <c r="AK225" s="9">
        <f t="shared" si="174"/>
        <v>3.75</v>
      </c>
      <c r="AL225" s="9">
        <f t="shared" si="175"/>
        <v>6.25</v>
      </c>
      <c r="AM225" s="9">
        <f t="shared" si="176"/>
        <v>8.25</v>
      </c>
      <c r="AN225" s="9">
        <f t="shared" si="177"/>
        <v>7.625</v>
      </c>
      <c r="AO225" s="9">
        <f t="shared" si="178"/>
        <v>3.75</v>
      </c>
      <c r="AP225" s="9">
        <f t="shared" si="179"/>
        <v>1.9350000000000023</v>
      </c>
      <c r="AQ225" s="9">
        <f t="shared" si="180"/>
        <v>2.75</v>
      </c>
      <c r="AR225" s="9">
        <f t="shared" si="181"/>
        <v>1.25</v>
      </c>
      <c r="AS225" s="9">
        <f t="shared" si="182"/>
        <v>9.25</v>
      </c>
      <c r="AT225" s="9">
        <f t="shared" si="183"/>
        <v>3.75</v>
      </c>
      <c r="AU225" s="9">
        <f t="shared" si="184"/>
        <v>4.75</v>
      </c>
      <c r="AV225" s="9">
        <f t="shared" si="185"/>
        <v>3.25</v>
      </c>
      <c r="AW225" s="9">
        <f t="shared" si="186"/>
        <v>3.5</v>
      </c>
      <c r="AX225" s="9">
        <f t="shared" si="187"/>
        <v>-0.25</v>
      </c>
      <c r="AY225" s="9">
        <f t="shared" si="188"/>
        <v>-3.5650000000000013</v>
      </c>
      <c r="AZ225" s="9">
        <f t="shared" si="189"/>
        <v>-5.25</v>
      </c>
      <c r="BA225" s="9">
        <f t="shared" si="190"/>
        <v>-6.75</v>
      </c>
      <c r="BB225" s="9">
        <f t="shared" si="191"/>
        <v>3.37</v>
      </c>
      <c r="BC225" s="9">
        <f t="shared" si="192"/>
        <v>2.75</v>
      </c>
      <c r="BD225" s="9">
        <f t="shared" si="193"/>
        <v>-0.75</v>
      </c>
      <c r="BE225" s="9">
        <f t="shared" si="194"/>
        <v>1.25</v>
      </c>
      <c r="BF225" s="9">
        <f t="shared" si="195"/>
        <v>1.37</v>
      </c>
      <c r="BG225" s="9">
        <f t="shared" si="196"/>
        <v>-1.75</v>
      </c>
      <c r="BH225" s="9">
        <f t="shared" si="197"/>
        <v>-5.9399999999999995</v>
      </c>
      <c r="BI225" s="9">
        <f t="shared" si="198"/>
        <v>-7.25</v>
      </c>
      <c r="BJ225" s="9">
        <f t="shared" si="199"/>
        <v>-9.25</v>
      </c>
    </row>
    <row r="226" spans="1:62" x14ac:dyDescent="0.2">
      <c r="A226" s="9">
        <f>data!M227-data!M226</f>
        <v>-1.8699999999995498E-2</v>
      </c>
      <c r="B226" s="9">
        <f>data!C227-data!C226</f>
        <v>-1.5200000000000031</v>
      </c>
      <c r="C226" s="9">
        <f>data!D227-data!D226</f>
        <v>-1.4599999999999991</v>
      </c>
      <c r="D226" s="10">
        <f>data!B227-data!B226</f>
        <v>8.5000000000000187E-2</v>
      </c>
      <c r="E226" s="9">
        <f>data!E226-data!G226</f>
        <v>1.5563</v>
      </c>
      <c r="F226" s="9">
        <f>(data!E226-data!F226)-(data!G226-data!H226)</f>
        <v>1.0253000000000001</v>
      </c>
      <c r="G226" s="9">
        <f t="shared" si="150"/>
        <v>0.19100000000000028</v>
      </c>
      <c r="H226" s="9">
        <f t="shared" si="151"/>
        <v>0.20020000000000016</v>
      </c>
      <c r="I226" s="9">
        <f>IF(data!M227&gt; 111.81,1,0)</f>
        <v>0</v>
      </c>
      <c r="J226" s="9">
        <f t="shared" si="152"/>
        <v>1</v>
      </c>
      <c r="K226" s="9">
        <f t="shared" si="153"/>
        <v>0</v>
      </c>
      <c r="L226" s="9">
        <f t="shared" si="154"/>
        <v>-1.8699999999995498E-2</v>
      </c>
      <c r="M226" s="9">
        <f>data!J226</f>
        <v>-19</v>
      </c>
      <c r="N226" s="9">
        <f>data!I226</f>
        <v>-36.5</v>
      </c>
      <c r="O226" s="9">
        <f>data!L226</f>
        <v>-31</v>
      </c>
      <c r="P226" s="9">
        <f>data!K226</f>
        <v>-13.5</v>
      </c>
      <c r="Q226" s="9">
        <f>data!R226</f>
        <v>-5.38</v>
      </c>
      <c r="R226" s="9">
        <f t="shared" si="155"/>
        <v>-3</v>
      </c>
      <c r="S226" s="9">
        <f t="shared" si="156"/>
        <v>-2</v>
      </c>
      <c r="T226" s="9">
        <f t="shared" si="157"/>
        <v>-0.5</v>
      </c>
      <c r="U226" s="9">
        <f t="shared" si="158"/>
        <v>-5.25</v>
      </c>
      <c r="V226" s="9">
        <f t="shared" si="159"/>
        <v>-8</v>
      </c>
      <c r="W226" s="9">
        <f t="shared" si="160"/>
        <v>-9.875</v>
      </c>
      <c r="X226" s="9">
        <f t="shared" si="161"/>
        <v>-8.25</v>
      </c>
      <c r="Y226" s="9">
        <f t="shared" si="162"/>
        <v>-11.5</v>
      </c>
      <c r="Z226" s="9">
        <f t="shared" si="163"/>
        <v>-11.125</v>
      </c>
      <c r="AA226" s="9">
        <f t="shared" si="164"/>
        <v>-6.5</v>
      </c>
      <c r="AB226" s="9">
        <f t="shared" si="165"/>
        <v>-4</v>
      </c>
      <c r="AC226" s="9">
        <f t="shared" si="166"/>
        <v>-1.5</v>
      </c>
      <c r="AD226" s="9">
        <f t="shared" si="167"/>
        <v>-2.25</v>
      </c>
      <c r="AE226" s="9">
        <f t="shared" si="168"/>
        <v>-8</v>
      </c>
      <c r="AF226" s="9">
        <f t="shared" si="169"/>
        <v>-8.1300000000000026</v>
      </c>
      <c r="AG226" s="9">
        <f t="shared" si="170"/>
        <v>-7</v>
      </c>
      <c r="AH226" s="9">
        <f t="shared" si="171"/>
        <v>-9.5</v>
      </c>
      <c r="AI226" s="9">
        <f t="shared" si="172"/>
        <v>-8.5900000000000034</v>
      </c>
      <c r="AJ226" s="9">
        <f t="shared" si="173"/>
        <v>-6.5</v>
      </c>
      <c r="AK226" s="9">
        <f t="shared" si="174"/>
        <v>-4</v>
      </c>
      <c r="AL226" s="9">
        <f t="shared" si="175"/>
        <v>-2</v>
      </c>
      <c r="AM226" s="9">
        <f t="shared" si="176"/>
        <v>-2.625</v>
      </c>
      <c r="AN226" s="9">
        <f t="shared" si="177"/>
        <v>-6.5</v>
      </c>
      <c r="AO226" s="9">
        <f t="shared" si="178"/>
        <v>-8.3149999999999977</v>
      </c>
      <c r="AP226" s="9">
        <f t="shared" si="179"/>
        <v>-7.5</v>
      </c>
      <c r="AQ226" s="9">
        <f t="shared" si="180"/>
        <v>-9</v>
      </c>
      <c r="AR226" s="9">
        <f t="shared" si="181"/>
        <v>-8.6899999999999977</v>
      </c>
      <c r="AS226" s="9">
        <f t="shared" si="182"/>
        <v>-5.5</v>
      </c>
      <c r="AT226" s="9">
        <f t="shared" si="183"/>
        <v>-4.5</v>
      </c>
      <c r="AU226" s="9">
        <f t="shared" si="184"/>
        <v>-6</v>
      </c>
      <c r="AV226" s="9">
        <f t="shared" si="185"/>
        <v>-5.75</v>
      </c>
      <c r="AW226" s="9">
        <f t="shared" si="186"/>
        <v>-9.5</v>
      </c>
      <c r="AX226" s="9">
        <f t="shared" si="187"/>
        <v>-12.815000000000001</v>
      </c>
      <c r="AY226" s="9">
        <f t="shared" si="188"/>
        <v>-14.5</v>
      </c>
      <c r="AZ226" s="9">
        <f t="shared" si="189"/>
        <v>-16</v>
      </c>
      <c r="BA226" s="9">
        <f t="shared" si="190"/>
        <v>-15.875</v>
      </c>
      <c r="BB226" s="9">
        <f t="shared" si="191"/>
        <v>-0.62000000000000011</v>
      </c>
      <c r="BC226" s="9">
        <f t="shared" si="192"/>
        <v>-4.12</v>
      </c>
      <c r="BD226" s="9">
        <f t="shared" si="193"/>
        <v>-2.12</v>
      </c>
      <c r="BE226" s="9">
        <f t="shared" si="194"/>
        <v>-2</v>
      </c>
      <c r="BF226" s="9">
        <f t="shared" si="195"/>
        <v>-5.12</v>
      </c>
      <c r="BG226" s="9">
        <f t="shared" si="196"/>
        <v>-9.3099999999999987</v>
      </c>
      <c r="BH226" s="9">
        <f t="shared" si="197"/>
        <v>-10.620000000000001</v>
      </c>
      <c r="BI226" s="9">
        <f t="shared" si="198"/>
        <v>-12.620000000000001</v>
      </c>
      <c r="BJ226" s="9">
        <f t="shared" si="199"/>
        <v>-12.995000000000001</v>
      </c>
    </row>
    <row r="227" spans="1:62" x14ac:dyDescent="0.2">
      <c r="A227" s="9">
        <f>data!M228-data!M227</f>
        <v>-1.8787999999999982</v>
      </c>
      <c r="B227" s="9">
        <f>data!C228-data!C227</f>
        <v>-3.25</v>
      </c>
      <c r="C227" s="9">
        <f>data!D228-data!D227</f>
        <v>-1.17</v>
      </c>
      <c r="D227" s="10">
        <f>data!B228-data!B227</f>
        <v>4.9999999999999933E-2</v>
      </c>
      <c r="E227" s="9">
        <f>data!E227-data!G227</f>
        <v>1.7473000000000003</v>
      </c>
      <c r="F227" s="9">
        <f>(data!E227-data!F227)-(data!G227-data!H227)</f>
        <v>1.2255000000000003</v>
      </c>
      <c r="G227" s="9">
        <f t="shared" si="150"/>
        <v>8.3299999999999708E-2</v>
      </c>
      <c r="H227" s="9">
        <f t="shared" si="151"/>
        <v>3.279999999999994E-2</v>
      </c>
      <c r="I227" s="9">
        <f>IF(data!M228&gt; 111.81,1,0)</f>
        <v>0</v>
      </c>
      <c r="J227" s="9">
        <f t="shared" si="152"/>
        <v>1</v>
      </c>
      <c r="K227" s="9">
        <f t="shared" si="153"/>
        <v>0</v>
      </c>
      <c r="L227" s="9">
        <f t="shared" si="154"/>
        <v>-1.8787999999999982</v>
      </c>
      <c r="M227" s="9">
        <f>data!J227</f>
        <v>-22</v>
      </c>
      <c r="N227" s="9">
        <f>data!I227</f>
        <v>-43</v>
      </c>
      <c r="O227" s="9">
        <f>data!L227</f>
        <v>-37.5</v>
      </c>
      <c r="P227" s="9">
        <f>data!K227</f>
        <v>-19</v>
      </c>
      <c r="Q227" s="9">
        <f>data!R227</f>
        <v>-6</v>
      </c>
      <c r="R227" s="9">
        <f t="shared" si="155"/>
        <v>1</v>
      </c>
      <c r="S227" s="9">
        <f t="shared" si="156"/>
        <v>2.5</v>
      </c>
      <c r="T227" s="9">
        <f t="shared" si="157"/>
        <v>-2.25</v>
      </c>
      <c r="U227" s="9">
        <f t="shared" si="158"/>
        <v>-5</v>
      </c>
      <c r="V227" s="9">
        <f t="shared" si="159"/>
        <v>-6.875</v>
      </c>
      <c r="W227" s="9">
        <f t="shared" si="160"/>
        <v>-5.25</v>
      </c>
      <c r="X227" s="9">
        <f t="shared" si="161"/>
        <v>-8.5</v>
      </c>
      <c r="Y227" s="9">
        <f t="shared" si="162"/>
        <v>-8.125</v>
      </c>
      <c r="Z227" s="9">
        <f t="shared" si="163"/>
        <v>-6</v>
      </c>
      <c r="AA227" s="9">
        <f t="shared" si="164"/>
        <v>2.5</v>
      </c>
      <c r="AB227" s="9">
        <f t="shared" si="165"/>
        <v>5</v>
      </c>
      <c r="AC227" s="9">
        <f t="shared" si="166"/>
        <v>4.25</v>
      </c>
      <c r="AD227" s="9">
        <f t="shared" si="167"/>
        <v>-1.5</v>
      </c>
      <c r="AE227" s="9">
        <f t="shared" si="168"/>
        <v>-1.6300000000000026</v>
      </c>
      <c r="AF227" s="9">
        <f t="shared" si="169"/>
        <v>-0.5</v>
      </c>
      <c r="AG227" s="9">
        <f t="shared" si="170"/>
        <v>-3</v>
      </c>
      <c r="AH227" s="9">
        <f t="shared" si="171"/>
        <v>-2.0900000000000034</v>
      </c>
      <c r="AI227" s="9">
        <f t="shared" si="172"/>
        <v>4.1199999999999974</v>
      </c>
      <c r="AJ227" s="9">
        <f t="shared" si="173"/>
        <v>2.5</v>
      </c>
      <c r="AK227" s="9">
        <f t="shared" si="174"/>
        <v>4.5</v>
      </c>
      <c r="AL227" s="9">
        <f t="shared" si="175"/>
        <v>3.875</v>
      </c>
      <c r="AM227" s="9">
        <f t="shared" si="176"/>
        <v>0</v>
      </c>
      <c r="AN227" s="9">
        <f t="shared" si="177"/>
        <v>-1.8149999999999977</v>
      </c>
      <c r="AO227" s="9">
        <f t="shared" si="178"/>
        <v>-1</v>
      </c>
      <c r="AP227" s="9">
        <f t="shared" si="179"/>
        <v>-2.5</v>
      </c>
      <c r="AQ227" s="9">
        <f t="shared" si="180"/>
        <v>-2.1899999999999977</v>
      </c>
      <c r="AR227" s="9">
        <f t="shared" si="181"/>
        <v>4</v>
      </c>
      <c r="AS227" s="9">
        <f t="shared" si="182"/>
        <v>1</v>
      </c>
      <c r="AT227" s="9">
        <f t="shared" si="183"/>
        <v>-0.5</v>
      </c>
      <c r="AU227" s="9">
        <f t="shared" si="184"/>
        <v>-0.25</v>
      </c>
      <c r="AV227" s="9">
        <f t="shared" si="185"/>
        <v>-4</v>
      </c>
      <c r="AW227" s="9">
        <f t="shared" si="186"/>
        <v>-7.3150000000000013</v>
      </c>
      <c r="AX227" s="9">
        <f t="shared" si="187"/>
        <v>-9</v>
      </c>
      <c r="AY227" s="9">
        <f t="shared" si="188"/>
        <v>-10.5</v>
      </c>
      <c r="AZ227" s="9">
        <f t="shared" si="189"/>
        <v>-10.375</v>
      </c>
      <c r="BA227" s="9">
        <f t="shared" si="190"/>
        <v>-3.875</v>
      </c>
      <c r="BB227" s="9">
        <f t="shared" si="191"/>
        <v>-3.5</v>
      </c>
      <c r="BC227" s="9">
        <f t="shared" si="192"/>
        <v>-1.5</v>
      </c>
      <c r="BD227" s="9">
        <f t="shared" si="193"/>
        <v>-1.38</v>
      </c>
      <c r="BE227" s="9">
        <f t="shared" si="194"/>
        <v>-4.5</v>
      </c>
      <c r="BF227" s="9">
        <f t="shared" si="195"/>
        <v>-8.69</v>
      </c>
      <c r="BG227" s="9">
        <f t="shared" si="196"/>
        <v>-10</v>
      </c>
      <c r="BH227" s="9">
        <f t="shared" si="197"/>
        <v>-12</v>
      </c>
      <c r="BI227" s="9">
        <f t="shared" si="198"/>
        <v>-12.375</v>
      </c>
      <c r="BJ227" s="9">
        <f t="shared" si="199"/>
        <v>-6.9399999999999995</v>
      </c>
    </row>
    <row r="228" spans="1:62" x14ac:dyDescent="0.2">
      <c r="A228" s="9">
        <f>data!M229-data!M228</f>
        <v>-2.0600000000001728E-2</v>
      </c>
      <c r="B228" s="9">
        <f>data!C229-data!C228</f>
        <v>1.0700000000000003</v>
      </c>
      <c r="C228" s="9">
        <f>data!D229-data!D228</f>
        <v>1.9024999999999999</v>
      </c>
      <c r="D228" s="10">
        <f>data!B229-data!B228</f>
        <v>-0.51250000000000007</v>
      </c>
      <c r="E228" s="9">
        <f>data!E228-data!G228</f>
        <v>1.8306</v>
      </c>
      <c r="F228" s="9">
        <f>(data!E228-data!F228)-(data!G228-data!H228)</f>
        <v>1.2583000000000002</v>
      </c>
      <c r="G228" s="9">
        <f t="shared" si="150"/>
        <v>-0.12849999999999984</v>
      </c>
      <c r="H228" s="9">
        <f t="shared" si="151"/>
        <v>-3.0899999999999928E-2</v>
      </c>
      <c r="I228" s="9">
        <f>IF(data!M229&gt; 111.81,1,0)</f>
        <v>0</v>
      </c>
      <c r="J228" s="9">
        <f t="shared" si="152"/>
        <v>1</v>
      </c>
      <c r="K228" s="9">
        <f t="shared" si="153"/>
        <v>0</v>
      </c>
      <c r="L228" s="9">
        <f t="shared" si="154"/>
        <v>-2.0600000000001728E-2</v>
      </c>
      <c r="M228" s="9">
        <f>data!J228</f>
        <v>-21</v>
      </c>
      <c r="N228" s="9">
        <f>data!I228</f>
        <v>-40.5</v>
      </c>
      <c r="O228" s="9">
        <f>data!L228</f>
        <v>-35</v>
      </c>
      <c r="P228" s="9">
        <f>data!K228</f>
        <v>-18</v>
      </c>
      <c r="Q228" s="9">
        <f>data!R228</f>
        <v>-9.5</v>
      </c>
      <c r="R228" s="9">
        <f t="shared" si="155"/>
        <v>1.5</v>
      </c>
      <c r="S228" s="9">
        <f t="shared" si="156"/>
        <v>-3.25</v>
      </c>
      <c r="T228" s="9">
        <f t="shared" si="157"/>
        <v>-6</v>
      </c>
      <c r="U228" s="9">
        <f t="shared" si="158"/>
        <v>-7.875</v>
      </c>
      <c r="V228" s="9">
        <f t="shared" si="159"/>
        <v>-6.25</v>
      </c>
      <c r="W228" s="9">
        <f t="shared" si="160"/>
        <v>-9.5</v>
      </c>
      <c r="X228" s="9">
        <f t="shared" si="161"/>
        <v>-9.125</v>
      </c>
      <c r="Y228" s="9">
        <f t="shared" si="162"/>
        <v>-7</v>
      </c>
      <c r="Z228" s="9">
        <f t="shared" si="163"/>
        <v>-9.375</v>
      </c>
      <c r="AA228" s="9">
        <f t="shared" si="164"/>
        <v>2.5</v>
      </c>
      <c r="AB228" s="9">
        <f t="shared" si="165"/>
        <v>1.75</v>
      </c>
      <c r="AC228" s="9">
        <f t="shared" si="166"/>
        <v>-4</v>
      </c>
      <c r="AD228" s="9">
        <f t="shared" si="167"/>
        <v>-4.1300000000000026</v>
      </c>
      <c r="AE228" s="9">
        <f t="shared" si="168"/>
        <v>-3</v>
      </c>
      <c r="AF228" s="9">
        <f t="shared" si="169"/>
        <v>-5.5</v>
      </c>
      <c r="AG228" s="9">
        <f t="shared" si="170"/>
        <v>-4.5900000000000034</v>
      </c>
      <c r="AH228" s="9">
        <f t="shared" si="171"/>
        <v>1.6199999999999974</v>
      </c>
      <c r="AI228" s="9">
        <f t="shared" si="172"/>
        <v>2.125</v>
      </c>
      <c r="AJ228" s="9">
        <f t="shared" si="173"/>
        <v>2</v>
      </c>
      <c r="AK228" s="9">
        <f t="shared" si="174"/>
        <v>1.375</v>
      </c>
      <c r="AL228" s="9">
        <f t="shared" si="175"/>
        <v>-2.5</v>
      </c>
      <c r="AM228" s="9">
        <f t="shared" si="176"/>
        <v>-4.3149999999999977</v>
      </c>
      <c r="AN228" s="9">
        <f t="shared" si="177"/>
        <v>-3.5</v>
      </c>
      <c r="AO228" s="9">
        <f t="shared" si="178"/>
        <v>-5</v>
      </c>
      <c r="AP228" s="9">
        <f t="shared" si="179"/>
        <v>-4.6899999999999977</v>
      </c>
      <c r="AQ228" s="9">
        <f t="shared" si="180"/>
        <v>1.5</v>
      </c>
      <c r="AR228" s="9">
        <f t="shared" si="181"/>
        <v>3.25</v>
      </c>
      <c r="AS228" s="9">
        <f t="shared" si="182"/>
        <v>-1.5</v>
      </c>
      <c r="AT228" s="9">
        <f t="shared" si="183"/>
        <v>-1.25</v>
      </c>
      <c r="AU228" s="9">
        <f t="shared" si="184"/>
        <v>-5</v>
      </c>
      <c r="AV228" s="9">
        <f t="shared" si="185"/>
        <v>-8.3150000000000013</v>
      </c>
      <c r="AW228" s="9">
        <f t="shared" si="186"/>
        <v>-10</v>
      </c>
      <c r="AX228" s="9">
        <f t="shared" si="187"/>
        <v>-11.5</v>
      </c>
      <c r="AY228" s="9">
        <f t="shared" si="188"/>
        <v>-11.375</v>
      </c>
      <c r="AZ228" s="9">
        <f t="shared" si="189"/>
        <v>-4.875</v>
      </c>
      <c r="BA228" s="9">
        <f t="shared" si="190"/>
        <v>0</v>
      </c>
      <c r="BB228" s="9">
        <f t="shared" si="191"/>
        <v>2</v>
      </c>
      <c r="BC228" s="9">
        <f t="shared" si="192"/>
        <v>2.12</v>
      </c>
      <c r="BD228" s="9">
        <f t="shared" si="193"/>
        <v>-1</v>
      </c>
      <c r="BE228" s="9">
        <f t="shared" si="194"/>
        <v>-5.1899999999999995</v>
      </c>
      <c r="BF228" s="9">
        <f t="shared" si="195"/>
        <v>-6.5</v>
      </c>
      <c r="BG228" s="9">
        <f t="shared" si="196"/>
        <v>-8.5</v>
      </c>
      <c r="BH228" s="9">
        <f t="shared" si="197"/>
        <v>-8.875</v>
      </c>
      <c r="BI228" s="9">
        <f t="shared" si="198"/>
        <v>-3.4399999999999995</v>
      </c>
      <c r="BJ228" s="9">
        <f t="shared" si="199"/>
        <v>1.5</v>
      </c>
    </row>
    <row r="229" spans="1:62" x14ac:dyDescent="0.2">
      <c r="A229" s="9">
        <f>data!M230-data!M229</f>
        <v>-2.2275000000000063</v>
      </c>
      <c r="B229" s="9">
        <f>data!C230-data!C229</f>
        <v>-0.48999999999999488</v>
      </c>
      <c r="C229" s="9">
        <f>data!D230-data!D229</f>
        <v>0.90000000000000036</v>
      </c>
      <c r="D229" s="10">
        <f>data!B230-data!B229</f>
        <v>0.19500000000000006</v>
      </c>
      <c r="E229" s="9">
        <f>data!E229-data!G229</f>
        <v>1.7021000000000002</v>
      </c>
      <c r="F229" s="9">
        <f>(data!E229-data!F229)-(data!G229-data!H229)</f>
        <v>1.2274000000000003</v>
      </c>
      <c r="G229" s="9">
        <f t="shared" si="150"/>
        <v>0.30939999999999968</v>
      </c>
      <c r="H229" s="9">
        <f t="shared" si="151"/>
        <v>0.25799999999999956</v>
      </c>
      <c r="I229" s="9">
        <f>IF(data!M230&gt; 111.81,1,0)</f>
        <v>0</v>
      </c>
      <c r="J229" s="9">
        <f t="shared" si="152"/>
        <v>1</v>
      </c>
      <c r="K229" s="9">
        <f t="shared" si="153"/>
        <v>0</v>
      </c>
      <c r="L229" s="9">
        <f t="shared" si="154"/>
        <v>-2.2275000000000063</v>
      </c>
      <c r="M229" s="9">
        <f>data!J229</f>
        <v>-19.5</v>
      </c>
      <c r="N229" s="9">
        <f>data!I229</f>
        <v>-38</v>
      </c>
      <c r="O229" s="9">
        <f>data!L229</f>
        <v>-33</v>
      </c>
      <c r="P229" s="9">
        <f>data!K229</f>
        <v>-19.5</v>
      </c>
      <c r="Q229" s="9">
        <f>data!R229</f>
        <v>-7.5</v>
      </c>
      <c r="R229" s="9">
        <f t="shared" si="155"/>
        <v>-4.75</v>
      </c>
      <c r="S229" s="9">
        <f t="shared" si="156"/>
        <v>-7.5</v>
      </c>
      <c r="T229" s="9">
        <f t="shared" si="157"/>
        <v>-9.375</v>
      </c>
      <c r="U229" s="9">
        <f t="shared" si="158"/>
        <v>-7.75</v>
      </c>
      <c r="V229" s="9">
        <f t="shared" si="159"/>
        <v>-11</v>
      </c>
      <c r="W229" s="9">
        <f t="shared" si="160"/>
        <v>-10.625</v>
      </c>
      <c r="X229" s="9">
        <f t="shared" si="161"/>
        <v>-8.5</v>
      </c>
      <c r="Y229" s="9">
        <f t="shared" si="162"/>
        <v>-10.875</v>
      </c>
      <c r="Z229" s="9">
        <f t="shared" si="163"/>
        <v>-12.5</v>
      </c>
      <c r="AA229" s="9">
        <f t="shared" si="164"/>
        <v>-0.75</v>
      </c>
      <c r="AB229" s="9">
        <f t="shared" si="165"/>
        <v>-6.5</v>
      </c>
      <c r="AC229" s="9">
        <f t="shared" si="166"/>
        <v>-6.6300000000000026</v>
      </c>
      <c r="AD229" s="9">
        <f t="shared" si="167"/>
        <v>-5.5</v>
      </c>
      <c r="AE229" s="9">
        <f t="shared" si="168"/>
        <v>-8</v>
      </c>
      <c r="AF229" s="9">
        <f t="shared" si="169"/>
        <v>-7.0900000000000034</v>
      </c>
      <c r="AG229" s="9">
        <f t="shared" si="170"/>
        <v>-0.88000000000000256</v>
      </c>
      <c r="AH229" s="9">
        <f t="shared" si="171"/>
        <v>-0.375</v>
      </c>
      <c r="AI229" s="9">
        <f t="shared" si="172"/>
        <v>-3.5</v>
      </c>
      <c r="AJ229" s="9">
        <f t="shared" si="173"/>
        <v>-0.625</v>
      </c>
      <c r="AK229" s="9">
        <f t="shared" si="174"/>
        <v>-4.5</v>
      </c>
      <c r="AL229" s="9">
        <f t="shared" si="175"/>
        <v>-6.3149999999999977</v>
      </c>
      <c r="AM229" s="9">
        <f t="shared" si="176"/>
        <v>-5.5</v>
      </c>
      <c r="AN229" s="9">
        <f t="shared" si="177"/>
        <v>-7</v>
      </c>
      <c r="AO229" s="9">
        <f t="shared" si="178"/>
        <v>-6.6899999999999977</v>
      </c>
      <c r="AP229" s="9">
        <f t="shared" si="179"/>
        <v>-0.5</v>
      </c>
      <c r="AQ229" s="9">
        <f t="shared" si="180"/>
        <v>1.25</v>
      </c>
      <c r="AR229" s="9">
        <f t="shared" si="181"/>
        <v>-1</v>
      </c>
      <c r="AS229" s="9">
        <f t="shared" si="182"/>
        <v>0.25</v>
      </c>
      <c r="AT229" s="9">
        <f t="shared" si="183"/>
        <v>-3.5</v>
      </c>
      <c r="AU229" s="9">
        <f t="shared" si="184"/>
        <v>-6.8150000000000013</v>
      </c>
      <c r="AV229" s="9">
        <f t="shared" si="185"/>
        <v>-8.5</v>
      </c>
      <c r="AW229" s="9">
        <f t="shared" si="186"/>
        <v>-10</v>
      </c>
      <c r="AX229" s="9">
        <f t="shared" si="187"/>
        <v>-9.875</v>
      </c>
      <c r="AY229" s="9">
        <f t="shared" si="188"/>
        <v>-3.375</v>
      </c>
      <c r="AZ229" s="9">
        <f t="shared" si="189"/>
        <v>1.5</v>
      </c>
      <c r="BA229" s="9">
        <f t="shared" si="190"/>
        <v>0.25</v>
      </c>
      <c r="BB229" s="9">
        <f t="shared" si="191"/>
        <v>0.12000000000000011</v>
      </c>
      <c r="BC229" s="9">
        <f t="shared" si="192"/>
        <v>-3</v>
      </c>
      <c r="BD229" s="9">
        <f t="shared" si="193"/>
        <v>-7.1899999999999995</v>
      </c>
      <c r="BE229" s="9">
        <f t="shared" si="194"/>
        <v>-8.5</v>
      </c>
      <c r="BF229" s="9">
        <f t="shared" si="195"/>
        <v>-10.5</v>
      </c>
      <c r="BG229" s="9">
        <f t="shared" si="196"/>
        <v>-10.875</v>
      </c>
      <c r="BH229" s="9">
        <f t="shared" si="197"/>
        <v>-5.4399999999999995</v>
      </c>
      <c r="BI229" s="9">
        <f t="shared" si="198"/>
        <v>-0.5</v>
      </c>
      <c r="BJ229" s="9">
        <f t="shared" si="199"/>
        <v>-1.75</v>
      </c>
    </row>
    <row r="230" spans="1:62" x14ac:dyDescent="0.2">
      <c r="A230" s="9">
        <f>data!M231-data!M230</f>
        <v>-0.61079999999999757</v>
      </c>
      <c r="B230" s="9">
        <f>data!C231-data!C230</f>
        <v>-3.7100000000000009</v>
      </c>
      <c r="C230" s="9">
        <f>data!D231-data!D230</f>
        <v>-0.46000000000000085</v>
      </c>
      <c r="D230" s="10">
        <f>data!B231-data!B230</f>
        <v>-5.2499999999999991E-2</v>
      </c>
      <c r="E230" s="9">
        <f>data!E230-data!G230</f>
        <v>2.0114999999999998</v>
      </c>
      <c r="F230" s="9">
        <f>(data!E230-data!F230)-(data!G230-data!H230)</f>
        <v>1.4853999999999998</v>
      </c>
      <c r="G230" s="9">
        <f t="shared" si="150"/>
        <v>-4.2099999999999804E-2</v>
      </c>
      <c r="H230" s="9">
        <f t="shared" si="151"/>
        <v>-7.1599999999999886E-2</v>
      </c>
      <c r="I230" s="9">
        <f>IF(data!M231&gt; 111.81,1,0)</f>
        <v>0</v>
      </c>
      <c r="J230" s="9">
        <f t="shared" si="152"/>
        <v>1</v>
      </c>
      <c r="K230" s="9">
        <f t="shared" si="153"/>
        <v>0</v>
      </c>
      <c r="L230" s="9">
        <f t="shared" si="154"/>
        <v>-0.61079999999999757</v>
      </c>
      <c r="M230" s="9">
        <f>data!J230</f>
        <v>-24.25</v>
      </c>
      <c r="N230" s="9">
        <f>data!I230</f>
        <v>-38.75</v>
      </c>
      <c r="O230" s="9">
        <f>data!L230</f>
        <v>-33.625</v>
      </c>
      <c r="P230" s="9">
        <f>data!K230</f>
        <v>-19.25</v>
      </c>
      <c r="Q230" s="9">
        <f>data!R230</f>
        <v>-7.38</v>
      </c>
      <c r="R230" s="9">
        <f t="shared" si="155"/>
        <v>-2.75</v>
      </c>
      <c r="S230" s="9">
        <f t="shared" si="156"/>
        <v>-4.625</v>
      </c>
      <c r="T230" s="9">
        <f t="shared" si="157"/>
        <v>-3</v>
      </c>
      <c r="U230" s="9">
        <f t="shared" si="158"/>
        <v>-6.25</v>
      </c>
      <c r="V230" s="9">
        <f t="shared" si="159"/>
        <v>-5.875</v>
      </c>
      <c r="W230" s="9">
        <f t="shared" si="160"/>
        <v>-3.75</v>
      </c>
      <c r="X230" s="9">
        <f t="shared" si="161"/>
        <v>-6.125</v>
      </c>
      <c r="Y230" s="9">
        <f t="shared" si="162"/>
        <v>-7.75</v>
      </c>
      <c r="Z230" s="9">
        <f t="shared" si="163"/>
        <v>-6.25</v>
      </c>
      <c r="AA230" s="9">
        <f t="shared" si="164"/>
        <v>-5.75</v>
      </c>
      <c r="AB230" s="9">
        <f t="shared" si="165"/>
        <v>-5.8800000000000026</v>
      </c>
      <c r="AC230" s="9">
        <f t="shared" si="166"/>
        <v>-4.75</v>
      </c>
      <c r="AD230" s="9">
        <f t="shared" si="167"/>
        <v>-7.25</v>
      </c>
      <c r="AE230" s="9">
        <f t="shared" si="168"/>
        <v>-6.3400000000000034</v>
      </c>
      <c r="AF230" s="9">
        <f t="shared" si="169"/>
        <v>-0.13000000000000256</v>
      </c>
      <c r="AG230" s="9">
        <f t="shared" si="170"/>
        <v>0.375</v>
      </c>
      <c r="AH230" s="9">
        <f t="shared" si="171"/>
        <v>-2.75</v>
      </c>
      <c r="AI230" s="9">
        <f t="shared" si="172"/>
        <v>-2.75</v>
      </c>
      <c r="AJ230" s="9">
        <f t="shared" si="173"/>
        <v>-3.875</v>
      </c>
      <c r="AK230" s="9">
        <f t="shared" si="174"/>
        <v>-5.6899999999999977</v>
      </c>
      <c r="AL230" s="9">
        <f t="shared" si="175"/>
        <v>-4.875</v>
      </c>
      <c r="AM230" s="9">
        <f t="shared" si="176"/>
        <v>-6.375</v>
      </c>
      <c r="AN230" s="9">
        <f t="shared" si="177"/>
        <v>-6.0649999999999977</v>
      </c>
      <c r="AO230" s="9">
        <f t="shared" si="178"/>
        <v>0.125</v>
      </c>
      <c r="AP230" s="9">
        <f t="shared" si="179"/>
        <v>1.875</v>
      </c>
      <c r="AQ230" s="9">
        <f t="shared" si="180"/>
        <v>-0.375</v>
      </c>
      <c r="AR230" s="9">
        <f t="shared" si="181"/>
        <v>-2.375</v>
      </c>
      <c r="AS230" s="9">
        <f t="shared" si="182"/>
        <v>-3.75</v>
      </c>
      <c r="AT230" s="9">
        <f t="shared" si="183"/>
        <v>-7.0650000000000013</v>
      </c>
      <c r="AU230" s="9">
        <f t="shared" si="184"/>
        <v>-8.75</v>
      </c>
      <c r="AV230" s="9">
        <f t="shared" si="185"/>
        <v>-10.25</v>
      </c>
      <c r="AW230" s="9">
        <f t="shared" si="186"/>
        <v>-10.125</v>
      </c>
      <c r="AX230" s="9">
        <f t="shared" si="187"/>
        <v>-3.625</v>
      </c>
      <c r="AY230" s="9">
        <f t="shared" si="188"/>
        <v>1.25</v>
      </c>
      <c r="AZ230" s="9">
        <f t="shared" si="189"/>
        <v>0</v>
      </c>
      <c r="BA230" s="9">
        <f t="shared" si="190"/>
        <v>-3.25</v>
      </c>
      <c r="BB230" s="9">
        <f t="shared" si="191"/>
        <v>-3.12</v>
      </c>
      <c r="BC230" s="9">
        <f t="shared" si="192"/>
        <v>-7.31</v>
      </c>
      <c r="BD230" s="9">
        <f t="shared" si="193"/>
        <v>-8.620000000000001</v>
      </c>
      <c r="BE230" s="9">
        <f t="shared" si="194"/>
        <v>-10.620000000000001</v>
      </c>
      <c r="BF230" s="9">
        <f t="shared" si="195"/>
        <v>-10.995000000000001</v>
      </c>
      <c r="BG230" s="9">
        <f t="shared" si="196"/>
        <v>-5.56</v>
      </c>
      <c r="BH230" s="9">
        <f t="shared" si="197"/>
        <v>-0.62000000000000011</v>
      </c>
      <c r="BI230" s="9">
        <f t="shared" si="198"/>
        <v>-1.87</v>
      </c>
      <c r="BJ230" s="9">
        <f t="shared" si="199"/>
        <v>-6.12</v>
      </c>
    </row>
    <row r="231" spans="1:62" x14ac:dyDescent="0.2">
      <c r="A231" s="9">
        <f>data!M232-data!M231</f>
        <v>0.77320000000000277</v>
      </c>
      <c r="B231" s="9">
        <f>data!C232-data!C231</f>
        <v>0.69999999999999929</v>
      </c>
      <c r="C231" s="9">
        <f>data!D232-data!D231</f>
        <v>-0.15499999999999936</v>
      </c>
      <c r="D231" s="10">
        <f>data!B232-data!B231</f>
        <v>5.2499999999999991E-2</v>
      </c>
      <c r="E231" s="9">
        <f>data!E231-data!G231</f>
        <v>1.9694</v>
      </c>
      <c r="F231" s="9">
        <f>(data!E231-data!F231)-(data!G231-data!H231)</f>
        <v>1.4137999999999999</v>
      </c>
      <c r="G231" s="9">
        <f t="shared" si="150"/>
        <v>0.35550000000000037</v>
      </c>
      <c r="H231" s="9">
        <f t="shared" si="151"/>
        <v>-3.0199999999999783E-2</v>
      </c>
      <c r="I231" s="9">
        <f>IF(data!M232&gt; 111.81,1,0)</f>
        <v>0</v>
      </c>
      <c r="J231" s="9">
        <f t="shared" si="152"/>
        <v>1</v>
      </c>
      <c r="K231" s="9">
        <f t="shared" si="153"/>
        <v>0</v>
      </c>
      <c r="L231" s="9">
        <f t="shared" si="154"/>
        <v>0.77320000000000277</v>
      </c>
      <c r="M231" s="9">
        <f>data!J231</f>
        <v>-27</v>
      </c>
      <c r="N231" s="9">
        <f>data!I231</f>
        <v>-44.5</v>
      </c>
      <c r="O231" s="9">
        <f>data!L231</f>
        <v>-37.5</v>
      </c>
      <c r="P231" s="9">
        <f>data!K231</f>
        <v>-23</v>
      </c>
      <c r="Q231" s="9">
        <f>data!R231</f>
        <v>-10.5</v>
      </c>
      <c r="R231" s="9">
        <f t="shared" si="155"/>
        <v>-1.875</v>
      </c>
      <c r="S231" s="9">
        <f t="shared" si="156"/>
        <v>-0.25</v>
      </c>
      <c r="T231" s="9">
        <f t="shared" si="157"/>
        <v>-3.5</v>
      </c>
      <c r="U231" s="9">
        <f t="shared" si="158"/>
        <v>-3.125</v>
      </c>
      <c r="V231" s="9">
        <f t="shared" si="159"/>
        <v>-1</v>
      </c>
      <c r="W231" s="9">
        <f t="shared" si="160"/>
        <v>-3.375</v>
      </c>
      <c r="X231" s="9">
        <f t="shared" si="161"/>
        <v>-5</v>
      </c>
      <c r="Y231" s="9">
        <f t="shared" si="162"/>
        <v>-3.5</v>
      </c>
      <c r="Z231" s="9">
        <f t="shared" si="163"/>
        <v>-1</v>
      </c>
      <c r="AA231" s="9">
        <f t="shared" si="164"/>
        <v>-0.13000000000000256</v>
      </c>
      <c r="AB231" s="9">
        <f t="shared" si="165"/>
        <v>1</v>
      </c>
      <c r="AC231" s="9">
        <f t="shared" si="166"/>
        <v>-1.5</v>
      </c>
      <c r="AD231" s="9">
        <f t="shared" si="167"/>
        <v>-0.59000000000000341</v>
      </c>
      <c r="AE231" s="9">
        <f t="shared" si="168"/>
        <v>5.6199999999999974</v>
      </c>
      <c r="AF231" s="9">
        <f t="shared" si="169"/>
        <v>6.125</v>
      </c>
      <c r="AG231" s="9">
        <f t="shared" si="170"/>
        <v>3</v>
      </c>
      <c r="AH231" s="9">
        <f t="shared" si="171"/>
        <v>3</v>
      </c>
      <c r="AI231" s="9">
        <f t="shared" si="172"/>
        <v>5.125</v>
      </c>
      <c r="AJ231" s="9">
        <f t="shared" si="173"/>
        <v>-1.8149999999999977</v>
      </c>
      <c r="AK231" s="9">
        <f t="shared" si="174"/>
        <v>-1</v>
      </c>
      <c r="AL231" s="9">
        <f t="shared" si="175"/>
        <v>-2.5</v>
      </c>
      <c r="AM231" s="9">
        <f t="shared" si="176"/>
        <v>-2.1899999999999977</v>
      </c>
      <c r="AN231" s="9">
        <f t="shared" si="177"/>
        <v>4</v>
      </c>
      <c r="AO231" s="9">
        <f t="shared" si="178"/>
        <v>5.75</v>
      </c>
      <c r="AP231" s="9">
        <f t="shared" si="179"/>
        <v>3.5</v>
      </c>
      <c r="AQ231" s="9">
        <f t="shared" si="180"/>
        <v>1.5</v>
      </c>
      <c r="AR231" s="9">
        <f t="shared" si="181"/>
        <v>1.5</v>
      </c>
      <c r="AS231" s="9">
        <f t="shared" si="182"/>
        <v>-3.3150000000000013</v>
      </c>
      <c r="AT231" s="9">
        <f t="shared" si="183"/>
        <v>-5</v>
      </c>
      <c r="AU231" s="9">
        <f t="shared" si="184"/>
        <v>-6.5</v>
      </c>
      <c r="AV231" s="9">
        <f t="shared" si="185"/>
        <v>-6.375</v>
      </c>
      <c r="AW231" s="9">
        <f t="shared" si="186"/>
        <v>0.125</v>
      </c>
      <c r="AX231" s="9">
        <f t="shared" si="187"/>
        <v>5</v>
      </c>
      <c r="AY231" s="9">
        <f t="shared" si="188"/>
        <v>3.75</v>
      </c>
      <c r="AZ231" s="9">
        <f t="shared" si="189"/>
        <v>0.5</v>
      </c>
      <c r="BA231" s="9">
        <f t="shared" si="190"/>
        <v>-1</v>
      </c>
      <c r="BB231" s="9">
        <f t="shared" si="191"/>
        <v>-4.1899999999999995</v>
      </c>
      <c r="BC231" s="9">
        <f t="shared" si="192"/>
        <v>-5.5</v>
      </c>
      <c r="BD231" s="9">
        <f t="shared" si="193"/>
        <v>-7.5</v>
      </c>
      <c r="BE231" s="9">
        <f t="shared" si="194"/>
        <v>-7.875</v>
      </c>
      <c r="BF231" s="9">
        <f t="shared" si="195"/>
        <v>-2.4399999999999995</v>
      </c>
      <c r="BG231" s="9">
        <f t="shared" si="196"/>
        <v>2.5</v>
      </c>
      <c r="BH231" s="9">
        <f t="shared" si="197"/>
        <v>1.25</v>
      </c>
      <c r="BI231" s="9">
        <f t="shared" si="198"/>
        <v>-3</v>
      </c>
      <c r="BJ231" s="9">
        <f t="shared" si="199"/>
        <v>-5.5650000000000013</v>
      </c>
    </row>
    <row r="232" spans="1:62" x14ac:dyDescent="0.2">
      <c r="A232" s="9">
        <f>data!M233-data!M232</f>
        <v>-0.20520000000000493</v>
      </c>
      <c r="B232" s="9">
        <f>data!C233-data!C232</f>
        <v>-1.4700000000000024</v>
      </c>
      <c r="C232" s="9">
        <f>data!D233-data!D232</f>
        <v>-0.22250000000000014</v>
      </c>
      <c r="D232" s="10">
        <f>data!B233-data!B232</f>
        <v>0.125</v>
      </c>
      <c r="E232" s="9">
        <f>data!E232-data!G232</f>
        <v>2.3249000000000004</v>
      </c>
      <c r="F232" s="9">
        <f>(data!E232-data!F232)-(data!G232-data!H232)</f>
        <v>1.3836000000000002</v>
      </c>
      <c r="G232" s="9">
        <f t="shared" si="150"/>
        <v>-5.4300000000000459E-2</v>
      </c>
      <c r="H232" s="9">
        <f t="shared" si="151"/>
        <v>4.1999999999999815E-3</v>
      </c>
      <c r="I232" s="9">
        <f>IF(data!M233&gt; 111.81,1,0)</f>
        <v>0</v>
      </c>
      <c r="J232" s="9">
        <f t="shared" si="152"/>
        <v>1</v>
      </c>
      <c r="K232" s="9">
        <f t="shared" si="153"/>
        <v>0</v>
      </c>
      <c r="L232" s="9">
        <f t="shared" si="154"/>
        <v>-0.20520000000000493</v>
      </c>
      <c r="M232" s="9">
        <f>data!J232</f>
        <v>-28.875</v>
      </c>
      <c r="N232" s="9">
        <f>data!I232</f>
        <v>-44.63</v>
      </c>
      <c r="O232" s="9">
        <f>data!L232</f>
        <v>-39.314999999999998</v>
      </c>
      <c r="P232" s="9">
        <f>data!K232</f>
        <v>-26.315000000000001</v>
      </c>
      <c r="Q232" s="9">
        <f>data!R232</f>
        <v>-14.69</v>
      </c>
      <c r="R232" s="9">
        <f t="shared" si="155"/>
        <v>1.625</v>
      </c>
      <c r="S232" s="9">
        <f t="shared" si="156"/>
        <v>-1.625</v>
      </c>
      <c r="T232" s="9">
        <f t="shared" si="157"/>
        <v>-1.25</v>
      </c>
      <c r="U232" s="9">
        <f t="shared" si="158"/>
        <v>0.875</v>
      </c>
      <c r="V232" s="9">
        <f t="shared" si="159"/>
        <v>-1.5</v>
      </c>
      <c r="W232" s="9">
        <f t="shared" si="160"/>
        <v>-3.125</v>
      </c>
      <c r="X232" s="9">
        <f t="shared" si="161"/>
        <v>-1.625</v>
      </c>
      <c r="Y232" s="9">
        <f t="shared" si="162"/>
        <v>0.875</v>
      </c>
      <c r="Z232" s="9">
        <f t="shared" si="163"/>
        <v>1.375</v>
      </c>
      <c r="AA232" s="9">
        <f t="shared" si="164"/>
        <v>1.1300000000000026</v>
      </c>
      <c r="AB232" s="9">
        <f t="shared" si="165"/>
        <v>-1.3699999999999974</v>
      </c>
      <c r="AC232" s="9">
        <f t="shared" si="166"/>
        <v>-0.46000000000000085</v>
      </c>
      <c r="AD232" s="9">
        <f t="shared" si="167"/>
        <v>5.75</v>
      </c>
      <c r="AE232" s="9">
        <f t="shared" si="168"/>
        <v>6.2550000000000026</v>
      </c>
      <c r="AF232" s="9">
        <f t="shared" si="169"/>
        <v>3.1300000000000026</v>
      </c>
      <c r="AG232" s="9">
        <f t="shared" si="170"/>
        <v>3.1300000000000026</v>
      </c>
      <c r="AH232" s="9">
        <f t="shared" si="171"/>
        <v>5.2550000000000026</v>
      </c>
      <c r="AI232" s="9">
        <f t="shared" si="172"/>
        <v>7.1300000000000026</v>
      </c>
      <c r="AJ232" s="9">
        <f t="shared" si="173"/>
        <v>0.81499999999999773</v>
      </c>
      <c r="AK232" s="9">
        <f t="shared" si="174"/>
        <v>-0.68500000000000227</v>
      </c>
      <c r="AL232" s="9">
        <f t="shared" si="175"/>
        <v>-0.375</v>
      </c>
      <c r="AM232" s="9">
        <f t="shared" si="176"/>
        <v>5.8149999999999977</v>
      </c>
      <c r="AN232" s="9">
        <f t="shared" si="177"/>
        <v>7.5649999999999977</v>
      </c>
      <c r="AO232" s="9">
        <f t="shared" si="178"/>
        <v>5.3149999999999977</v>
      </c>
      <c r="AP232" s="9">
        <f t="shared" si="179"/>
        <v>3.3149999999999977</v>
      </c>
      <c r="AQ232" s="9">
        <f t="shared" si="180"/>
        <v>3.3149999999999977</v>
      </c>
      <c r="AR232" s="9">
        <f t="shared" si="181"/>
        <v>4.0649999999999977</v>
      </c>
      <c r="AS232" s="9">
        <f t="shared" si="182"/>
        <v>-1.6849999999999987</v>
      </c>
      <c r="AT232" s="9">
        <f t="shared" si="183"/>
        <v>-3.1849999999999987</v>
      </c>
      <c r="AU232" s="9">
        <f t="shared" si="184"/>
        <v>-3.0599999999999987</v>
      </c>
      <c r="AV232" s="9">
        <f t="shared" si="185"/>
        <v>3.4400000000000013</v>
      </c>
      <c r="AW232" s="9">
        <f t="shared" si="186"/>
        <v>8.3150000000000013</v>
      </c>
      <c r="AX232" s="9">
        <f t="shared" si="187"/>
        <v>7.0650000000000013</v>
      </c>
      <c r="AY232" s="9">
        <f t="shared" si="188"/>
        <v>3.8150000000000013</v>
      </c>
      <c r="AZ232" s="9">
        <f t="shared" si="189"/>
        <v>2.3150000000000013</v>
      </c>
      <c r="BA232" s="9">
        <f t="shared" si="190"/>
        <v>1.5650000000000013</v>
      </c>
      <c r="BB232" s="9">
        <f t="shared" si="191"/>
        <v>-1.3100000000000005</v>
      </c>
      <c r="BC232" s="9">
        <f t="shared" si="192"/>
        <v>-3.3100000000000005</v>
      </c>
      <c r="BD232" s="9">
        <f t="shared" si="193"/>
        <v>-3.6850000000000005</v>
      </c>
      <c r="BE232" s="9">
        <f t="shared" si="194"/>
        <v>1.75</v>
      </c>
      <c r="BF232" s="9">
        <f t="shared" si="195"/>
        <v>6.6899999999999995</v>
      </c>
      <c r="BG232" s="9">
        <f t="shared" si="196"/>
        <v>5.4399999999999995</v>
      </c>
      <c r="BH232" s="9">
        <f t="shared" si="197"/>
        <v>1.1899999999999995</v>
      </c>
      <c r="BI232" s="9">
        <f t="shared" si="198"/>
        <v>-1.3750000000000018</v>
      </c>
      <c r="BJ232" s="9">
        <f t="shared" si="199"/>
        <v>-3.5600000000000005</v>
      </c>
    </row>
    <row r="233" spans="1:62" x14ac:dyDescent="0.2">
      <c r="A233" s="9">
        <f>data!M234-data!M233</f>
        <v>0.19650000000000034</v>
      </c>
      <c r="B233" s="9">
        <f>data!C234-data!C233</f>
        <v>-0.16000000000000014</v>
      </c>
      <c r="C233" s="9">
        <f>data!D234-data!D233</f>
        <v>0.28250000000000064</v>
      </c>
      <c r="D233" s="10">
        <f>data!B234-data!B233</f>
        <v>-0.22250000000000014</v>
      </c>
      <c r="E233" s="9">
        <f>data!E233-data!G233</f>
        <v>2.2706</v>
      </c>
      <c r="F233" s="9">
        <f>(data!E233-data!F233)-(data!G233-data!H233)</f>
        <v>1.3878000000000001</v>
      </c>
      <c r="G233" s="9">
        <f t="shared" si="150"/>
        <v>5.8200000000000252E-2</v>
      </c>
      <c r="H233" s="9">
        <f t="shared" si="151"/>
        <v>0.10120000000000018</v>
      </c>
      <c r="I233" s="9">
        <f>IF(data!M234&gt; 111.81,1,0)</f>
        <v>0</v>
      </c>
      <c r="J233" s="9">
        <f t="shared" si="152"/>
        <v>1</v>
      </c>
      <c r="K233" s="9">
        <f t="shared" si="153"/>
        <v>0</v>
      </c>
      <c r="L233" s="9">
        <f t="shared" si="154"/>
        <v>0.19650000000000034</v>
      </c>
      <c r="M233" s="9">
        <f>data!J233</f>
        <v>-27.25</v>
      </c>
      <c r="N233" s="9">
        <f>data!I233</f>
        <v>-43.5</v>
      </c>
      <c r="O233" s="9">
        <f>data!L233</f>
        <v>-38.5</v>
      </c>
      <c r="P233" s="9">
        <f>data!K233</f>
        <v>-28</v>
      </c>
      <c r="Q233" s="9">
        <f>data!R233</f>
        <v>-16</v>
      </c>
      <c r="R233" s="9">
        <f t="shared" si="155"/>
        <v>-3.25</v>
      </c>
      <c r="S233" s="9">
        <f t="shared" si="156"/>
        <v>-2.875</v>
      </c>
      <c r="T233" s="9">
        <f t="shared" si="157"/>
        <v>-0.75</v>
      </c>
      <c r="U233" s="9">
        <f t="shared" si="158"/>
        <v>-3.125</v>
      </c>
      <c r="V233" s="9">
        <f t="shared" si="159"/>
        <v>-4.75</v>
      </c>
      <c r="W233" s="9">
        <f t="shared" si="160"/>
        <v>-3.25</v>
      </c>
      <c r="X233" s="9">
        <f t="shared" si="161"/>
        <v>-0.75</v>
      </c>
      <c r="Y233" s="9">
        <f t="shared" si="162"/>
        <v>-0.25</v>
      </c>
      <c r="Z233" s="9">
        <f t="shared" si="163"/>
        <v>0.68499999999999872</v>
      </c>
      <c r="AA233" s="9">
        <f t="shared" si="164"/>
        <v>-2.5</v>
      </c>
      <c r="AB233" s="9">
        <f t="shared" si="165"/>
        <v>-1.5900000000000034</v>
      </c>
      <c r="AC233" s="9">
        <f t="shared" si="166"/>
        <v>4.6199999999999974</v>
      </c>
      <c r="AD233" s="9">
        <f t="shared" si="167"/>
        <v>5.125</v>
      </c>
      <c r="AE233" s="9">
        <f t="shared" si="168"/>
        <v>2</v>
      </c>
      <c r="AF233" s="9">
        <f t="shared" si="169"/>
        <v>2</v>
      </c>
      <c r="AG233" s="9">
        <f t="shared" si="170"/>
        <v>4.125</v>
      </c>
      <c r="AH233" s="9">
        <f t="shared" si="171"/>
        <v>6</v>
      </c>
      <c r="AI233" s="9">
        <f t="shared" si="172"/>
        <v>8.5600000000000023</v>
      </c>
      <c r="AJ233" s="9">
        <f t="shared" si="173"/>
        <v>-1.5</v>
      </c>
      <c r="AK233" s="9">
        <f t="shared" si="174"/>
        <v>-1.1899999999999977</v>
      </c>
      <c r="AL233" s="9">
        <f t="shared" si="175"/>
        <v>5</v>
      </c>
      <c r="AM233" s="9">
        <f t="shared" si="176"/>
        <v>6.75</v>
      </c>
      <c r="AN233" s="9">
        <f t="shared" si="177"/>
        <v>4.5</v>
      </c>
      <c r="AO233" s="9">
        <f t="shared" si="178"/>
        <v>2.5</v>
      </c>
      <c r="AP233" s="9">
        <f t="shared" si="179"/>
        <v>2.5</v>
      </c>
      <c r="AQ233" s="9">
        <f t="shared" si="180"/>
        <v>3.25</v>
      </c>
      <c r="AR233" s="9">
        <f t="shared" si="181"/>
        <v>6.6849999999999987</v>
      </c>
      <c r="AS233" s="9">
        <f t="shared" si="182"/>
        <v>-1.5</v>
      </c>
      <c r="AT233" s="9">
        <f t="shared" si="183"/>
        <v>-1.375</v>
      </c>
      <c r="AU233" s="9">
        <f t="shared" si="184"/>
        <v>5.125</v>
      </c>
      <c r="AV233" s="9">
        <f t="shared" si="185"/>
        <v>10</v>
      </c>
      <c r="AW233" s="9">
        <f t="shared" si="186"/>
        <v>8.75</v>
      </c>
      <c r="AX233" s="9">
        <f t="shared" si="187"/>
        <v>5.5</v>
      </c>
      <c r="AY233" s="9">
        <f t="shared" si="188"/>
        <v>4</v>
      </c>
      <c r="AZ233" s="9">
        <f t="shared" si="189"/>
        <v>3.25</v>
      </c>
      <c r="BA233" s="9">
        <f t="shared" si="190"/>
        <v>5.5599999999999987</v>
      </c>
      <c r="BB233" s="9">
        <f t="shared" si="191"/>
        <v>-2</v>
      </c>
      <c r="BC233" s="9">
        <f t="shared" si="192"/>
        <v>-2.375</v>
      </c>
      <c r="BD233" s="9">
        <f t="shared" si="193"/>
        <v>3.0600000000000005</v>
      </c>
      <c r="BE233" s="9">
        <f t="shared" si="194"/>
        <v>8</v>
      </c>
      <c r="BF233" s="9">
        <f t="shared" si="195"/>
        <v>6.75</v>
      </c>
      <c r="BG233" s="9">
        <f t="shared" si="196"/>
        <v>2.5</v>
      </c>
      <c r="BH233" s="9">
        <f t="shared" si="197"/>
        <v>-6.5000000000001279E-2</v>
      </c>
      <c r="BI233" s="9">
        <f t="shared" si="198"/>
        <v>-2.25</v>
      </c>
      <c r="BJ233" s="9">
        <f t="shared" si="199"/>
        <v>-6.5000000000001279E-2</v>
      </c>
    </row>
    <row r="234" spans="1:62" x14ac:dyDescent="0.2">
      <c r="A234" s="9">
        <f>data!M235-data!M234</f>
        <v>0.16100000000000136</v>
      </c>
      <c r="B234" s="9">
        <f>data!C235-data!C234</f>
        <v>-2.0599999999999987</v>
      </c>
      <c r="C234" s="9">
        <f>data!D235-data!D234</f>
        <v>2.7499999999999858E-2</v>
      </c>
      <c r="D234" s="10">
        <f>data!B235-data!B234</f>
        <v>-0.12749999999999995</v>
      </c>
      <c r="E234" s="9">
        <f>data!E234-data!G234</f>
        <v>2.3288000000000002</v>
      </c>
      <c r="F234" s="9">
        <f>(data!E234-data!F234)-(data!G234-data!H234)</f>
        <v>1.4890000000000003</v>
      </c>
      <c r="G234" s="9">
        <f t="shared" si="150"/>
        <v>-0.1964999999999999</v>
      </c>
      <c r="H234" s="9">
        <f t="shared" si="151"/>
        <v>-0.14589999999999992</v>
      </c>
      <c r="I234" s="9">
        <f>IF(data!M235&gt; 111.81,1,0)</f>
        <v>0</v>
      </c>
      <c r="J234" s="9">
        <f t="shared" si="152"/>
        <v>1</v>
      </c>
      <c r="K234" s="9">
        <f t="shared" si="153"/>
        <v>0</v>
      </c>
      <c r="L234" s="9">
        <f t="shared" si="154"/>
        <v>0.16100000000000136</v>
      </c>
      <c r="M234" s="9">
        <f>data!J234</f>
        <v>-30.5</v>
      </c>
      <c r="N234" s="9">
        <f>data!I234</f>
        <v>-46</v>
      </c>
      <c r="O234" s="9">
        <f>data!L234</f>
        <v>-40</v>
      </c>
      <c r="P234" s="9">
        <f>data!K234</f>
        <v>-29.5</v>
      </c>
      <c r="Q234" s="9">
        <f>data!R234</f>
        <v>-18</v>
      </c>
      <c r="R234" s="9">
        <f t="shared" si="155"/>
        <v>0.375</v>
      </c>
      <c r="S234" s="9">
        <f t="shared" si="156"/>
        <v>2.5</v>
      </c>
      <c r="T234" s="9">
        <f t="shared" si="157"/>
        <v>0.125</v>
      </c>
      <c r="U234" s="9">
        <f t="shared" si="158"/>
        <v>-1.5</v>
      </c>
      <c r="V234" s="9">
        <f t="shared" si="159"/>
        <v>0</v>
      </c>
      <c r="W234" s="9">
        <f t="shared" si="160"/>
        <v>2.5</v>
      </c>
      <c r="X234" s="9">
        <f t="shared" si="161"/>
        <v>3</v>
      </c>
      <c r="Y234" s="9">
        <f t="shared" si="162"/>
        <v>3.9349999999999987</v>
      </c>
      <c r="Z234" s="9">
        <f t="shared" si="163"/>
        <v>7.25</v>
      </c>
      <c r="AA234" s="9">
        <f t="shared" si="164"/>
        <v>0.90999999999999659</v>
      </c>
      <c r="AB234" s="9">
        <f t="shared" si="165"/>
        <v>7.1199999999999974</v>
      </c>
      <c r="AC234" s="9">
        <f t="shared" si="166"/>
        <v>7.625</v>
      </c>
      <c r="AD234" s="9">
        <f t="shared" si="167"/>
        <v>4.5</v>
      </c>
      <c r="AE234" s="9">
        <f t="shared" si="168"/>
        <v>4.5</v>
      </c>
      <c r="AF234" s="9">
        <f t="shared" si="169"/>
        <v>6.625</v>
      </c>
      <c r="AG234" s="9">
        <f t="shared" si="170"/>
        <v>8.5</v>
      </c>
      <c r="AH234" s="9">
        <f t="shared" si="171"/>
        <v>11.060000000000002</v>
      </c>
      <c r="AI234" s="9">
        <f t="shared" si="172"/>
        <v>13.375</v>
      </c>
      <c r="AJ234" s="9">
        <f t="shared" si="173"/>
        <v>0.31000000000000227</v>
      </c>
      <c r="AK234" s="9">
        <f t="shared" si="174"/>
        <v>6.5</v>
      </c>
      <c r="AL234" s="9">
        <f t="shared" si="175"/>
        <v>8.25</v>
      </c>
      <c r="AM234" s="9">
        <f t="shared" si="176"/>
        <v>6</v>
      </c>
      <c r="AN234" s="9">
        <f t="shared" si="177"/>
        <v>4</v>
      </c>
      <c r="AO234" s="9">
        <f t="shared" si="178"/>
        <v>4</v>
      </c>
      <c r="AP234" s="9">
        <f t="shared" si="179"/>
        <v>4.75</v>
      </c>
      <c r="AQ234" s="9">
        <f t="shared" si="180"/>
        <v>8.1849999999999987</v>
      </c>
      <c r="AR234" s="9">
        <f t="shared" si="181"/>
        <v>10.125</v>
      </c>
      <c r="AS234" s="9">
        <f t="shared" si="182"/>
        <v>0.125</v>
      </c>
      <c r="AT234" s="9">
        <f t="shared" si="183"/>
        <v>6.625</v>
      </c>
      <c r="AU234" s="9">
        <f t="shared" si="184"/>
        <v>11.5</v>
      </c>
      <c r="AV234" s="9">
        <f t="shared" si="185"/>
        <v>10.25</v>
      </c>
      <c r="AW234" s="9">
        <f t="shared" si="186"/>
        <v>7</v>
      </c>
      <c r="AX234" s="9">
        <f t="shared" si="187"/>
        <v>5.5</v>
      </c>
      <c r="AY234" s="9">
        <f t="shared" si="188"/>
        <v>4.75</v>
      </c>
      <c r="AZ234" s="9">
        <f t="shared" si="189"/>
        <v>7.0599999999999987</v>
      </c>
      <c r="BA234" s="9">
        <f t="shared" si="190"/>
        <v>10.25</v>
      </c>
      <c r="BB234" s="9">
        <f t="shared" si="191"/>
        <v>-0.375</v>
      </c>
      <c r="BC234" s="9">
        <f t="shared" si="192"/>
        <v>5.0600000000000005</v>
      </c>
      <c r="BD234" s="9">
        <f t="shared" si="193"/>
        <v>10</v>
      </c>
      <c r="BE234" s="9">
        <f t="shared" si="194"/>
        <v>8.75</v>
      </c>
      <c r="BF234" s="9">
        <f t="shared" si="195"/>
        <v>4.5</v>
      </c>
      <c r="BG234" s="9">
        <f t="shared" si="196"/>
        <v>1.9349999999999987</v>
      </c>
      <c r="BH234" s="9">
        <f t="shared" si="197"/>
        <v>-0.25</v>
      </c>
      <c r="BI234" s="9">
        <f t="shared" si="198"/>
        <v>1.9349999999999987</v>
      </c>
      <c r="BJ234" s="9">
        <f t="shared" si="199"/>
        <v>5.75</v>
      </c>
    </row>
    <row r="235" spans="1:62" x14ac:dyDescent="0.2">
      <c r="A235" s="9">
        <f>data!M236-data!M235</f>
        <v>0.12810000000000343</v>
      </c>
      <c r="B235" s="9">
        <f>data!C236-data!C235</f>
        <v>2.0199999999999996</v>
      </c>
      <c r="C235" s="9">
        <f>data!D236-data!D235</f>
        <v>-1.3475000000000001</v>
      </c>
      <c r="D235" s="10">
        <f>data!B236-data!B235</f>
        <v>-2.4999999999999467E-3</v>
      </c>
      <c r="E235" s="9">
        <f>data!E235-data!G235</f>
        <v>2.1323000000000003</v>
      </c>
      <c r="F235" s="9">
        <f>(data!E235-data!F235)-(data!G235-data!H235)</f>
        <v>1.3431000000000004</v>
      </c>
      <c r="G235" s="9">
        <f t="shared" si="150"/>
        <v>3.6199999999999566E-2</v>
      </c>
      <c r="H235" s="9">
        <f t="shared" si="151"/>
        <v>0.10909999999999953</v>
      </c>
      <c r="I235" s="9">
        <f>IF(data!M236&gt; 111.81,1,0)</f>
        <v>0</v>
      </c>
      <c r="J235" s="9">
        <f t="shared" si="152"/>
        <v>1</v>
      </c>
      <c r="K235" s="9">
        <f t="shared" si="153"/>
        <v>0</v>
      </c>
      <c r="L235" s="9">
        <f t="shared" si="154"/>
        <v>0.12810000000000343</v>
      </c>
      <c r="M235" s="9">
        <f>data!J235</f>
        <v>-30.125</v>
      </c>
      <c r="N235" s="9">
        <f>data!I235</f>
        <v>-45.09</v>
      </c>
      <c r="O235" s="9">
        <f>data!L235</f>
        <v>-39.69</v>
      </c>
      <c r="P235" s="9">
        <f>data!K235</f>
        <v>-29.375</v>
      </c>
      <c r="Q235" s="9">
        <f>data!R235</f>
        <v>-18.375</v>
      </c>
      <c r="R235" s="9">
        <f t="shared" si="155"/>
        <v>2.125</v>
      </c>
      <c r="S235" s="9">
        <f t="shared" si="156"/>
        <v>-0.25</v>
      </c>
      <c r="T235" s="9">
        <f t="shared" si="157"/>
        <v>-1.875</v>
      </c>
      <c r="U235" s="9">
        <f t="shared" si="158"/>
        <v>-0.375</v>
      </c>
      <c r="V235" s="9">
        <f t="shared" si="159"/>
        <v>2.125</v>
      </c>
      <c r="W235" s="9">
        <f t="shared" si="160"/>
        <v>2.625</v>
      </c>
      <c r="X235" s="9">
        <f t="shared" si="161"/>
        <v>3.5599999999999987</v>
      </c>
      <c r="Y235" s="9">
        <f t="shared" si="162"/>
        <v>6.875</v>
      </c>
      <c r="Z235" s="9">
        <f t="shared" si="163"/>
        <v>7.125</v>
      </c>
      <c r="AA235" s="9">
        <f t="shared" si="164"/>
        <v>6.2100000000000009</v>
      </c>
      <c r="AB235" s="9">
        <f t="shared" si="165"/>
        <v>6.7150000000000034</v>
      </c>
      <c r="AC235" s="9">
        <f t="shared" si="166"/>
        <v>3.5900000000000034</v>
      </c>
      <c r="AD235" s="9">
        <f t="shared" si="167"/>
        <v>3.5900000000000034</v>
      </c>
      <c r="AE235" s="9">
        <f t="shared" si="168"/>
        <v>5.7150000000000034</v>
      </c>
      <c r="AF235" s="9">
        <f t="shared" si="169"/>
        <v>7.5900000000000034</v>
      </c>
      <c r="AG235" s="9">
        <f t="shared" si="170"/>
        <v>10.150000000000006</v>
      </c>
      <c r="AH235" s="9">
        <f t="shared" si="171"/>
        <v>12.465000000000003</v>
      </c>
      <c r="AI235" s="9">
        <f t="shared" si="172"/>
        <v>11.090000000000003</v>
      </c>
      <c r="AJ235" s="9">
        <f t="shared" si="173"/>
        <v>6.1899999999999977</v>
      </c>
      <c r="AK235" s="9">
        <f t="shared" si="174"/>
        <v>7.9399999999999977</v>
      </c>
      <c r="AL235" s="9">
        <f t="shared" si="175"/>
        <v>5.6899999999999977</v>
      </c>
      <c r="AM235" s="9">
        <f t="shared" si="176"/>
        <v>3.6899999999999977</v>
      </c>
      <c r="AN235" s="9">
        <f t="shared" si="177"/>
        <v>3.6899999999999977</v>
      </c>
      <c r="AO235" s="9">
        <f t="shared" si="178"/>
        <v>4.4399999999999977</v>
      </c>
      <c r="AP235" s="9">
        <f t="shared" si="179"/>
        <v>7.8749999999999964</v>
      </c>
      <c r="AQ235" s="9">
        <f t="shared" si="180"/>
        <v>9.8149999999999977</v>
      </c>
      <c r="AR235" s="9">
        <f t="shared" si="181"/>
        <v>6.1899999999999977</v>
      </c>
      <c r="AS235" s="9">
        <f t="shared" si="182"/>
        <v>6.5</v>
      </c>
      <c r="AT235" s="9">
        <f t="shared" si="183"/>
        <v>11.375</v>
      </c>
      <c r="AU235" s="9">
        <f t="shared" si="184"/>
        <v>10.125</v>
      </c>
      <c r="AV235" s="9">
        <f t="shared" si="185"/>
        <v>6.875</v>
      </c>
      <c r="AW235" s="9">
        <f t="shared" si="186"/>
        <v>5.375</v>
      </c>
      <c r="AX235" s="9">
        <f t="shared" si="187"/>
        <v>4.625</v>
      </c>
      <c r="AY235" s="9">
        <f t="shared" si="188"/>
        <v>6.9349999999999987</v>
      </c>
      <c r="AZ235" s="9">
        <f t="shared" si="189"/>
        <v>10.125</v>
      </c>
      <c r="BA235" s="9">
        <f t="shared" si="190"/>
        <v>4.375</v>
      </c>
      <c r="BB235" s="9">
        <f t="shared" si="191"/>
        <v>5.4350000000000005</v>
      </c>
      <c r="BC235" s="9">
        <f t="shared" si="192"/>
        <v>10.375</v>
      </c>
      <c r="BD235" s="9">
        <f t="shared" si="193"/>
        <v>9.125</v>
      </c>
      <c r="BE235" s="9">
        <f t="shared" si="194"/>
        <v>4.875</v>
      </c>
      <c r="BF235" s="9">
        <f t="shared" si="195"/>
        <v>2.3099999999999987</v>
      </c>
      <c r="BG235" s="9">
        <f t="shared" si="196"/>
        <v>0.125</v>
      </c>
      <c r="BH235" s="9">
        <f t="shared" si="197"/>
        <v>2.3099999999999987</v>
      </c>
      <c r="BI235" s="9">
        <f t="shared" si="198"/>
        <v>6.125</v>
      </c>
      <c r="BJ235" s="9">
        <f t="shared" si="199"/>
        <v>-0.125</v>
      </c>
    </row>
    <row r="236" spans="1:62" x14ac:dyDescent="0.2">
      <c r="A236" s="9">
        <f>data!M237-data!M236</f>
        <v>0.76030000000000086</v>
      </c>
      <c r="B236" s="9">
        <f>data!C237-data!C236</f>
        <v>1.0700000000000003</v>
      </c>
      <c r="C236" s="9">
        <f>data!D237-data!D236</f>
        <v>2.0175000000000001</v>
      </c>
      <c r="D236" s="10">
        <f>data!B237-data!B236</f>
        <v>-0.5924999999999998</v>
      </c>
      <c r="E236" s="9">
        <f>data!E236-data!G236</f>
        <v>2.1684999999999999</v>
      </c>
      <c r="F236" s="9">
        <f>(data!E236-data!F236)-(data!G236-data!H236)</f>
        <v>1.4521999999999999</v>
      </c>
      <c r="G236" s="9">
        <f t="shared" si="150"/>
        <v>-0.17089999999999983</v>
      </c>
      <c r="H236" s="9">
        <f t="shared" si="151"/>
        <v>-0.10639999999999983</v>
      </c>
      <c r="I236" s="9">
        <f>IF(data!M237&gt; 111.81,1,0)</f>
        <v>0</v>
      </c>
      <c r="J236" s="9">
        <f t="shared" si="152"/>
        <v>1</v>
      </c>
      <c r="K236" s="9">
        <f t="shared" si="153"/>
        <v>0</v>
      </c>
      <c r="L236" s="9">
        <f t="shared" si="154"/>
        <v>0.76030000000000086</v>
      </c>
      <c r="M236" s="9">
        <f>data!J236</f>
        <v>-28</v>
      </c>
      <c r="N236" s="9">
        <f>data!I236</f>
        <v>-38.880000000000003</v>
      </c>
      <c r="O236" s="9">
        <f>data!L236</f>
        <v>-33.5</v>
      </c>
      <c r="P236" s="9">
        <f>data!K236</f>
        <v>-22.875</v>
      </c>
      <c r="Q236" s="9">
        <f>data!R236</f>
        <v>-12.94</v>
      </c>
      <c r="R236" s="9">
        <f t="shared" si="155"/>
        <v>-2.375</v>
      </c>
      <c r="S236" s="9">
        <f t="shared" si="156"/>
        <v>-4</v>
      </c>
      <c r="T236" s="9">
        <f t="shared" si="157"/>
        <v>-2.5</v>
      </c>
      <c r="U236" s="9">
        <f t="shared" si="158"/>
        <v>0</v>
      </c>
      <c r="V236" s="9">
        <f t="shared" si="159"/>
        <v>0.5</v>
      </c>
      <c r="W236" s="9">
        <f t="shared" si="160"/>
        <v>1.4349999999999987</v>
      </c>
      <c r="X236" s="9">
        <f t="shared" si="161"/>
        <v>4.75</v>
      </c>
      <c r="Y236" s="9">
        <f t="shared" si="162"/>
        <v>5</v>
      </c>
      <c r="Z236" s="9">
        <f t="shared" si="163"/>
        <v>-0.75</v>
      </c>
      <c r="AA236" s="9">
        <f t="shared" si="164"/>
        <v>0.50500000000000256</v>
      </c>
      <c r="AB236" s="9">
        <f t="shared" si="165"/>
        <v>-2.6199999999999974</v>
      </c>
      <c r="AC236" s="9">
        <f t="shared" si="166"/>
        <v>-2.6199999999999974</v>
      </c>
      <c r="AD236" s="9">
        <f t="shared" si="167"/>
        <v>-0.49499999999999744</v>
      </c>
      <c r="AE236" s="9">
        <f t="shared" si="168"/>
        <v>1.3800000000000026</v>
      </c>
      <c r="AF236" s="9">
        <f t="shared" si="169"/>
        <v>3.9400000000000048</v>
      </c>
      <c r="AG236" s="9">
        <f t="shared" si="170"/>
        <v>6.2550000000000026</v>
      </c>
      <c r="AH236" s="9">
        <f t="shared" si="171"/>
        <v>4.8800000000000026</v>
      </c>
      <c r="AI236" s="9">
        <f t="shared" si="172"/>
        <v>2.5050000000000026</v>
      </c>
      <c r="AJ236" s="9">
        <f t="shared" si="173"/>
        <v>1.75</v>
      </c>
      <c r="AK236" s="9">
        <f t="shared" si="174"/>
        <v>-0.5</v>
      </c>
      <c r="AL236" s="9">
        <f t="shared" si="175"/>
        <v>-2.5</v>
      </c>
      <c r="AM236" s="9">
        <f t="shared" si="176"/>
        <v>-2.5</v>
      </c>
      <c r="AN236" s="9">
        <f t="shared" si="177"/>
        <v>-1.75</v>
      </c>
      <c r="AO236" s="9">
        <f t="shared" si="178"/>
        <v>1.6849999999999987</v>
      </c>
      <c r="AP236" s="9">
        <f t="shared" si="179"/>
        <v>3.625</v>
      </c>
      <c r="AQ236" s="9">
        <f t="shared" si="180"/>
        <v>0</v>
      </c>
      <c r="AR236" s="9">
        <f t="shared" si="181"/>
        <v>-0.75</v>
      </c>
      <c r="AS236" s="9">
        <f t="shared" si="182"/>
        <v>4.875</v>
      </c>
      <c r="AT236" s="9">
        <f t="shared" si="183"/>
        <v>3.625</v>
      </c>
      <c r="AU236" s="9">
        <f t="shared" si="184"/>
        <v>0.375</v>
      </c>
      <c r="AV236" s="9">
        <f t="shared" si="185"/>
        <v>-1.125</v>
      </c>
      <c r="AW236" s="9">
        <f t="shared" si="186"/>
        <v>-1.875</v>
      </c>
      <c r="AX236" s="9">
        <f t="shared" si="187"/>
        <v>0.43499999999999872</v>
      </c>
      <c r="AY236" s="9">
        <f t="shared" si="188"/>
        <v>3.625</v>
      </c>
      <c r="AZ236" s="9">
        <f t="shared" si="189"/>
        <v>-2.125</v>
      </c>
      <c r="BA236" s="9">
        <f t="shared" si="190"/>
        <v>-1.75</v>
      </c>
      <c r="BB236" s="9">
        <f t="shared" si="191"/>
        <v>4.9399999999999995</v>
      </c>
      <c r="BC236" s="9">
        <f t="shared" si="192"/>
        <v>3.6899999999999995</v>
      </c>
      <c r="BD236" s="9">
        <f t="shared" si="193"/>
        <v>-0.5600000000000005</v>
      </c>
      <c r="BE236" s="9">
        <f t="shared" si="194"/>
        <v>-3.1250000000000018</v>
      </c>
      <c r="BF236" s="9">
        <f t="shared" si="195"/>
        <v>-5.3100000000000005</v>
      </c>
      <c r="BG236" s="9">
        <f t="shared" si="196"/>
        <v>-3.1250000000000018</v>
      </c>
      <c r="BH236" s="9">
        <f t="shared" si="197"/>
        <v>0.6899999999999995</v>
      </c>
      <c r="BI236" s="9">
        <f t="shared" si="198"/>
        <v>-5.5600000000000005</v>
      </c>
      <c r="BJ236" s="9">
        <f t="shared" si="199"/>
        <v>-4.6850000000000005</v>
      </c>
    </row>
    <row r="237" spans="1:62" x14ac:dyDescent="0.2">
      <c r="A237" s="9">
        <f>data!M238-data!M237</f>
        <v>-1.4783000000000044</v>
      </c>
      <c r="B237" s="9">
        <f>data!C238-data!C237</f>
        <v>-4.68</v>
      </c>
      <c r="C237" s="9">
        <f>data!D238-data!D237</f>
        <v>-0.78000000000000114</v>
      </c>
      <c r="D237" s="10">
        <f>data!B238-data!B237</f>
        <v>-0.17500000000000027</v>
      </c>
      <c r="E237" s="9">
        <f>data!E237-data!G237</f>
        <v>1.9976</v>
      </c>
      <c r="F237" s="9">
        <f>(data!E237-data!F237)-(data!G237-data!H237)</f>
        <v>1.3458000000000001</v>
      </c>
      <c r="G237" s="9">
        <f t="shared" si="150"/>
        <v>0.32069999999999976</v>
      </c>
      <c r="H237" s="9">
        <f t="shared" si="151"/>
        <v>0.2546999999999997</v>
      </c>
      <c r="I237" s="9">
        <f>IF(data!M238&gt; 111.81,1,0)</f>
        <v>0</v>
      </c>
      <c r="J237" s="9">
        <f t="shared" si="152"/>
        <v>1</v>
      </c>
      <c r="K237" s="9">
        <f t="shared" si="153"/>
        <v>0</v>
      </c>
      <c r="L237" s="9">
        <f t="shared" si="154"/>
        <v>-1.4783000000000044</v>
      </c>
      <c r="M237" s="9">
        <f>data!J237</f>
        <v>-30.375</v>
      </c>
      <c r="N237" s="9">
        <f>data!I237</f>
        <v>-38.375</v>
      </c>
      <c r="O237" s="9">
        <f>data!L237</f>
        <v>-31.75</v>
      </c>
      <c r="P237" s="9">
        <f>data!K237</f>
        <v>-18</v>
      </c>
      <c r="Q237" s="9">
        <f>data!R237</f>
        <v>-8</v>
      </c>
      <c r="R237" s="9">
        <f t="shared" si="155"/>
        <v>-1.625</v>
      </c>
      <c r="S237" s="9">
        <f t="shared" si="156"/>
        <v>-0.125</v>
      </c>
      <c r="T237" s="9">
        <f t="shared" si="157"/>
        <v>2.375</v>
      </c>
      <c r="U237" s="9">
        <f t="shared" si="158"/>
        <v>2.875</v>
      </c>
      <c r="V237" s="9">
        <f t="shared" si="159"/>
        <v>3.8099999999999987</v>
      </c>
      <c r="W237" s="9">
        <f t="shared" si="160"/>
        <v>7.125</v>
      </c>
      <c r="X237" s="9">
        <f t="shared" si="161"/>
        <v>7.375</v>
      </c>
      <c r="Y237" s="9">
        <f t="shared" si="162"/>
        <v>1.625</v>
      </c>
      <c r="Z237" s="9">
        <f t="shared" si="163"/>
        <v>4.5749999999999993</v>
      </c>
      <c r="AA237" s="9">
        <f t="shared" si="164"/>
        <v>-3.125</v>
      </c>
      <c r="AB237" s="9">
        <f t="shared" si="165"/>
        <v>-3.125</v>
      </c>
      <c r="AC237" s="9">
        <f t="shared" si="166"/>
        <v>-1</v>
      </c>
      <c r="AD237" s="9">
        <f t="shared" si="167"/>
        <v>0.875</v>
      </c>
      <c r="AE237" s="9">
        <f t="shared" si="168"/>
        <v>3.4350000000000023</v>
      </c>
      <c r="AF237" s="9">
        <f t="shared" si="169"/>
        <v>5.75</v>
      </c>
      <c r="AG237" s="9">
        <f t="shared" si="170"/>
        <v>4.375</v>
      </c>
      <c r="AH237" s="9">
        <f t="shared" si="171"/>
        <v>2</v>
      </c>
      <c r="AI237" s="9">
        <f t="shared" si="172"/>
        <v>2.6000000000000014</v>
      </c>
      <c r="AJ237" s="9">
        <f t="shared" si="173"/>
        <v>-2.25</v>
      </c>
      <c r="AK237" s="9">
        <f t="shared" si="174"/>
        <v>-4.25</v>
      </c>
      <c r="AL237" s="9">
        <f t="shared" si="175"/>
        <v>-4.25</v>
      </c>
      <c r="AM237" s="9">
        <f t="shared" si="176"/>
        <v>-3.5</v>
      </c>
      <c r="AN237" s="9">
        <f t="shared" si="177"/>
        <v>-6.5000000000001279E-2</v>
      </c>
      <c r="AO237" s="9">
        <f t="shared" si="178"/>
        <v>1.875</v>
      </c>
      <c r="AP237" s="9">
        <f t="shared" si="179"/>
        <v>-1.75</v>
      </c>
      <c r="AQ237" s="9">
        <f t="shared" si="180"/>
        <v>-2.5</v>
      </c>
      <c r="AR237" s="9">
        <f t="shared" si="181"/>
        <v>-2.75</v>
      </c>
      <c r="AS237" s="9">
        <f t="shared" si="182"/>
        <v>-1.25</v>
      </c>
      <c r="AT237" s="9">
        <f t="shared" si="183"/>
        <v>-4.5</v>
      </c>
      <c r="AU237" s="9">
        <f t="shared" si="184"/>
        <v>-6</v>
      </c>
      <c r="AV237" s="9">
        <f t="shared" si="185"/>
        <v>-6.75</v>
      </c>
      <c r="AW237" s="9">
        <f t="shared" si="186"/>
        <v>-4.4400000000000013</v>
      </c>
      <c r="AX237" s="9">
        <f t="shared" si="187"/>
        <v>-1.25</v>
      </c>
      <c r="AY237" s="9">
        <f t="shared" si="188"/>
        <v>-7</v>
      </c>
      <c r="AZ237" s="9">
        <f t="shared" si="189"/>
        <v>-6.625</v>
      </c>
      <c r="BA237" s="9">
        <f t="shared" si="190"/>
        <v>-6.5</v>
      </c>
      <c r="BB237" s="9">
        <f t="shared" si="191"/>
        <v>-1.25</v>
      </c>
      <c r="BC237" s="9">
        <f t="shared" si="192"/>
        <v>-5.5</v>
      </c>
      <c r="BD237" s="9">
        <f t="shared" si="193"/>
        <v>-8.0650000000000013</v>
      </c>
      <c r="BE237" s="9">
        <f t="shared" si="194"/>
        <v>-10.25</v>
      </c>
      <c r="BF237" s="9">
        <f t="shared" si="195"/>
        <v>-8.0650000000000013</v>
      </c>
      <c r="BG237" s="9">
        <f t="shared" si="196"/>
        <v>-4.25</v>
      </c>
      <c r="BH237" s="9">
        <f t="shared" si="197"/>
        <v>-10.5</v>
      </c>
      <c r="BI237" s="9">
        <f t="shared" si="198"/>
        <v>-9.625</v>
      </c>
      <c r="BJ237" s="9">
        <f t="shared" si="199"/>
        <v>-9.5</v>
      </c>
    </row>
    <row r="238" spans="1:62" x14ac:dyDescent="0.2">
      <c r="A238" s="9">
        <f>data!M239-data!M238</f>
        <v>-0.89900000000000091</v>
      </c>
      <c r="B238" s="9">
        <f>data!C239-data!C238</f>
        <v>-1.25</v>
      </c>
      <c r="C238" s="9">
        <f>data!D239-data!D238</f>
        <v>-0.52749999999999986</v>
      </c>
      <c r="D238" s="10">
        <f>data!B239-data!B238</f>
        <v>0.1575000000000002</v>
      </c>
      <c r="E238" s="9">
        <f>data!E238-data!G238</f>
        <v>2.3182999999999998</v>
      </c>
      <c r="F238" s="9">
        <f>(data!E238-data!F238)-(data!G238-data!H238)</f>
        <v>1.6004999999999998</v>
      </c>
      <c r="G238" s="9">
        <f t="shared" si="150"/>
        <v>-4.3499999999999872E-2</v>
      </c>
      <c r="H238" s="9">
        <f t="shared" si="151"/>
        <v>-4.3299999999999672E-2</v>
      </c>
      <c r="I238" s="9">
        <f>IF(data!M239&gt; 111.81,1,0)</f>
        <v>0</v>
      </c>
      <c r="J238" s="9">
        <f t="shared" si="152"/>
        <v>1</v>
      </c>
      <c r="K238" s="9">
        <f t="shared" si="153"/>
        <v>0</v>
      </c>
      <c r="L238" s="9">
        <f t="shared" si="154"/>
        <v>-0.89900000000000091</v>
      </c>
      <c r="M238" s="9">
        <f>data!J238</f>
        <v>-32</v>
      </c>
      <c r="N238" s="9">
        <f>data!I238</f>
        <v>-41.5</v>
      </c>
      <c r="O238" s="9">
        <f>data!L238</f>
        <v>-34</v>
      </c>
      <c r="P238" s="9">
        <f>data!K238</f>
        <v>-19.25</v>
      </c>
      <c r="Q238" s="9">
        <f>data!R238</f>
        <v>-9.25</v>
      </c>
      <c r="R238" s="9">
        <f t="shared" si="155"/>
        <v>1.5</v>
      </c>
      <c r="S238" s="9">
        <f t="shared" si="156"/>
        <v>4</v>
      </c>
      <c r="T238" s="9">
        <f t="shared" si="157"/>
        <v>4.5</v>
      </c>
      <c r="U238" s="9">
        <f t="shared" si="158"/>
        <v>5.4349999999999987</v>
      </c>
      <c r="V238" s="9">
        <f t="shared" si="159"/>
        <v>8.75</v>
      </c>
      <c r="W238" s="9">
        <f t="shared" si="160"/>
        <v>9</v>
      </c>
      <c r="X238" s="9">
        <f t="shared" si="161"/>
        <v>3.25</v>
      </c>
      <c r="Y238" s="9">
        <f t="shared" si="162"/>
        <v>6.1999999999999993</v>
      </c>
      <c r="Z238" s="9">
        <f t="shared" si="163"/>
        <v>5</v>
      </c>
      <c r="AA238" s="9">
        <f t="shared" si="164"/>
        <v>0</v>
      </c>
      <c r="AB238" s="9">
        <f t="shared" si="165"/>
        <v>2.125</v>
      </c>
      <c r="AC238" s="9">
        <f t="shared" si="166"/>
        <v>4</v>
      </c>
      <c r="AD238" s="9">
        <f t="shared" si="167"/>
        <v>6.5600000000000023</v>
      </c>
      <c r="AE238" s="9">
        <f t="shared" si="168"/>
        <v>8.875</v>
      </c>
      <c r="AF238" s="9">
        <f t="shared" si="169"/>
        <v>7.5</v>
      </c>
      <c r="AG238" s="9">
        <f t="shared" si="170"/>
        <v>5.125</v>
      </c>
      <c r="AH238" s="9">
        <f t="shared" si="171"/>
        <v>5.7250000000000014</v>
      </c>
      <c r="AI238" s="9">
        <f t="shared" si="172"/>
        <v>5.75</v>
      </c>
      <c r="AJ238" s="9">
        <f t="shared" si="173"/>
        <v>-2</v>
      </c>
      <c r="AK238" s="9">
        <f t="shared" si="174"/>
        <v>-2</v>
      </c>
      <c r="AL238" s="9">
        <f t="shared" si="175"/>
        <v>-1.25</v>
      </c>
      <c r="AM238" s="9">
        <f t="shared" si="176"/>
        <v>2.1849999999999987</v>
      </c>
      <c r="AN238" s="9">
        <f t="shared" si="177"/>
        <v>4.125</v>
      </c>
      <c r="AO238" s="9">
        <f t="shared" si="178"/>
        <v>0.5</v>
      </c>
      <c r="AP238" s="9">
        <f t="shared" si="179"/>
        <v>-0.25</v>
      </c>
      <c r="AQ238" s="9">
        <f t="shared" si="180"/>
        <v>-0.5</v>
      </c>
      <c r="AR238" s="9">
        <f t="shared" si="181"/>
        <v>-1</v>
      </c>
      <c r="AS238" s="9">
        <f t="shared" si="182"/>
        <v>-3.25</v>
      </c>
      <c r="AT238" s="9">
        <f t="shared" si="183"/>
        <v>-4.75</v>
      </c>
      <c r="AU238" s="9">
        <f t="shared" si="184"/>
        <v>-5.5</v>
      </c>
      <c r="AV238" s="9">
        <f t="shared" si="185"/>
        <v>-3.1900000000000013</v>
      </c>
      <c r="AW238" s="9">
        <f t="shared" si="186"/>
        <v>0</v>
      </c>
      <c r="AX238" s="9">
        <f t="shared" si="187"/>
        <v>-5.75</v>
      </c>
      <c r="AY238" s="9">
        <f t="shared" si="188"/>
        <v>-5.375</v>
      </c>
      <c r="AZ238" s="9">
        <f t="shared" si="189"/>
        <v>-5.25</v>
      </c>
      <c r="BA238" s="9">
        <f t="shared" si="190"/>
        <v>-5.75</v>
      </c>
      <c r="BB238" s="9">
        <f t="shared" si="191"/>
        <v>-4.25</v>
      </c>
      <c r="BC238" s="9">
        <f t="shared" si="192"/>
        <v>-6.8150000000000013</v>
      </c>
      <c r="BD238" s="9">
        <f t="shared" si="193"/>
        <v>-9</v>
      </c>
      <c r="BE238" s="9">
        <f t="shared" si="194"/>
        <v>-6.8150000000000013</v>
      </c>
      <c r="BF238" s="9">
        <f t="shared" si="195"/>
        <v>-3</v>
      </c>
      <c r="BG238" s="9">
        <f t="shared" si="196"/>
        <v>-9.25</v>
      </c>
      <c r="BH238" s="9">
        <f t="shared" si="197"/>
        <v>-8.375</v>
      </c>
      <c r="BI238" s="9">
        <f t="shared" si="198"/>
        <v>-8.25</v>
      </c>
      <c r="BJ238" s="9">
        <f t="shared" si="199"/>
        <v>-8.5</v>
      </c>
    </row>
    <row r="239" spans="1:62" x14ac:dyDescent="0.2">
      <c r="A239" s="9">
        <f>data!M240-data!M239</f>
        <v>-0.45199999999999818</v>
      </c>
      <c r="B239" s="9">
        <f>data!C240-data!C239</f>
        <v>2.8300000000000018</v>
      </c>
      <c r="C239" s="9">
        <f>data!D240-data!D239</f>
        <v>-6.4999999999999503E-2</v>
      </c>
      <c r="D239" s="10">
        <f>data!B240-data!B239</f>
        <v>3.2499999999999751E-2</v>
      </c>
      <c r="E239" s="9">
        <f>data!E239-data!G239</f>
        <v>2.2747999999999999</v>
      </c>
      <c r="F239" s="9">
        <f>(data!E239-data!F239)-(data!G239-data!H239)</f>
        <v>1.5572000000000001</v>
      </c>
      <c r="G239" s="9">
        <f t="shared" si="150"/>
        <v>-0.21419999999999995</v>
      </c>
      <c r="H239" s="9">
        <f t="shared" si="151"/>
        <v>-0.32290000000000019</v>
      </c>
      <c r="I239" s="9">
        <f>IF(data!M240&gt; 111.81,1,0)</f>
        <v>0</v>
      </c>
      <c r="J239" s="9">
        <f t="shared" si="152"/>
        <v>1</v>
      </c>
      <c r="K239" s="9">
        <f t="shared" si="153"/>
        <v>0</v>
      </c>
      <c r="L239" s="9">
        <f t="shared" si="154"/>
        <v>-0.45199999999999818</v>
      </c>
      <c r="M239" s="9">
        <f>data!J239</f>
        <v>-30.5</v>
      </c>
      <c r="N239" s="9">
        <f>data!I239</f>
        <v>-41.5</v>
      </c>
      <c r="O239" s="9">
        <f>data!L239</f>
        <v>-36</v>
      </c>
      <c r="P239" s="9">
        <f>data!K239</f>
        <v>-22.5</v>
      </c>
      <c r="Q239" s="9">
        <f>data!R239</f>
        <v>-13.5</v>
      </c>
      <c r="R239" s="9">
        <f t="shared" si="155"/>
        <v>2.5</v>
      </c>
      <c r="S239" s="9">
        <f t="shared" si="156"/>
        <v>3</v>
      </c>
      <c r="T239" s="9">
        <f t="shared" si="157"/>
        <v>3.9349999999999987</v>
      </c>
      <c r="U239" s="9">
        <f t="shared" si="158"/>
        <v>7.25</v>
      </c>
      <c r="V239" s="9">
        <f t="shared" si="159"/>
        <v>7.5</v>
      </c>
      <c r="W239" s="9">
        <f t="shared" si="160"/>
        <v>1.75</v>
      </c>
      <c r="X239" s="9">
        <f t="shared" si="161"/>
        <v>4.6999999999999993</v>
      </c>
      <c r="Y239" s="9">
        <f t="shared" si="162"/>
        <v>3.5</v>
      </c>
      <c r="Z239" s="9">
        <f t="shared" si="163"/>
        <v>3.4375</v>
      </c>
      <c r="AA239" s="9">
        <f t="shared" si="164"/>
        <v>2.125</v>
      </c>
      <c r="AB239" s="9">
        <f t="shared" si="165"/>
        <v>4</v>
      </c>
      <c r="AC239" s="9">
        <f t="shared" si="166"/>
        <v>6.5600000000000023</v>
      </c>
      <c r="AD239" s="9">
        <f t="shared" si="167"/>
        <v>8.875</v>
      </c>
      <c r="AE239" s="9">
        <f t="shared" si="168"/>
        <v>7.5</v>
      </c>
      <c r="AF239" s="9">
        <f t="shared" si="169"/>
        <v>5.125</v>
      </c>
      <c r="AG239" s="9">
        <f t="shared" si="170"/>
        <v>5.7250000000000014</v>
      </c>
      <c r="AH239" s="9">
        <f t="shared" si="171"/>
        <v>5.75</v>
      </c>
      <c r="AI239" s="9">
        <f t="shared" si="172"/>
        <v>5.5</v>
      </c>
      <c r="AJ239" s="9">
        <f t="shared" si="173"/>
        <v>0</v>
      </c>
      <c r="AK239" s="9">
        <f t="shared" si="174"/>
        <v>0.75</v>
      </c>
      <c r="AL239" s="9">
        <f t="shared" si="175"/>
        <v>4.1849999999999987</v>
      </c>
      <c r="AM239" s="9">
        <f t="shared" si="176"/>
        <v>6.125</v>
      </c>
      <c r="AN239" s="9">
        <f t="shared" si="177"/>
        <v>2.5</v>
      </c>
      <c r="AO239" s="9">
        <f t="shared" si="178"/>
        <v>1.75</v>
      </c>
      <c r="AP239" s="9">
        <f t="shared" si="179"/>
        <v>1.5</v>
      </c>
      <c r="AQ239" s="9">
        <f t="shared" si="180"/>
        <v>1</v>
      </c>
      <c r="AR239" s="9">
        <f t="shared" si="181"/>
        <v>1</v>
      </c>
      <c r="AS239" s="9">
        <f t="shared" si="182"/>
        <v>-1.5</v>
      </c>
      <c r="AT239" s="9">
        <f t="shared" si="183"/>
        <v>-2.25</v>
      </c>
      <c r="AU239" s="9">
        <f t="shared" si="184"/>
        <v>5.9999999999998721E-2</v>
      </c>
      <c r="AV239" s="9">
        <f t="shared" si="185"/>
        <v>3.25</v>
      </c>
      <c r="AW239" s="9">
        <f t="shared" si="186"/>
        <v>-2.5</v>
      </c>
      <c r="AX239" s="9">
        <f t="shared" si="187"/>
        <v>-2.125</v>
      </c>
      <c r="AY239" s="9">
        <f t="shared" si="188"/>
        <v>-2</v>
      </c>
      <c r="AZ239" s="9">
        <f t="shared" si="189"/>
        <v>-2.5</v>
      </c>
      <c r="BA239" s="9">
        <f t="shared" si="190"/>
        <v>-2.5</v>
      </c>
      <c r="BB239" s="9">
        <f t="shared" si="191"/>
        <v>-2.5650000000000013</v>
      </c>
      <c r="BC239" s="9">
        <f t="shared" si="192"/>
        <v>-4.75</v>
      </c>
      <c r="BD239" s="9">
        <f t="shared" si="193"/>
        <v>-2.5650000000000013</v>
      </c>
      <c r="BE239" s="9">
        <f t="shared" si="194"/>
        <v>1.25</v>
      </c>
      <c r="BF239" s="9">
        <f t="shared" si="195"/>
        <v>-5</v>
      </c>
      <c r="BG239" s="9">
        <f t="shared" si="196"/>
        <v>-4.125</v>
      </c>
      <c r="BH239" s="9">
        <f t="shared" si="197"/>
        <v>-4</v>
      </c>
      <c r="BI239" s="9">
        <f t="shared" si="198"/>
        <v>-4.25</v>
      </c>
      <c r="BJ239" s="9">
        <f t="shared" si="199"/>
        <v>-4.5</v>
      </c>
    </row>
    <row r="240" spans="1:62" x14ac:dyDescent="0.2">
      <c r="A240" s="9">
        <f>data!M241-data!M240</f>
        <v>0.21659999999999968</v>
      </c>
      <c r="B240" s="9">
        <f>data!C241-data!C240</f>
        <v>-1.1600000000000001</v>
      </c>
      <c r="C240" s="9">
        <f>data!D241-data!D240</f>
        <v>0.39750000000000085</v>
      </c>
      <c r="D240" s="10">
        <f>data!B241-data!B240</f>
        <v>0.1050000000000002</v>
      </c>
      <c r="E240" s="9">
        <f>data!E240-data!G240</f>
        <v>2.0606</v>
      </c>
      <c r="F240" s="9">
        <f>(data!E240-data!F240)-(data!G240-data!H240)</f>
        <v>1.2343</v>
      </c>
      <c r="G240" s="9">
        <f t="shared" si="150"/>
        <v>0.34960000000000013</v>
      </c>
      <c r="H240" s="9">
        <f t="shared" si="151"/>
        <v>0.15120000000000045</v>
      </c>
      <c r="I240" s="9">
        <f>IF(data!M241&gt; 111.81,1,0)</f>
        <v>0</v>
      </c>
      <c r="J240" s="9">
        <f t="shared" si="152"/>
        <v>1</v>
      </c>
      <c r="K240" s="9">
        <f t="shared" si="153"/>
        <v>0</v>
      </c>
      <c r="L240" s="9">
        <f t="shared" si="154"/>
        <v>0.21659999999999968</v>
      </c>
      <c r="M240" s="9">
        <f>data!J240</f>
        <v>-28</v>
      </c>
      <c r="N240" s="9">
        <f>data!I240</f>
        <v>-39.375</v>
      </c>
      <c r="O240" s="9">
        <f>data!L240</f>
        <v>-36</v>
      </c>
      <c r="P240" s="9">
        <f>data!K240</f>
        <v>-24</v>
      </c>
      <c r="Q240" s="9">
        <f>data!R240</f>
        <v>-16.065000000000001</v>
      </c>
      <c r="R240" s="9">
        <f t="shared" si="155"/>
        <v>0.5</v>
      </c>
      <c r="S240" s="9">
        <f t="shared" si="156"/>
        <v>1.4349999999999987</v>
      </c>
      <c r="T240" s="9">
        <f t="shared" si="157"/>
        <v>4.75</v>
      </c>
      <c r="U240" s="9">
        <f t="shared" si="158"/>
        <v>5</v>
      </c>
      <c r="V240" s="9">
        <f t="shared" si="159"/>
        <v>-0.75</v>
      </c>
      <c r="W240" s="9">
        <f t="shared" si="160"/>
        <v>2.1999999999999993</v>
      </c>
      <c r="X240" s="9">
        <f t="shared" si="161"/>
        <v>1</v>
      </c>
      <c r="Y240" s="9">
        <f t="shared" si="162"/>
        <v>0.9375</v>
      </c>
      <c r="Z240" s="9">
        <f t="shared" si="163"/>
        <v>2.5</v>
      </c>
      <c r="AA240" s="9">
        <f t="shared" si="164"/>
        <v>1.875</v>
      </c>
      <c r="AB240" s="9">
        <f t="shared" si="165"/>
        <v>4.4350000000000023</v>
      </c>
      <c r="AC240" s="9">
        <f t="shared" si="166"/>
        <v>6.75</v>
      </c>
      <c r="AD240" s="9">
        <f t="shared" si="167"/>
        <v>5.375</v>
      </c>
      <c r="AE240" s="9">
        <f t="shared" si="168"/>
        <v>3</v>
      </c>
      <c r="AF240" s="9">
        <f t="shared" si="169"/>
        <v>3.6000000000000014</v>
      </c>
      <c r="AG240" s="9">
        <f t="shared" si="170"/>
        <v>3.625</v>
      </c>
      <c r="AH240" s="9">
        <f t="shared" si="171"/>
        <v>3.375</v>
      </c>
      <c r="AI240" s="9">
        <f t="shared" si="172"/>
        <v>5.125</v>
      </c>
      <c r="AJ240" s="9">
        <f t="shared" si="173"/>
        <v>0.75</v>
      </c>
      <c r="AK240" s="9">
        <f t="shared" si="174"/>
        <v>4.1849999999999987</v>
      </c>
      <c r="AL240" s="9">
        <f t="shared" si="175"/>
        <v>6.125</v>
      </c>
      <c r="AM240" s="9">
        <f t="shared" si="176"/>
        <v>2.5</v>
      </c>
      <c r="AN240" s="9">
        <f t="shared" si="177"/>
        <v>1.75</v>
      </c>
      <c r="AO240" s="9">
        <f t="shared" si="178"/>
        <v>1.5</v>
      </c>
      <c r="AP240" s="9">
        <f t="shared" si="179"/>
        <v>1</v>
      </c>
      <c r="AQ240" s="9">
        <f t="shared" si="180"/>
        <v>1</v>
      </c>
      <c r="AR240" s="9">
        <f t="shared" si="181"/>
        <v>2</v>
      </c>
      <c r="AS240" s="9">
        <f t="shared" si="182"/>
        <v>-0.75</v>
      </c>
      <c r="AT240" s="9">
        <f t="shared" si="183"/>
        <v>1.5599999999999987</v>
      </c>
      <c r="AU240" s="9">
        <f t="shared" si="184"/>
        <v>4.75</v>
      </c>
      <c r="AV240" s="9">
        <f t="shared" si="185"/>
        <v>-1</v>
      </c>
      <c r="AW240" s="9">
        <f t="shared" si="186"/>
        <v>-0.625</v>
      </c>
      <c r="AX240" s="9">
        <f t="shared" si="187"/>
        <v>-0.5</v>
      </c>
      <c r="AY240" s="9">
        <f t="shared" si="188"/>
        <v>-1</v>
      </c>
      <c r="AZ240" s="9">
        <f t="shared" si="189"/>
        <v>-1</v>
      </c>
      <c r="BA240" s="9">
        <f t="shared" si="190"/>
        <v>-0.375</v>
      </c>
      <c r="BB240" s="9">
        <f t="shared" si="191"/>
        <v>-2.1849999999999987</v>
      </c>
      <c r="BC240" s="9">
        <f t="shared" si="192"/>
        <v>0</v>
      </c>
      <c r="BD240" s="9">
        <f t="shared" si="193"/>
        <v>3.8150000000000013</v>
      </c>
      <c r="BE240" s="9">
        <f t="shared" si="194"/>
        <v>-2.4349999999999987</v>
      </c>
      <c r="BF240" s="9">
        <f t="shared" si="195"/>
        <v>-1.5599999999999987</v>
      </c>
      <c r="BG240" s="9">
        <f t="shared" si="196"/>
        <v>-1.4349999999999987</v>
      </c>
      <c r="BH240" s="9">
        <f t="shared" si="197"/>
        <v>-1.6849999999999987</v>
      </c>
      <c r="BI240" s="9">
        <f t="shared" si="198"/>
        <v>-1.9349999999999987</v>
      </c>
      <c r="BJ240" s="9">
        <f t="shared" si="199"/>
        <v>-1.4349999999999987</v>
      </c>
    </row>
    <row r="241" spans="1:62" x14ac:dyDescent="0.2">
      <c r="A241" s="9">
        <f>data!M242-data!M241</f>
        <v>5.7999999999935881E-3</v>
      </c>
      <c r="B241" s="9">
        <f>data!C242-data!C241</f>
        <v>-0.49000000000000199</v>
      </c>
      <c r="C241" s="9">
        <f>data!D242-data!D241</f>
        <v>0.36749999999999972</v>
      </c>
      <c r="D241" s="10">
        <f>data!B242-data!B241</f>
        <v>-0.44500000000000006</v>
      </c>
      <c r="E241" s="9">
        <f>data!E241-data!G241</f>
        <v>2.4102000000000001</v>
      </c>
      <c r="F241" s="9">
        <f>(data!E241-data!F241)-(data!G241-data!H241)</f>
        <v>1.3855000000000004</v>
      </c>
      <c r="G241" s="9">
        <f t="shared" si="150"/>
        <v>-0.22640000000000038</v>
      </c>
      <c r="H241" s="9">
        <f t="shared" si="151"/>
        <v>1.9799999999999374E-2</v>
      </c>
      <c r="I241" s="9">
        <f>IF(data!M242&gt; 111.81,1,0)</f>
        <v>0</v>
      </c>
      <c r="J241" s="9">
        <f t="shared" si="152"/>
        <v>1</v>
      </c>
      <c r="K241" s="9">
        <f t="shared" si="153"/>
        <v>0</v>
      </c>
      <c r="L241" s="9">
        <f t="shared" si="154"/>
        <v>5.7999999999935881E-3</v>
      </c>
      <c r="M241" s="9">
        <f>data!J241</f>
        <v>-27.5</v>
      </c>
      <c r="N241" s="9">
        <f>data!I241</f>
        <v>-37.5</v>
      </c>
      <c r="O241" s="9">
        <f>data!L241</f>
        <v>-35.25</v>
      </c>
      <c r="P241" s="9">
        <f>data!K241</f>
        <v>-24.75</v>
      </c>
      <c r="Q241" s="9">
        <f>data!R241</f>
        <v>-18.25</v>
      </c>
      <c r="R241" s="9">
        <f t="shared" si="155"/>
        <v>0.93499999999999872</v>
      </c>
      <c r="S241" s="9">
        <f t="shared" si="156"/>
        <v>4.25</v>
      </c>
      <c r="T241" s="9">
        <f t="shared" si="157"/>
        <v>4.5</v>
      </c>
      <c r="U241" s="9">
        <f t="shared" si="158"/>
        <v>-1.25</v>
      </c>
      <c r="V241" s="9">
        <f t="shared" si="159"/>
        <v>1.6999999999999993</v>
      </c>
      <c r="W241" s="9">
        <f t="shared" si="160"/>
        <v>0.5</v>
      </c>
      <c r="X241" s="9">
        <f t="shared" si="161"/>
        <v>0.4375</v>
      </c>
      <c r="Y241" s="9">
        <f t="shared" si="162"/>
        <v>2</v>
      </c>
      <c r="Z241" s="9">
        <f t="shared" si="163"/>
        <v>1</v>
      </c>
      <c r="AA241" s="9">
        <f t="shared" si="164"/>
        <v>2.5600000000000023</v>
      </c>
      <c r="AB241" s="9">
        <f t="shared" si="165"/>
        <v>4.875</v>
      </c>
      <c r="AC241" s="9">
        <f t="shared" si="166"/>
        <v>3.5</v>
      </c>
      <c r="AD241" s="9">
        <f t="shared" si="167"/>
        <v>1.125</v>
      </c>
      <c r="AE241" s="9">
        <f t="shared" si="168"/>
        <v>1.7250000000000014</v>
      </c>
      <c r="AF241" s="9">
        <f t="shared" si="169"/>
        <v>1.75</v>
      </c>
      <c r="AG241" s="9">
        <f t="shared" si="170"/>
        <v>1.5</v>
      </c>
      <c r="AH241" s="9">
        <f t="shared" si="171"/>
        <v>3.25</v>
      </c>
      <c r="AI241" s="9">
        <f t="shared" si="172"/>
        <v>3.75</v>
      </c>
      <c r="AJ241" s="9">
        <f t="shared" si="173"/>
        <v>3.4349999999999987</v>
      </c>
      <c r="AK241" s="9">
        <f t="shared" si="174"/>
        <v>5.375</v>
      </c>
      <c r="AL241" s="9">
        <f t="shared" si="175"/>
        <v>1.75</v>
      </c>
      <c r="AM241" s="9">
        <f t="shared" si="176"/>
        <v>1</v>
      </c>
      <c r="AN241" s="9">
        <f t="shared" si="177"/>
        <v>0.75</v>
      </c>
      <c r="AO241" s="9">
        <f t="shared" si="178"/>
        <v>0.25</v>
      </c>
      <c r="AP241" s="9">
        <f t="shared" si="179"/>
        <v>0.25</v>
      </c>
      <c r="AQ241" s="9">
        <f t="shared" si="180"/>
        <v>1.25</v>
      </c>
      <c r="AR241" s="9">
        <f t="shared" si="181"/>
        <v>1.5</v>
      </c>
      <c r="AS241" s="9">
        <f t="shared" si="182"/>
        <v>2.3099999999999987</v>
      </c>
      <c r="AT241" s="9">
        <f t="shared" si="183"/>
        <v>5.5</v>
      </c>
      <c r="AU241" s="9">
        <f t="shared" si="184"/>
        <v>-0.25</v>
      </c>
      <c r="AV241" s="9">
        <f t="shared" si="185"/>
        <v>0.125</v>
      </c>
      <c r="AW241" s="9">
        <f t="shared" si="186"/>
        <v>0.25</v>
      </c>
      <c r="AX241" s="9">
        <f t="shared" si="187"/>
        <v>-0.25</v>
      </c>
      <c r="AY241" s="9">
        <f t="shared" si="188"/>
        <v>-0.25</v>
      </c>
      <c r="AZ241" s="9">
        <f t="shared" si="189"/>
        <v>0.375</v>
      </c>
      <c r="BA241" s="9">
        <f t="shared" si="190"/>
        <v>-0.5</v>
      </c>
      <c r="BB241" s="9">
        <f t="shared" si="191"/>
        <v>2.1849999999999987</v>
      </c>
      <c r="BC241" s="9">
        <f t="shared" si="192"/>
        <v>6</v>
      </c>
      <c r="BD241" s="9">
        <f t="shared" si="193"/>
        <v>-0.25</v>
      </c>
      <c r="BE241" s="9">
        <f t="shared" si="194"/>
        <v>0.625</v>
      </c>
      <c r="BF241" s="9">
        <f t="shared" si="195"/>
        <v>0.75</v>
      </c>
      <c r="BG241" s="9">
        <f t="shared" si="196"/>
        <v>0.5</v>
      </c>
      <c r="BH241" s="9">
        <f t="shared" si="197"/>
        <v>0.25</v>
      </c>
      <c r="BI241" s="9">
        <f t="shared" si="198"/>
        <v>0.75</v>
      </c>
      <c r="BJ241" s="9">
        <f t="shared" si="199"/>
        <v>0</v>
      </c>
    </row>
    <row r="242" spans="1:62" x14ac:dyDescent="0.2">
      <c r="A242" s="9">
        <f>data!M243-data!M242</f>
        <v>-0.46469999999999345</v>
      </c>
      <c r="B242" s="9">
        <f>data!C243-data!C242</f>
        <v>0.74000000000000199</v>
      </c>
      <c r="C242" s="9">
        <f>data!D243-data!D242</f>
        <v>-0.64250000000000007</v>
      </c>
      <c r="D242" s="10">
        <f>data!B243-data!B242</f>
        <v>-0.22750000000000004</v>
      </c>
      <c r="E242" s="9">
        <f>data!E242-data!G242</f>
        <v>2.1837999999999997</v>
      </c>
      <c r="F242" s="9">
        <f>(data!E242-data!F242)-(data!G242-data!H242)</f>
        <v>1.4052999999999998</v>
      </c>
      <c r="G242" s="9">
        <f t="shared" si="150"/>
        <v>6.6100000000000492E-2</v>
      </c>
      <c r="H242" s="9">
        <f t="shared" si="151"/>
        <v>5.7000000000002604E-3</v>
      </c>
      <c r="I242" s="9">
        <f>IF(data!M243&gt; 111.81,1,0)</f>
        <v>0</v>
      </c>
      <c r="J242" s="9">
        <f t="shared" si="152"/>
        <v>1</v>
      </c>
      <c r="K242" s="9">
        <f t="shared" si="153"/>
        <v>0</v>
      </c>
      <c r="L242" s="9">
        <f t="shared" si="154"/>
        <v>-0.46469999999999345</v>
      </c>
      <c r="M242" s="9">
        <f>data!J242</f>
        <v>-26.565000000000001</v>
      </c>
      <c r="N242" s="9">
        <f>data!I242</f>
        <v>-34.94</v>
      </c>
      <c r="O242" s="9">
        <f>data!L242</f>
        <v>-31.815000000000001</v>
      </c>
      <c r="P242" s="9">
        <f>data!K242</f>
        <v>-22.44</v>
      </c>
      <c r="Q242" s="9">
        <f>data!R242</f>
        <v>-16.065000000000001</v>
      </c>
      <c r="R242" s="9">
        <f t="shared" si="155"/>
        <v>3.3150000000000013</v>
      </c>
      <c r="S242" s="9">
        <f t="shared" si="156"/>
        <v>3.5650000000000013</v>
      </c>
      <c r="T242" s="9">
        <f t="shared" si="157"/>
        <v>-2.1849999999999987</v>
      </c>
      <c r="U242" s="9">
        <f t="shared" si="158"/>
        <v>0.76500000000000057</v>
      </c>
      <c r="V242" s="9">
        <f t="shared" si="159"/>
        <v>-0.43499999999999872</v>
      </c>
      <c r="W242" s="9">
        <f t="shared" si="160"/>
        <v>-0.49749999999999872</v>
      </c>
      <c r="X242" s="9">
        <f t="shared" si="161"/>
        <v>1.0650000000000013</v>
      </c>
      <c r="Y242" s="9">
        <f t="shared" si="162"/>
        <v>6.5000000000001279E-2</v>
      </c>
      <c r="Z242" s="9">
        <f t="shared" si="163"/>
        <v>-0.68499999999999872</v>
      </c>
      <c r="AA242" s="9">
        <f t="shared" si="164"/>
        <v>2.3149999999999977</v>
      </c>
      <c r="AB242" s="9">
        <f t="shared" si="165"/>
        <v>0.93999999999999773</v>
      </c>
      <c r="AC242" s="9">
        <f t="shared" si="166"/>
        <v>-1.4350000000000023</v>
      </c>
      <c r="AD242" s="9">
        <f t="shared" si="167"/>
        <v>-0.83500000000000085</v>
      </c>
      <c r="AE242" s="9">
        <f t="shared" si="168"/>
        <v>-0.81000000000000227</v>
      </c>
      <c r="AF242" s="9">
        <f t="shared" si="169"/>
        <v>-1.0600000000000023</v>
      </c>
      <c r="AG242" s="9">
        <f t="shared" si="170"/>
        <v>0.68999999999999773</v>
      </c>
      <c r="AH242" s="9">
        <f t="shared" si="171"/>
        <v>1.1899999999999977</v>
      </c>
      <c r="AI242" s="9">
        <f t="shared" si="172"/>
        <v>-6.0000000000002274E-2</v>
      </c>
      <c r="AJ242" s="9">
        <f t="shared" si="173"/>
        <v>1.9400000000000013</v>
      </c>
      <c r="AK242" s="9">
        <f t="shared" si="174"/>
        <v>-1.6849999999999987</v>
      </c>
      <c r="AL242" s="9">
        <f t="shared" si="175"/>
        <v>-2.4349999999999987</v>
      </c>
      <c r="AM242" s="9">
        <f t="shared" si="176"/>
        <v>-2.6849999999999987</v>
      </c>
      <c r="AN242" s="9">
        <f t="shared" si="177"/>
        <v>-3.1849999999999987</v>
      </c>
      <c r="AO242" s="9">
        <f t="shared" si="178"/>
        <v>-3.1849999999999987</v>
      </c>
      <c r="AP242" s="9">
        <f t="shared" si="179"/>
        <v>-2.1849999999999987</v>
      </c>
      <c r="AQ242" s="9">
        <f t="shared" si="180"/>
        <v>-1.9349999999999987</v>
      </c>
      <c r="AR242" s="9">
        <f t="shared" si="181"/>
        <v>-2.9349999999999987</v>
      </c>
      <c r="AS242" s="9">
        <f t="shared" si="182"/>
        <v>3.1900000000000013</v>
      </c>
      <c r="AT242" s="9">
        <f t="shared" si="183"/>
        <v>-2.5599999999999987</v>
      </c>
      <c r="AU242" s="9">
        <f t="shared" si="184"/>
        <v>-2.1849999999999987</v>
      </c>
      <c r="AV242" s="9">
        <f t="shared" si="185"/>
        <v>-2.0599999999999987</v>
      </c>
      <c r="AW242" s="9">
        <f t="shared" si="186"/>
        <v>-2.5599999999999987</v>
      </c>
      <c r="AX242" s="9">
        <f t="shared" si="187"/>
        <v>-2.5599999999999987</v>
      </c>
      <c r="AY242" s="9">
        <f t="shared" si="188"/>
        <v>-1.9349999999999987</v>
      </c>
      <c r="AZ242" s="9">
        <f t="shared" si="189"/>
        <v>-2.8099999999999987</v>
      </c>
      <c r="BA242" s="9">
        <f t="shared" si="190"/>
        <v>-3.8099999999999987</v>
      </c>
      <c r="BB242" s="9">
        <f t="shared" si="191"/>
        <v>3.8150000000000013</v>
      </c>
      <c r="BC242" s="9">
        <f t="shared" si="192"/>
        <v>-2.4349999999999987</v>
      </c>
      <c r="BD242" s="9">
        <f t="shared" si="193"/>
        <v>-1.5599999999999987</v>
      </c>
      <c r="BE242" s="9">
        <f t="shared" si="194"/>
        <v>-1.4349999999999987</v>
      </c>
      <c r="BF242" s="9">
        <f t="shared" si="195"/>
        <v>-1.6849999999999987</v>
      </c>
      <c r="BG242" s="9">
        <f t="shared" si="196"/>
        <v>-1.9349999999999987</v>
      </c>
      <c r="BH242" s="9">
        <f t="shared" si="197"/>
        <v>-1.4349999999999987</v>
      </c>
      <c r="BI242" s="9">
        <f t="shared" si="198"/>
        <v>-2.1849999999999987</v>
      </c>
      <c r="BJ242" s="9">
        <f t="shared" si="199"/>
        <v>-3.4349999999999987</v>
      </c>
    </row>
    <row r="243" spans="1:62" x14ac:dyDescent="0.2">
      <c r="A243" s="9">
        <f>data!M244-data!M243</f>
        <v>0.43859999999999388</v>
      </c>
      <c r="B243" s="9">
        <f>data!C244-data!C243</f>
        <v>-0.25</v>
      </c>
      <c r="C243" s="9">
        <f>data!D244-data!D243</f>
        <v>-0.13000000000000078</v>
      </c>
      <c r="D243" s="10">
        <f>data!B244-data!B243</f>
        <v>0.19499999999999984</v>
      </c>
      <c r="E243" s="9">
        <f>data!E243-data!G243</f>
        <v>2.2499000000000002</v>
      </c>
      <c r="F243" s="9">
        <f>(data!E243-data!F243)-(data!G243-data!H243)</f>
        <v>1.411</v>
      </c>
      <c r="G243" s="9">
        <f t="shared" si="150"/>
        <v>-0.11929999999999996</v>
      </c>
      <c r="H243" s="9">
        <f t="shared" si="151"/>
        <v>-4.2199999999999793E-2</v>
      </c>
      <c r="I243" s="9">
        <f>IF(data!M244&gt; 111.81,1,0)</f>
        <v>0</v>
      </c>
      <c r="J243" s="9">
        <f t="shared" si="152"/>
        <v>1</v>
      </c>
      <c r="K243" s="9">
        <f t="shared" si="153"/>
        <v>0</v>
      </c>
      <c r="L243" s="9">
        <f t="shared" si="154"/>
        <v>0.43859999999999388</v>
      </c>
      <c r="M243" s="9">
        <f>data!J243</f>
        <v>-23.25</v>
      </c>
      <c r="N243" s="9">
        <f>data!I243</f>
        <v>-32.625</v>
      </c>
      <c r="O243" s="9">
        <f>data!L243</f>
        <v>-29.875</v>
      </c>
      <c r="P243" s="9">
        <f>data!K243</f>
        <v>-19.25</v>
      </c>
      <c r="Q243" s="9">
        <f>data!R243</f>
        <v>-12.25</v>
      </c>
      <c r="R243" s="9">
        <f t="shared" si="155"/>
        <v>0.25</v>
      </c>
      <c r="S243" s="9">
        <f t="shared" si="156"/>
        <v>-5.5</v>
      </c>
      <c r="T243" s="9">
        <f t="shared" si="157"/>
        <v>-2.5500000000000007</v>
      </c>
      <c r="U243" s="9">
        <f t="shared" si="158"/>
        <v>-3.75</v>
      </c>
      <c r="V243" s="9">
        <f t="shared" si="159"/>
        <v>-3.8125</v>
      </c>
      <c r="W243" s="9">
        <f t="shared" si="160"/>
        <v>-2.25</v>
      </c>
      <c r="X243" s="9">
        <f t="shared" si="161"/>
        <v>-3.25</v>
      </c>
      <c r="Y243" s="9">
        <f t="shared" si="162"/>
        <v>-4</v>
      </c>
      <c r="Z243" s="9">
        <f t="shared" si="163"/>
        <v>-1.375</v>
      </c>
      <c r="AA243" s="9">
        <f t="shared" si="164"/>
        <v>-1.375</v>
      </c>
      <c r="AB243" s="9">
        <f t="shared" si="165"/>
        <v>-3.75</v>
      </c>
      <c r="AC243" s="9">
        <f t="shared" si="166"/>
        <v>-3.1499999999999986</v>
      </c>
      <c r="AD243" s="9">
        <f t="shared" si="167"/>
        <v>-3.125</v>
      </c>
      <c r="AE243" s="9">
        <f t="shared" si="168"/>
        <v>-3.375</v>
      </c>
      <c r="AF243" s="9">
        <f t="shared" si="169"/>
        <v>-1.625</v>
      </c>
      <c r="AG243" s="9">
        <f t="shared" si="170"/>
        <v>-1.125</v>
      </c>
      <c r="AH243" s="9">
        <f t="shared" si="171"/>
        <v>-2.375</v>
      </c>
      <c r="AI243" s="9">
        <f t="shared" si="172"/>
        <v>0.625</v>
      </c>
      <c r="AJ243" s="9">
        <f t="shared" si="173"/>
        <v>-3.625</v>
      </c>
      <c r="AK243" s="9">
        <f t="shared" si="174"/>
        <v>-4.375</v>
      </c>
      <c r="AL243" s="9">
        <f t="shared" si="175"/>
        <v>-4.625</v>
      </c>
      <c r="AM243" s="9">
        <f t="shared" si="176"/>
        <v>-5.125</v>
      </c>
      <c r="AN243" s="9">
        <f t="shared" si="177"/>
        <v>-5.125</v>
      </c>
      <c r="AO243" s="9">
        <f t="shared" si="178"/>
        <v>-4.125</v>
      </c>
      <c r="AP243" s="9">
        <f t="shared" si="179"/>
        <v>-3.875</v>
      </c>
      <c r="AQ243" s="9">
        <f t="shared" si="180"/>
        <v>-4.875</v>
      </c>
      <c r="AR243" s="9">
        <f t="shared" si="181"/>
        <v>-2.125</v>
      </c>
      <c r="AS243" s="9">
        <f t="shared" si="182"/>
        <v>-5.75</v>
      </c>
      <c r="AT243" s="9">
        <f t="shared" si="183"/>
        <v>-5.375</v>
      </c>
      <c r="AU243" s="9">
        <f t="shared" si="184"/>
        <v>-5.25</v>
      </c>
      <c r="AV243" s="9">
        <f t="shared" si="185"/>
        <v>-5.75</v>
      </c>
      <c r="AW243" s="9">
        <f t="shared" si="186"/>
        <v>-5.75</v>
      </c>
      <c r="AX243" s="9">
        <f t="shared" si="187"/>
        <v>-5.125</v>
      </c>
      <c r="AY243" s="9">
        <f t="shared" si="188"/>
        <v>-6</v>
      </c>
      <c r="AZ243" s="9">
        <f t="shared" si="189"/>
        <v>-7</v>
      </c>
      <c r="BA243" s="9">
        <f t="shared" si="190"/>
        <v>-7.0500000000000007</v>
      </c>
      <c r="BB243" s="9">
        <f t="shared" si="191"/>
        <v>-6.25</v>
      </c>
      <c r="BC243" s="9">
        <f t="shared" si="192"/>
        <v>-5.375</v>
      </c>
      <c r="BD243" s="9">
        <f t="shared" si="193"/>
        <v>-5.25</v>
      </c>
      <c r="BE243" s="9">
        <f t="shared" si="194"/>
        <v>-5.5</v>
      </c>
      <c r="BF243" s="9">
        <f t="shared" si="195"/>
        <v>-5.75</v>
      </c>
      <c r="BG243" s="9">
        <f t="shared" si="196"/>
        <v>-5.25</v>
      </c>
      <c r="BH243" s="9">
        <f t="shared" si="197"/>
        <v>-6</v>
      </c>
      <c r="BI243" s="9">
        <f t="shared" si="198"/>
        <v>-7.25</v>
      </c>
      <c r="BJ243" s="9">
        <f t="shared" si="199"/>
        <v>-8.0500000000000007</v>
      </c>
    </row>
    <row r="244" spans="1:62" x14ac:dyDescent="0.2">
      <c r="A244" s="9">
        <f>data!M245-data!M244</f>
        <v>0.13220000000001164</v>
      </c>
      <c r="B244" s="9">
        <f>data!C245-data!C244</f>
        <v>0.5</v>
      </c>
      <c r="C244" s="9">
        <f>data!D245-data!D244</f>
        <v>-0.14499999999999957</v>
      </c>
      <c r="D244" s="10">
        <f>data!B245-data!B244</f>
        <v>-3.4999999999999698E-2</v>
      </c>
      <c r="E244" s="9">
        <f>data!E244-data!G244</f>
        <v>2.1306000000000003</v>
      </c>
      <c r="F244" s="9">
        <f>(data!E244-data!F244)-(data!G244-data!H244)</f>
        <v>1.3688000000000002</v>
      </c>
      <c r="G244" s="9">
        <f t="shared" si="150"/>
        <v>-2.3800000000000043E-2</v>
      </c>
      <c r="H244" s="9">
        <f t="shared" si="151"/>
        <v>5.3899999999999837E-2</v>
      </c>
      <c r="I244" s="9">
        <f>IF(data!M245&gt; 111.81,1,0)</f>
        <v>0</v>
      </c>
      <c r="J244" s="9">
        <f t="shared" si="152"/>
        <v>1</v>
      </c>
      <c r="K244" s="9">
        <f t="shared" si="153"/>
        <v>0</v>
      </c>
      <c r="L244" s="9">
        <f t="shared" si="154"/>
        <v>0.13220000000001164</v>
      </c>
      <c r="M244" s="9">
        <f>data!J244</f>
        <v>-23</v>
      </c>
      <c r="N244" s="9">
        <f>data!I244</f>
        <v>-34</v>
      </c>
      <c r="O244" s="9">
        <f>data!L244</f>
        <v>-33.5</v>
      </c>
      <c r="P244" s="9">
        <f>data!K244</f>
        <v>-25</v>
      </c>
      <c r="Q244" s="9">
        <f>data!R244</f>
        <v>-18.5</v>
      </c>
      <c r="R244" s="9">
        <f t="shared" si="155"/>
        <v>-5.75</v>
      </c>
      <c r="S244" s="9">
        <f t="shared" si="156"/>
        <v>-2.8000000000000007</v>
      </c>
      <c r="T244" s="9">
        <f t="shared" si="157"/>
        <v>-4</v>
      </c>
      <c r="U244" s="9">
        <f t="shared" si="158"/>
        <v>-4.0625</v>
      </c>
      <c r="V244" s="9">
        <f t="shared" si="159"/>
        <v>-2.5</v>
      </c>
      <c r="W244" s="9">
        <f t="shared" si="160"/>
        <v>-3.5</v>
      </c>
      <c r="X244" s="9">
        <f t="shared" si="161"/>
        <v>-4.25</v>
      </c>
      <c r="Y244" s="9">
        <f t="shared" si="162"/>
        <v>-1.625</v>
      </c>
      <c r="Z244" s="9">
        <f t="shared" si="163"/>
        <v>-3.5</v>
      </c>
      <c r="AA244" s="9">
        <f t="shared" si="164"/>
        <v>-2.375</v>
      </c>
      <c r="AB244" s="9">
        <f t="shared" si="165"/>
        <v>-1.7749999999999986</v>
      </c>
      <c r="AC244" s="9">
        <f t="shared" si="166"/>
        <v>-1.75</v>
      </c>
      <c r="AD244" s="9">
        <f t="shared" si="167"/>
        <v>-2</v>
      </c>
      <c r="AE244" s="9">
        <f t="shared" si="168"/>
        <v>-0.25</v>
      </c>
      <c r="AF244" s="9">
        <f t="shared" si="169"/>
        <v>0.25</v>
      </c>
      <c r="AG244" s="9">
        <f t="shared" si="170"/>
        <v>-1</v>
      </c>
      <c r="AH244" s="9">
        <f t="shared" si="171"/>
        <v>2</v>
      </c>
      <c r="AI244" s="9">
        <f t="shared" si="172"/>
        <v>2</v>
      </c>
      <c r="AJ244" s="9">
        <f t="shared" si="173"/>
        <v>-0.75</v>
      </c>
      <c r="AK244" s="9">
        <f t="shared" si="174"/>
        <v>-1</v>
      </c>
      <c r="AL244" s="9">
        <f t="shared" si="175"/>
        <v>-1.5</v>
      </c>
      <c r="AM244" s="9">
        <f t="shared" si="176"/>
        <v>-1.5</v>
      </c>
      <c r="AN244" s="9">
        <f t="shared" si="177"/>
        <v>-0.5</v>
      </c>
      <c r="AO244" s="9">
        <f t="shared" si="178"/>
        <v>-0.25</v>
      </c>
      <c r="AP244" s="9">
        <f t="shared" si="179"/>
        <v>-1.25</v>
      </c>
      <c r="AQ244" s="9">
        <f t="shared" si="180"/>
        <v>1.5</v>
      </c>
      <c r="AR244" s="9">
        <f t="shared" si="181"/>
        <v>1.5</v>
      </c>
      <c r="AS244" s="9">
        <f t="shared" si="182"/>
        <v>0.375</v>
      </c>
      <c r="AT244" s="9">
        <f t="shared" si="183"/>
        <v>0.5</v>
      </c>
      <c r="AU244" s="9">
        <f t="shared" si="184"/>
        <v>0</v>
      </c>
      <c r="AV244" s="9">
        <f t="shared" si="185"/>
        <v>0</v>
      </c>
      <c r="AW244" s="9">
        <f t="shared" si="186"/>
        <v>0.625</v>
      </c>
      <c r="AX244" s="9">
        <f t="shared" si="187"/>
        <v>-0.25</v>
      </c>
      <c r="AY244" s="9">
        <f t="shared" si="188"/>
        <v>-1.25</v>
      </c>
      <c r="AZ244" s="9">
        <f t="shared" si="189"/>
        <v>-1.3000000000000007</v>
      </c>
      <c r="BA244" s="9">
        <f t="shared" si="190"/>
        <v>-4</v>
      </c>
      <c r="BB244" s="9">
        <f t="shared" si="191"/>
        <v>0.875</v>
      </c>
      <c r="BC244" s="9">
        <f t="shared" si="192"/>
        <v>1</v>
      </c>
      <c r="BD244" s="9">
        <f t="shared" si="193"/>
        <v>0.75</v>
      </c>
      <c r="BE244" s="9">
        <f t="shared" si="194"/>
        <v>0.5</v>
      </c>
      <c r="BF244" s="9">
        <f t="shared" si="195"/>
        <v>1</v>
      </c>
      <c r="BG244" s="9">
        <f t="shared" si="196"/>
        <v>0.25</v>
      </c>
      <c r="BH244" s="9">
        <f t="shared" si="197"/>
        <v>-1</v>
      </c>
      <c r="BI244" s="9">
        <f t="shared" si="198"/>
        <v>-1.8000000000000007</v>
      </c>
      <c r="BJ244" s="9">
        <f t="shared" si="199"/>
        <v>-6.2749999999999986</v>
      </c>
    </row>
    <row r="245" spans="1:62" x14ac:dyDescent="0.2">
      <c r="A245" s="9">
        <f>data!M246-data!M245</f>
        <v>-1.2586000000000013</v>
      </c>
      <c r="B245" s="9">
        <f>data!C246-data!C245</f>
        <v>-1.110000000000003</v>
      </c>
      <c r="C245" s="9">
        <f>data!D246-data!D245</f>
        <v>0.52500000000000036</v>
      </c>
      <c r="D245" s="10">
        <f>data!B246-data!B245</f>
        <v>0.17499999999999982</v>
      </c>
      <c r="E245" s="9">
        <f>data!E245-data!G245</f>
        <v>2.1068000000000002</v>
      </c>
      <c r="F245" s="9">
        <f>(data!E245-data!F245)-(data!G245-data!H245)</f>
        <v>1.4227000000000001</v>
      </c>
      <c r="G245" s="9">
        <f t="shared" si="150"/>
        <v>-6.9800000000000306E-2</v>
      </c>
      <c r="H245" s="9">
        <f t="shared" si="151"/>
        <v>-7.4000000000000288E-2</v>
      </c>
      <c r="I245" s="9">
        <f>IF(data!M246&gt; 111.81,1,0)</f>
        <v>0</v>
      </c>
      <c r="J245" s="9">
        <f t="shared" si="152"/>
        <v>1</v>
      </c>
      <c r="K245" s="9">
        <f t="shared" si="153"/>
        <v>0</v>
      </c>
      <c r="L245" s="9">
        <f t="shared" si="154"/>
        <v>-1.2586000000000013</v>
      </c>
      <c r="M245" s="9">
        <f>data!J245</f>
        <v>-28.75</v>
      </c>
      <c r="N245" s="9">
        <f>data!I245</f>
        <v>-36.375</v>
      </c>
      <c r="O245" s="9">
        <f>data!L245</f>
        <v>-34.25</v>
      </c>
      <c r="P245" s="9">
        <f>data!K245</f>
        <v>-24.625</v>
      </c>
      <c r="Q245" s="9">
        <f>data!R245</f>
        <v>-17.625</v>
      </c>
      <c r="R245" s="9">
        <f t="shared" si="155"/>
        <v>2.9499999999999993</v>
      </c>
      <c r="S245" s="9">
        <f t="shared" si="156"/>
        <v>1.75</v>
      </c>
      <c r="T245" s="9">
        <f t="shared" si="157"/>
        <v>1.6875</v>
      </c>
      <c r="U245" s="9">
        <f t="shared" si="158"/>
        <v>3.25</v>
      </c>
      <c r="V245" s="9">
        <f t="shared" si="159"/>
        <v>2.25</v>
      </c>
      <c r="W245" s="9">
        <f t="shared" si="160"/>
        <v>1.5</v>
      </c>
      <c r="X245" s="9">
        <f t="shared" si="161"/>
        <v>4.125</v>
      </c>
      <c r="Y245" s="9">
        <f t="shared" si="162"/>
        <v>2.25</v>
      </c>
      <c r="Z245" s="9">
        <f t="shared" si="163"/>
        <v>2.5</v>
      </c>
      <c r="AA245" s="9">
        <f t="shared" si="164"/>
        <v>0.60000000000000142</v>
      </c>
      <c r="AB245" s="9">
        <f t="shared" si="165"/>
        <v>0.625</v>
      </c>
      <c r="AC245" s="9">
        <f t="shared" si="166"/>
        <v>0.375</v>
      </c>
      <c r="AD245" s="9">
        <f t="shared" si="167"/>
        <v>2.125</v>
      </c>
      <c r="AE245" s="9">
        <f t="shared" si="168"/>
        <v>2.625</v>
      </c>
      <c r="AF245" s="9">
        <f t="shared" si="169"/>
        <v>1.375</v>
      </c>
      <c r="AG245" s="9">
        <f t="shared" si="170"/>
        <v>4.375</v>
      </c>
      <c r="AH245" s="9">
        <f t="shared" si="171"/>
        <v>4.375</v>
      </c>
      <c r="AI245" s="9">
        <f t="shared" si="172"/>
        <v>3.375</v>
      </c>
      <c r="AJ245" s="9">
        <f t="shared" si="173"/>
        <v>-0.25</v>
      </c>
      <c r="AK245" s="9">
        <f t="shared" si="174"/>
        <v>-0.75</v>
      </c>
      <c r="AL245" s="9">
        <f t="shared" si="175"/>
        <v>-0.75</v>
      </c>
      <c r="AM245" s="9">
        <f t="shared" si="176"/>
        <v>0.25</v>
      </c>
      <c r="AN245" s="9">
        <f t="shared" si="177"/>
        <v>0.5</v>
      </c>
      <c r="AO245" s="9">
        <f t="shared" si="178"/>
        <v>-0.5</v>
      </c>
      <c r="AP245" s="9">
        <f t="shared" si="179"/>
        <v>2.25</v>
      </c>
      <c r="AQ245" s="9">
        <f t="shared" si="180"/>
        <v>2.25</v>
      </c>
      <c r="AR245" s="9">
        <f t="shared" si="181"/>
        <v>2.25</v>
      </c>
      <c r="AS245" s="9">
        <f t="shared" si="182"/>
        <v>0.125</v>
      </c>
      <c r="AT245" s="9">
        <f t="shared" si="183"/>
        <v>-0.375</v>
      </c>
      <c r="AU245" s="9">
        <f t="shared" si="184"/>
        <v>-0.375</v>
      </c>
      <c r="AV245" s="9">
        <f t="shared" si="185"/>
        <v>0.25</v>
      </c>
      <c r="AW245" s="9">
        <f t="shared" si="186"/>
        <v>-0.625</v>
      </c>
      <c r="AX245" s="9">
        <f t="shared" si="187"/>
        <v>-1.625</v>
      </c>
      <c r="AY245" s="9">
        <f t="shared" si="188"/>
        <v>-1.6750000000000007</v>
      </c>
      <c r="AZ245" s="9">
        <f t="shared" si="189"/>
        <v>-4.375</v>
      </c>
      <c r="BA245" s="9">
        <f t="shared" si="190"/>
        <v>-4.375</v>
      </c>
      <c r="BB245" s="9">
        <f t="shared" si="191"/>
        <v>0.125</v>
      </c>
      <c r="BC245" s="9">
        <f t="shared" si="192"/>
        <v>-0.125</v>
      </c>
      <c r="BD245" s="9">
        <f t="shared" si="193"/>
        <v>-0.375</v>
      </c>
      <c r="BE245" s="9">
        <f t="shared" si="194"/>
        <v>0.125</v>
      </c>
      <c r="BF245" s="9">
        <f t="shared" si="195"/>
        <v>-0.625</v>
      </c>
      <c r="BG245" s="9">
        <f t="shared" si="196"/>
        <v>-1.875</v>
      </c>
      <c r="BH245" s="9">
        <f t="shared" si="197"/>
        <v>-2.6750000000000007</v>
      </c>
      <c r="BI245" s="9">
        <f t="shared" si="198"/>
        <v>-7.1499999999999986</v>
      </c>
      <c r="BJ245" s="9">
        <f t="shared" si="199"/>
        <v>-6.625</v>
      </c>
    </row>
    <row r="246" spans="1:62" x14ac:dyDescent="0.2">
      <c r="A246" s="9">
        <f>data!M247-data!M246</f>
        <v>-0.19920000000000471</v>
      </c>
      <c r="B246" s="9">
        <f>data!C247-data!C246</f>
        <v>-0.22999999999999687</v>
      </c>
      <c r="C246" s="9">
        <f>data!D247-data!D246</f>
        <v>-0.33000000000000007</v>
      </c>
      <c r="D246" s="10">
        <f>data!B247-data!B246</f>
        <v>8.4999999999999964E-2</v>
      </c>
      <c r="E246" s="9">
        <f>data!E246-data!G246</f>
        <v>2.0369999999999999</v>
      </c>
      <c r="F246" s="9">
        <f>(data!E246-data!F246)-(data!G246-data!H246)</f>
        <v>1.3486999999999998</v>
      </c>
      <c r="G246" s="9">
        <f t="shared" si="150"/>
        <v>7.8199999999999825E-2</v>
      </c>
      <c r="H246" s="9">
        <f t="shared" si="151"/>
        <v>3.7000000000002586E-3</v>
      </c>
      <c r="I246" s="9">
        <f>IF(data!M247&gt; 111.81,1,0)</f>
        <v>0</v>
      </c>
      <c r="J246" s="9">
        <f t="shared" si="152"/>
        <v>1</v>
      </c>
      <c r="K246" s="9">
        <f t="shared" si="153"/>
        <v>0</v>
      </c>
      <c r="L246" s="9">
        <f t="shared" si="154"/>
        <v>-0.19920000000000471</v>
      </c>
      <c r="M246" s="9">
        <f>data!J246</f>
        <v>-25.8</v>
      </c>
      <c r="N246" s="9">
        <f>data!I246</f>
        <v>-35.774999999999999</v>
      </c>
      <c r="O246" s="9">
        <f>data!L246</f>
        <v>-34.5</v>
      </c>
      <c r="P246" s="9">
        <f>data!K246</f>
        <v>-24.5</v>
      </c>
      <c r="Q246" s="9">
        <f>data!R246</f>
        <v>-17.5</v>
      </c>
      <c r="R246" s="9">
        <f t="shared" si="155"/>
        <v>-1.1999999999999993</v>
      </c>
      <c r="S246" s="9">
        <f t="shared" si="156"/>
        <v>-1.2624999999999993</v>
      </c>
      <c r="T246" s="9">
        <f t="shared" si="157"/>
        <v>0.30000000000000071</v>
      </c>
      <c r="U246" s="9">
        <f t="shared" si="158"/>
        <v>-0.69999999999999929</v>
      </c>
      <c r="V246" s="9">
        <f t="shared" si="159"/>
        <v>-1.4499999999999993</v>
      </c>
      <c r="W246" s="9">
        <f t="shared" si="160"/>
        <v>1.1750000000000007</v>
      </c>
      <c r="X246" s="9">
        <f t="shared" si="161"/>
        <v>-0.69999999999999929</v>
      </c>
      <c r="Y246" s="9">
        <f t="shared" si="162"/>
        <v>-0.44999999999999929</v>
      </c>
      <c r="Z246" s="9">
        <f t="shared" si="163"/>
        <v>-0.69999999999999929</v>
      </c>
      <c r="AA246" s="9">
        <f t="shared" si="164"/>
        <v>2.4999999999998579E-2</v>
      </c>
      <c r="AB246" s="9">
        <f t="shared" si="165"/>
        <v>-0.22500000000000142</v>
      </c>
      <c r="AC246" s="9">
        <f t="shared" si="166"/>
        <v>1.5249999999999986</v>
      </c>
      <c r="AD246" s="9">
        <f t="shared" si="167"/>
        <v>2.0249999999999986</v>
      </c>
      <c r="AE246" s="9">
        <f t="shared" si="168"/>
        <v>0.77499999999999858</v>
      </c>
      <c r="AF246" s="9">
        <f t="shared" si="169"/>
        <v>3.7749999999999986</v>
      </c>
      <c r="AG246" s="9">
        <f t="shared" si="170"/>
        <v>3.7749999999999986</v>
      </c>
      <c r="AH246" s="9">
        <f t="shared" si="171"/>
        <v>2.7749999999999986</v>
      </c>
      <c r="AI246" s="9">
        <f t="shared" si="172"/>
        <v>4.2749999999999986</v>
      </c>
      <c r="AJ246" s="9">
        <f t="shared" si="173"/>
        <v>-0.5</v>
      </c>
      <c r="AK246" s="9">
        <f t="shared" si="174"/>
        <v>-0.5</v>
      </c>
      <c r="AL246" s="9">
        <f t="shared" si="175"/>
        <v>0.5</v>
      </c>
      <c r="AM246" s="9">
        <f t="shared" si="176"/>
        <v>0.75</v>
      </c>
      <c r="AN246" s="9">
        <f t="shared" si="177"/>
        <v>-0.25</v>
      </c>
      <c r="AO246" s="9">
        <f t="shared" si="178"/>
        <v>2.5</v>
      </c>
      <c r="AP246" s="9">
        <f t="shared" si="179"/>
        <v>2.5</v>
      </c>
      <c r="AQ246" s="9">
        <f t="shared" si="180"/>
        <v>2.5</v>
      </c>
      <c r="AR246" s="9">
        <f t="shared" si="181"/>
        <v>4.5</v>
      </c>
      <c r="AS246" s="9">
        <f t="shared" si="182"/>
        <v>-0.5</v>
      </c>
      <c r="AT246" s="9">
        <f t="shared" si="183"/>
        <v>-0.5</v>
      </c>
      <c r="AU246" s="9">
        <f t="shared" si="184"/>
        <v>0.125</v>
      </c>
      <c r="AV246" s="9">
        <f t="shared" si="185"/>
        <v>-0.75</v>
      </c>
      <c r="AW246" s="9">
        <f t="shared" si="186"/>
        <v>-1.75</v>
      </c>
      <c r="AX246" s="9">
        <f t="shared" si="187"/>
        <v>-1.8000000000000007</v>
      </c>
      <c r="AY246" s="9">
        <f t="shared" si="188"/>
        <v>-4.5</v>
      </c>
      <c r="AZ246" s="9">
        <f t="shared" si="189"/>
        <v>-4.5</v>
      </c>
      <c r="BA246" s="9">
        <f t="shared" si="190"/>
        <v>0</v>
      </c>
      <c r="BB246" s="9">
        <f t="shared" si="191"/>
        <v>-0.25</v>
      </c>
      <c r="BC246" s="9">
        <f t="shared" si="192"/>
        <v>-0.5</v>
      </c>
      <c r="BD246" s="9">
        <f t="shared" si="193"/>
        <v>0</v>
      </c>
      <c r="BE246" s="9">
        <f t="shared" si="194"/>
        <v>-0.75</v>
      </c>
      <c r="BF246" s="9">
        <f t="shared" si="195"/>
        <v>-2</v>
      </c>
      <c r="BG246" s="9">
        <f t="shared" si="196"/>
        <v>-2.8000000000000007</v>
      </c>
      <c r="BH246" s="9">
        <f t="shared" si="197"/>
        <v>-7.2749999999999986</v>
      </c>
      <c r="BI246" s="9">
        <f t="shared" si="198"/>
        <v>-6.75</v>
      </c>
      <c r="BJ246" s="9">
        <f t="shared" si="199"/>
        <v>-2.75</v>
      </c>
    </row>
    <row r="247" spans="1:62" x14ac:dyDescent="0.2">
      <c r="A247" s="9">
        <f>data!M248-data!M247</f>
        <v>0.43019999999999925</v>
      </c>
      <c r="B247" s="9">
        <f>data!C248-data!C247</f>
        <v>1.6899999999999977</v>
      </c>
      <c r="C247" s="9">
        <f>data!D248-data!D247</f>
        <v>-5.4999999999999716E-2</v>
      </c>
      <c r="D247" s="10">
        <f>data!B248-data!B247</f>
        <v>0.10000000000000009</v>
      </c>
      <c r="E247" s="9">
        <f>data!E247-data!G247</f>
        <v>2.1151999999999997</v>
      </c>
      <c r="F247" s="9">
        <f>(data!E247-data!F247)-(data!G247-data!H247)</f>
        <v>1.3524</v>
      </c>
      <c r="G247" s="9">
        <f t="shared" si="150"/>
        <v>-0.11479999999999979</v>
      </c>
      <c r="H247" s="9">
        <f t="shared" si="151"/>
        <v>-0.11620000000000008</v>
      </c>
      <c r="I247" s="9">
        <f>IF(data!M248&gt; 111.81,1,0)</f>
        <v>0</v>
      </c>
      <c r="J247" s="9">
        <f t="shared" si="152"/>
        <v>1</v>
      </c>
      <c r="K247" s="9">
        <f t="shared" si="153"/>
        <v>0</v>
      </c>
      <c r="L247" s="9">
        <f t="shared" si="154"/>
        <v>0.43019999999999925</v>
      </c>
      <c r="M247" s="9">
        <f>data!J247</f>
        <v>-27</v>
      </c>
      <c r="N247" s="9">
        <f>data!I247</f>
        <v>-35.75</v>
      </c>
      <c r="O247" s="9">
        <f>data!L247</f>
        <v>-35</v>
      </c>
      <c r="P247" s="9">
        <f>data!K247</f>
        <v>-25</v>
      </c>
      <c r="Q247" s="9">
        <f>data!R247</f>
        <v>-17.75</v>
      </c>
      <c r="R247" s="9">
        <f t="shared" si="155"/>
        <v>-6.25E-2</v>
      </c>
      <c r="S247" s="9">
        <f t="shared" si="156"/>
        <v>1.5</v>
      </c>
      <c r="T247" s="9">
        <f t="shared" si="157"/>
        <v>0.5</v>
      </c>
      <c r="U247" s="9">
        <f t="shared" si="158"/>
        <v>-0.25</v>
      </c>
      <c r="V247" s="9">
        <f t="shared" si="159"/>
        <v>2.375</v>
      </c>
      <c r="W247" s="9">
        <f t="shared" si="160"/>
        <v>0.5</v>
      </c>
      <c r="X247" s="9">
        <f t="shared" si="161"/>
        <v>0.75</v>
      </c>
      <c r="Y247" s="9">
        <f t="shared" si="162"/>
        <v>0.5</v>
      </c>
      <c r="Z247" s="9">
        <f t="shared" si="163"/>
        <v>3.8999999999999986</v>
      </c>
      <c r="AA247" s="9">
        <f t="shared" si="164"/>
        <v>-0.25</v>
      </c>
      <c r="AB247" s="9">
        <f t="shared" si="165"/>
        <v>1.5</v>
      </c>
      <c r="AC247" s="9">
        <f t="shared" si="166"/>
        <v>2</v>
      </c>
      <c r="AD247" s="9">
        <f t="shared" si="167"/>
        <v>0.75</v>
      </c>
      <c r="AE247" s="9">
        <f t="shared" si="168"/>
        <v>3.75</v>
      </c>
      <c r="AF247" s="9">
        <f t="shared" si="169"/>
        <v>3.75</v>
      </c>
      <c r="AG247" s="9">
        <f t="shared" si="170"/>
        <v>2.75</v>
      </c>
      <c r="AH247" s="9">
        <f t="shared" si="171"/>
        <v>4.25</v>
      </c>
      <c r="AI247" s="9">
        <f t="shared" si="172"/>
        <v>6.25</v>
      </c>
      <c r="AJ247" s="9">
        <f t="shared" si="173"/>
        <v>0</v>
      </c>
      <c r="AK247" s="9">
        <f t="shared" si="174"/>
        <v>1</v>
      </c>
      <c r="AL247" s="9">
        <f t="shared" si="175"/>
        <v>1.25</v>
      </c>
      <c r="AM247" s="9">
        <f t="shared" si="176"/>
        <v>0.25</v>
      </c>
      <c r="AN247" s="9">
        <f t="shared" si="177"/>
        <v>3</v>
      </c>
      <c r="AO247" s="9">
        <f t="shared" si="178"/>
        <v>3</v>
      </c>
      <c r="AP247" s="9">
        <f t="shared" si="179"/>
        <v>3</v>
      </c>
      <c r="AQ247" s="9">
        <f t="shared" si="180"/>
        <v>5</v>
      </c>
      <c r="AR247" s="9">
        <f t="shared" si="181"/>
        <v>6.75</v>
      </c>
      <c r="AS247" s="9">
        <f t="shared" si="182"/>
        <v>0</v>
      </c>
      <c r="AT247" s="9">
        <f t="shared" si="183"/>
        <v>0.625</v>
      </c>
      <c r="AU247" s="9">
        <f t="shared" si="184"/>
        <v>-0.25</v>
      </c>
      <c r="AV247" s="9">
        <f t="shared" si="185"/>
        <v>-1.25</v>
      </c>
      <c r="AW247" s="9">
        <f t="shared" si="186"/>
        <v>-1.3000000000000007</v>
      </c>
      <c r="AX247" s="9">
        <f t="shared" si="187"/>
        <v>-4</v>
      </c>
      <c r="AY247" s="9">
        <f t="shared" si="188"/>
        <v>-4</v>
      </c>
      <c r="AZ247" s="9">
        <f t="shared" si="189"/>
        <v>0.5</v>
      </c>
      <c r="BA247" s="9">
        <f t="shared" si="190"/>
        <v>2.5</v>
      </c>
      <c r="BB247" s="9">
        <f t="shared" si="191"/>
        <v>-0.25</v>
      </c>
      <c r="BC247" s="9">
        <f t="shared" si="192"/>
        <v>0.25</v>
      </c>
      <c r="BD247" s="9">
        <f t="shared" si="193"/>
        <v>-0.5</v>
      </c>
      <c r="BE247" s="9">
        <f t="shared" si="194"/>
        <v>-1.75</v>
      </c>
      <c r="BF247" s="9">
        <f t="shared" si="195"/>
        <v>-2.5500000000000007</v>
      </c>
      <c r="BG247" s="9">
        <f t="shared" si="196"/>
        <v>-7.0249999999999986</v>
      </c>
      <c r="BH247" s="9">
        <f t="shared" si="197"/>
        <v>-6.5</v>
      </c>
      <c r="BI247" s="9">
        <f t="shared" si="198"/>
        <v>-2.5</v>
      </c>
      <c r="BJ247" s="9">
        <f t="shared" si="199"/>
        <v>0</v>
      </c>
    </row>
    <row r="248" spans="1:62" x14ac:dyDescent="0.2">
      <c r="A248" s="9">
        <f>data!M249-data!M248</f>
        <v>0.12210000000000321</v>
      </c>
      <c r="B248" s="9">
        <f>data!C249-data!C248</f>
        <v>3.0700000000000003</v>
      </c>
      <c r="C248" s="9">
        <f>data!D249-data!D248</f>
        <v>4.9999999999990052E-3</v>
      </c>
      <c r="D248" s="10">
        <f>data!B249-data!B248</f>
        <v>2.4999999999999467E-3</v>
      </c>
      <c r="E248" s="9">
        <f>data!E248-data!G248</f>
        <v>2.0004</v>
      </c>
      <c r="F248" s="9">
        <f>(data!E248-data!F248)-(data!G248-data!H248)</f>
        <v>1.2362</v>
      </c>
      <c r="G248" s="9">
        <f t="shared" si="150"/>
        <v>-4.1600000000000081E-2</v>
      </c>
      <c r="H248" s="9">
        <f t="shared" si="151"/>
        <v>9.7800000000000109E-2</v>
      </c>
      <c r="I248" s="9">
        <f>IF(data!M249&gt; 111.81,1,0)</f>
        <v>0</v>
      </c>
      <c r="J248" s="9">
        <f t="shared" si="152"/>
        <v>1</v>
      </c>
      <c r="K248" s="9">
        <f t="shared" si="153"/>
        <v>0</v>
      </c>
      <c r="L248" s="9">
        <f t="shared" si="154"/>
        <v>0.12210000000000321</v>
      </c>
      <c r="M248" s="9">
        <f>data!J248</f>
        <v>-27.0625</v>
      </c>
      <c r="N248" s="9">
        <f>data!I248</f>
        <v>-36</v>
      </c>
      <c r="O248" s="9">
        <f>data!L248</f>
        <v>-35</v>
      </c>
      <c r="P248" s="9">
        <f>data!K248</f>
        <v>-25</v>
      </c>
      <c r="Q248" s="9">
        <f>data!R248</f>
        <v>-18</v>
      </c>
      <c r="R248" s="9">
        <f t="shared" si="155"/>
        <v>1.5625</v>
      </c>
      <c r="S248" s="9">
        <f t="shared" si="156"/>
        <v>0.5625</v>
      </c>
      <c r="T248" s="9">
        <f t="shared" si="157"/>
        <v>-0.1875</v>
      </c>
      <c r="U248" s="9">
        <f t="shared" si="158"/>
        <v>2.4375</v>
      </c>
      <c r="V248" s="9">
        <f t="shared" si="159"/>
        <v>0.5625</v>
      </c>
      <c r="W248" s="9">
        <f t="shared" si="160"/>
        <v>0.8125</v>
      </c>
      <c r="X248" s="9">
        <f t="shared" si="161"/>
        <v>0.5625</v>
      </c>
      <c r="Y248" s="9">
        <f t="shared" si="162"/>
        <v>3.9624999999999986</v>
      </c>
      <c r="Z248" s="9">
        <f t="shared" si="163"/>
        <v>4.0625</v>
      </c>
      <c r="AA248" s="9">
        <f t="shared" si="164"/>
        <v>1.75</v>
      </c>
      <c r="AB248" s="9">
        <f t="shared" si="165"/>
        <v>2.25</v>
      </c>
      <c r="AC248" s="9">
        <f t="shared" si="166"/>
        <v>1</v>
      </c>
      <c r="AD248" s="9">
        <f t="shared" si="167"/>
        <v>4</v>
      </c>
      <c r="AE248" s="9">
        <f t="shared" si="168"/>
        <v>4</v>
      </c>
      <c r="AF248" s="9">
        <f t="shared" si="169"/>
        <v>3</v>
      </c>
      <c r="AG248" s="9">
        <f t="shared" si="170"/>
        <v>4.5</v>
      </c>
      <c r="AH248" s="9">
        <f t="shared" si="171"/>
        <v>6.5</v>
      </c>
      <c r="AI248" s="9">
        <f t="shared" si="172"/>
        <v>5.5</v>
      </c>
      <c r="AJ248" s="9">
        <f t="shared" si="173"/>
        <v>1</v>
      </c>
      <c r="AK248" s="9">
        <f t="shared" si="174"/>
        <v>1.25</v>
      </c>
      <c r="AL248" s="9">
        <f t="shared" si="175"/>
        <v>0.25</v>
      </c>
      <c r="AM248" s="9">
        <f t="shared" si="176"/>
        <v>3</v>
      </c>
      <c r="AN248" s="9">
        <f t="shared" si="177"/>
        <v>3</v>
      </c>
      <c r="AO248" s="9">
        <f t="shared" si="178"/>
        <v>3</v>
      </c>
      <c r="AP248" s="9">
        <f t="shared" si="179"/>
        <v>5</v>
      </c>
      <c r="AQ248" s="9">
        <f t="shared" si="180"/>
        <v>6.75</v>
      </c>
      <c r="AR248" s="9">
        <f t="shared" si="181"/>
        <v>5.5</v>
      </c>
      <c r="AS248" s="9">
        <f t="shared" si="182"/>
        <v>0.625</v>
      </c>
      <c r="AT248" s="9">
        <f t="shared" si="183"/>
        <v>-0.25</v>
      </c>
      <c r="AU248" s="9">
        <f t="shared" si="184"/>
        <v>-1.25</v>
      </c>
      <c r="AV248" s="9">
        <f t="shared" si="185"/>
        <v>-1.3000000000000007</v>
      </c>
      <c r="AW248" s="9">
        <f t="shared" si="186"/>
        <v>-4</v>
      </c>
      <c r="AX248" s="9">
        <f t="shared" si="187"/>
        <v>-4</v>
      </c>
      <c r="AY248" s="9">
        <f t="shared" si="188"/>
        <v>0.5</v>
      </c>
      <c r="AZ248" s="9">
        <f t="shared" si="189"/>
        <v>2.5</v>
      </c>
      <c r="BA248" s="9">
        <f t="shared" si="190"/>
        <v>1</v>
      </c>
      <c r="BB248" s="9">
        <f t="shared" si="191"/>
        <v>0.5</v>
      </c>
      <c r="BC248" s="9">
        <f t="shared" si="192"/>
        <v>-0.25</v>
      </c>
      <c r="BD248" s="9">
        <f t="shared" si="193"/>
        <v>-1.5</v>
      </c>
      <c r="BE248" s="9">
        <f t="shared" si="194"/>
        <v>-2.3000000000000007</v>
      </c>
      <c r="BF248" s="9">
        <f t="shared" si="195"/>
        <v>-6.7749999999999986</v>
      </c>
      <c r="BG248" s="9">
        <f t="shared" si="196"/>
        <v>-6.25</v>
      </c>
      <c r="BH248" s="9">
        <f t="shared" si="197"/>
        <v>-2.25</v>
      </c>
      <c r="BI248" s="9">
        <f t="shared" si="198"/>
        <v>0.25</v>
      </c>
      <c r="BJ248" s="9">
        <f t="shared" si="199"/>
        <v>-1.5</v>
      </c>
    </row>
    <row r="249" spans="1:62" x14ac:dyDescent="0.2">
      <c r="A249" s="9">
        <f>data!M250-data!M249</f>
        <v>-1.377200000000002</v>
      </c>
      <c r="B249" s="9">
        <f>data!C250-data!C249</f>
        <v>-5.5599999999999987</v>
      </c>
      <c r="C249" s="9">
        <f>data!D250-data!D249</f>
        <v>-0.16499999999999915</v>
      </c>
      <c r="D249" s="10">
        <f>data!B250-data!B249</f>
        <v>0.38000000000000012</v>
      </c>
      <c r="E249" s="9">
        <f>data!E249-data!G249</f>
        <v>1.9587999999999999</v>
      </c>
      <c r="F249" s="9">
        <f>(data!E249-data!F249)-(data!G249-data!H249)</f>
        <v>1.3340000000000001</v>
      </c>
      <c r="G249" s="9">
        <f t="shared" si="150"/>
        <v>0.13139999999999996</v>
      </c>
      <c r="H249" s="9">
        <f t="shared" si="151"/>
        <v>5.6499999999999551E-2</v>
      </c>
      <c r="I249" s="9">
        <f>IF(data!M250&gt; 111.81,1,0)</f>
        <v>0</v>
      </c>
      <c r="J249" s="9">
        <f t="shared" si="152"/>
        <v>1</v>
      </c>
      <c r="K249" s="9">
        <f t="shared" si="153"/>
        <v>0</v>
      </c>
      <c r="L249" s="9">
        <f t="shared" si="154"/>
        <v>-1.377200000000002</v>
      </c>
      <c r="M249" s="9">
        <f>data!J249</f>
        <v>-25.5</v>
      </c>
      <c r="N249" s="9">
        <f>data!I249</f>
        <v>-34.25</v>
      </c>
      <c r="O249" s="9">
        <f>data!L249</f>
        <v>-34</v>
      </c>
      <c r="P249" s="9">
        <f>data!K249</f>
        <v>-24.375</v>
      </c>
      <c r="Q249" s="9">
        <f>data!R249</f>
        <v>-17.5</v>
      </c>
      <c r="R249" s="9">
        <f t="shared" si="155"/>
        <v>-1</v>
      </c>
      <c r="S249" s="9">
        <f t="shared" si="156"/>
        <v>-1.75</v>
      </c>
      <c r="T249" s="9">
        <f t="shared" si="157"/>
        <v>0.875</v>
      </c>
      <c r="U249" s="9">
        <f t="shared" si="158"/>
        <v>-1</v>
      </c>
      <c r="V249" s="9">
        <f t="shared" si="159"/>
        <v>-0.75</v>
      </c>
      <c r="W249" s="9">
        <f t="shared" si="160"/>
        <v>-1</v>
      </c>
      <c r="X249" s="9">
        <f t="shared" si="161"/>
        <v>2.3999999999999986</v>
      </c>
      <c r="Y249" s="9">
        <f t="shared" si="162"/>
        <v>2.5</v>
      </c>
      <c r="Z249" s="9">
        <f t="shared" si="163"/>
        <v>3.5500000000000007</v>
      </c>
      <c r="AA249" s="9">
        <f t="shared" si="164"/>
        <v>0.5</v>
      </c>
      <c r="AB249" s="9">
        <f t="shared" si="165"/>
        <v>-0.75</v>
      </c>
      <c r="AC249" s="9">
        <f t="shared" si="166"/>
        <v>2.25</v>
      </c>
      <c r="AD249" s="9">
        <f t="shared" si="167"/>
        <v>2.25</v>
      </c>
      <c r="AE249" s="9">
        <f t="shared" si="168"/>
        <v>1.25</v>
      </c>
      <c r="AF249" s="9">
        <f t="shared" si="169"/>
        <v>2.75</v>
      </c>
      <c r="AG249" s="9">
        <f t="shared" si="170"/>
        <v>4.75</v>
      </c>
      <c r="AH249" s="9">
        <f t="shared" si="171"/>
        <v>3.75</v>
      </c>
      <c r="AI249" s="9">
        <f t="shared" si="172"/>
        <v>0.5</v>
      </c>
      <c r="AJ249" s="9">
        <f t="shared" si="173"/>
        <v>0.25</v>
      </c>
      <c r="AK249" s="9">
        <f t="shared" si="174"/>
        <v>-0.75</v>
      </c>
      <c r="AL249" s="9">
        <f t="shared" si="175"/>
        <v>2</v>
      </c>
      <c r="AM249" s="9">
        <f t="shared" si="176"/>
        <v>2</v>
      </c>
      <c r="AN249" s="9">
        <f t="shared" si="177"/>
        <v>2</v>
      </c>
      <c r="AO249" s="9">
        <f t="shared" si="178"/>
        <v>4</v>
      </c>
      <c r="AP249" s="9">
        <f t="shared" si="179"/>
        <v>5.75</v>
      </c>
      <c r="AQ249" s="9">
        <f t="shared" si="180"/>
        <v>4.5</v>
      </c>
      <c r="AR249" s="9">
        <f t="shared" si="181"/>
        <v>1.5</v>
      </c>
      <c r="AS249" s="9">
        <f t="shared" si="182"/>
        <v>-0.875</v>
      </c>
      <c r="AT249" s="9">
        <f t="shared" si="183"/>
        <v>-1.875</v>
      </c>
      <c r="AU249" s="9">
        <f t="shared" si="184"/>
        <v>-1.9250000000000007</v>
      </c>
      <c r="AV249" s="9">
        <f t="shared" si="185"/>
        <v>-4.625</v>
      </c>
      <c r="AW249" s="9">
        <f t="shared" si="186"/>
        <v>-4.625</v>
      </c>
      <c r="AX249" s="9">
        <f t="shared" si="187"/>
        <v>-0.125</v>
      </c>
      <c r="AY249" s="9">
        <f t="shared" si="188"/>
        <v>1.875</v>
      </c>
      <c r="AZ249" s="9">
        <f t="shared" si="189"/>
        <v>0.375</v>
      </c>
      <c r="BA249" s="9">
        <f t="shared" si="190"/>
        <v>-2.625</v>
      </c>
      <c r="BB249" s="9">
        <f t="shared" si="191"/>
        <v>-0.75</v>
      </c>
      <c r="BC249" s="9">
        <f t="shared" si="192"/>
        <v>-2</v>
      </c>
      <c r="BD249" s="9">
        <f t="shared" si="193"/>
        <v>-2.8000000000000007</v>
      </c>
      <c r="BE249" s="9">
        <f t="shared" si="194"/>
        <v>-7.2749999999999986</v>
      </c>
      <c r="BF249" s="9">
        <f t="shared" si="195"/>
        <v>-6.75</v>
      </c>
      <c r="BG249" s="9">
        <f t="shared" si="196"/>
        <v>-2.75</v>
      </c>
      <c r="BH249" s="9">
        <f t="shared" si="197"/>
        <v>-0.25</v>
      </c>
      <c r="BI249" s="9">
        <f t="shared" si="198"/>
        <v>-2</v>
      </c>
      <c r="BJ249" s="9">
        <f t="shared" si="199"/>
        <v>-4.75</v>
      </c>
    </row>
    <row r="250" spans="1:62" x14ac:dyDescent="0.2">
      <c r="A250" s="9">
        <f>data!M251-data!M250</f>
        <v>-0.64430000000000121</v>
      </c>
      <c r="B250" s="9">
        <f>data!C251-data!C250</f>
        <v>-1.6900000000000013</v>
      </c>
      <c r="C250" s="9">
        <f>data!D251-data!D250</f>
        <v>0.10999999999999943</v>
      </c>
      <c r="D250" s="10">
        <f>data!B251-data!B250</f>
        <v>0.59999999999999987</v>
      </c>
      <c r="E250" s="9">
        <f>data!E250-data!G250</f>
        <v>2.0901999999999998</v>
      </c>
      <c r="F250" s="9">
        <f>(data!E250-data!F250)-(data!G250-data!H250)</f>
        <v>1.3904999999999996</v>
      </c>
      <c r="G250" s="9">
        <f t="shared" si="150"/>
        <v>-1.3699999999999601E-2</v>
      </c>
      <c r="H250" s="9">
        <f t="shared" si="151"/>
        <v>-1.4299999999999313E-2</v>
      </c>
      <c r="I250" s="9">
        <f>IF(data!M251&gt; 111.81,1,0)</f>
        <v>0</v>
      </c>
      <c r="J250" s="9">
        <f t="shared" si="152"/>
        <v>1</v>
      </c>
      <c r="K250" s="9">
        <f t="shared" si="153"/>
        <v>0</v>
      </c>
      <c r="L250" s="9">
        <f t="shared" si="154"/>
        <v>-0.64430000000000121</v>
      </c>
      <c r="M250" s="9">
        <f>data!J250</f>
        <v>-26.5</v>
      </c>
      <c r="N250" s="9">
        <f>data!I250</f>
        <v>-33.75</v>
      </c>
      <c r="O250" s="9">
        <f>data!L250</f>
        <v>-33.75</v>
      </c>
      <c r="P250" s="9">
        <f>data!K250</f>
        <v>-25.25</v>
      </c>
      <c r="Q250" s="9">
        <f>data!R250</f>
        <v>-18.25</v>
      </c>
      <c r="R250" s="9">
        <f t="shared" si="155"/>
        <v>-0.75</v>
      </c>
      <c r="S250" s="9">
        <f t="shared" si="156"/>
        <v>1.875</v>
      </c>
      <c r="T250" s="9">
        <f t="shared" si="157"/>
        <v>0</v>
      </c>
      <c r="U250" s="9">
        <f t="shared" si="158"/>
        <v>0.25</v>
      </c>
      <c r="V250" s="9">
        <f t="shared" si="159"/>
        <v>0</v>
      </c>
      <c r="W250" s="9">
        <f t="shared" si="160"/>
        <v>3.3999999999999986</v>
      </c>
      <c r="X250" s="9">
        <f t="shared" si="161"/>
        <v>3.5</v>
      </c>
      <c r="Y250" s="9">
        <f t="shared" si="162"/>
        <v>4.5500000000000007</v>
      </c>
      <c r="Z250" s="9">
        <f t="shared" si="163"/>
        <v>1.8000000000000007</v>
      </c>
      <c r="AA250" s="9">
        <f t="shared" si="164"/>
        <v>-1.25</v>
      </c>
      <c r="AB250" s="9">
        <f t="shared" si="165"/>
        <v>1.75</v>
      </c>
      <c r="AC250" s="9">
        <f t="shared" si="166"/>
        <v>1.75</v>
      </c>
      <c r="AD250" s="9">
        <f t="shared" si="167"/>
        <v>0.75</v>
      </c>
      <c r="AE250" s="9">
        <f t="shared" si="168"/>
        <v>2.25</v>
      </c>
      <c r="AF250" s="9">
        <f t="shared" si="169"/>
        <v>4.25</v>
      </c>
      <c r="AG250" s="9">
        <f t="shared" si="170"/>
        <v>3.25</v>
      </c>
      <c r="AH250" s="9">
        <f t="shared" si="171"/>
        <v>0</v>
      </c>
      <c r="AI250" s="9">
        <f t="shared" si="172"/>
        <v>-0.5</v>
      </c>
      <c r="AJ250" s="9">
        <f t="shared" si="173"/>
        <v>-1</v>
      </c>
      <c r="AK250" s="9">
        <f t="shared" si="174"/>
        <v>1.75</v>
      </c>
      <c r="AL250" s="9">
        <f t="shared" si="175"/>
        <v>1.75</v>
      </c>
      <c r="AM250" s="9">
        <f t="shared" si="176"/>
        <v>1.75</v>
      </c>
      <c r="AN250" s="9">
        <f t="shared" si="177"/>
        <v>3.75</v>
      </c>
      <c r="AO250" s="9">
        <f t="shared" si="178"/>
        <v>5.5</v>
      </c>
      <c r="AP250" s="9">
        <f t="shared" si="179"/>
        <v>4.25</v>
      </c>
      <c r="AQ250" s="9">
        <f t="shared" si="180"/>
        <v>1.25</v>
      </c>
      <c r="AR250" s="9">
        <f t="shared" si="181"/>
        <v>0.5</v>
      </c>
      <c r="AS250" s="9">
        <f t="shared" si="182"/>
        <v>-1</v>
      </c>
      <c r="AT250" s="9">
        <f t="shared" si="183"/>
        <v>-1.0500000000000007</v>
      </c>
      <c r="AU250" s="9">
        <f t="shared" si="184"/>
        <v>-3.75</v>
      </c>
      <c r="AV250" s="9">
        <f t="shared" si="185"/>
        <v>-3.75</v>
      </c>
      <c r="AW250" s="9">
        <f t="shared" si="186"/>
        <v>0.75</v>
      </c>
      <c r="AX250" s="9">
        <f t="shared" si="187"/>
        <v>2.75</v>
      </c>
      <c r="AY250" s="9">
        <f t="shared" si="188"/>
        <v>1.25</v>
      </c>
      <c r="AZ250" s="9">
        <f t="shared" si="189"/>
        <v>-1.75</v>
      </c>
      <c r="BA250" s="9">
        <f t="shared" si="190"/>
        <v>-2.75</v>
      </c>
      <c r="BB250" s="9">
        <f t="shared" si="191"/>
        <v>-1.25</v>
      </c>
      <c r="BC250" s="9">
        <f t="shared" si="192"/>
        <v>-2.0500000000000007</v>
      </c>
      <c r="BD250" s="9">
        <f t="shared" si="193"/>
        <v>-6.5249999999999986</v>
      </c>
      <c r="BE250" s="9">
        <f t="shared" si="194"/>
        <v>-6</v>
      </c>
      <c r="BF250" s="9">
        <f t="shared" si="195"/>
        <v>-2</v>
      </c>
      <c r="BG250" s="9">
        <f t="shared" si="196"/>
        <v>0.5</v>
      </c>
      <c r="BH250" s="9">
        <f t="shared" si="197"/>
        <v>-1.25</v>
      </c>
      <c r="BI250" s="9">
        <f t="shared" si="198"/>
        <v>-4</v>
      </c>
      <c r="BJ250" s="9">
        <f t="shared" si="199"/>
        <v>-5.25</v>
      </c>
    </row>
    <row r="251" spans="1:62" x14ac:dyDescent="0.2">
      <c r="A251" s="9">
        <f>data!M252-data!M251</f>
        <v>7.899999999999352E-2</v>
      </c>
      <c r="B251" s="9">
        <f>data!C252-data!C251</f>
        <v>0.83999999999999986</v>
      </c>
      <c r="C251" s="9">
        <f>data!D252-data!D251</f>
        <v>-0.50999999999999979</v>
      </c>
      <c r="D251" s="10">
        <f>data!B252-data!B251</f>
        <v>-3.499999999999992E-2</v>
      </c>
      <c r="E251" s="9">
        <f>data!E251-data!G251</f>
        <v>2.0765000000000002</v>
      </c>
      <c r="F251" s="9">
        <f>(data!E251-data!F251)-(data!G251-data!H251)</f>
        <v>1.3762000000000003</v>
      </c>
      <c r="G251" s="9">
        <f t="shared" si="150"/>
        <v>4.4500000000000206E-2</v>
      </c>
      <c r="H251" s="9">
        <f t="shared" si="151"/>
        <v>2.2899999999999698E-2</v>
      </c>
      <c r="I251" s="9">
        <f>IF(data!M252&gt; 111.81,1,0)</f>
        <v>0</v>
      </c>
      <c r="J251" s="9">
        <f t="shared" si="152"/>
        <v>1</v>
      </c>
      <c r="K251" s="9">
        <f t="shared" si="153"/>
        <v>0</v>
      </c>
      <c r="L251" s="9">
        <f t="shared" si="154"/>
        <v>7.899999999999352E-2</v>
      </c>
      <c r="M251" s="9">
        <f>data!J251</f>
        <v>-27.25</v>
      </c>
      <c r="N251" s="9">
        <f>data!I251</f>
        <v>-35</v>
      </c>
      <c r="O251" s="9">
        <f>data!L251</f>
        <v>-34.75</v>
      </c>
      <c r="P251" s="9">
        <f>data!K251</f>
        <v>-26.25</v>
      </c>
      <c r="Q251" s="9">
        <f>data!R251</f>
        <v>-19.5</v>
      </c>
      <c r="R251" s="9">
        <f t="shared" si="155"/>
        <v>2.625</v>
      </c>
      <c r="S251" s="9">
        <f t="shared" si="156"/>
        <v>0.75</v>
      </c>
      <c r="T251" s="9">
        <f t="shared" si="157"/>
        <v>1</v>
      </c>
      <c r="U251" s="9">
        <f t="shared" si="158"/>
        <v>0.75</v>
      </c>
      <c r="V251" s="9">
        <f t="shared" si="159"/>
        <v>4.1499999999999986</v>
      </c>
      <c r="W251" s="9">
        <f t="shared" si="160"/>
        <v>4.25</v>
      </c>
      <c r="X251" s="9">
        <f t="shared" si="161"/>
        <v>5.3000000000000007</v>
      </c>
      <c r="Y251" s="9">
        <f t="shared" si="162"/>
        <v>2.5500000000000007</v>
      </c>
      <c r="Z251" s="9">
        <f t="shared" si="163"/>
        <v>5.6000000000000014</v>
      </c>
      <c r="AA251" s="9">
        <f t="shared" si="164"/>
        <v>3</v>
      </c>
      <c r="AB251" s="9">
        <f t="shared" si="165"/>
        <v>3</v>
      </c>
      <c r="AC251" s="9">
        <f t="shared" si="166"/>
        <v>2</v>
      </c>
      <c r="AD251" s="9">
        <f t="shared" si="167"/>
        <v>3.5</v>
      </c>
      <c r="AE251" s="9">
        <f t="shared" si="168"/>
        <v>5.5</v>
      </c>
      <c r="AF251" s="9">
        <f t="shared" si="169"/>
        <v>4.5</v>
      </c>
      <c r="AG251" s="9">
        <f t="shared" si="170"/>
        <v>1.25</v>
      </c>
      <c r="AH251" s="9">
        <f t="shared" si="171"/>
        <v>0.75</v>
      </c>
      <c r="AI251" s="9">
        <f t="shared" si="172"/>
        <v>0.375</v>
      </c>
      <c r="AJ251" s="9">
        <f t="shared" si="173"/>
        <v>2.75</v>
      </c>
      <c r="AK251" s="9">
        <f t="shared" si="174"/>
        <v>2.75</v>
      </c>
      <c r="AL251" s="9">
        <f t="shared" si="175"/>
        <v>2.75</v>
      </c>
      <c r="AM251" s="9">
        <f t="shared" si="176"/>
        <v>4.75</v>
      </c>
      <c r="AN251" s="9">
        <f t="shared" si="177"/>
        <v>6.5</v>
      </c>
      <c r="AO251" s="9">
        <f t="shared" si="178"/>
        <v>5.25</v>
      </c>
      <c r="AP251" s="9">
        <f t="shared" si="179"/>
        <v>2.25</v>
      </c>
      <c r="AQ251" s="9">
        <f t="shared" si="180"/>
        <v>1.5</v>
      </c>
      <c r="AR251" s="9">
        <f t="shared" si="181"/>
        <v>0.875</v>
      </c>
      <c r="AS251" s="9">
        <f t="shared" si="182"/>
        <v>-5.0000000000000711E-2</v>
      </c>
      <c r="AT251" s="9">
        <f t="shared" si="183"/>
        <v>-2.75</v>
      </c>
      <c r="AU251" s="9">
        <f t="shared" si="184"/>
        <v>-2.75</v>
      </c>
      <c r="AV251" s="9">
        <f t="shared" si="185"/>
        <v>1.75</v>
      </c>
      <c r="AW251" s="9">
        <f t="shared" si="186"/>
        <v>3.75</v>
      </c>
      <c r="AX251" s="9">
        <f t="shared" si="187"/>
        <v>2.25</v>
      </c>
      <c r="AY251" s="9">
        <f t="shared" si="188"/>
        <v>-0.75</v>
      </c>
      <c r="AZ251" s="9">
        <f t="shared" si="189"/>
        <v>-1.75</v>
      </c>
      <c r="BA251" s="9">
        <f t="shared" si="190"/>
        <v>-2.375</v>
      </c>
      <c r="BB251" s="9">
        <f t="shared" si="191"/>
        <v>-0.80000000000000071</v>
      </c>
      <c r="BC251" s="9">
        <f t="shared" si="192"/>
        <v>-5.2749999999999986</v>
      </c>
      <c r="BD251" s="9">
        <f t="shared" si="193"/>
        <v>-4.75</v>
      </c>
      <c r="BE251" s="9">
        <f t="shared" si="194"/>
        <v>-0.75</v>
      </c>
      <c r="BF251" s="9">
        <f t="shared" si="195"/>
        <v>1.75</v>
      </c>
      <c r="BG251" s="9">
        <f t="shared" si="196"/>
        <v>0</v>
      </c>
      <c r="BH251" s="9">
        <f t="shared" si="197"/>
        <v>-2.75</v>
      </c>
      <c r="BI251" s="9">
        <f t="shared" si="198"/>
        <v>-4</v>
      </c>
      <c r="BJ251" s="9">
        <f t="shared" si="199"/>
        <v>-4.5</v>
      </c>
    </row>
    <row r="252" spans="1:62" x14ac:dyDescent="0.2">
      <c r="A252" s="9">
        <f>data!M253-data!M252</f>
        <v>0.88760000000000616</v>
      </c>
      <c r="B252" s="9">
        <f>data!C253-data!C252</f>
        <v>8.4200000000000017</v>
      </c>
      <c r="C252" s="9">
        <f>data!D253-data!D252</f>
        <v>0.42249999999999943</v>
      </c>
      <c r="D252" s="10">
        <f>data!B253-data!B252</f>
        <v>-1.0199999999999998</v>
      </c>
      <c r="E252" s="9">
        <f>data!E252-data!G252</f>
        <v>2.1210000000000004</v>
      </c>
      <c r="F252" s="9">
        <f>(data!E252-data!F252)-(data!G252-data!H252)</f>
        <v>1.3991</v>
      </c>
      <c r="G252" s="9">
        <f t="shared" si="150"/>
        <v>-0.15320000000000045</v>
      </c>
      <c r="H252" s="9">
        <f t="shared" si="151"/>
        <v>-5.6400000000000006E-2</v>
      </c>
      <c r="I252" s="9">
        <f>IF(data!M253&gt; 111.81,1,0)</f>
        <v>0</v>
      </c>
      <c r="J252" s="9">
        <f t="shared" si="152"/>
        <v>1</v>
      </c>
      <c r="K252" s="9">
        <f t="shared" si="153"/>
        <v>0</v>
      </c>
      <c r="L252" s="9">
        <f t="shared" si="154"/>
        <v>0.88760000000000616</v>
      </c>
      <c r="M252" s="9">
        <f>data!J252</f>
        <v>-24.625</v>
      </c>
      <c r="N252" s="9">
        <f>data!I252</f>
        <v>-32</v>
      </c>
      <c r="O252" s="9">
        <f>data!L252</f>
        <v>-32</v>
      </c>
      <c r="P252" s="9">
        <f>data!K252</f>
        <v>-26.3</v>
      </c>
      <c r="Q252" s="9">
        <f>data!R252</f>
        <v>-20.3</v>
      </c>
      <c r="R252" s="9">
        <f t="shared" si="155"/>
        <v>-1.875</v>
      </c>
      <c r="S252" s="9">
        <f t="shared" si="156"/>
        <v>-1.625</v>
      </c>
      <c r="T252" s="9">
        <f t="shared" si="157"/>
        <v>-1.875</v>
      </c>
      <c r="U252" s="9">
        <f t="shared" si="158"/>
        <v>1.5249999999999986</v>
      </c>
      <c r="V252" s="9">
        <f t="shared" si="159"/>
        <v>1.625</v>
      </c>
      <c r="W252" s="9">
        <f t="shared" si="160"/>
        <v>2.6750000000000007</v>
      </c>
      <c r="X252" s="9">
        <f t="shared" si="161"/>
        <v>-7.4999999999999289E-2</v>
      </c>
      <c r="Y252" s="9">
        <f t="shared" si="162"/>
        <v>2.9750000000000014</v>
      </c>
      <c r="Z252" s="9">
        <f t="shared" si="163"/>
        <v>1.625</v>
      </c>
      <c r="AA252" s="9">
        <f t="shared" si="164"/>
        <v>0</v>
      </c>
      <c r="AB252" s="9">
        <f t="shared" si="165"/>
        <v>-1</v>
      </c>
      <c r="AC252" s="9">
        <f t="shared" si="166"/>
        <v>0.5</v>
      </c>
      <c r="AD252" s="9">
        <f t="shared" si="167"/>
        <v>2.5</v>
      </c>
      <c r="AE252" s="9">
        <f t="shared" si="168"/>
        <v>1.5</v>
      </c>
      <c r="AF252" s="9">
        <f t="shared" si="169"/>
        <v>-1.75</v>
      </c>
      <c r="AG252" s="9">
        <f t="shared" si="170"/>
        <v>-2.25</v>
      </c>
      <c r="AH252" s="9">
        <f t="shared" si="171"/>
        <v>-2.625</v>
      </c>
      <c r="AI252" s="9">
        <f t="shared" si="172"/>
        <v>-1.5</v>
      </c>
      <c r="AJ252" s="9">
        <f t="shared" si="173"/>
        <v>0</v>
      </c>
      <c r="AK252" s="9">
        <f t="shared" si="174"/>
        <v>0</v>
      </c>
      <c r="AL252" s="9">
        <f t="shared" si="175"/>
        <v>2</v>
      </c>
      <c r="AM252" s="9">
        <f t="shared" si="176"/>
        <v>3.75</v>
      </c>
      <c r="AN252" s="9">
        <f t="shared" si="177"/>
        <v>2.5</v>
      </c>
      <c r="AO252" s="9">
        <f t="shared" si="178"/>
        <v>-0.5</v>
      </c>
      <c r="AP252" s="9">
        <f t="shared" si="179"/>
        <v>-1.25</v>
      </c>
      <c r="AQ252" s="9">
        <f t="shared" si="180"/>
        <v>-1.875</v>
      </c>
      <c r="AR252" s="9">
        <f t="shared" si="181"/>
        <v>-0.5</v>
      </c>
      <c r="AS252" s="9">
        <f t="shared" si="182"/>
        <v>-2.6999999999999993</v>
      </c>
      <c r="AT252" s="9">
        <f t="shared" si="183"/>
        <v>-2.6999999999999993</v>
      </c>
      <c r="AU252" s="9">
        <f t="shared" si="184"/>
        <v>1.8000000000000007</v>
      </c>
      <c r="AV252" s="9">
        <f t="shared" si="185"/>
        <v>3.8000000000000007</v>
      </c>
      <c r="AW252" s="9">
        <f t="shared" si="186"/>
        <v>2.3000000000000007</v>
      </c>
      <c r="AX252" s="9">
        <f t="shared" si="187"/>
        <v>-0.69999999999999929</v>
      </c>
      <c r="AY252" s="9">
        <f t="shared" si="188"/>
        <v>-1.6999999999999993</v>
      </c>
      <c r="AZ252" s="9">
        <f t="shared" si="189"/>
        <v>-2.3249999999999993</v>
      </c>
      <c r="BA252" s="9">
        <f t="shared" si="190"/>
        <v>-0.69999999999999929</v>
      </c>
      <c r="BB252" s="9">
        <f t="shared" si="191"/>
        <v>-4.4749999999999979</v>
      </c>
      <c r="BC252" s="9">
        <f t="shared" si="192"/>
        <v>-3.9499999999999993</v>
      </c>
      <c r="BD252" s="9">
        <f t="shared" si="193"/>
        <v>5.0000000000000711E-2</v>
      </c>
      <c r="BE252" s="9">
        <f t="shared" si="194"/>
        <v>2.5500000000000007</v>
      </c>
      <c r="BF252" s="9">
        <f t="shared" si="195"/>
        <v>0.80000000000000071</v>
      </c>
      <c r="BG252" s="9">
        <f t="shared" si="196"/>
        <v>-1.9499999999999993</v>
      </c>
      <c r="BH252" s="9">
        <f t="shared" si="197"/>
        <v>-3.1999999999999993</v>
      </c>
      <c r="BI252" s="9">
        <f t="shared" si="198"/>
        <v>-3.6999999999999993</v>
      </c>
      <c r="BJ252" s="9">
        <f t="shared" si="199"/>
        <v>-2.4124999999999979</v>
      </c>
    </row>
    <row r="253" spans="1:62" x14ac:dyDescent="0.2">
      <c r="A253" s="9">
        <f>data!M254-data!M253</f>
        <v>-0.23590000000000089</v>
      </c>
      <c r="B253" s="9">
        <f>data!C254-data!C253</f>
        <v>-6.5</v>
      </c>
      <c r="C253" s="9">
        <f>data!D254-data!D253</f>
        <v>-0.26750000000000007</v>
      </c>
      <c r="D253" s="10">
        <f>data!B254-data!B253</f>
        <v>-5.7500000000000107E-2</v>
      </c>
      <c r="E253" s="9">
        <f>data!E253-data!G253</f>
        <v>1.9678</v>
      </c>
      <c r="F253" s="9">
        <f>(data!E253-data!F253)-(data!G253-data!H253)</f>
        <v>1.3427</v>
      </c>
      <c r="G253" s="9">
        <f t="shared" si="150"/>
        <v>7.5299999999999923E-2</v>
      </c>
      <c r="H253" s="9">
        <f t="shared" si="151"/>
        <v>0.13630000000000009</v>
      </c>
      <c r="I253" s="9">
        <f>IF(data!M254&gt; 111.81,1,0)</f>
        <v>0</v>
      </c>
      <c r="J253" s="9">
        <f t="shared" si="152"/>
        <v>1</v>
      </c>
      <c r="K253" s="9">
        <f t="shared" si="153"/>
        <v>0</v>
      </c>
      <c r="L253" s="9">
        <f t="shared" si="154"/>
        <v>-0.23590000000000089</v>
      </c>
      <c r="M253" s="9">
        <f>data!J253</f>
        <v>-26.5</v>
      </c>
      <c r="N253" s="9">
        <f>data!I253</f>
        <v>-32</v>
      </c>
      <c r="O253" s="9">
        <f>data!L253</f>
        <v>-32</v>
      </c>
      <c r="P253" s="9">
        <f>data!K253</f>
        <v>-29</v>
      </c>
      <c r="Q253" s="9">
        <f>data!R253</f>
        <v>-24.774999999999999</v>
      </c>
      <c r="R253" s="9">
        <f t="shared" si="155"/>
        <v>0.25</v>
      </c>
      <c r="S253" s="9">
        <f t="shared" si="156"/>
        <v>0</v>
      </c>
      <c r="T253" s="9">
        <f t="shared" si="157"/>
        <v>3.3999999999999986</v>
      </c>
      <c r="U253" s="9">
        <f t="shared" si="158"/>
        <v>3.5</v>
      </c>
      <c r="V253" s="9">
        <f t="shared" si="159"/>
        <v>4.5500000000000007</v>
      </c>
      <c r="W253" s="9">
        <f t="shared" si="160"/>
        <v>1.8000000000000007</v>
      </c>
      <c r="X253" s="9">
        <f t="shared" si="161"/>
        <v>4.8500000000000014</v>
      </c>
      <c r="Y253" s="9">
        <f t="shared" si="162"/>
        <v>3.5</v>
      </c>
      <c r="Z253" s="9">
        <f t="shared" si="163"/>
        <v>4.5</v>
      </c>
      <c r="AA253" s="9">
        <f t="shared" si="164"/>
        <v>-1</v>
      </c>
      <c r="AB253" s="9">
        <f t="shared" si="165"/>
        <v>0.5</v>
      </c>
      <c r="AC253" s="9">
        <f t="shared" si="166"/>
        <v>2.5</v>
      </c>
      <c r="AD253" s="9">
        <f t="shared" si="167"/>
        <v>1.5</v>
      </c>
      <c r="AE253" s="9">
        <f t="shared" si="168"/>
        <v>-1.75</v>
      </c>
      <c r="AF253" s="9">
        <f t="shared" si="169"/>
        <v>-2.25</v>
      </c>
      <c r="AG253" s="9">
        <f t="shared" si="170"/>
        <v>-2.625</v>
      </c>
      <c r="AH253" s="9">
        <f t="shared" si="171"/>
        <v>-1.5</v>
      </c>
      <c r="AI253" s="9">
        <f t="shared" si="172"/>
        <v>-1</v>
      </c>
      <c r="AJ253" s="9">
        <f t="shared" si="173"/>
        <v>0</v>
      </c>
      <c r="AK253" s="9">
        <f t="shared" si="174"/>
        <v>2</v>
      </c>
      <c r="AL253" s="9">
        <f t="shared" si="175"/>
        <v>3.75</v>
      </c>
      <c r="AM253" s="9">
        <f t="shared" si="176"/>
        <v>2.5</v>
      </c>
      <c r="AN253" s="9">
        <f t="shared" si="177"/>
        <v>-0.5</v>
      </c>
      <c r="AO253" s="9">
        <f t="shared" si="178"/>
        <v>-1.25</v>
      </c>
      <c r="AP253" s="9">
        <f t="shared" si="179"/>
        <v>-1.875</v>
      </c>
      <c r="AQ253" s="9">
        <f t="shared" si="180"/>
        <v>-0.5</v>
      </c>
      <c r="AR253" s="9">
        <f t="shared" si="181"/>
        <v>-0.5</v>
      </c>
      <c r="AS253" s="9">
        <f t="shared" si="182"/>
        <v>0</v>
      </c>
      <c r="AT253" s="9">
        <f t="shared" si="183"/>
        <v>4.5</v>
      </c>
      <c r="AU253" s="9">
        <f t="shared" si="184"/>
        <v>6.5</v>
      </c>
      <c r="AV253" s="9">
        <f t="shared" si="185"/>
        <v>5</v>
      </c>
      <c r="AW253" s="9">
        <f t="shared" si="186"/>
        <v>2</v>
      </c>
      <c r="AX253" s="9">
        <f t="shared" si="187"/>
        <v>1</v>
      </c>
      <c r="AY253" s="9">
        <f t="shared" si="188"/>
        <v>0.375</v>
      </c>
      <c r="AZ253" s="9">
        <f t="shared" si="189"/>
        <v>2</v>
      </c>
      <c r="BA253" s="9">
        <f t="shared" si="190"/>
        <v>2</v>
      </c>
      <c r="BB253" s="9">
        <f t="shared" si="191"/>
        <v>0.52499999999999858</v>
      </c>
      <c r="BC253" s="9">
        <f t="shared" si="192"/>
        <v>4.5249999999999986</v>
      </c>
      <c r="BD253" s="9">
        <f t="shared" si="193"/>
        <v>7.0249999999999986</v>
      </c>
      <c r="BE253" s="9">
        <f t="shared" si="194"/>
        <v>5.2749999999999986</v>
      </c>
      <c r="BF253" s="9">
        <f t="shared" si="195"/>
        <v>2.5249999999999986</v>
      </c>
      <c r="BG253" s="9">
        <f t="shared" si="196"/>
        <v>1.2749999999999986</v>
      </c>
      <c r="BH253" s="9">
        <f t="shared" si="197"/>
        <v>0.77499999999999858</v>
      </c>
      <c r="BI253" s="9">
        <f t="shared" si="198"/>
        <v>2.0625</v>
      </c>
      <c r="BJ253" s="9">
        <f t="shared" si="199"/>
        <v>3.0249999999999986</v>
      </c>
    </row>
    <row r="254" spans="1:62" x14ac:dyDescent="0.2">
      <c r="A254" s="9">
        <f>data!M255-data!M254</f>
        <v>-0.80939999999999657</v>
      </c>
      <c r="B254" s="9">
        <f>data!C255-data!C254</f>
        <v>-0.83000000000000185</v>
      </c>
      <c r="C254" s="9">
        <f>data!D255-data!D254</f>
        <v>-0.96999999999999886</v>
      </c>
      <c r="D254" s="10">
        <f>data!B255-data!B254</f>
        <v>0.25</v>
      </c>
      <c r="E254" s="9">
        <f>data!E254-data!G254</f>
        <v>2.0430999999999999</v>
      </c>
      <c r="F254" s="9">
        <f>(data!E254-data!F254)-(data!G254-data!H254)</f>
        <v>1.4790000000000001</v>
      </c>
      <c r="G254" s="9">
        <f t="shared" si="150"/>
        <v>2.9600000000000293E-2</v>
      </c>
      <c r="H254" s="9">
        <f t="shared" si="151"/>
        <v>4.4399999999999551E-2</v>
      </c>
      <c r="I254" s="9">
        <f>IF(data!M255&gt; 111.81,1,0)</f>
        <v>0</v>
      </c>
      <c r="J254" s="9">
        <f t="shared" si="152"/>
        <v>1</v>
      </c>
      <c r="K254" s="9">
        <f t="shared" si="153"/>
        <v>0</v>
      </c>
      <c r="L254" s="9">
        <f t="shared" si="154"/>
        <v>-0.80939999999999657</v>
      </c>
      <c r="M254" s="9">
        <f>data!J254</f>
        <v>-26.25</v>
      </c>
      <c r="N254" s="9">
        <f>data!I254</f>
        <v>-33</v>
      </c>
      <c r="O254" s="9">
        <f>data!L254</f>
        <v>-32</v>
      </c>
      <c r="P254" s="9">
        <f>data!K254</f>
        <v>-29</v>
      </c>
      <c r="Q254" s="9">
        <f>data!R254</f>
        <v>-24.25</v>
      </c>
      <c r="R254" s="9">
        <f t="shared" si="155"/>
        <v>-0.25</v>
      </c>
      <c r="S254" s="9">
        <f t="shared" si="156"/>
        <v>3.1499999999999986</v>
      </c>
      <c r="T254" s="9">
        <f t="shared" si="157"/>
        <v>3.25</v>
      </c>
      <c r="U254" s="9">
        <f t="shared" si="158"/>
        <v>4.3000000000000007</v>
      </c>
      <c r="V254" s="9">
        <f t="shared" si="159"/>
        <v>1.5500000000000007</v>
      </c>
      <c r="W254" s="9">
        <f t="shared" si="160"/>
        <v>4.6000000000000014</v>
      </c>
      <c r="X254" s="9">
        <f t="shared" si="161"/>
        <v>3.25</v>
      </c>
      <c r="Y254" s="9">
        <f t="shared" si="162"/>
        <v>4.25</v>
      </c>
      <c r="Z254" s="9">
        <f t="shared" si="163"/>
        <v>5.8999999999999986</v>
      </c>
      <c r="AA254" s="9">
        <f t="shared" si="164"/>
        <v>1.5</v>
      </c>
      <c r="AB254" s="9">
        <f t="shared" si="165"/>
        <v>3.5</v>
      </c>
      <c r="AC254" s="9">
        <f t="shared" si="166"/>
        <v>2.5</v>
      </c>
      <c r="AD254" s="9">
        <f t="shared" si="167"/>
        <v>-0.75</v>
      </c>
      <c r="AE254" s="9">
        <f t="shared" si="168"/>
        <v>-1.25</v>
      </c>
      <c r="AF254" s="9">
        <f t="shared" si="169"/>
        <v>-1.625</v>
      </c>
      <c r="AG254" s="9">
        <f t="shared" si="170"/>
        <v>-0.5</v>
      </c>
      <c r="AH254" s="9">
        <f t="shared" si="171"/>
        <v>0</v>
      </c>
      <c r="AI254" s="9">
        <f t="shared" si="172"/>
        <v>0</v>
      </c>
      <c r="AJ254" s="9">
        <f t="shared" si="173"/>
        <v>2</v>
      </c>
      <c r="AK254" s="9">
        <f t="shared" si="174"/>
        <v>3.75</v>
      </c>
      <c r="AL254" s="9">
        <f t="shared" si="175"/>
        <v>2.5</v>
      </c>
      <c r="AM254" s="9">
        <f t="shared" si="176"/>
        <v>-0.5</v>
      </c>
      <c r="AN254" s="9">
        <f t="shared" si="177"/>
        <v>-1.25</v>
      </c>
      <c r="AO254" s="9">
        <f t="shared" si="178"/>
        <v>-1.875</v>
      </c>
      <c r="AP254" s="9">
        <f t="shared" si="179"/>
        <v>-0.5</v>
      </c>
      <c r="AQ254" s="9">
        <f t="shared" si="180"/>
        <v>-0.5</v>
      </c>
      <c r="AR254" s="9">
        <f t="shared" si="181"/>
        <v>-0.5</v>
      </c>
      <c r="AS254" s="9">
        <f t="shared" si="182"/>
        <v>4.5</v>
      </c>
      <c r="AT254" s="9">
        <f t="shared" si="183"/>
        <v>6.5</v>
      </c>
      <c r="AU254" s="9">
        <f t="shared" si="184"/>
        <v>5</v>
      </c>
      <c r="AV254" s="9">
        <f t="shared" si="185"/>
        <v>2</v>
      </c>
      <c r="AW254" s="9">
        <f t="shared" si="186"/>
        <v>1</v>
      </c>
      <c r="AX254" s="9">
        <f t="shared" si="187"/>
        <v>0.375</v>
      </c>
      <c r="AY254" s="9">
        <f t="shared" si="188"/>
        <v>2</v>
      </c>
      <c r="AZ254" s="9">
        <f t="shared" si="189"/>
        <v>2</v>
      </c>
      <c r="BA254" s="9">
        <f t="shared" si="190"/>
        <v>1.5</v>
      </c>
      <c r="BB254" s="9">
        <f t="shared" si="191"/>
        <v>4</v>
      </c>
      <c r="BC254" s="9">
        <f t="shared" si="192"/>
        <v>6.5</v>
      </c>
      <c r="BD254" s="9">
        <f t="shared" si="193"/>
        <v>4.75</v>
      </c>
      <c r="BE254" s="9">
        <f t="shared" si="194"/>
        <v>2</v>
      </c>
      <c r="BF254" s="9">
        <f t="shared" si="195"/>
        <v>0.75</v>
      </c>
      <c r="BG254" s="9">
        <f t="shared" si="196"/>
        <v>0.25</v>
      </c>
      <c r="BH254" s="9">
        <f t="shared" si="197"/>
        <v>1.5375000000000014</v>
      </c>
      <c r="BI254" s="9">
        <f t="shared" si="198"/>
        <v>2.5</v>
      </c>
      <c r="BJ254" s="9">
        <f t="shared" si="199"/>
        <v>1.75</v>
      </c>
    </row>
    <row r="255" spans="1:62" x14ac:dyDescent="0.2">
      <c r="A255" s="9">
        <f>data!M256-data!M255</f>
        <v>0.41519999999999868</v>
      </c>
      <c r="B255" s="9">
        <f>data!C256-data!C255</f>
        <v>-1.1699999999999982</v>
      </c>
      <c r="C255" s="9">
        <f>data!D256-data!D255</f>
        <v>-0.22500000000000142</v>
      </c>
      <c r="D255" s="10">
        <f>data!B256-data!B255</f>
        <v>-0.57750000000000012</v>
      </c>
      <c r="E255" s="9">
        <f>data!E255-data!G255</f>
        <v>2.0727000000000002</v>
      </c>
      <c r="F255" s="9">
        <f>(data!E255-data!F255)-(data!G255-data!H255)</f>
        <v>1.5233999999999996</v>
      </c>
      <c r="G255" s="9">
        <f t="shared" si="150"/>
        <v>-2.0100000000000229E-2</v>
      </c>
      <c r="H255" s="9">
        <f t="shared" si="151"/>
        <v>5.5000000000000604E-2</v>
      </c>
      <c r="I255" s="9">
        <f>IF(data!M256&gt; 111.81,1,0)</f>
        <v>0</v>
      </c>
      <c r="J255" s="9">
        <f t="shared" si="152"/>
        <v>1</v>
      </c>
      <c r="K255" s="9">
        <f t="shared" si="153"/>
        <v>0</v>
      </c>
      <c r="L255" s="9">
        <f t="shared" si="154"/>
        <v>0.41519999999999868</v>
      </c>
      <c r="M255" s="9">
        <f>data!J255</f>
        <v>-26.5</v>
      </c>
      <c r="N255" s="9">
        <f>data!I255</f>
        <v>-31.5</v>
      </c>
      <c r="O255" s="9">
        <f>data!L255</f>
        <v>-30</v>
      </c>
      <c r="P255" s="9">
        <f>data!K255</f>
        <v>-24.5</v>
      </c>
      <c r="Q255" s="9">
        <f>data!R255</f>
        <v>-20.25</v>
      </c>
      <c r="R255" s="9">
        <f t="shared" si="155"/>
        <v>3.3999999999999986</v>
      </c>
      <c r="S255" s="9">
        <f t="shared" si="156"/>
        <v>3.5</v>
      </c>
      <c r="T255" s="9">
        <f t="shared" si="157"/>
        <v>4.5500000000000007</v>
      </c>
      <c r="U255" s="9">
        <f t="shared" si="158"/>
        <v>1.8000000000000007</v>
      </c>
      <c r="V255" s="9">
        <f t="shared" si="159"/>
        <v>4.8500000000000014</v>
      </c>
      <c r="W255" s="9">
        <f t="shared" si="160"/>
        <v>3.5</v>
      </c>
      <c r="X255" s="9">
        <f t="shared" si="161"/>
        <v>4.5</v>
      </c>
      <c r="Y255" s="9">
        <f t="shared" si="162"/>
        <v>6.1499999999999986</v>
      </c>
      <c r="Z255" s="9">
        <f t="shared" si="163"/>
        <v>5.8500000000000014</v>
      </c>
      <c r="AA255" s="9">
        <f t="shared" si="164"/>
        <v>2</v>
      </c>
      <c r="AB255" s="9">
        <f t="shared" si="165"/>
        <v>1</v>
      </c>
      <c r="AC255" s="9">
        <f t="shared" si="166"/>
        <v>-2.25</v>
      </c>
      <c r="AD255" s="9">
        <f t="shared" si="167"/>
        <v>-2.75</v>
      </c>
      <c r="AE255" s="9">
        <f t="shared" si="168"/>
        <v>-3.125</v>
      </c>
      <c r="AF255" s="9">
        <f t="shared" si="169"/>
        <v>-2</v>
      </c>
      <c r="AG255" s="9">
        <f t="shared" si="170"/>
        <v>-1.5</v>
      </c>
      <c r="AH255" s="9">
        <f t="shared" si="171"/>
        <v>-1.5</v>
      </c>
      <c r="AI255" s="9">
        <f t="shared" si="172"/>
        <v>-1.25</v>
      </c>
      <c r="AJ255" s="9">
        <f t="shared" si="173"/>
        <v>1.75</v>
      </c>
      <c r="AK255" s="9">
        <f t="shared" si="174"/>
        <v>0.5</v>
      </c>
      <c r="AL255" s="9">
        <f t="shared" si="175"/>
        <v>-2.5</v>
      </c>
      <c r="AM255" s="9">
        <f t="shared" si="176"/>
        <v>-3.25</v>
      </c>
      <c r="AN255" s="9">
        <f t="shared" si="177"/>
        <v>-3.875</v>
      </c>
      <c r="AO255" s="9">
        <f t="shared" si="178"/>
        <v>-2.5</v>
      </c>
      <c r="AP255" s="9">
        <f t="shared" si="179"/>
        <v>-2.5</v>
      </c>
      <c r="AQ255" s="9">
        <f t="shared" si="180"/>
        <v>-2.5</v>
      </c>
      <c r="AR255" s="9">
        <f t="shared" si="181"/>
        <v>-2.875</v>
      </c>
      <c r="AS255" s="9">
        <f t="shared" si="182"/>
        <v>2</v>
      </c>
      <c r="AT255" s="9">
        <f t="shared" si="183"/>
        <v>0.5</v>
      </c>
      <c r="AU255" s="9">
        <f t="shared" si="184"/>
        <v>-2.5</v>
      </c>
      <c r="AV255" s="9">
        <f t="shared" si="185"/>
        <v>-3.5</v>
      </c>
      <c r="AW255" s="9">
        <f t="shared" si="186"/>
        <v>-4.125</v>
      </c>
      <c r="AX255" s="9">
        <f t="shared" si="187"/>
        <v>-2.5</v>
      </c>
      <c r="AY255" s="9">
        <f t="shared" si="188"/>
        <v>-2.5</v>
      </c>
      <c r="AZ255" s="9">
        <f t="shared" si="189"/>
        <v>-3</v>
      </c>
      <c r="BA255" s="9">
        <f t="shared" si="190"/>
        <v>-3.25</v>
      </c>
      <c r="BB255" s="9">
        <f t="shared" si="191"/>
        <v>2.5</v>
      </c>
      <c r="BC255" s="9">
        <f t="shared" si="192"/>
        <v>0.75</v>
      </c>
      <c r="BD255" s="9">
        <f t="shared" si="193"/>
        <v>-2</v>
      </c>
      <c r="BE255" s="9">
        <f t="shared" si="194"/>
        <v>-3.25</v>
      </c>
      <c r="BF255" s="9">
        <f t="shared" si="195"/>
        <v>-3.75</v>
      </c>
      <c r="BG255" s="9">
        <f t="shared" si="196"/>
        <v>-2.4624999999999986</v>
      </c>
      <c r="BH255" s="9">
        <f t="shared" si="197"/>
        <v>-1.5</v>
      </c>
      <c r="BI255" s="9">
        <f t="shared" si="198"/>
        <v>-2.25</v>
      </c>
      <c r="BJ255" s="9">
        <f t="shared" si="199"/>
        <v>-2.625</v>
      </c>
    </row>
    <row r="256" spans="1:62" x14ac:dyDescent="0.2">
      <c r="A256" s="9">
        <f>data!M257-data!M256</f>
        <v>-0.46340000000000714</v>
      </c>
      <c r="B256" s="9">
        <f>data!C257-data!C256</f>
        <v>2.66</v>
      </c>
      <c r="C256" s="9">
        <f>data!D257-data!D256</f>
        <v>2.1875</v>
      </c>
      <c r="D256" s="10">
        <f>data!B257-data!B256</f>
        <v>-0.80249999999999977</v>
      </c>
      <c r="E256" s="9">
        <f>data!E256-data!G256</f>
        <v>2.0526</v>
      </c>
      <c r="F256" s="9">
        <f>(data!E256-data!F256)-(data!G256-data!H256)</f>
        <v>1.5784000000000002</v>
      </c>
      <c r="G256" s="9">
        <f t="shared" si="150"/>
        <v>-0.10350000000000015</v>
      </c>
      <c r="H256" s="9">
        <f t="shared" si="151"/>
        <v>-7.3400000000000354E-2</v>
      </c>
      <c r="I256" s="9">
        <f>IF(data!M257&gt; 111.81,1,0)</f>
        <v>0</v>
      </c>
      <c r="J256" s="9">
        <f t="shared" si="152"/>
        <v>1</v>
      </c>
      <c r="K256" s="9">
        <f t="shared" si="153"/>
        <v>0</v>
      </c>
      <c r="L256" s="9">
        <f t="shared" si="154"/>
        <v>-0.46340000000000714</v>
      </c>
      <c r="M256" s="9">
        <f>data!J256</f>
        <v>-23.1</v>
      </c>
      <c r="N256" s="9">
        <f>data!I256</f>
        <v>-29.5</v>
      </c>
      <c r="O256" s="9">
        <f>data!L256</f>
        <v>-28.25</v>
      </c>
      <c r="P256" s="9">
        <f>data!K256</f>
        <v>-22.5</v>
      </c>
      <c r="Q256" s="9">
        <f>data!R256</f>
        <v>-17.75</v>
      </c>
      <c r="R256" s="9">
        <f t="shared" si="155"/>
        <v>0.10000000000000142</v>
      </c>
      <c r="S256" s="9">
        <f t="shared" si="156"/>
        <v>1.1500000000000021</v>
      </c>
      <c r="T256" s="9">
        <f t="shared" si="157"/>
        <v>-1.5999999999999979</v>
      </c>
      <c r="U256" s="9">
        <f t="shared" si="158"/>
        <v>1.4500000000000028</v>
      </c>
      <c r="V256" s="9">
        <f t="shared" si="159"/>
        <v>0.10000000000000142</v>
      </c>
      <c r="W256" s="9">
        <f t="shared" si="160"/>
        <v>1.1000000000000014</v>
      </c>
      <c r="X256" s="9">
        <f t="shared" si="161"/>
        <v>2.75</v>
      </c>
      <c r="Y256" s="9">
        <f t="shared" si="162"/>
        <v>2.4500000000000028</v>
      </c>
      <c r="Z256" s="9">
        <f t="shared" si="163"/>
        <v>3.6500000000000021</v>
      </c>
      <c r="AA256" s="9">
        <f t="shared" si="164"/>
        <v>-1</v>
      </c>
      <c r="AB256" s="9">
        <f t="shared" si="165"/>
        <v>-4.25</v>
      </c>
      <c r="AC256" s="9">
        <f t="shared" si="166"/>
        <v>-4.75</v>
      </c>
      <c r="AD256" s="9">
        <f t="shared" si="167"/>
        <v>-5.125</v>
      </c>
      <c r="AE256" s="9">
        <f t="shared" si="168"/>
        <v>-4</v>
      </c>
      <c r="AF256" s="9">
        <f t="shared" si="169"/>
        <v>-3.5</v>
      </c>
      <c r="AG256" s="9">
        <f t="shared" si="170"/>
        <v>-3.5</v>
      </c>
      <c r="AH256" s="9">
        <f t="shared" si="171"/>
        <v>-3.25</v>
      </c>
      <c r="AI256" s="9">
        <f t="shared" si="172"/>
        <v>-2.7999999999999972</v>
      </c>
      <c r="AJ256" s="9">
        <f t="shared" si="173"/>
        <v>-1.25</v>
      </c>
      <c r="AK256" s="9">
        <f t="shared" si="174"/>
        <v>-4.25</v>
      </c>
      <c r="AL256" s="9">
        <f t="shared" si="175"/>
        <v>-5</v>
      </c>
      <c r="AM256" s="9">
        <f t="shared" si="176"/>
        <v>-5.625</v>
      </c>
      <c r="AN256" s="9">
        <f t="shared" si="177"/>
        <v>-4.25</v>
      </c>
      <c r="AO256" s="9">
        <f t="shared" si="178"/>
        <v>-4.25</v>
      </c>
      <c r="AP256" s="9">
        <f t="shared" si="179"/>
        <v>-4.25</v>
      </c>
      <c r="AQ256" s="9">
        <f t="shared" si="180"/>
        <v>-4.625</v>
      </c>
      <c r="AR256" s="9">
        <f t="shared" si="181"/>
        <v>-4.5499999999999972</v>
      </c>
      <c r="AS256" s="9">
        <f t="shared" si="182"/>
        <v>-1.5</v>
      </c>
      <c r="AT256" s="9">
        <f t="shared" si="183"/>
        <v>-4.5</v>
      </c>
      <c r="AU256" s="9">
        <f t="shared" si="184"/>
        <v>-5.5</v>
      </c>
      <c r="AV256" s="9">
        <f t="shared" si="185"/>
        <v>-6.125</v>
      </c>
      <c r="AW256" s="9">
        <f t="shared" si="186"/>
        <v>-4.5</v>
      </c>
      <c r="AX256" s="9">
        <f t="shared" si="187"/>
        <v>-4.5</v>
      </c>
      <c r="AY256" s="9">
        <f t="shared" si="188"/>
        <v>-5</v>
      </c>
      <c r="AZ256" s="9">
        <f t="shared" si="189"/>
        <v>-5.25</v>
      </c>
      <c r="BA256" s="9">
        <f t="shared" si="190"/>
        <v>-5</v>
      </c>
      <c r="BB256" s="9">
        <f t="shared" si="191"/>
        <v>-1.75</v>
      </c>
      <c r="BC256" s="9">
        <f t="shared" si="192"/>
        <v>-4.5</v>
      </c>
      <c r="BD256" s="9">
        <f t="shared" si="193"/>
        <v>-5.75</v>
      </c>
      <c r="BE256" s="9">
        <f t="shared" si="194"/>
        <v>-6.25</v>
      </c>
      <c r="BF256" s="9">
        <f t="shared" si="195"/>
        <v>-4.9624999999999986</v>
      </c>
      <c r="BG256" s="9">
        <f t="shared" si="196"/>
        <v>-4</v>
      </c>
      <c r="BH256" s="9">
        <f t="shared" si="197"/>
        <v>-4.75</v>
      </c>
      <c r="BI256" s="9">
        <f t="shared" si="198"/>
        <v>-5.125</v>
      </c>
      <c r="BJ256" s="9">
        <f t="shared" si="199"/>
        <v>-4.75</v>
      </c>
    </row>
    <row r="257" spans="1:62" x14ac:dyDescent="0.2">
      <c r="A257" s="9">
        <f>data!M258-data!M257</f>
        <v>-0.14659999999999229</v>
      </c>
      <c r="B257" s="9">
        <f>data!C258-data!C257</f>
        <v>-3.6000000000000014</v>
      </c>
      <c r="C257" s="9">
        <f>data!D258-data!D257</f>
        <v>-0.99749999999999872</v>
      </c>
      <c r="D257" s="10">
        <f>data!B258-data!B257</f>
        <v>0.71499999999999986</v>
      </c>
      <c r="E257" s="9">
        <f>data!E257-data!G257</f>
        <v>1.9490999999999998</v>
      </c>
      <c r="F257" s="9">
        <f>(data!E257-data!F257)-(data!G257-data!H257)</f>
        <v>1.5049999999999999</v>
      </c>
      <c r="G257" s="9">
        <f t="shared" si="150"/>
        <v>0.22810000000000019</v>
      </c>
      <c r="H257" s="9">
        <f t="shared" si="151"/>
        <v>2.4500000000000188E-2</v>
      </c>
      <c r="I257" s="9">
        <f>IF(data!M258&gt; 111.81,1,0)</f>
        <v>0</v>
      </c>
      <c r="J257" s="9">
        <f t="shared" si="152"/>
        <v>1</v>
      </c>
      <c r="K257" s="9">
        <f t="shared" si="153"/>
        <v>0</v>
      </c>
      <c r="L257" s="9">
        <f t="shared" si="154"/>
        <v>-0.14659999999999229</v>
      </c>
      <c r="M257" s="9">
        <f>data!J257</f>
        <v>-23</v>
      </c>
      <c r="N257" s="9">
        <f>data!I257</f>
        <v>-30.5</v>
      </c>
      <c r="O257" s="9">
        <f>data!L257</f>
        <v>-29.5</v>
      </c>
      <c r="P257" s="9">
        <f>data!K257</f>
        <v>-24</v>
      </c>
      <c r="Q257" s="9">
        <f>data!R257</f>
        <v>-19.5</v>
      </c>
      <c r="R257" s="9">
        <f t="shared" si="155"/>
        <v>1.0500000000000007</v>
      </c>
      <c r="S257" s="9">
        <f t="shared" si="156"/>
        <v>-1.6999999999999993</v>
      </c>
      <c r="T257" s="9">
        <f t="shared" si="157"/>
        <v>1.3500000000000014</v>
      </c>
      <c r="U257" s="9">
        <f t="shared" si="158"/>
        <v>0</v>
      </c>
      <c r="V257" s="9">
        <f t="shared" si="159"/>
        <v>1</v>
      </c>
      <c r="W257" s="9">
        <f t="shared" si="160"/>
        <v>2.6499999999999986</v>
      </c>
      <c r="X257" s="9">
        <f t="shared" si="161"/>
        <v>2.3500000000000014</v>
      </c>
      <c r="Y257" s="9">
        <f t="shared" si="162"/>
        <v>3.5500000000000007</v>
      </c>
      <c r="Z257" s="9">
        <f t="shared" si="163"/>
        <v>3.6999999999999993</v>
      </c>
      <c r="AA257" s="9">
        <f t="shared" si="164"/>
        <v>-3.25</v>
      </c>
      <c r="AB257" s="9">
        <f t="shared" si="165"/>
        <v>-3.75</v>
      </c>
      <c r="AC257" s="9">
        <f t="shared" si="166"/>
        <v>-4.125</v>
      </c>
      <c r="AD257" s="9">
        <f t="shared" si="167"/>
        <v>-3</v>
      </c>
      <c r="AE257" s="9">
        <f t="shared" si="168"/>
        <v>-2.5</v>
      </c>
      <c r="AF257" s="9">
        <f t="shared" si="169"/>
        <v>-2.5</v>
      </c>
      <c r="AG257" s="9">
        <f t="shared" si="170"/>
        <v>-2.25</v>
      </c>
      <c r="AH257" s="9">
        <f t="shared" si="171"/>
        <v>-1.7999999999999972</v>
      </c>
      <c r="AI257" s="9">
        <f t="shared" si="172"/>
        <v>-0.75</v>
      </c>
      <c r="AJ257" s="9">
        <f t="shared" si="173"/>
        <v>-3</v>
      </c>
      <c r="AK257" s="9">
        <f t="shared" si="174"/>
        <v>-3.75</v>
      </c>
      <c r="AL257" s="9">
        <f t="shared" si="175"/>
        <v>-4.375</v>
      </c>
      <c r="AM257" s="9">
        <f t="shared" si="176"/>
        <v>-3</v>
      </c>
      <c r="AN257" s="9">
        <f t="shared" si="177"/>
        <v>-3</v>
      </c>
      <c r="AO257" s="9">
        <f t="shared" si="178"/>
        <v>-3</v>
      </c>
      <c r="AP257" s="9">
        <f t="shared" si="179"/>
        <v>-3.375</v>
      </c>
      <c r="AQ257" s="9">
        <f t="shared" si="180"/>
        <v>-3.2999999999999972</v>
      </c>
      <c r="AR257" s="9">
        <f t="shared" si="181"/>
        <v>-3.25</v>
      </c>
      <c r="AS257" s="9">
        <f t="shared" si="182"/>
        <v>-3</v>
      </c>
      <c r="AT257" s="9">
        <f t="shared" si="183"/>
        <v>-4</v>
      </c>
      <c r="AU257" s="9">
        <f t="shared" si="184"/>
        <v>-4.625</v>
      </c>
      <c r="AV257" s="9">
        <f t="shared" si="185"/>
        <v>-3</v>
      </c>
      <c r="AW257" s="9">
        <f t="shared" si="186"/>
        <v>-3</v>
      </c>
      <c r="AX257" s="9">
        <f t="shared" si="187"/>
        <v>-3.5</v>
      </c>
      <c r="AY257" s="9">
        <f t="shared" si="188"/>
        <v>-3.75</v>
      </c>
      <c r="AZ257" s="9">
        <f t="shared" si="189"/>
        <v>-3.5</v>
      </c>
      <c r="BA257" s="9">
        <f t="shared" si="190"/>
        <v>-3</v>
      </c>
      <c r="BB257" s="9">
        <f t="shared" si="191"/>
        <v>-2.75</v>
      </c>
      <c r="BC257" s="9">
        <f t="shared" si="192"/>
        <v>-4</v>
      </c>
      <c r="BD257" s="9">
        <f t="shared" si="193"/>
        <v>-4.5</v>
      </c>
      <c r="BE257" s="9">
        <f t="shared" si="194"/>
        <v>-3.2124999999999986</v>
      </c>
      <c r="BF257" s="9">
        <f t="shared" si="195"/>
        <v>-2.25</v>
      </c>
      <c r="BG257" s="9">
        <f t="shared" si="196"/>
        <v>-3</v>
      </c>
      <c r="BH257" s="9">
        <f t="shared" si="197"/>
        <v>-3.375</v>
      </c>
      <c r="BI257" s="9">
        <f t="shared" si="198"/>
        <v>-3</v>
      </c>
      <c r="BJ257" s="9">
        <f t="shared" si="199"/>
        <v>-2.5</v>
      </c>
    </row>
    <row r="258" spans="1:62" x14ac:dyDescent="0.2">
      <c r="A258" s="9">
        <f>data!M259-data!M258</f>
        <v>0.91400000000000148</v>
      </c>
      <c r="B258" s="9">
        <f>data!C259-data!C258</f>
        <v>0.33999999999999986</v>
      </c>
      <c r="C258" s="9">
        <f>data!D259-data!D258</f>
        <v>0.42999999999999972</v>
      </c>
      <c r="D258" s="10">
        <f>data!B259-data!B258</f>
        <v>-9.5000000000000195E-2</v>
      </c>
      <c r="E258" s="9">
        <f>data!E258-data!G258</f>
        <v>2.1772</v>
      </c>
      <c r="F258" s="9">
        <f>(data!E258-data!F258)-(data!G258-data!H258)</f>
        <v>1.5295000000000001</v>
      </c>
      <c r="G258" s="9">
        <f t="shared" si="150"/>
        <v>8.4600000000000009E-2</v>
      </c>
      <c r="H258" s="9">
        <f t="shared" si="151"/>
        <v>0.11509999999999976</v>
      </c>
      <c r="I258" s="9">
        <f>IF(data!M259&gt; 111.81,1,0)</f>
        <v>0</v>
      </c>
      <c r="J258" s="9">
        <f t="shared" si="152"/>
        <v>1</v>
      </c>
      <c r="K258" s="9">
        <f t="shared" si="153"/>
        <v>0</v>
      </c>
      <c r="L258" s="9">
        <f t="shared" si="154"/>
        <v>0.91400000000000148</v>
      </c>
      <c r="M258" s="9">
        <f>data!J258</f>
        <v>-21.95</v>
      </c>
      <c r="N258" s="9">
        <f>data!I258</f>
        <v>-33.75</v>
      </c>
      <c r="O258" s="9">
        <f>data!L258</f>
        <v>-32.5</v>
      </c>
      <c r="P258" s="9">
        <f>data!K258</f>
        <v>-27</v>
      </c>
      <c r="Q258" s="9">
        <f>data!R258</f>
        <v>-22.25</v>
      </c>
      <c r="R258" s="9">
        <f t="shared" si="155"/>
        <v>-2.75</v>
      </c>
      <c r="S258" s="9">
        <f t="shared" si="156"/>
        <v>0.30000000000000071</v>
      </c>
      <c r="T258" s="9">
        <f t="shared" si="157"/>
        <v>-1.0500000000000007</v>
      </c>
      <c r="U258" s="9">
        <f t="shared" si="158"/>
        <v>-5.0000000000000711E-2</v>
      </c>
      <c r="V258" s="9">
        <f t="shared" si="159"/>
        <v>1.5999999999999979</v>
      </c>
      <c r="W258" s="9">
        <f t="shared" si="160"/>
        <v>1.3000000000000007</v>
      </c>
      <c r="X258" s="9">
        <f t="shared" si="161"/>
        <v>2.5</v>
      </c>
      <c r="Y258" s="9">
        <f t="shared" si="162"/>
        <v>2.6499999999999986</v>
      </c>
      <c r="Z258" s="9">
        <f t="shared" si="163"/>
        <v>2.9499999999999993</v>
      </c>
      <c r="AA258" s="9">
        <f t="shared" si="164"/>
        <v>-0.5</v>
      </c>
      <c r="AB258" s="9">
        <f t="shared" si="165"/>
        <v>-0.875</v>
      </c>
      <c r="AC258" s="9">
        <f t="shared" si="166"/>
        <v>0.25</v>
      </c>
      <c r="AD258" s="9">
        <f t="shared" si="167"/>
        <v>0.75</v>
      </c>
      <c r="AE258" s="9">
        <f t="shared" si="168"/>
        <v>0.75</v>
      </c>
      <c r="AF258" s="9">
        <f t="shared" si="169"/>
        <v>1</v>
      </c>
      <c r="AG258" s="9">
        <f t="shared" si="170"/>
        <v>1.4500000000000028</v>
      </c>
      <c r="AH258" s="9">
        <f t="shared" si="171"/>
        <v>2.5</v>
      </c>
      <c r="AI258" s="9">
        <f t="shared" si="172"/>
        <v>2.25</v>
      </c>
      <c r="AJ258" s="9">
        <f t="shared" si="173"/>
        <v>-0.75</v>
      </c>
      <c r="AK258" s="9">
        <f t="shared" si="174"/>
        <v>-1.375</v>
      </c>
      <c r="AL258" s="9">
        <f t="shared" si="175"/>
        <v>0</v>
      </c>
      <c r="AM258" s="9">
        <f t="shared" si="176"/>
        <v>0</v>
      </c>
      <c r="AN258" s="9">
        <f t="shared" si="177"/>
        <v>0</v>
      </c>
      <c r="AO258" s="9">
        <f t="shared" si="178"/>
        <v>-0.375</v>
      </c>
      <c r="AP258" s="9">
        <f t="shared" si="179"/>
        <v>-0.29999999999999716</v>
      </c>
      <c r="AQ258" s="9">
        <f t="shared" si="180"/>
        <v>-0.25</v>
      </c>
      <c r="AR258" s="9">
        <f t="shared" si="181"/>
        <v>-1.625</v>
      </c>
      <c r="AS258" s="9">
        <f t="shared" si="182"/>
        <v>-1</v>
      </c>
      <c r="AT258" s="9">
        <f t="shared" si="183"/>
        <v>-1.625</v>
      </c>
      <c r="AU258" s="9">
        <f t="shared" si="184"/>
        <v>0</v>
      </c>
      <c r="AV258" s="9">
        <f t="shared" si="185"/>
        <v>0</v>
      </c>
      <c r="AW258" s="9">
        <f t="shared" si="186"/>
        <v>-0.5</v>
      </c>
      <c r="AX258" s="9">
        <f t="shared" si="187"/>
        <v>-0.75</v>
      </c>
      <c r="AY258" s="9">
        <f t="shared" si="188"/>
        <v>-0.5</v>
      </c>
      <c r="AZ258" s="9">
        <f t="shared" si="189"/>
        <v>0</v>
      </c>
      <c r="BA258" s="9">
        <f t="shared" si="190"/>
        <v>-0.75</v>
      </c>
      <c r="BB258" s="9">
        <f t="shared" si="191"/>
        <v>-1.25</v>
      </c>
      <c r="BC258" s="9">
        <f t="shared" si="192"/>
        <v>-1.75</v>
      </c>
      <c r="BD258" s="9">
        <f t="shared" si="193"/>
        <v>-0.46249999999999858</v>
      </c>
      <c r="BE258" s="9">
        <f t="shared" si="194"/>
        <v>0.5</v>
      </c>
      <c r="BF258" s="9">
        <f t="shared" si="195"/>
        <v>-0.25</v>
      </c>
      <c r="BG258" s="9">
        <f t="shared" si="196"/>
        <v>-0.625</v>
      </c>
      <c r="BH258" s="9">
        <f t="shared" si="197"/>
        <v>-0.25</v>
      </c>
      <c r="BI258" s="9">
        <f t="shared" si="198"/>
        <v>0.25</v>
      </c>
      <c r="BJ258" s="9">
        <f t="shared" si="199"/>
        <v>-0.25</v>
      </c>
    </row>
    <row r="259" spans="1:62" x14ac:dyDescent="0.2">
      <c r="A259" s="9">
        <f>data!M260-data!M259</f>
        <v>0.8686000000000007</v>
      </c>
      <c r="B259" s="9">
        <f>data!C260-data!C259</f>
        <v>8.9999999999999858E-2</v>
      </c>
      <c r="C259" s="9">
        <f>data!D260-data!D259</f>
        <v>0.5600000000000005</v>
      </c>
      <c r="D259" s="10">
        <f>data!B260-data!B259</f>
        <v>2.2499999999999964E-2</v>
      </c>
      <c r="E259" s="9">
        <f>data!E259-data!G259</f>
        <v>2.2618</v>
      </c>
      <c r="F259" s="9">
        <f>(data!E259-data!F259)-(data!G259-data!H259)</f>
        <v>1.6445999999999998</v>
      </c>
      <c r="G259" s="9">
        <f t="shared" ref="G259:G322" si="200">E260-E259</f>
        <v>3.8999999999999702E-2</v>
      </c>
      <c r="H259" s="9">
        <f t="shared" ref="H259:H322" si="201">F260-F259</f>
        <v>3.4600000000000186E-2</v>
      </c>
      <c r="I259" s="9">
        <f>IF(data!M260&gt; 111.81,1,0)</f>
        <v>0</v>
      </c>
      <c r="J259" s="9">
        <f t="shared" ref="J259:J322" si="202">1-I259</f>
        <v>1</v>
      </c>
      <c r="K259" s="9">
        <f t="shared" ref="K259:K322" si="203">A259*I259</f>
        <v>0</v>
      </c>
      <c r="L259" s="9">
        <f t="shared" ref="L259:L322" si="204">A259*J259</f>
        <v>0.8686000000000007</v>
      </c>
      <c r="M259" s="9">
        <f>data!J259</f>
        <v>-24.7</v>
      </c>
      <c r="N259" s="9">
        <f>data!I259</f>
        <v>-34.25</v>
      </c>
      <c r="O259" s="9">
        <f>data!L259</f>
        <v>-33.25</v>
      </c>
      <c r="P259" s="9">
        <f>data!K259</f>
        <v>-28</v>
      </c>
      <c r="Q259" s="9">
        <f>data!R259</f>
        <v>-23.5</v>
      </c>
      <c r="R259" s="9">
        <f t="shared" ref="R259:R322" si="205">M260-M259</f>
        <v>3.0500000000000007</v>
      </c>
      <c r="S259" s="9">
        <f t="shared" ref="S259:S322" si="206">M261-M259</f>
        <v>1.6999999999999993</v>
      </c>
      <c r="T259" s="9">
        <f t="shared" ref="T259:T322" si="207">M262-M259</f>
        <v>2.6999999999999993</v>
      </c>
      <c r="U259" s="9">
        <f t="shared" ref="U259:U322" si="208">M263-M259</f>
        <v>4.3499999999999979</v>
      </c>
      <c r="V259" s="9">
        <f t="shared" ref="V259:V322" si="209">M264-M259</f>
        <v>4.0500000000000007</v>
      </c>
      <c r="W259" s="9">
        <f t="shared" ref="W259:W322" si="210">M265-M259</f>
        <v>5.25</v>
      </c>
      <c r="X259" s="9">
        <f t="shared" ref="X259:X322" si="211">M266-M259</f>
        <v>5.3999999999999986</v>
      </c>
      <c r="Y259" s="9">
        <f t="shared" ref="Y259:Y322" si="212">M267-M259</f>
        <v>5.6999999999999993</v>
      </c>
      <c r="Z259" s="9">
        <f t="shared" ref="Z259:Z322" si="213">M268-M259</f>
        <v>4.6499999999999986</v>
      </c>
      <c r="AA259" s="9">
        <f t="shared" ref="AA259:AA322" si="214">N260-N259</f>
        <v>-0.375</v>
      </c>
      <c r="AB259" s="9">
        <f t="shared" ref="AB259:AB322" si="215">N261-N259</f>
        <v>0.75</v>
      </c>
      <c r="AC259" s="9">
        <f t="shared" ref="AC259:AC322" si="216">N262-N259</f>
        <v>1.25</v>
      </c>
      <c r="AD259" s="9">
        <f t="shared" ref="AD259:AD322" si="217">N263-N259</f>
        <v>1.25</v>
      </c>
      <c r="AE259" s="9">
        <f t="shared" ref="AE259:AE322" si="218">N264-N259</f>
        <v>1.5</v>
      </c>
      <c r="AF259" s="9">
        <f t="shared" ref="AF259:AF322" si="219">N265-N259</f>
        <v>1.9500000000000028</v>
      </c>
      <c r="AG259" s="9">
        <f t="shared" ref="AG259:AG322" si="220">N266-N259</f>
        <v>3</v>
      </c>
      <c r="AH259" s="9">
        <f t="shared" ref="AH259:AH322" si="221">N267-N259</f>
        <v>2.75</v>
      </c>
      <c r="AI259" s="9">
        <f t="shared" ref="AI259:AI322" si="222">N268-N259</f>
        <v>2.25</v>
      </c>
      <c r="AJ259" s="9">
        <f t="shared" ref="AJ259:AJ322" si="223">O260-O259</f>
        <v>-0.625</v>
      </c>
      <c r="AK259" s="9">
        <f t="shared" ref="AK259:AK322" si="224">O261-O259</f>
        <v>0.75</v>
      </c>
      <c r="AL259" s="9">
        <f t="shared" ref="AL259:AL322" si="225">O262-O259</f>
        <v>0.75</v>
      </c>
      <c r="AM259" s="9">
        <f t="shared" ref="AM259:AM322" si="226">O263-O259</f>
        <v>0.75</v>
      </c>
      <c r="AN259" s="9">
        <f t="shared" ref="AN259:AN322" si="227">O264-O259</f>
        <v>0.375</v>
      </c>
      <c r="AO259" s="9">
        <f t="shared" ref="AO259:AO322" si="228">O265-O259</f>
        <v>0.45000000000000284</v>
      </c>
      <c r="AP259" s="9">
        <f t="shared" ref="AP259:AP322" si="229">O266-O259</f>
        <v>0.5</v>
      </c>
      <c r="AQ259" s="9">
        <f t="shared" ref="AQ259:AQ322" si="230">O267-O259</f>
        <v>-0.875</v>
      </c>
      <c r="AR259" s="9">
        <f t="shared" ref="AR259:AR322" si="231">O268-O259</f>
        <v>0.25</v>
      </c>
      <c r="AS259" s="9">
        <f t="shared" ref="AS259:AS322" si="232">P260 - P259</f>
        <v>-0.625</v>
      </c>
      <c r="AT259" s="9">
        <f t="shared" ref="AT259:AT322" si="233">P261 - P259</f>
        <v>1</v>
      </c>
      <c r="AU259" s="9">
        <f t="shared" ref="AU259:AU322" si="234">P262 - P259</f>
        <v>1</v>
      </c>
      <c r="AV259" s="9">
        <f t="shared" ref="AV259:AV322" si="235">P263 - P259</f>
        <v>0.5</v>
      </c>
      <c r="AW259" s="9">
        <f t="shared" ref="AW259:AW322" si="236">P264 - P259</f>
        <v>0.25</v>
      </c>
      <c r="AX259" s="9">
        <f t="shared" ref="AX259:AX322" si="237">P265 - P259</f>
        <v>0.5</v>
      </c>
      <c r="AY259" s="9">
        <f t="shared" ref="AY259:AY322" si="238">P266 - P259</f>
        <v>1</v>
      </c>
      <c r="AZ259" s="9">
        <f t="shared" ref="AZ259:AZ322" si="239">P267 - P259</f>
        <v>0.25</v>
      </c>
      <c r="BA259" s="9">
        <f t="shared" ref="BA259:BA322" si="240">P268 - P259</f>
        <v>0.5</v>
      </c>
      <c r="BB259" s="9">
        <f t="shared" ref="BB259:BB322" si="241">Q260 - Q259</f>
        <v>-0.5</v>
      </c>
      <c r="BC259" s="9">
        <f t="shared" ref="BC259:BC322" si="242">Q261 - Q259</f>
        <v>0.78750000000000142</v>
      </c>
      <c r="BD259" s="9">
        <f t="shared" ref="BD259:BD322" si="243">Q262 - Q259</f>
        <v>1.75</v>
      </c>
      <c r="BE259" s="9">
        <f t="shared" ref="BE259:BE322" si="244">Q263 - Q259</f>
        <v>1</v>
      </c>
      <c r="BF259" s="9">
        <f t="shared" ref="BF259:BF322" si="245">Q264 - Q259</f>
        <v>0.625</v>
      </c>
      <c r="BG259" s="9">
        <f t="shared" ref="BG259:BG322" si="246">Q265 - Q259</f>
        <v>1</v>
      </c>
      <c r="BH259" s="9">
        <f t="shared" ref="BH259:BH322" si="247">Q266 - Q259</f>
        <v>1.5</v>
      </c>
      <c r="BI259" s="9">
        <f t="shared" ref="BI259:BI322" si="248">Q267 - Q259</f>
        <v>1</v>
      </c>
      <c r="BJ259" s="9">
        <f t="shared" ref="BJ259:BJ322" si="249">Q268 - Q259</f>
        <v>1</v>
      </c>
    </row>
    <row r="260" spans="1:62" x14ac:dyDescent="0.2">
      <c r="A260" s="9">
        <f>data!M261-data!M260</f>
        <v>-0.2938000000000045</v>
      </c>
      <c r="B260" s="9">
        <f>data!C261-data!C260</f>
        <v>-2.2100000000000009</v>
      </c>
      <c r="C260" s="9">
        <f>data!D261-data!D260</f>
        <v>0.39999999999999858</v>
      </c>
      <c r="D260" s="10">
        <f>data!B261-data!B260</f>
        <v>-0.12749999999999995</v>
      </c>
      <c r="E260" s="9">
        <f>data!E260-data!G260</f>
        <v>2.3007999999999997</v>
      </c>
      <c r="F260" s="9">
        <f>(data!E260-data!F260)-(data!G260-data!H260)</f>
        <v>1.6792</v>
      </c>
      <c r="G260" s="9">
        <f t="shared" si="200"/>
        <v>0.22219999999999995</v>
      </c>
      <c r="H260" s="9">
        <f t="shared" si="201"/>
        <v>4.9799999999999844E-2</v>
      </c>
      <c r="I260" s="9">
        <f>IF(data!M261&gt; 111.81,1,0)</f>
        <v>0</v>
      </c>
      <c r="J260" s="9">
        <f t="shared" si="202"/>
        <v>1</v>
      </c>
      <c r="K260" s="9">
        <f t="shared" si="203"/>
        <v>0</v>
      </c>
      <c r="L260" s="9">
        <f t="shared" si="204"/>
        <v>-0.2938000000000045</v>
      </c>
      <c r="M260" s="9">
        <f>data!J260</f>
        <v>-21.65</v>
      </c>
      <c r="N260" s="9">
        <f>data!I260</f>
        <v>-34.625</v>
      </c>
      <c r="O260" s="9">
        <f>data!L260</f>
        <v>-33.875</v>
      </c>
      <c r="P260" s="9">
        <f>data!K260</f>
        <v>-28.625</v>
      </c>
      <c r="Q260" s="9">
        <f>data!R260</f>
        <v>-24</v>
      </c>
      <c r="R260" s="9">
        <f t="shared" si="205"/>
        <v>-1.3500000000000014</v>
      </c>
      <c r="S260" s="9">
        <f t="shared" si="206"/>
        <v>-0.35000000000000142</v>
      </c>
      <c r="T260" s="9">
        <f t="shared" si="207"/>
        <v>1.2999999999999972</v>
      </c>
      <c r="U260" s="9">
        <f t="shared" si="208"/>
        <v>1</v>
      </c>
      <c r="V260" s="9">
        <f t="shared" si="209"/>
        <v>2.1999999999999993</v>
      </c>
      <c r="W260" s="9">
        <f t="shared" si="210"/>
        <v>2.3499999999999979</v>
      </c>
      <c r="X260" s="9">
        <f t="shared" si="211"/>
        <v>2.6499999999999986</v>
      </c>
      <c r="Y260" s="9">
        <f t="shared" si="212"/>
        <v>1.5999999999999979</v>
      </c>
      <c r="Z260" s="9">
        <f t="shared" si="213"/>
        <v>2.4499999999999993</v>
      </c>
      <c r="AA260" s="9">
        <f t="shared" si="214"/>
        <v>1.125</v>
      </c>
      <c r="AB260" s="9">
        <f t="shared" si="215"/>
        <v>1.625</v>
      </c>
      <c r="AC260" s="9">
        <f t="shared" si="216"/>
        <v>1.625</v>
      </c>
      <c r="AD260" s="9">
        <f t="shared" si="217"/>
        <v>1.875</v>
      </c>
      <c r="AE260" s="9">
        <f t="shared" si="218"/>
        <v>2.3250000000000028</v>
      </c>
      <c r="AF260" s="9">
        <f t="shared" si="219"/>
        <v>3.375</v>
      </c>
      <c r="AG260" s="9">
        <f t="shared" si="220"/>
        <v>3.125</v>
      </c>
      <c r="AH260" s="9">
        <f t="shared" si="221"/>
        <v>2.625</v>
      </c>
      <c r="AI260" s="9">
        <f t="shared" si="222"/>
        <v>2.7250000000000014</v>
      </c>
      <c r="AJ260" s="9">
        <f t="shared" si="223"/>
        <v>1.375</v>
      </c>
      <c r="AK260" s="9">
        <f t="shared" si="224"/>
        <v>1.375</v>
      </c>
      <c r="AL260" s="9">
        <f t="shared" si="225"/>
        <v>1.375</v>
      </c>
      <c r="AM260" s="9">
        <f t="shared" si="226"/>
        <v>1</v>
      </c>
      <c r="AN260" s="9">
        <f t="shared" si="227"/>
        <v>1.0750000000000028</v>
      </c>
      <c r="AO260" s="9">
        <f t="shared" si="228"/>
        <v>1.125</v>
      </c>
      <c r="AP260" s="9">
        <f t="shared" si="229"/>
        <v>-0.25</v>
      </c>
      <c r="AQ260" s="9">
        <f t="shared" si="230"/>
        <v>0.875</v>
      </c>
      <c r="AR260" s="9">
        <f t="shared" si="231"/>
        <v>0.85000000000000142</v>
      </c>
      <c r="AS260" s="9">
        <f t="shared" si="232"/>
        <v>1.625</v>
      </c>
      <c r="AT260" s="9">
        <f t="shared" si="233"/>
        <v>1.625</v>
      </c>
      <c r="AU260" s="9">
        <f t="shared" si="234"/>
        <v>1.125</v>
      </c>
      <c r="AV260" s="9">
        <f t="shared" si="235"/>
        <v>0.875</v>
      </c>
      <c r="AW260" s="9">
        <f t="shared" si="236"/>
        <v>1.125</v>
      </c>
      <c r="AX260" s="9">
        <f t="shared" si="237"/>
        <v>1.625</v>
      </c>
      <c r="AY260" s="9">
        <f t="shared" si="238"/>
        <v>0.875</v>
      </c>
      <c r="AZ260" s="9">
        <f t="shared" si="239"/>
        <v>1.125</v>
      </c>
      <c r="BA260" s="9">
        <f t="shared" si="240"/>
        <v>1.125</v>
      </c>
      <c r="BB260" s="9">
        <f t="shared" si="241"/>
        <v>1.2875000000000014</v>
      </c>
      <c r="BC260" s="9">
        <f t="shared" si="242"/>
        <v>2.25</v>
      </c>
      <c r="BD260" s="9">
        <f t="shared" si="243"/>
        <v>1.5</v>
      </c>
      <c r="BE260" s="9">
        <f t="shared" si="244"/>
        <v>1.125</v>
      </c>
      <c r="BF260" s="9">
        <f t="shared" si="245"/>
        <v>1.5</v>
      </c>
      <c r="BG260" s="9">
        <f t="shared" si="246"/>
        <v>2</v>
      </c>
      <c r="BH260" s="9">
        <f t="shared" si="247"/>
        <v>1.5</v>
      </c>
      <c r="BI260" s="9">
        <f t="shared" si="248"/>
        <v>1.5</v>
      </c>
      <c r="BJ260" s="9">
        <f t="shared" si="249"/>
        <v>1.2250000000000014</v>
      </c>
    </row>
    <row r="261" spans="1:62" x14ac:dyDescent="0.2">
      <c r="A261" s="9">
        <f>data!M262-data!M261</f>
        <v>4.3000000000006366E-2</v>
      </c>
      <c r="B261" s="9">
        <f>data!C262-data!C261</f>
        <v>2.2100000000000009</v>
      </c>
      <c r="C261" s="9">
        <f>data!D262-data!D261</f>
        <v>-0.29999999999999893</v>
      </c>
      <c r="D261" s="10">
        <f>data!B262-data!B261</f>
        <v>0.19249999999999989</v>
      </c>
      <c r="E261" s="9">
        <f>data!E261-data!G261</f>
        <v>2.5229999999999997</v>
      </c>
      <c r="F261" s="9">
        <f>(data!E261-data!F261)-(data!G261-data!H261)</f>
        <v>1.7289999999999999</v>
      </c>
      <c r="G261" s="9">
        <f t="shared" si="200"/>
        <v>1.7000000000000348E-2</v>
      </c>
      <c r="H261" s="9">
        <f t="shared" si="201"/>
        <v>-0.17260000000000009</v>
      </c>
      <c r="I261" s="9">
        <f>IF(data!M262&gt; 111.81,1,0)</f>
        <v>0</v>
      </c>
      <c r="J261" s="9">
        <f t="shared" si="202"/>
        <v>1</v>
      </c>
      <c r="K261" s="9">
        <f t="shared" si="203"/>
        <v>0</v>
      </c>
      <c r="L261" s="9">
        <f t="shared" si="204"/>
        <v>4.3000000000006366E-2</v>
      </c>
      <c r="M261" s="9">
        <f>data!J261</f>
        <v>-23</v>
      </c>
      <c r="N261" s="9">
        <f>data!I261</f>
        <v>-33.5</v>
      </c>
      <c r="O261" s="9">
        <f>data!L261</f>
        <v>-32.5</v>
      </c>
      <c r="P261" s="9">
        <f>data!K261</f>
        <v>-27</v>
      </c>
      <c r="Q261" s="9">
        <f>data!R261</f>
        <v>-22.712499999999999</v>
      </c>
      <c r="R261" s="9">
        <f t="shared" si="205"/>
        <v>1</v>
      </c>
      <c r="S261" s="9">
        <f t="shared" si="206"/>
        <v>2.6499999999999986</v>
      </c>
      <c r="T261" s="9">
        <f t="shared" si="207"/>
        <v>2.3500000000000014</v>
      </c>
      <c r="U261" s="9">
        <f t="shared" si="208"/>
        <v>3.5500000000000007</v>
      </c>
      <c r="V261" s="9">
        <f t="shared" si="209"/>
        <v>3.6999999999999993</v>
      </c>
      <c r="W261" s="9">
        <f t="shared" si="210"/>
        <v>4</v>
      </c>
      <c r="X261" s="9">
        <f t="shared" si="211"/>
        <v>2.9499999999999993</v>
      </c>
      <c r="Y261" s="9">
        <f t="shared" si="212"/>
        <v>3.8000000000000007</v>
      </c>
      <c r="Z261" s="9">
        <f t="shared" si="213"/>
        <v>3.1000000000000014</v>
      </c>
      <c r="AA261" s="9">
        <f t="shared" si="214"/>
        <v>0.5</v>
      </c>
      <c r="AB261" s="9">
        <f t="shared" si="215"/>
        <v>0.5</v>
      </c>
      <c r="AC261" s="9">
        <f t="shared" si="216"/>
        <v>0.75</v>
      </c>
      <c r="AD261" s="9">
        <f t="shared" si="217"/>
        <v>1.2000000000000028</v>
      </c>
      <c r="AE261" s="9">
        <f t="shared" si="218"/>
        <v>2.25</v>
      </c>
      <c r="AF261" s="9">
        <f t="shared" si="219"/>
        <v>2</v>
      </c>
      <c r="AG261" s="9">
        <f t="shared" si="220"/>
        <v>1.5</v>
      </c>
      <c r="AH261" s="9">
        <f t="shared" si="221"/>
        <v>1.6000000000000014</v>
      </c>
      <c r="AI261" s="9">
        <f t="shared" si="222"/>
        <v>2.25</v>
      </c>
      <c r="AJ261" s="9">
        <f t="shared" si="223"/>
        <v>0</v>
      </c>
      <c r="AK261" s="9">
        <f t="shared" si="224"/>
        <v>0</v>
      </c>
      <c r="AL261" s="9">
        <f t="shared" si="225"/>
        <v>-0.375</v>
      </c>
      <c r="AM261" s="9">
        <f t="shared" si="226"/>
        <v>-0.29999999999999716</v>
      </c>
      <c r="AN261" s="9">
        <f t="shared" si="227"/>
        <v>-0.25</v>
      </c>
      <c r="AO261" s="9">
        <f t="shared" si="228"/>
        <v>-1.625</v>
      </c>
      <c r="AP261" s="9">
        <f t="shared" si="229"/>
        <v>-0.5</v>
      </c>
      <c r="AQ261" s="9">
        <f t="shared" si="230"/>
        <v>-0.52499999999999858</v>
      </c>
      <c r="AR261" s="9">
        <f t="shared" si="231"/>
        <v>0.75</v>
      </c>
      <c r="AS261" s="9">
        <f t="shared" si="232"/>
        <v>0</v>
      </c>
      <c r="AT261" s="9">
        <f t="shared" si="233"/>
        <v>-0.5</v>
      </c>
      <c r="AU261" s="9">
        <f t="shared" si="234"/>
        <v>-0.75</v>
      </c>
      <c r="AV261" s="9">
        <f t="shared" si="235"/>
        <v>-0.5</v>
      </c>
      <c r="AW261" s="9">
        <f t="shared" si="236"/>
        <v>0</v>
      </c>
      <c r="AX261" s="9">
        <f t="shared" si="237"/>
        <v>-0.75</v>
      </c>
      <c r="AY261" s="9">
        <f t="shared" si="238"/>
        <v>-0.5</v>
      </c>
      <c r="AZ261" s="9">
        <f t="shared" si="239"/>
        <v>-0.5</v>
      </c>
      <c r="BA261" s="9">
        <f t="shared" si="240"/>
        <v>0.75</v>
      </c>
      <c r="BB261" s="9">
        <f t="shared" si="241"/>
        <v>0.96249999999999858</v>
      </c>
      <c r="BC261" s="9">
        <f t="shared" si="242"/>
        <v>0.21249999999999858</v>
      </c>
      <c r="BD261" s="9">
        <f t="shared" si="243"/>
        <v>-0.16250000000000142</v>
      </c>
      <c r="BE261" s="9">
        <f t="shared" si="244"/>
        <v>0.21249999999999858</v>
      </c>
      <c r="BF261" s="9">
        <f t="shared" si="245"/>
        <v>0.71249999999999858</v>
      </c>
      <c r="BG261" s="9">
        <f t="shared" si="246"/>
        <v>0.21249999999999858</v>
      </c>
      <c r="BH261" s="9">
        <f t="shared" si="247"/>
        <v>0.21249999999999858</v>
      </c>
      <c r="BI261" s="9">
        <f t="shared" si="248"/>
        <v>-6.25E-2</v>
      </c>
      <c r="BJ261" s="9">
        <f t="shared" si="249"/>
        <v>0.96249999999999858</v>
      </c>
    </row>
    <row r="262" spans="1:62" x14ac:dyDescent="0.2">
      <c r="A262" s="9">
        <f>data!M263-data!M262</f>
        <v>-0.76390000000000668</v>
      </c>
      <c r="B262" s="9">
        <f>data!C263-data!C262</f>
        <v>-3.5500000000000007</v>
      </c>
      <c r="C262" s="9">
        <f>data!D263-data!D262</f>
        <v>-1.4100000000000001</v>
      </c>
      <c r="D262" s="10">
        <f>data!B263-data!B262</f>
        <v>0.74500000000000011</v>
      </c>
      <c r="E262" s="9">
        <f>data!E262-data!G262</f>
        <v>2.54</v>
      </c>
      <c r="F262" s="9">
        <f>(data!E262-data!F262)-(data!G262-data!H262)</f>
        <v>1.5563999999999998</v>
      </c>
      <c r="G262" s="9">
        <f t="shared" si="200"/>
        <v>-7.5300000000000367E-2</v>
      </c>
      <c r="H262" s="9">
        <f t="shared" si="201"/>
        <v>0.10739999999999994</v>
      </c>
      <c r="I262" s="9">
        <f>IF(data!M263&gt; 111.81,1,0)</f>
        <v>0</v>
      </c>
      <c r="J262" s="9">
        <f t="shared" si="202"/>
        <v>1</v>
      </c>
      <c r="K262" s="9">
        <f t="shared" si="203"/>
        <v>0</v>
      </c>
      <c r="L262" s="9">
        <f t="shared" si="204"/>
        <v>-0.76390000000000668</v>
      </c>
      <c r="M262" s="9">
        <f>data!J262</f>
        <v>-22</v>
      </c>
      <c r="N262" s="9">
        <f>data!I262</f>
        <v>-33</v>
      </c>
      <c r="O262" s="9">
        <f>data!L262</f>
        <v>-32.5</v>
      </c>
      <c r="P262" s="9">
        <f>data!K262</f>
        <v>-27</v>
      </c>
      <c r="Q262" s="9">
        <f>data!R262</f>
        <v>-21.75</v>
      </c>
      <c r="R262" s="9">
        <f t="shared" si="205"/>
        <v>1.6499999999999986</v>
      </c>
      <c r="S262" s="9">
        <f t="shared" si="206"/>
        <v>1.3500000000000014</v>
      </c>
      <c r="T262" s="9">
        <f t="shared" si="207"/>
        <v>2.5500000000000007</v>
      </c>
      <c r="U262" s="9">
        <f t="shared" si="208"/>
        <v>2.6999999999999993</v>
      </c>
      <c r="V262" s="9">
        <f t="shared" si="209"/>
        <v>3</v>
      </c>
      <c r="W262" s="9">
        <f t="shared" si="210"/>
        <v>1.9499999999999993</v>
      </c>
      <c r="X262" s="9">
        <f t="shared" si="211"/>
        <v>2.8000000000000007</v>
      </c>
      <c r="Y262" s="9">
        <f t="shared" si="212"/>
        <v>2.1000000000000014</v>
      </c>
      <c r="Z262" s="9">
        <f t="shared" si="213"/>
        <v>3</v>
      </c>
      <c r="AA262" s="9">
        <f t="shared" si="214"/>
        <v>0</v>
      </c>
      <c r="AB262" s="9">
        <f t="shared" si="215"/>
        <v>0.25</v>
      </c>
      <c r="AC262" s="9">
        <f t="shared" si="216"/>
        <v>0.70000000000000284</v>
      </c>
      <c r="AD262" s="9">
        <f t="shared" si="217"/>
        <v>1.75</v>
      </c>
      <c r="AE262" s="9">
        <f t="shared" si="218"/>
        <v>1.5</v>
      </c>
      <c r="AF262" s="9">
        <f t="shared" si="219"/>
        <v>1</v>
      </c>
      <c r="AG262" s="9">
        <f t="shared" si="220"/>
        <v>1.1000000000000014</v>
      </c>
      <c r="AH262" s="9">
        <f t="shared" si="221"/>
        <v>1.75</v>
      </c>
      <c r="AI262" s="9">
        <f t="shared" si="222"/>
        <v>2.25</v>
      </c>
      <c r="AJ262" s="9">
        <f t="shared" si="223"/>
        <v>0</v>
      </c>
      <c r="AK262" s="9">
        <f t="shared" si="224"/>
        <v>-0.375</v>
      </c>
      <c r="AL262" s="9">
        <f t="shared" si="225"/>
        <v>-0.29999999999999716</v>
      </c>
      <c r="AM262" s="9">
        <f t="shared" si="226"/>
        <v>-0.25</v>
      </c>
      <c r="AN262" s="9">
        <f t="shared" si="227"/>
        <v>-1.625</v>
      </c>
      <c r="AO262" s="9">
        <f t="shared" si="228"/>
        <v>-0.5</v>
      </c>
      <c r="AP262" s="9">
        <f t="shared" si="229"/>
        <v>-0.52499999999999858</v>
      </c>
      <c r="AQ262" s="9">
        <f t="shared" si="230"/>
        <v>0.75</v>
      </c>
      <c r="AR262" s="9">
        <f t="shared" si="231"/>
        <v>1.370000000000001</v>
      </c>
      <c r="AS262" s="9">
        <f t="shared" si="232"/>
        <v>-0.5</v>
      </c>
      <c r="AT262" s="9">
        <f t="shared" si="233"/>
        <v>-0.75</v>
      </c>
      <c r="AU262" s="9">
        <f t="shared" si="234"/>
        <v>-0.5</v>
      </c>
      <c r="AV262" s="9">
        <f t="shared" si="235"/>
        <v>0</v>
      </c>
      <c r="AW262" s="9">
        <f t="shared" si="236"/>
        <v>-0.75</v>
      </c>
      <c r="AX262" s="9">
        <f t="shared" si="237"/>
        <v>-0.5</v>
      </c>
      <c r="AY262" s="9">
        <f t="shared" si="238"/>
        <v>-0.5</v>
      </c>
      <c r="AZ262" s="9">
        <f t="shared" si="239"/>
        <v>0.75</v>
      </c>
      <c r="BA262" s="9">
        <f t="shared" si="240"/>
        <v>1.370000000000001</v>
      </c>
      <c r="BB262" s="9">
        <f t="shared" si="241"/>
        <v>-0.75</v>
      </c>
      <c r="BC262" s="9">
        <f t="shared" si="242"/>
        <v>-1.125</v>
      </c>
      <c r="BD262" s="9">
        <f t="shared" si="243"/>
        <v>-0.75</v>
      </c>
      <c r="BE262" s="9">
        <f t="shared" si="244"/>
        <v>-0.25</v>
      </c>
      <c r="BF262" s="9">
        <f t="shared" si="245"/>
        <v>-0.75</v>
      </c>
      <c r="BG262" s="9">
        <f t="shared" si="246"/>
        <v>-0.75</v>
      </c>
      <c r="BH262" s="9">
        <f t="shared" si="247"/>
        <v>-1.0249999999999986</v>
      </c>
      <c r="BI262" s="9">
        <f t="shared" si="248"/>
        <v>0</v>
      </c>
      <c r="BJ262" s="9">
        <f t="shared" si="249"/>
        <v>0.62000000000000099</v>
      </c>
    </row>
    <row r="263" spans="1:62" x14ac:dyDescent="0.2">
      <c r="A263" s="9">
        <f>data!M264-data!M263</f>
        <v>-0.38169999999999504</v>
      </c>
      <c r="B263" s="9">
        <f>data!C264-data!C263</f>
        <v>-0.21999999999999886</v>
      </c>
      <c r="C263" s="9">
        <f>data!D264-data!D263</f>
        <v>-0.15000000000000036</v>
      </c>
      <c r="D263" s="10">
        <f>data!B264-data!B263</f>
        <v>7.0000000000000062E-2</v>
      </c>
      <c r="E263" s="9">
        <f>data!E263-data!G263</f>
        <v>2.4646999999999997</v>
      </c>
      <c r="F263" s="9">
        <f>(data!E263-data!F263)-(data!G263-data!H263)</f>
        <v>1.6637999999999997</v>
      </c>
      <c r="G263" s="9">
        <f t="shared" si="200"/>
        <v>-0.12029999999999985</v>
      </c>
      <c r="H263" s="9">
        <f t="shared" si="201"/>
        <v>-1.6499999999999737E-2</v>
      </c>
      <c r="I263" s="9">
        <f>IF(data!M264&gt; 111.81,1,0)</f>
        <v>0</v>
      </c>
      <c r="J263" s="9">
        <f t="shared" si="202"/>
        <v>1</v>
      </c>
      <c r="K263" s="9">
        <f t="shared" si="203"/>
        <v>0</v>
      </c>
      <c r="L263" s="9">
        <f t="shared" si="204"/>
        <v>-0.38169999999999504</v>
      </c>
      <c r="M263" s="9">
        <f>data!J263</f>
        <v>-20.350000000000001</v>
      </c>
      <c r="N263" s="9">
        <f>data!I263</f>
        <v>-33</v>
      </c>
      <c r="O263" s="9">
        <f>data!L263</f>
        <v>-32.5</v>
      </c>
      <c r="P263" s="9">
        <f>data!K263</f>
        <v>-27.5</v>
      </c>
      <c r="Q263" s="9">
        <f>data!R263</f>
        <v>-22.5</v>
      </c>
      <c r="R263" s="9">
        <f t="shared" si="205"/>
        <v>-0.29999999999999716</v>
      </c>
      <c r="S263" s="9">
        <f t="shared" si="206"/>
        <v>0.90000000000000213</v>
      </c>
      <c r="T263" s="9">
        <f t="shared" si="207"/>
        <v>1.0500000000000007</v>
      </c>
      <c r="U263" s="9">
        <f t="shared" si="208"/>
        <v>1.3500000000000014</v>
      </c>
      <c r="V263" s="9">
        <f t="shared" si="209"/>
        <v>0.30000000000000071</v>
      </c>
      <c r="W263" s="9">
        <f t="shared" si="210"/>
        <v>1.1500000000000021</v>
      </c>
      <c r="X263" s="9">
        <f t="shared" si="211"/>
        <v>0.45000000000000284</v>
      </c>
      <c r="Y263" s="9">
        <f t="shared" si="212"/>
        <v>1.3500000000000014</v>
      </c>
      <c r="Z263" s="9">
        <f t="shared" si="213"/>
        <v>0.70000000000000284</v>
      </c>
      <c r="AA263" s="9">
        <f t="shared" si="214"/>
        <v>0.25</v>
      </c>
      <c r="AB263" s="9">
        <f t="shared" si="215"/>
        <v>0.70000000000000284</v>
      </c>
      <c r="AC263" s="9">
        <f t="shared" si="216"/>
        <v>1.75</v>
      </c>
      <c r="AD263" s="9">
        <f t="shared" si="217"/>
        <v>1.5</v>
      </c>
      <c r="AE263" s="9">
        <f t="shared" si="218"/>
        <v>1</v>
      </c>
      <c r="AF263" s="9">
        <f t="shared" si="219"/>
        <v>1.1000000000000014</v>
      </c>
      <c r="AG263" s="9">
        <f t="shared" si="220"/>
        <v>1.75</v>
      </c>
      <c r="AH263" s="9">
        <f t="shared" si="221"/>
        <v>2.25</v>
      </c>
      <c r="AI263" s="9">
        <f t="shared" si="222"/>
        <v>2.620000000000001</v>
      </c>
      <c r="AJ263" s="9">
        <f t="shared" si="223"/>
        <v>-0.375</v>
      </c>
      <c r="AK263" s="9">
        <f t="shared" si="224"/>
        <v>-0.29999999999999716</v>
      </c>
      <c r="AL263" s="9">
        <f t="shared" si="225"/>
        <v>-0.25</v>
      </c>
      <c r="AM263" s="9">
        <f t="shared" si="226"/>
        <v>-1.625</v>
      </c>
      <c r="AN263" s="9">
        <f t="shared" si="227"/>
        <v>-0.5</v>
      </c>
      <c r="AO263" s="9">
        <f t="shared" si="228"/>
        <v>-0.52499999999999858</v>
      </c>
      <c r="AP263" s="9">
        <f t="shared" si="229"/>
        <v>0.75</v>
      </c>
      <c r="AQ263" s="9">
        <f t="shared" si="230"/>
        <v>1.370000000000001</v>
      </c>
      <c r="AR263" s="9">
        <f t="shared" si="231"/>
        <v>2</v>
      </c>
      <c r="AS263" s="9">
        <f t="shared" si="232"/>
        <v>-0.25</v>
      </c>
      <c r="AT263" s="9">
        <f t="shared" si="233"/>
        <v>0</v>
      </c>
      <c r="AU263" s="9">
        <f t="shared" si="234"/>
        <v>0.5</v>
      </c>
      <c r="AV263" s="9">
        <f t="shared" si="235"/>
        <v>-0.25</v>
      </c>
      <c r="AW263" s="9">
        <f t="shared" si="236"/>
        <v>0</v>
      </c>
      <c r="AX263" s="9">
        <f t="shared" si="237"/>
        <v>0</v>
      </c>
      <c r="AY263" s="9">
        <f t="shared" si="238"/>
        <v>1.25</v>
      </c>
      <c r="AZ263" s="9">
        <f t="shared" si="239"/>
        <v>1.870000000000001</v>
      </c>
      <c r="BA263" s="9">
        <f t="shared" si="240"/>
        <v>2.5</v>
      </c>
      <c r="BB263" s="9">
        <f t="shared" si="241"/>
        <v>-0.375</v>
      </c>
      <c r="BC263" s="9">
        <f t="shared" si="242"/>
        <v>0</v>
      </c>
      <c r="BD263" s="9">
        <f t="shared" si="243"/>
        <v>0.5</v>
      </c>
      <c r="BE263" s="9">
        <f t="shared" si="244"/>
        <v>0</v>
      </c>
      <c r="BF263" s="9">
        <f t="shared" si="245"/>
        <v>0</v>
      </c>
      <c r="BG263" s="9">
        <f t="shared" si="246"/>
        <v>-0.27499999999999858</v>
      </c>
      <c r="BH263" s="9">
        <f t="shared" si="247"/>
        <v>0.75</v>
      </c>
      <c r="BI263" s="9">
        <f t="shared" si="248"/>
        <v>1.370000000000001</v>
      </c>
      <c r="BJ263" s="9">
        <f t="shared" si="249"/>
        <v>1.620000000000001</v>
      </c>
    </row>
    <row r="264" spans="1:62" x14ac:dyDescent="0.2">
      <c r="A264" s="9">
        <f>data!M265-data!M264</f>
        <v>1.1761999999999944</v>
      </c>
      <c r="B264" s="9">
        <f>data!C265-data!C264</f>
        <v>9.3999999999999986</v>
      </c>
      <c r="C264" s="9">
        <f>data!D265-data!D264</f>
        <v>0.30499999999999972</v>
      </c>
      <c r="D264" s="10">
        <f>data!B265-data!B264</f>
        <v>-0.56750000000000012</v>
      </c>
      <c r="E264" s="9">
        <f>data!E264-data!G264</f>
        <v>2.3443999999999998</v>
      </c>
      <c r="F264" s="9">
        <f>(data!E264-data!F264)-(data!G264-data!H264)</f>
        <v>1.6473</v>
      </c>
      <c r="G264" s="9">
        <f t="shared" si="200"/>
        <v>-6.7299999999999915E-2</v>
      </c>
      <c r="H264" s="9">
        <f t="shared" si="201"/>
        <v>7.2999999999998622E-3</v>
      </c>
      <c r="I264" s="9">
        <f>IF(data!M265&gt; 111.81,1,0)</f>
        <v>0</v>
      </c>
      <c r="J264" s="9">
        <f t="shared" si="202"/>
        <v>1</v>
      </c>
      <c r="K264" s="9">
        <f t="shared" si="203"/>
        <v>0</v>
      </c>
      <c r="L264" s="9">
        <f t="shared" si="204"/>
        <v>1.1761999999999944</v>
      </c>
      <c r="M264" s="9">
        <f>data!J264</f>
        <v>-20.65</v>
      </c>
      <c r="N264" s="9">
        <f>data!I264</f>
        <v>-32.75</v>
      </c>
      <c r="O264" s="9">
        <f>data!L264</f>
        <v>-32.875</v>
      </c>
      <c r="P264" s="9">
        <f>data!K264</f>
        <v>-27.75</v>
      </c>
      <c r="Q264" s="9">
        <f>data!R264</f>
        <v>-22.875</v>
      </c>
      <c r="R264" s="9">
        <f t="shared" si="205"/>
        <v>1.1999999999999993</v>
      </c>
      <c r="S264" s="9">
        <f t="shared" si="206"/>
        <v>1.3499999999999979</v>
      </c>
      <c r="T264" s="9">
        <f t="shared" si="207"/>
        <v>1.6499999999999986</v>
      </c>
      <c r="U264" s="9">
        <f t="shared" si="208"/>
        <v>0.59999999999999787</v>
      </c>
      <c r="V264" s="9">
        <f t="shared" si="209"/>
        <v>1.4499999999999993</v>
      </c>
      <c r="W264" s="9">
        <f t="shared" si="210"/>
        <v>0.75</v>
      </c>
      <c r="X264" s="9">
        <f t="shared" si="211"/>
        <v>1.6499999999999986</v>
      </c>
      <c r="Y264" s="9">
        <f t="shared" si="212"/>
        <v>1</v>
      </c>
      <c r="Z264" s="9">
        <f t="shared" si="213"/>
        <v>-5.0000000000000711E-2</v>
      </c>
      <c r="AA264" s="9">
        <f t="shared" si="214"/>
        <v>0.45000000000000284</v>
      </c>
      <c r="AB264" s="9">
        <f t="shared" si="215"/>
        <v>1.5</v>
      </c>
      <c r="AC264" s="9">
        <f t="shared" si="216"/>
        <v>1.25</v>
      </c>
      <c r="AD264" s="9">
        <f t="shared" si="217"/>
        <v>0.75</v>
      </c>
      <c r="AE264" s="9">
        <f t="shared" si="218"/>
        <v>0.85000000000000142</v>
      </c>
      <c r="AF264" s="9">
        <f t="shared" si="219"/>
        <v>1.5</v>
      </c>
      <c r="AG264" s="9">
        <f t="shared" si="220"/>
        <v>2</v>
      </c>
      <c r="AH264" s="9">
        <f t="shared" si="221"/>
        <v>2.370000000000001</v>
      </c>
      <c r="AI264" s="9">
        <f t="shared" si="222"/>
        <v>4.875</v>
      </c>
      <c r="AJ264" s="9">
        <f t="shared" si="223"/>
        <v>7.5000000000002842E-2</v>
      </c>
      <c r="AK264" s="9">
        <f t="shared" si="224"/>
        <v>0.125</v>
      </c>
      <c r="AL264" s="9">
        <f t="shared" si="225"/>
        <v>-1.25</v>
      </c>
      <c r="AM264" s="9">
        <f t="shared" si="226"/>
        <v>-0.125</v>
      </c>
      <c r="AN264" s="9">
        <f t="shared" si="227"/>
        <v>-0.14999999999999858</v>
      </c>
      <c r="AO264" s="9">
        <f t="shared" si="228"/>
        <v>1.125</v>
      </c>
      <c r="AP264" s="9">
        <f t="shared" si="229"/>
        <v>1.745000000000001</v>
      </c>
      <c r="AQ264" s="9">
        <f t="shared" si="230"/>
        <v>2.375</v>
      </c>
      <c r="AR264" s="9">
        <f t="shared" si="231"/>
        <v>4.75</v>
      </c>
      <c r="AS264" s="9">
        <f t="shared" si="232"/>
        <v>0.25</v>
      </c>
      <c r="AT264" s="9">
        <f t="shared" si="233"/>
        <v>0.75</v>
      </c>
      <c r="AU264" s="9">
        <f t="shared" si="234"/>
        <v>0</v>
      </c>
      <c r="AV264" s="9">
        <f t="shared" si="235"/>
        <v>0.25</v>
      </c>
      <c r="AW264" s="9">
        <f t="shared" si="236"/>
        <v>0.25</v>
      </c>
      <c r="AX264" s="9">
        <f t="shared" si="237"/>
        <v>1.5</v>
      </c>
      <c r="AY264" s="9">
        <f t="shared" si="238"/>
        <v>2.120000000000001</v>
      </c>
      <c r="AZ264" s="9">
        <f t="shared" si="239"/>
        <v>2.75</v>
      </c>
      <c r="BA264" s="9">
        <f t="shared" si="240"/>
        <v>4.625</v>
      </c>
      <c r="BB264" s="9">
        <f t="shared" si="241"/>
        <v>0.375</v>
      </c>
      <c r="BC264" s="9">
        <f t="shared" si="242"/>
        <v>0.875</v>
      </c>
      <c r="BD264" s="9">
        <f t="shared" si="243"/>
        <v>0.375</v>
      </c>
      <c r="BE264" s="9">
        <f t="shared" si="244"/>
        <v>0.375</v>
      </c>
      <c r="BF264" s="9">
        <f t="shared" si="245"/>
        <v>0.10000000000000142</v>
      </c>
      <c r="BG264" s="9">
        <f t="shared" si="246"/>
        <v>1.125</v>
      </c>
      <c r="BH264" s="9">
        <f t="shared" si="247"/>
        <v>1.745000000000001</v>
      </c>
      <c r="BI264" s="9">
        <f t="shared" si="248"/>
        <v>1.995000000000001</v>
      </c>
      <c r="BJ264" s="9">
        <f t="shared" si="249"/>
        <v>3.9750000000000014</v>
      </c>
    </row>
    <row r="265" spans="1:62" x14ac:dyDescent="0.2">
      <c r="A265" s="9">
        <f>data!M266-data!M265</f>
        <v>0.82080000000000553</v>
      </c>
      <c r="B265" s="9">
        <f>data!C266-data!C265</f>
        <v>-2.6899999999999977</v>
      </c>
      <c r="C265" s="9">
        <f>data!D266-data!D265</f>
        <v>-9.4999999999998863E-2</v>
      </c>
      <c r="D265" s="10">
        <f>data!B266-data!B265</f>
        <v>-0.15249999999999986</v>
      </c>
      <c r="E265" s="9">
        <f>data!E265-data!G265</f>
        <v>2.2770999999999999</v>
      </c>
      <c r="F265" s="9">
        <f>(data!E265-data!F265)-(data!G265-data!H265)</f>
        <v>1.6545999999999998</v>
      </c>
      <c r="G265" s="9">
        <f t="shared" si="200"/>
        <v>-1.7699999999999605E-2</v>
      </c>
      <c r="H265" s="9">
        <f t="shared" si="201"/>
        <v>-4.2999999999999705E-2</v>
      </c>
      <c r="I265" s="9">
        <f>IF(data!M266&gt; 111.81,1,0)</f>
        <v>0</v>
      </c>
      <c r="J265" s="9">
        <f t="shared" si="202"/>
        <v>1</v>
      </c>
      <c r="K265" s="9">
        <f t="shared" si="203"/>
        <v>0</v>
      </c>
      <c r="L265" s="9">
        <f t="shared" si="204"/>
        <v>0.82080000000000553</v>
      </c>
      <c r="M265" s="9">
        <f>data!J265</f>
        <v>-19.45</v>
      </c>
      <c r="N265" s="9">
        <f>data!I265</f>
        <v>-32.299999999999997</v>
      </c>
      <c r="O265" s="9">
        <f>data!L265</f>
        <v>-32.799999999999997</v>
      </c>
      <c r="P265" s="9">
        <f>data!K265</f>
        <v>-27.5</v>
      </c>
      <c r="Q265" s="9">
        <f>data!R265</f>
        <v>-22.5</v>
      </c>
      <c r="R265" s="9">
        <f t="shared" si="205"/>
        <v>0.14999999999999858</v>
      </c>
      <c r="S265" s="9">
        <f t="shared" si="206"/>
        <v>0.44999999999999929</v>
      </c>
      <c r="T265" s="9">
        <f t="shared" si="207"/>
        <v>-0.60000000000000142</v>
      </c>
      <c r="U265" s="9">
        <f t="shared" si="208"/>
        <v>0.25</v>
      </c>
      <c r="V265" s="9">
        <f t="shared" si="209"/>
        <v>-0.44999999999999929</v>
      </c>
      <c r="W265" s="9">
        <f t="shared" si="210"/>
        <v>0.44999999999999929</v>
      </c>
      <c r="X265" s="9">
        <f t="shared" si="211"/>
        <v>-0.19999999999999929</v>
      </c>
      <c r="Y265" s="9">
        <f t="shared" si="212"/>
        <v>-1.25</v>
      </c>
      <c r="Z265" s="9">
        <f t="shared" si="213"/>
        <v>1.5500000000000007</v>
      </c>
      <c r="AA265" s="9">
        <f t="shared" si="214"/>
        <v>1.0499999999999972</v>
      </c>
      <c r="AB265" s="9">
        <f t="shared" si="215"/>
        <v>0.79999999999999716</v>
      </c>
      <c r="AC265" s="9">
        <f t="shared" si="216"/>
        <v>0.29999999999999716</v>
      </c>
      <c r="AD265" s="9">
        <f t="shared" si="217"/>
        <v>0.39999999999999858</v>
      </c>
      <c r="AE265" s="9">
        <f t="shared" si="218"/>
        <v>1.0499999999999972</v>
      </c>
      <c r="AF265" s="9">
        <f t="shared" si="219"/>
        <v>1.5499999999999972</v>
      </c>
      <c r="AG265" s="9">
        <f t="shared" si="220"/>
        <v>1.9199999999999982</v>
      </c>
      <c r="AH265" s="9">
        <f t="shared" si="221"/>
        <v>4.4249999999999972</v>
      </c>
      <c r="AI265" s="9">
        <f t="shared" si="222"/>
        <v>6.8599999999999959</v>
      </c>
      <c r="AJ265" s="9">
        <f t="shared" si="223"/>
        <v>4.9999999999997158E-2</v>
      </c>
      <c r="AK265" s="9">
        <f t="shared" si="224"/>
        <v>-1.3250000000000028</v>
      </c>
      <c r="AL265" s="9">
        <f t="shared" si="225"/>
        <v>-0.20000000000000284</v>
      </c>
      <c r="AM265" s="9">
        <f t="shared" si="226"/>
        <v>-0.22500000000000142</v>
      </c>
      <c r="AN265" s="9">
        <f t="shared" si="227"/>
        <v>1.0499999999999972</v>
      </c>
      <c r="AO265" s="9">
        <f t="shared" si="228"/>
        <v>1.6699999999999982</v>
      </c>
      <c r="AP265" s="9">
        <f t="shared" si="229"/>
        <v>2.2999999999999972</v>
      </c>
      <c r="AQ265" s="9">
        <f t="shared" si="230"/>
        <v>4.6749999999999972</v>
      </c>
      <c r="AR265" s="9">
        <f t="shared" si="231"/>
        <v>7.5249999999999986</v>
      </c>
      <c r="AS265" s="9">
        <f t="shared" si="232"/>
        <v>0.5</v>
      </c>
      <c r="AT265" s="9">
        <f t="shared" si="233"/>
        <v>-0.25</v>
      </c>
      <c r="AU265" s="9">
        <f t="shared" si="234"/>
        <v>0</v>
      </c>
      <c r="AV265" s="9">
        <f t="shared" si="235"/>
        <v>0</v>
      </c>
      <c r="AW265" s="9">
        <f t="shared" si="236"/>
        <v>1.25</v>
      </c>
      <c r="AX265" s="9">
        <f t="shared" si="237"/>
        <v>1.870000000000001</v>
      </c>
      <c r="AY265" s="9">
        <f t="shared" si="238"/>
        <v>2.5</v>
      </c>
      <c r="AZ265" s="9">
        <f t="shared" si="239"/>
        <v>4.375</v>
      </c>
      <c r="BA265" s="9">
        <f t="shared" si="240"/>
        <v>6.9349999999999987</v>
      </c>
      <c r="BB265" s="9">
        <f t="shared" si="241"/>
        <v>0.5</v>
      </c>
      <c r="BC265" s="9">
        <f t="shared" si="242"/>
        <v>0</v>
      </c>
      <c r="BD265" s="9">
        <f t="shared" si="243"/>
        <v>0</v>
      </c>
      <c r="BE265" s="9">
        <f t="shared" si="244"/>
        <v>-0.27499999999999858</v>
      </c>
      <c r="BF265" s="9">
        <f t="shared" si="245"/>
        <v>0.75</v>
      </c>
      <c r="BG265" s="9">
        <f t="shared" si="246"/>
        <v>1.370000000000001</v>
      </c>
      <c r="BH265" s="9">
        <f t="shared" si="247"/>
        <v>1.620000000000001</v>
      </c>
      <c r="BI265" s="9">
        <f t="shared" si="248"/>
        <v>3.6000000000000014</v>
      </c>
      <c r="BJ265" s="9">
        <f t="shared" si="249"/>
        <v>5.6849999999999987</v>
      </c>
    </row>
    <row r="266" spans="1:62" x14ac:dyDescent="0.2">
      <c r="A266" s="9">
        <f>data!M267-data!M266</f>
        <v>0.85799999999998988</v>
      </c>
      <c r="B266" s="9">
        <f>data!C267-data!C266</f>
        <v>1.4899999999999984</v>
      </c>
      <c r="C266" s="9">
        <f>data!D267-data!D266</f>
        <v>0.36499999999999844</v>
      </c>
      <c r="D266" s="10">
        <f>data!B267-data!B266</f>
        <v>-0.35999999999999988</v>
      </c>
      <c r="E266" s="9">
        <f>data!E266-data!G266</f>
        <v>2.2594000000000003</v>
      </c>
      <c r="F266" s="9">
        <f>(data!E266-data!F266)-(data!G266-data!H266)</f>
        <v>1.6116000000000001</v>
      </c>
      <c r="G266" s="9">
        <f t="shared" si="200"/>
        <v>-6.8000000000000504E-2</v>
      </c>
      <c r="H266" s="9">
        <f t="shared" si="201"/>
        <v>-1.8500000000000405E-2</v>
      </c>
      <c r="I266" s="9">
        <f>IF(data!M267&gt; 111.81,1,0)</f>
        <v>0</v>
      </c>
      <c r="J266" s="9">
        <f t="shared" si="202"/>
        <v>1</v>
      </c>
      <c r="K266" s="9">
        <f t="shared" si="203"/>
        <v>0</v>
      </c>
      <c r="L266" s="9">
        <f t="shared" si="204"/>
        <v>0.85799999999998988</v>
      </c>
      <c r="M266" s="9">
        <f>data!J266</f>
        <v>-19.3</v>
      </c>
      <c r="N266" s="9">
        <f>data!I266</f>
        <v>-31.25</v>
      </c>
      <c r="O266" s="9">
        <f>data!L266</f>
        <v>-32.75</v>
      </c>
      <c r="P266" s="9">
        <f>data!K266</f>
        <v>-27</v>
      </c>
      <c r="Q266" s="9">
        <f>data!R266</f>
        <v>-22</v>
      </c>
      <c r="R266" s="9">
        <f t="shared" si="205"/>
        <v>0.30000000000000071</v>
      </c>
      <c r="S266" s="9">
        <f t="shared" si="206"/>
        <v>-0.75</v>
      </c>
      <c r="T266" s="9">
        <f t="shared" si="207"/>
        <v>0.10000000000000142</v>
      </c>
      <c r="U266" s="9">
        <f t="shared" si="208"/>
        <v>-0.59999999999999787</v>
      </c>
      <c r="V266" s="9">
        <f t="shared" si="209"/>
        <v>0.30000000000000071</v>
      </c>
      <c r="W266" s="9">
        <f t="shared" si="210"/>
        <v>-0.34999999999999787</v>
      </c>
      <c r="X266" s="9">
        <f t="shared" si="211"/>
        <v>-1.3999999999999986</v>
      </c>
      <c r="Y266" s="9">
        <f t="shared" si="212"/>
        <v>1.4000000000000021</v>
      </c>
      <c r="Z266" s="9">
        <f t="shared" si="213"/>
        <v>1.3000000000000007</v>
      </c>
      <c r="AA266" s="9">
        <f t="shared" si="214"/>
        <v>-0.25</v>
      </c>
      <c r="AB266" s="9">
        <f t="shared" si="215"/>
        <v>-0.75</v>
      </c>
      <c r="AC266" s="9">
        <f t="shared" si="216"/>
        <v>-0.64999999999999858</v>
      </c>
      <c r="AD266" s="9">
        <f t="shared" si="217"/>
        <v>0</v>
      </c>
      <c r="AE266" s="9">
        <f t="shared" si="218"/>
        <v>0.5</v>
      </c>
      <c r="AF266" s="9">
        <f t="shared" si="219"/>
        <v>0.87000000000000099</v>
      </c>
      <c r="AG266" s="9">
        <f t="shared" si="220"/>
        <v>3.375</v>
      </c>
      <c r="AH266" s="9">
        <f t="shared" si="221"/>
        <v>5.8099999999999987</v>
      </c>
      <c r="AI266" s="9">
        <f t="shared" si="222"/>
        <v>4.75</v>
      </c>
      <c r="AJ266" s="9">
        <f t="shared" si="223"/>
        <v>-1.375</v>
      </c>
      <c r="AK266" s="9">
        <f t="shared" si="224"/>
        <v>-0.25</v>
      </c>
      <c r="AL266" s="9">
        <f t="shared" si="225"/>
        <v>-0.27499999999999858</v>
      </c>
      <c r="AM266" s="9">
        <f t="shared" si="226"/>
        <v>1</v>
      </c>
      <c r="AN266" s="9">
        <f t="shared" si="227"/>
        <v>1.620000000000001</v>
      </c>
      <c r="AO266" s="9">
        <f t="shared" si="228"/>
        <v>2.25</v>
      </c>
      <c r="AP266" s="9">
        <f t="shared" si="229"/>
        <v>4.625</v>
      </c>
      <c r="AQ266" s="9">
        <f t="shared" si="230"/>
        <v>7.4750000000000014</v>
      </c>
      <c r="AR266" s="9">
        <f t="shared" si="231"/>
        <v>6.4499999999999993</v>
      </c>
      <c r="AS266" s="9">
        <f t="shared" si="232"/>
        <v>-0.75</v>
      </c>
      <c r="AT266" s="9">
        <f t="shared" si="233"/>
        <v>-0.5</v>
      </c>
      <c r="AU266" s="9">
        <f t="shared" si="234"/>
        <v>-0.5</v>
      </c>
      <c r="AV266" s="9">
        <f t="shared" si="235"/>
        <v>0.75</v>
      </c>
      <c r="AW266" s="9">
        <f t="shared" si="236"/>
        <v>1.370000000000001</v>
      </c>
      <c r="AX266" s="9">
        <f t="shared" si="237"/>
        <v>2</v>
      </c>
      <c r="AY266" s="9">
        <f t="shared" si="238"/>
        <v>3.875</v>
      </c>
      <c r="AZ266" s="9">
        <f t="shared" si="239"/>
        <v>6.4349999999999987</v>
      </c>
      <c r="BA266" s="9">
        <f t="shared" si="240"/>
        <v>6</v>
      </c>
      <c r="BB266" s="9">
        <f t="shared" si="241"/>
        <v>-0.5</v>
      </c>
      <c r="BC266" s="9">
        <f t="shared" si="242"/>
        <v>-0.5</v>
      </c>
      <c r="BD266" s="9">
        <f t="shared" si="243"/>
        <v>-0.77499999999999858</v>
      </c>
      <c r="BE266" s="9">
        <f t="shared" si="244"/>
        <v>0.25</v>
      </c>
      <c r="BF266" s="9">
        <f t="shared" si="245"/>
        <v>0.87000000000000099</v>
      </c>
      <c r="BG266" s="9">
        <f t="shared" si="246"/>
        <v>1.120000000000001</v>
      </c>
      <c r="BH266" s="9">
        <f t="shared" si="247"/>
        <v>3.1000000000000014</v>
      </c>
      <c r="BI266" s="9">
        <f t="shared" si="248"/>
        <v>5.1849999999999987</v>
      </c>
      <c r="BJ266" s="9">
        <f t="shared" si="249"/>
        <v>5</v>
      </c>
    </row>
    <row r="267" spans="1:62" x14ac:dyDescent="0.2">
      <c r="A267" s="9">
        <f>data!M268-data!M267</f>
        <v>-0.62419999999998765</v>
      </c>
      <c r="B267" s="9">
        <f>data!C268-data!C267</f>
        <v>-3.379999999999999</v>
      </c>
      <c r="C267" s="9">
        <f>data!D268-data!D267</f>
        <v>-0.90499999999999936</v>
      </c>
      <c r="D267" s="10">
        <f>data!B268-data!B267</f>
        <v>0.4049999999999998</v>
      </c>
      <c r="E267" s="9">
        <f>data!E267-data!G267</f>
        <v>2.1913999999999998</v>
      </c>
      <c r="F267" s="9">
        <f>(data!E267-data!F267)-(data!G267-data!H267)</f>
        <v>1.5930999999999997</v>
      </c>
      <c r="G267" s="9">
        <f t="shared" si="200"/>
        <v>0.16640000000000033</v>
      </c>
      <c r="H267" s="9">
        <f t="shared" si="201"/>
        <v>0.10320000000000018</v>
      </c>
      <c r="I267" s="9">
        <f>IF(data!M268&gt; 111.81,1,0)</f>
        <v>0</v>
      </c>
      <c r="J267" s="9">
        <f t="shared" si="202"/>
        <v>1</v>
      </c>
      <c r="K267" s="9">
        <f t="shared" si="203"/>
        <v>0</v>
      </c>
      <c r="L267" s="9">
        <f t="shared" si="204"/>
        <v>-0.62419999999998765</v>
      </c>
      <c r="M267" s="9">
        <f>data!J267</f>
        <v>-19</v>
      </c>
      <c r="N267" s="9">
        <f>data!I267</f>
        <v>-31.5</v>
      </c>
      <c r="O267" s="9">
        <f>data!L267</f>
        <v>-34.125</v>
      </c>
      <c r="P267" s="9">
        <f>data!K267</f>
        <v>-27.75</v>
      </c>
      <c r="Q267" s="9">
        <f>data!R267</f>
        <v>-22.5</v>
      </c>
      <c r="R267" s="9">
        <f t="shared" si="205"/>
        <v>-1.0500000000000007</v>
      </c>
      <c r="S267" s="9">
        <f t="shared" si="206"/>
        <v>-0.19999999999999929</v>
      </c>
      <c r="T267" s="9">
        <f t="shared" si="207"/>
        <v>-0.89999999999999858</v>
      </c>
      <c r="U267" s="9">
        <f t="shared" si="208"/>
        <v>0</v>
      </c>
      <c r="V267" s="9">
        <f t="shared" si="209"/>
        <v>-0.64999999999999858</v>
      </c>
      <c r="W267" s="9">
        <f t="shared" si="210"/>
        <v>-1.6999999999999993</v>
      </c>
      <c r="X267" s="9">
        <f t="shared" si="211"/>
        <v>1.1000000000000014</v>
      </c>
      <c r="Y267" s="9">
        <f t="shared" si="212"/>
        <v>1</v>
      </c>
      <c r="Z267" s="9">
        <f t="shared" si="213"/>
        <v>-0.69999999999999929</v>
      </c>
      <c r="AA267" s="9">
        <f t="shared" si="214"/>
        <v>-0.5</v>
      </c>
      <c r="AB267" s="9">
        <f t="shared" si="215"/>
        <v>-0.39999999999999858</v>
      </c>
      <c r="AC267" s="9">
        <f t="shared" si="216"/>
        <v>0.25</v>
      </c>
      <c r="AD267" s="9">
        <f t="shared" si="217"/>
        <v>0.75</v>
      </c>
      <c r="AE267" s="9">
        <f t="shared" si="218"/>
        <v>1.120000000000001</v>
      </c>
      <c r="AF267" s="9">
        <f t="shared" si="219"/>
        <v>3.625</v>
      </c>
      <c r="AG267" s="9">
        <f t="shared" si="220"/>
        <v>6.0599999999999987</v>
      </c>
      <c r="AH267" s="9">
        <f t="shared" si="221"/>
        <v>5</v>
      </c>
      <c r="AI267" s="9">
        <f t="shared" si="222"/>
        <v>5.370000000000001</v>
      </c>
      <c r="AJ267" s="9">
        <f t="shared" si="223"/>
        <v>1.125</v>
      </c>
      <c r="AK267" s="9">
        <f t="shared" si="224"/>
        <v>1.1000000000000014</v>
      </c>
      <c r="AL267" s="9">
        <f t="shared" si="225"/>
        <v>2.375</v>
      </c>
      <c r="AM267" s="9">
        <f t="shared" si="226"/>
        <v>2.995000000000001</v>
      </c>
      <c r="AN267" s="9">
        <f t="shared" si="227"/>
        <v>3.625</v>
      </c>
      <c r="AO267" s="9">
        <f t="shared" si="228"/>
        <v>6</v>
      </c>
      <c r="AP267" s="9">
        <f t="shared" si="229"/>
        <v>8.8500000000000014</v>
      </c>
      <c r="AQ267" s="9">
        <f t="shared" si="230"/>
        <v>7.8249999999999993</v>
      </c>
      <c r="AR267" s="9">
        <f t="shared" si="231"/>
        <v>7.870000000000001</v>
      </c>
      <c r="AS267" s="9">
        <f t="shared" si="232"/>
        <v>0.25</v>
      </c>
      <c r="AT267" s="9">
        <f t="shared" si="233"/>
        <v>0.25</v>
      </c>
      <c r="AU267" s="9">
        <f t="shared" si="234"/>
        <v>1.5</v>
      </c>
      <c r="AV267" s="9">
        <f t="shared" si="235"/>
        <v>2.120000000000001</v>
      </c>
      <c r="AW267" s="9">
        <f t="shared" si="236"/>
        <v>2.75</v>
      </c>
      <c r="AX267" s="9">
        <f t="shared" si="237"/>
        <v>4.625</v>
      </c>
      <c r="AY267" s="9">
        <f t="shared" si="238"/>
        <v>7.1849999999999987</v>
      </c>
      <c r="AZ267" s="9">
        <f t="shared" si="239"/>
        <v>6.75</v>
      </c>
      <c r="BA267" s="9">
        <f t="shared" si="240"/>
        <v>6.5599999999999987</v>
      </c>
      <c r="BB267" s="9">
        <f t="shared" si="241"/>
        <v>0</v>
      </c>
      <c r="BC267" s="9">
        <f t="shared" si="242"/>
        <v>-0.27499999999999858</v>
      </c>
      <c r="BD267" s="9">
        <f t="shared" si="243"/>
        <v>0.75</v>
      </c>
      <c r="BE267" s="9">
        <f t="shared" si="244"/>
        <v>1.370000000000001</v>
      </c>
      <c r="BF267" s="9">
        <f t="shared" si="245"/>
        <v>1.620000000000001</v>
      </c>
      <c r="BG267" s="9">
        <f t="shared" si="246"/>
        <v>3.6000000000000014</v>
      </c>
      <c r="BH267" s="9">
        <f t="shared" si="247"/>
        <v>5.6849999999999987</v>
      </c>
      <c r="BI267" s="9">
        <f t="shared" si="248"/>
        <v>5.5</v>
      </c>
      <c r="BJ267" s="9">
        <f t="shared" si="249"/>
        <v>5.4349999999999987</v>
      </c>
    </row>
    <row r="268" spans="1:62" x14ac:dyDescent="0.2">
      <c r="A268" s="9">
        <f>data!M269-data!M268</f>
        <v>-4.0700000000001069E-2</v>
      </c>
      <c r="B268" s="9">
        <f>data!C269-data!C268</f>
        <v>-2.7100000000000009</v>
      </c>
      <c r="C268" s="9">
        <f>data!D269-data!D268</f>
        <v>-0.46499999999999986</v>
      </c>
      <c r="D268" s="10">
        <f>data!B269-data!B268</f>
        <v>-0.10000000000000009</v>
      </c>
      <c r="E268" s="9">
        <f>data!E268-data!G268</f>
        <v>2.3578000000000001</v>
      </c>
      <c r="F268" s="9">
        <f>(data!E268-data!F268)-(data!G268-data!H268)</f>
        <v>1.6962999999999999</v>
      </c>
      <c r="G268" s="9">
        <f t="shared" si="200"/>
        <v>7.4799999999999756E-2</v>
      </c>
      <c r="H268" s="9">
        <f t="shared" si="201"/>
        <v>-1.939999999999964E-2</v>
      </c>
      <c r="I268" s="9">
        <f>IF(data!M269&gt; 111.81,1,0)</f>
        <v>0</v>
      </c>
      <c r="J268" s="9">
        <f t="shared" si="202"/>
        <v>1</v>
      </c>
      <c r="K268" s="9">
        <f t="shared" si="203"/>
        <v>0</v>
      </c>
      <c r="L268" s="9">
        <f t="shared" si="204"/>
        <v>-4.0700000000001069E-2</v>
      </c>
      <c r="M268" s="9">
        <f>data!J268</f>
        <v>-20.05</v>
      </c>
      <c r="N268" s="9">
        <f>data!I268</f>
        <v>-32</v>
      </c>
      <c r="O268" s="9">
        <f>data!L268</f>
        <v>-33</v>
      </c>
      <c r="P268" s="9">
        <f>data!K268</f>
        <v>-27.5</v>
      </c>
      <c r="Q268" s="9">
        <f>data!R268</f>
        <v>-22.5</v>
      </c>
      <c r="R268" s="9">
        <f t="shared" si="205"/>
        <v>0.85000000000000142</v>
      </c>
      <c r="S268" s="9">
        <f t="shared" si="206"/>
        <v>0.15000000000000213</v>
      </c>
      <c r="T268" s="9">
        <f t="shared" si="207"/>
        <v>1.0500000000000007</v>
      </c>
      <c r="U268" s="9">
        <f t="shared" si="208"/>
        <v>0.40000000000000213</v>
      </c>
      <c r="V268" s="9">
        <f t="shared" si="209"/>
        <v>-0.64999999999999858</v>
      </c>
      <c r="W268" s="9">
        <f t="shared" si="210"/>
        <v>2.1500000000000021</v>
      </c>
      <c r="X268" s="9">
        <f t="shared" si="211"/>
        <v>2.0500000000000007</v>
      </c>
      <c r="Y268" s="9">
        <f t="shared" si="212"/>
        <v>0.35000000000000142</v>
      </c>
      <c r="Z268" s="9">
        <f t="shared" si="213"/>
        <v>-0.55000000000000071</v>
      </c>
      <c r="AA268" s="9">
        <f t="shared" si="214"/>
        <v>0.10000000000000142</v>
      </c>
      <c r="AB268" s="9">
        <f t="shared" si="215"/>
        <v>0.75</v>
      </c>
      <c r="AC268" s="9">
        <f t="shared" si="216"/>
        <v>1.25</v>
      </c>
      <c r="AD268" s="9">
        <f t="shared" si="217"/>
        <v>1.620000000000001</v>
      </c>
      <c r="AE268" s="9">
        <f t="shared" si="218"/>
        <v>4.125</v>
      </c>
      <c r="AF268" s="9">
        <f t="shared" si="219"/>
        <v>6.5599999999999987</v>
      </c>
      <c r="AG268" s="9">
        <f t="shared" si="220"/>
        <v>5.5</v>
      </c>
      <c r="AH268" s="9">
        <f t="shared" si="221"/>
        <v>5.870000000000001</v>
      </c>
      <c r="AI268" s="9">
        <f t="shared" si="222"/>
        <v>3.5</v>
      </c>
      <c r="AJ268" s="9">
        <f t="shared" si="223"/>
        <v>-2.4999999999998579E-2</v>
      </c>
      <c r="AK268" s="9">
        <f t="shared" si="224"/>
        <v>1.25</v>
      </c>
      <c r="AL268" s="9">
        <f t="shared" si="225"/>
        <v>1.870000000000001</v>
      </c>
      <c r="AM268" s="9">
        <f t="shared" si="226"/>
        <v>2.5</v>
      </c>
      <c r="AN268" s="9">
        <f t="shared" si="227"/>
        <v>4.875</v>
      </c>
      <c r="AO268" s="9">
        <f t="shared" si="228"/>
        <v>7.7250000000000014</v>
      </c>
      <c r="AP268" s="9">
        <f t="shared" si="229"/>
        <v>6.6999999999999993</v>
      </c>
      <c r="AQ268" s="9">
        <f t="shared" si="230"/>
        <v>6.745000000000001</v>
      </c>
      <c r="AR268" s="9">
        <f t="shared" si="231"/>
        <v>5.875</v>
      </c>
      <c r="AS268" s="9">
        <f t="shared" si="232"/>
        <v>0</v>
      </c>
      <c r="AT268" s="9">
        <f t="shared" si="233"/>
        <v>1.25</v>
      </c>
      <c r="AU268" s="9">
        <f t="shared" si="234"/>
        <v>1.870000000000001</v>
      </c>
      <c r="AV268" s="9">
        <f t="shared" si="235"/>
        <v>2.5</v>
      </c>
      <c r="AW268" s="9">
        <f t="shared" si="236"/>
        <v>4.375</v>
      </c>
      <c r="AX268" s="9">
        <f t="shared" si="237"/>
        <v>6.9349999999999987</v>
      </c>
      <c r="AY268" s="9">
        <f t="shared" si="238"/>
        <v>6.5</v>
      </c>
      <c r="AZ268" s="9">
        <f t="shared" si="239"/>
        <v>6.3099999999999987</v>
      </c>
      <c r="BA268" s="9">
        <f t="shared" si="240"/>
        <v>5.5</v>
      </c>
      <c r="BB268" s="9">
        <f t="shared" si="241"/>
        <v>-0.27499999999999858</v>
      </c>
      <c r="BC268" s="9">
        <f t="shared" si="242"/>
        <v>0.75</v>
      </c>
      <c r="BD268" s="9">
        <f t="shared" si="243"/>
        <v>1.370000000000001</v>
      </c>
      <c r="BE268" s="9">
        <f t="shared" si="244"/>
        <v>1.620000000000001</v>
      </c>
      <c r="BF268" s="9">
        <f t="shared" si="245"/>
        <v>3.6000000000000014</v>
      </c>
      <c r="BG268" s="9">
        <f t="shared" si="246"/>
        <v>5.6849999999999987</v>
      </c>
      <c r="BH268" s="9">
        <f t="shared" si="247"/>
        <v>5.5</v>
      </c>
      <c r="BI268" s="9">
        <f t="shared" si="248"/>
        <v>5.4349999999999987</v>
      </c>
      <c r="BJ268" s="9">
        <f t="shared" si="249"/>
        <v>4.75</v>
      </c>
    </row>
    <row r="269" spans="1:62" x14ac:dyDescent="0.2">
      <c r="A269" s="9">
        <f>data!M270-data!M269</f>
        <v>-0.2967000000000013</v>
      </c>
      <c r="B269" s="9">
        <f>data!C270-data!C269</f>
        <v>-0.51999999999999957</v>
      </c>
      <c r="C269" s="9">
        <f>data!D270-data!D269</f>
        <v>-1.9999999999999574E-2</v>
      </c>
      <c r="D269" s="10">
        <f>data!B270-data!B269</f>
        <v>1.7500000000000071E-2</v>
      </c>
      <c r="E269" s="9">
        <f>data!E269-data!G269</f>
        <v>2.4325999999999999</v>
      </c>
      <c r="F269" s="9">
        <f>(data!E269-data!F269)-(data!G269-data!H269)</f>
        <v>1.6769000000000003</v>
      </c>
      <c r="G269" s="9">
        <f t="shared" si="200"/>
        <v>-0.12589999999999968</v>
      </c>
      <c r="H269" s="9">
        <f t="shared" si="201"/>
        <v>-1.7000000000000126E-2</v>
      </c>
      <c r="I269" s="9">
        <f>IF(data!M270&gt; 111.81,1,0)</f>
        <v>0</v>
      </c>
      <c r="J269" s="9">
        <f t="shared" si="202"/>
        <v>1</v>
      </c>
      <c r="K269" s="9">
        <f t="shared" si="203"/>
        <v>0</v>
      </c>
      <c r="L269" s="9">
        <f t="shared" si="204"/>
        <v>-0.2967000000000013</v>
      </c>
      <c r="M269" s="9">
        <f>data!J269</f>
        <v>-19.2</v>
      </c>
      <c r="N269" s="9">
        <f>data!I269</f>
        <v>-31.9</v>
      </c>
      <c r="O269" s="9">
        <f>data!L269</f>
        <v>-33.024999999999999</v>
      </c>
      <c r="P269" s="9">
        <f>data!K269</f>
        <v>-27.5</v>
      </c>
      <c r="Q269" s="9">
        <f>data!R269</f>
        <v>-22.774999999999999</v>
      </c>
      <c r="R269" s="9">
        <f t="shared" si="205"/>
        <v>-0.69999999999999929</v>
      </c>
      <c r="S269" s="9">
        <f t="shared" si="206"/>
        <v>0.19999999999999929</v>
      </c>
      <c r="T269" s="9">
        <f t="shared" si="207"/>
        <v>-0.44999999999999929</v>
      </c>
      <c r="U269" s="9">
        <f t="shared" si="208"/>
        <v>-1.5</v>
      </c>
      <c r="V269" s="9">
        <f t="shared" si="209"/>
        <v>1.3000000000000007</v>
      </c>
      <c r="W269" s="9">
        <f t="shared" si="210"/>
        <v>1.1999999999999993</v>
      </c>
      <c r="X269" s="9">
        <f t="shared" si="211"/>
        <v>-0.5</v>
      </c>
      <c r="Y269" s="9">
        <f t="shared" si="212"/>
        <v>-1.4000000000000021</v>
      </c>
      <c r="Z269" s="9">
        <f t="shared" si="213"/>
        <v>-2.2250000000000014</v>
      </c>
      <c r="AA269" s="9">
        <f t="shared" si="214"/>
        <v>0.64999999999999858</v>
      </c>
      <c r="AB269" s="9">
        <f t="shared" si="215"/>
        <v>1.1499999999999986</v>
      </c>
      <c r="AC269" s="9">
        <f t="shared" si="216"/>
        <v>1.5199999999999996</v>
      </c>
      <c r="AD269" s="9">
        <f t="shared" si="217"/>
        <v>4.0249999999999986</v>
      </c>
      <c r="AE269" s="9">
        <f t="shared" si="218"/>
        <v>6.4599999999999973</v>
      </c>
      <c r="AF269" s="9">
        <f t="shared" si="219"/>
        <v>5.3999999999999986</v>
      </c>
      <c r="AG269" s="9">
        <f t="shared" si="220"/>
        <v>5.77</v>
      </c>
      <c r="AH269" s="9">
        <f t="shared" si="221"/>
        <v>3.3999999999999986</v>
      </c>
      <c r="AI269" s="9">
        <f t="shared" si="222"/>
        <v>3.8999999999999986</v>
      </c>
      <c r="AJ269" s="9">
        <f t="shared" si="223"/>
        <v>1.2749999999999986</v>
      </c>
      <c r="AK269" s="9">
        <f t="shared" si="224"/>
        <v>1.8949999999999996</v>
      </c>
      <c r="AL269" s="9">
        <f t="shared" si="225"/>
        <v>2.5249999999999986</v>
      </c>
      <c r="AM269" s="9">
        <f t="shared" si="226"/>
        <v>4.8999999999999986</v>
      </c>
      <c r="AN269" s="9">
        <f t="shared" si="227"/>
        <v>7.75</v>
      </c>
      <c r="AO269" s="9">
        <f t="shared" si="228"/>
        <v>6.7249999999999979</v>
      </c>
      <c r="AP269" s="9">
        <f t="shared" si="229"/>
        <v>6.77</v>
      </c>
      <c r="AQ269" s="9">
        <f t="shared" si="230"/>
        <v>5.8999999999999986</v>
      </c>
      <c r="AR269" s="9">
        <f t="shared" si="231"/>
        <v>6.5249999999999986</v>
      </c>
      <c r="AS269" s="9">
        <f t="shared" si="232"/>
        <v>1.25</v>
      </c>
      <c r="AT269" s="9">
        <f t="shared" si="233"/>
        <v>1.870000000000001</v>
      </c>
      <c r="AU269" s="9">
        <f t="shared" si="234"/>
        <v>2.5</v>
      </c>
      <c r="AV269" s="9">
        <f t="shared" si="235"/>
        <v>4.375</v>
      </c>
      <c r="AW269" s="9">
        <f t="shared" si="236"/>
        <v>6.9349999999999987</v>
      </c>
      <c r="AX269" s="9">
        <f t="shared" si="237"/>
        <v>6.5</v>
      </c>
      <c r="AY269" s="9">
        <f t="shared" si="238"/>
        <v>6.3099999999999987</v>
      </c>
      <c r="AZ269" s="9">
        <f t="shared" si="239"/>
        <v>5.5</v>
      </c>
      <c r="BA269" s="9">
        <f t="shared" si="240"/>
        <v>7.0599999999999987</v>
      </c>
      <c r="BB269" s="9">
        <f t="shared" si="241"/>
        <v>1.0249999999999986</v>
      </c>
      <c r="BC269" s="9">
        <f t="shared" si="242"/>
        <v>1.6449999999999996</v>
      </c>
      <c r="BD269" s="9">
        <f t="shared" si="243"/>
        <v>1.8949999999999996</v>
      </c>
      <c r="BE269" s="9">
        <f t="shared" si="244"/>
        <v>3.875</v>
      </c>
      <c r="BF269" s="9">
        <f t="shared" si="245"/>
        <v>5.9599999999999973</v>
      </c>
      <c r="BG269" s="9">
        <f t="shared" si="246"/>
        <v>5.7749999999999986</v>
      </c>
      <c r="BH269" s="9">
        <f t="shared" si="247"/>
        <v>5.7099999999999973</v>
      </c>
      <c r="BI269" s="9">
        <f t="shared" si="248"/>
        <v>5.0249999999999986</v>
      </c>
      <c r="BJ269" s="9">
        <f t="shared" si="249"/>
        <v>6.5249999999999986</v>
      </c>
    </row>
    <row r="270" spans="1:62" x14ac:dyDescent="0.2">
      <c r="A270" s="9">
        <f>data!M271-data!M270</f>
        <v>-0.39790000000000703</v>
      </c>
      <c r="B270" s="9">
        <f>data!C271-data!C270</f>
        <v>-2.0799999999999983</v>
      </c>
      <c r="C270" s="9">
        <f>data!D271-data!D270</f>
        <v>-0.20500000000000007</v>
      </c>
      <c r="D270" s="10">
        <f>data!B271-data!B270</f>
        <v>0.17750000000000021</v>
      </c>
      <c r="E270" s="9">
        <f>data!E270-data!G270</f>
        <v>2.3067000000000002</v>
      </c>
      <c r="F270" s="9">
        <f>(data!E270-data!F270)-(data!G270-data!H270)</f>
        <v>1.6599000000000002</v>
      </c>
      <c r="G270" s="9">
        <f t="shared" si="200"/>
        <v>5.7900000000000063E-2</v>
      </c>
      <c r="H270" s="9">
        <f t="shared" si="201"/>
        <v>-3.5299999999999887E-2</v>
      </c>
      <c r="I270" s="9">
        <f>IF(data!M271&gt; 111.81,1,0)</f>
        <v>0</v>
      </c>
      <c r="J270" s="9">
        <f t="shared" si="202"/>
        <v>1</v>
      </c>
      <c r="K270" s="9">
        <f t="shared" si="203"/>
        <v>0</v>
      </c>
      <c r="L270" s="9">
        <f t="shared" si="204"/>
        <v>-0.39790000000000703</v>
      </c>
      <c r="M270" s="9">
        <f>data!J270</f>
        <v>-19.899999999999999</v>
      </c>
      <c r="N270" s="9">
        <f>data!I270</f>
        <v>-31.25</v>
      </c>
      <c r="O270" s="9">
        <f>data!L270</f>
        <v>-31.75</v>
      </c>
      <c r="P270" s="9">
        <f>data!K270</f>
        <v>-26.25</v>
      </c>
      <c r="Q270" s="9">
        <f>data!R270</f>
        <v>-21.75</v>
      </c>
      <c r="R270" s="9">
        <f t="shared" si="205"/>
        <v>0.89999999999999858</v>
      </c>
      <c r="S270" s="9">
        <f t="shared" si="206"/>
        <v>0.25</v>
      </c>
      <c r="T270" s="9">
        <f t="shared" si="207"/>
        <v>-0.80000000000000071</v>
      </c>
      <c r="U270" s="9">
        <f t="shared" si="208"/>
        <v>2</v>
      </c>
      <c r="V270" s="9">
        <f t="shared" si="209"/>
        <v>1.8999999999999986</v>
      </c>
      <c r="W270" s="9">
        <f t="shared" si="210"/>
        <v>0.19999999999999929</v>
      </c>
      <c r="X270" s="9">
        <f t="shared" si="211"/>
        <v>-0.70000000000000284</v>
      </c>
      <c r="Y270" s="9">
        <f t="shared" si="212"/>
        <v>-1.5250000000000021</v>
      </c>
      <c r="Z270" s="9">
        <f t="shared" si="213"/>
        <v>-5</v>
      </c>
      <c r="AA270" s="9">
        <f t="shared" si="214"/>
        <v>0.5</v>
      </c>
      <c r="AB270" s="9">
        <f t="shared" si="215"/>
        <v>0.87000000000000099</v>
      </c>
      <c r="AC270" s="9">
        <f t="shared" si="216"/>
        <v>3.375</v>
      </c>
      <c r="AD270" s="9">
        <f t="shared" si="217"/>
        <v>5.8099999999999987</v>
      </c>
      <c r="AE270" s="9">
        <f t="shared" si="218"/>
        <v>4.75</v>
      </c>
      <c r="AF270" s="9">
        <f t="shared" si="219"/>
        <v>5.120000000000001</v>
      </c>
      <c r="AG270" s="9">
        <f t="shared" si="220"/>
        <v>2.75</v>
      </c>
      <c r="AH270" s="9">
        <f t="shared" si="221"/>
        <v>3.25</v>
      </c>
      <c r="AI270" s="9">
        <f t="shared" si="222"/>
        <v>1.875</v>
      </c>
      <c r="AJ270" s="9">
        <f t="shared" si="223"/>
        <v>0.62000000000000099</v>
      </c>
      <c r="AK270" s="9">
        <f t="shared" si="224"/>
        <v>1.25</v>
      </c>
      <c r="AL270" s="9">
        <f t="shared" si="225"/>
        <v>3.625</v>
      </c>
      <c r="AM270" s="9">
        <f t="shared" si="226"/>
        <v>6.4750000000000014</v>
      </c>
      <c r="AN270" s="9">
        <f t="shared" si="227"/>
        <v>5.4499999999999993</v>
      </c>
      <c r="AO270" s="9">
        <f t="shared" si="228"/>
        <v>5.495000000000001</v>
      </c>
      <c r="AP270" s="9">
        <f t="shared" si="229"/>
        <v>4.625</v>
      </c>
      <c r="AQ270" s="9">
        <f t="shared" si="230"/>
        <v>5.25</v>
      </c>
      <c r="AR270" s="9">
        <f t="shared" si="231"/>
        <v>4.625</v>
      </c>
      <c r="AS270" s="9">
        <f t="shared" si="232"/>
        <v>0.62000000000000099</v>
      </c>
      <c r="AT270" s="9">
        <f t="shared" si="233"/>
        <v>1.25</v>
      </c>
      <c r="AU270" s="9">
        <f t="shared" si="234"/>
        <v>3.125</v>
      </c>
      <c r="AV270" s="9">
        <f t="shared" si="235"/>
        <v>5.6849999999999987</v>
      </c>
      <c r="AW270" s="9">
        <f t="shared" si="236"/>
        <v>5.25</v>
      </c>
      <c r="AX270" s="9">
        <f t="shared" si="237"/>
        <v>5.0599999999999987</v>
      </c>
      <c r="AY270" s="9">
        <f t="shared" si="238"/>
        <v>4.25</v>
      </c>
      <c r="AZ270" s="9">
        <f t="shared" si="239"/>
        <v>5.8099999999999987</v>
      </c>
      <c r="BA270" s="9">
        <f t="shared" si="240"/>
        <v>6.5</v>
      </c>
      <c r="BB270" s="9">
        <f t="shared" si="241"/>
        <v>0.62000000000000099</v>
      </c>
      <c r="BC270" s="9">
        <f t="shared" si="242"/>
        <v>0.87000000000000099</v>
      </c>
      <c r="BD270" s="9">
        <f t="shared" si="243"/>
        <v>2.8500000000000014</v>
      </c>
      <c r="BE270" s="9">
        <f t="shared" si="244"/>
        <v>4.9349999999999987</v>
      </c>
      <c r="BF270" s="9">
        <f t="shared" si="245"/>
        <v>4.75</v>
      </c>
      <c r="BG270" s="9">
        <f t="shared" si="246"/>
        <v>4.6849999999999987</v>
      </c>
      <c r="BH270" s="9">
        <f t="shared" si="247"/>
        <v>4</v>
      </c>
      <c r="BI270" s="9">
        <f t="shared" si="248"/>
        <v>5.5</v>
      </c>
      <c r="BJ270" s="9">
        <f t="shared" si="249"/>
        <v>6.75</v>
      </c>
    </row>
    <row r="271" spans="1:62" x14ac:dyDescent="0.2">
      <c r="A271" s="9">
        <f>data!M272-data!M271</f>
        <v>-0.60069999999998913</v>
      </c>
      <c r="B271" s="9">
        <f>data!C272-data!C271</f>
        <v>0.15999999999999659</v>
      </c>
      <c r="C271" s="9">
        <f>data!D272-data!D271</f>
        <v>-0.41750000000000043</v>
      </c>
      <c r="D271" s="10">
        <f>data!B272-data!B271</f>
        <v>0.40749999999999975</v>
      </c>
      <c r="E271" s="9">
        <f>data!E271-data!G271</f>
        <v>2.3646000000000003</v>
      </c>
      <c r="F271" s="9">
        <f>(data!E271-data!F271)-(data!G271-data!H271)</f>
        <v>1.6246000000000003</v>
      </c>
      <c r="G271" s="9">
        <f t="shared" si="200"/>
        <v>-1.2999999999999901E-2</v>
      </c>
      <c r="H271" s="9">
        <f t="shared" si="201"/>
        <v>-7.0600000000000218E-2</v>
      </c>
      <c r="I271" s="9">
        <f>IF(data!M272&gt; 111.81,1,0)</f>
        <v>0</v>
      </c>
      <c r="J271" s="9">
        <f t="shared" si="202"/>
        <v>1</v>
      </c>
      <c r="K271" s="9">
        <f t="shared" si="203"/>
        <v>0</v>
      </c>
      <c r="L271" s="9">
        <f t="shared" si="204"/>
        <v>-0.60069999999998913</v>
      </c>
      <c r="M271" s="9">
        <f>data!J271</f>
        <v>-19</v>
      </c>
      <c r="N271" s="9">
        <f>data!I271</f>
        <v>-30.75</v>
      </c>
      <c r="O271" s="9">
        <f>data!L271</f>
        <v>-31.13</v>
      </c>
      <c r="P271" s="9">
        <f>data!K271</f>
        <v>-25.63</v>
      </c>
      <c r="Q271" s="9">
        <f>data!R271</f>
        <v>-21.13</v>
      </c>
      <c r="R271" s="9">
        <f t="shared" si="205"/>
        <v>-0.64999999999999858</v>
      </c>
      <c r="S271" s="9">
        <f t="shared" si="206"/>
        <v>-1.6999999999999993</v>
      </c>
      <c r="T271" s="9">
        <f t="shared" si="207"/>
        <v>1.1000000000000014</v>
      </c>
      <c r="U271" s="9">
        <f t="shared" si="208"/>
        <v>1</v>
      </c>
      <c r="V271" s="9">
        <f t="shared" si="209"/>
        <v>-0.69999999999999929</v>
      </c>
      <c r="W271" s="9">
        <f t="shared" si="210"/>
        <v>-1.6000000000000014</v>
      </c>
      <c r="X271" s="9">
        <f t="shared" si="211"/>
        <v>-2.4250000000000007</v>
      </c>
      <c r="Y271" s="9">
        <f t="shared" si="212"/>
        <v>-5.8999999999999986</v>
      </c>
      <c r="Z271" s="9">
        <f t="shared" si="213"/>
        <v>-17</v>
      </c>
      <c r="AA271" s="9">
        <f t="shared" si="214"/>
        <v>0.37000000000000099</v>
      </c>
      <c r="AB271" s="9">
        <f t="shared" si="215"/>
        <v>2.875</v>
      </c>
      <c r="AC271" s="9">
        <f t="shared" si="216"/>
        <v>5.3099999999999987</v>
      </c>
      <c r="AD271" s="9">
        <f t="shared" si="217"/>
        <v>4.25</v>
      </c>
      <c r="AE271" s="9">
        <f t="shared" si="218"/>
        <v>4.620000000000001</v>
      </c>
      <c r="AF271" s="9">
        <f t="shared" si="219"/>
        <v>2.25</v>
      </c>
      <c r="AG271" s="9">
        <f t="shared" si="220"/>
        <v>2.75</v>
      </c>
      <c r="AH271" s="9">
        <f t="shared" si="221"/>
        <v>1.375</v>
      </c>
      <c r="AI271" s="9">
        <f t="shared" si="222"/>
        <v>-5.625</v>
      </c>
      <c r="AJ271" s="9">
        <f t="shared" si="223"/>
        <v>0.62999999999999901</v>
      </c>
      <c r="AK271" s="9">
        <f t="shared" si="224"/>
        <v>3.004999999999999</v>
      </c>
      <c r="AL271" s="9">
        <f t="shared" si="225"/>
        <v>5.8550000000000004</v>
      </c>
      <c r="AM271" s="9">
        <f t="shared" si="226"/>
        <v>4.8299999999999983</v>
      </c>
      <c r="AN271" s="9">
        <f t="shared" si="227"/>
        <v>4.875</v>
      </c>
      <c r="AO271" s="9">
        <f t="shared" si="228"/>
        <v>4.004999999999999</v>
      </c>
      <c r="AP271" s="9">
        <f t="shared" si="229"/>
        <v>4.629999999999999</v>
      </c>
      <c r="AQ271" s="9">
        <f t="shared" si="230"/>
        <v>4.004999999999999</v>
      </c>
      <c r="AR271" s="9">
        <f t="shared" si="231"/>
        <v>-3.620000000000001</v>
      </c>
      <c r="AS271" s="9">
        <f t="shared" si="232"/>
        <v>0.62999999999999901</v>
      </c>
      <c r="AT271" s="9">
        <f t="shared" si="233"/>
        <v>2.504999999999999</v>
      </c>
      <c r="AU271" s="9">
        <f t="shared" si="234"/>
        <v>5.0649999999999977</v>
      </c>
      <c r="AV271" s="9">
        <f t="shared" si="235"/>
        <v>4.629999999999999</v>
      </c>
      <c r="AW271" s="9">
        <f t="shared" si="236"/>
        <v>4.4399999999999977</v>
      </c>
      <c r="AX271" s="9">
        <f t="shared" si="237"/>
        <v>3.629999999999999</v>
      </c>
      <c r="AY271" s="9">
        <f t="shared" si="238"/>
        <v>5.1899999999999977</v>
      </c>
      <c r="AZ271" s="9">
        <f t="shared" si="239"/>
        <v>5.879999999999999</v>
      </c>
      <c r="BA271" s="9">
        <f t="shared" si="240"/>
        <v>-1.3100000000000023</v>
      </c>
      <c r="BB271" s="9">
        <f t="shared" si="241"/>
        <v>0.25</v>
      </c>
      <c r="BC271" s="9">
        <f t="shared" si="242"/>
        <v>2.2300000000000004</v>
      </c>
      <c r="BD271" s="9">
        <f t="shared" si="243"/>
        <v>4.3149999999999977</v>
      </c>
      <c r="BE271" s="9">
        <f t="shared" si="244"/>
        <v>4.129999999999999</v>
      </c>
      <c r="BF271" s="9">
        <f t="shared" si="245"/>
        <v>4.0649999999999977</v>
      </c>
      <c r="BG271" s="9">
        <f t="shared" si="246"/>
        <v>3.379999999999999</v>
      </c>
      <c r="BH271" s="9">
        <f t="shared" si="247"/>
        <v>4.879999999999999</v>
      </c>
      <c r="BI271" s="9">
        <f t="shared" si="248"/>
        <v>6.129999999999999</v>
      </c>
      <c r="BJ271" s="9">
        <f t="shared" si="249"/>
        <v>-0.62000000000000099</v>
      </c>
    </row>
    <row r="272" spans="1:62" x14ac:dyDescent="0.2">
      <c r="A272" s="9">
        <f>data!M273-data!M272</f>
        <v>0.379099999999994</v>
      </c>
      <c r="B272" s="9">
        <f>data!C273-data!C272</f>
        <v>-0.60999999999999943</v>
      </c>
      <c r="C272" s="9">
        <f>data!D273-data!D272</f>
        <v>-0.90750000000000064</v>
      </c>
      <c r="D272" s="10">
        <f>data!B273-data!B272</f>
        <v>4.0000000000000036E-2</v>
      </c>
      <c r="E272" s="9">
        <f>data!E272-data!G272</f>
        <v>2.3516000000000004</v>
      </c>
      <c r="F272" s="9">
        <f>(data!E272-data!F272)-(data!G272-data!H272)</f>
        <v>1.554</v>
      </c>
      <c r="G272" s="9">
        <f t="shared" si="200"/>
        <v>-3.2400000000000428E-2</v>
      </c>
      <c r="H272" s="9">
        <f t="shared" si="201"/>
        <v>-7.3800000000000088E-2</v>
      </c>
      <c r="I272" s="9">
        <f>IF(data!M273&gt; 111.81,1,0)</f>
        <v>0</v>
      </c>
      <c r="J272" s="9">
        <f t="shared" si="202"/>
        <v>1</v>
      </c>
      <c r="K272" s="9">
        <f t="shared" si="203"/>
        <v>0</v>
      </c>
      <c r="L272" s="9">
        <f t="shared" si="204"/>
        <v>0.379099999999994</v>
      </c>
      <c r="M272" s="9">
        <f>data!J272</f>
        <v>-19.649999999999999</v>
      </c>
      <c r="N272" s="9">
        <f>data!I272</f>
        <v>-30.38</v>
      </c>
      <c r="O272" s="9">
        <f>data!L272</f>
        <v>-30.5</v>
      </c>
      <c r="P272" s="9">
        <f>data!K272</f>
        <v>-25</v>
      </c>
      <c r="Q272" s="9">
        <f>data!R272</f>
        <v>-20.88</v>
      </c>
      <c r="R272" s="9">
        <f t="shared" si="205"/>
        <v>-1.0500000000000007</v>
      </c>
      <c r="S272" s="9">
        <f t="shared" si="206"/>
        <v>1.75</v>
      </c>
      <c r="T272" s="9">
        <f t="shared" si="207"/>
        <v>1.6499999999999986</v>
      </c>
      <c r="U272" s="9">
        <f t="shared" si="208"/>
        <v>-5.0000000000000711E-2</v>
      </c>
      <c r="V272" s="9">
        <f t="shared" si="209"/>
        <v>-0.95000000000000284</v>
      </c>
      <c r="W272" s="9">
        <f t="shared" si="210"/>
        <v>-1.7750000000000021</v>
      </c>
      <c r="X272" s="9">
        <f t="shared" si="211"/>
        <v>-5.25</v>
      </c>
      <c r="Y272" s="9">
        <f t="shared" si="212"/>
        <v>-16.350000000000001</v>
      </c>
      <c r="Z272" s="9">
        <f t="shared" si="213"/>
        <v>-6.9500000000000028</v>
      </c>
      <c r="AA272" s="9">
        <f t="shared" si="214"/>
        <v>2.504999999999999</v>
      </c>
      <c r="AB272" s="9">
        <f t="shared" si="215"/>
        <v>4.9399999999999977</v>
      </c>
      <c r="AC272" s="9">
        <f t="shared" si="216"/>
        <v>3.879999999999999</v>
      </c>
      <c r="AD272" s="9">
        <f t="shared" si="217"/>
        <v>4.25</v>
      </c>
      <c r="AE272" s="9">
        <f t="shared" si="218"/>
        <v>1.879999999999999</v>
      </c>
      <c r="AF272" s="9">
        <f t="shared" si="219"/>
        <v>2.379999999999999</v>
      </c>
      <c r="AG272" s="9">
        <f t="shared" si="220"/>
        <v>1.004999999999999</v>
      </c>
      <c r="AH272" s="9">
        <f t="shared" si="221"/>
        <v>-5.995000000000001</v>
      </c>
      <c r="AI272" s="9">
        <f t="shared" si="222"/>
        <v>-3.745000000000001</v>
      </c>
      <c r="AJ272" s="9">
        <f t="shared" si="223"/>
        <v>2.375</v>
      </c>
      <c r="AK272" s="9">
        <f t="shared" si="224"/>
        <v>5.2250000000000014</v>
      </c>
      <c r="AL272" s="9">
        <f t="shared" si="225"/>
        <v>4.1999999999999993</v>
      </c>
      <c r="AM272" s="9">
        <f t="shared" si="226"/>
        <v>4.245000000000001</v>
      </c>
      <c r="AN272" s="9">
        <f t="shared" si="227"/>
        <v>3.375</v>
      </c>
      <c r="AO272" s="9">
        <f t="shared" si="228"/>
        <v>4</v>
      </c>
      <c r="AP272" s="9">
        <f t="shared" si="229"/>
        <v>3.375</v>
      </c>
      <c r="AQ272" s="9">
        <f t="shared" si="230"/>
        <v>-4.25</v>
      </c>
      <c r="AR272" s="9">
        <f t="shared" si="231"/>
        <v>0</v>
      </c>
      <c r="AS272" s="9">
        <f t="shared" si="232"/>
        <v>1.875</v>
      </c>
      <c r="AT272" s="9">
        <f t="shared" si="233"/>
        <v>4.4349999999999987</v>
      </c>
      <c r="AU272" s="9">
        <f t="shared" si="234"/>
        <v>4</v>
      </c>
      <c r="AV272" s="9">
        <f t="shared" si="235"/>
        <v>3.8099999999999987</v>
      </c>
      <c r="AW272" s="9">
        <f t="shared" si="236"/>
        <v>3</v>
      </c>
      <c r="AX272" s="9">
        <f t="shared" si="237"/>
        <v>4.5599999999999987</v>
      </c>
      <c r="AY272" s="9">
        <f t="shared" si="238"/>
        <v>5.25</v>
      </c>
      <c r="AZ272" s="9">
        <f t="shared" si="239"/>
        <v>-1.9400000000000013</v>
      </c>
      <c r="BA272" s="9">
        <f t="shared" si="240"/>
        <v>1.625</v>
      </c>
      <c r="BB272" s="9">
        <f t="shared" si="241"/>
        <v>1.9800000000000004</v>
      </c>
      <c r="BC272" s="9">
        <f t="shared" si="242"/>
        <v>4.0649999999999977</v>
      </c>
      <c r="BD272" s="9">
        <f t="shared" si="243"/>
        <v>3.879999999999999</v>
      </c>
      <c r="BE272" s="9">
        <f t="shared" si="244"/>
        <v>3.8149999999999977</v>
      </c>
      <c r="BF272" s="9">
        <f t="shared" si="245"/>
        <v>3.129999999999999</v>
      </c>
      <c r="BG272" s="9">
        <f t="shared" si="246"/>
        <v>4.629999999999999</v>
      </c>
      <c r="BH272" s="9">
        <f t="shared" si="247"/>
        <v>5.879999999999999</v>
      </c>
      <c r="BI272" s="9">
        <f t="shared" si="248"/>
        <v>-0.87000000000000099</v>
      </c>
      <c r="BJ272" s="9">
        <f t="shared" si="249"/>
        <v>2.754999999999999</v>
      </c>
    </row>
    <row r="273" spans="1:62" x14ac:dyDescent="0.2">
      <c r="A273" s="9">
        <f>data!M274-data!M273</f>
        <v>0.64659999999999229</v>
      </c>
      <c r="B273" s="9">
        <f>data!C274-data!C273</f>
        <v>0.80000000000000071</v>
      </c>
      <c r="C273" s="9">
        <f>data!D274-data!D273</f>
        <v>0.66999999999999993</v>
      </c>
      <c r="D273" s="10">
        <f>data!B274-data!B273</f>
        <v>-0.34499999999999975</v>
      </c>
      <c r="E273" s="9">
        <f>data!E273-data!G273</f>
        <v>2.3191999999999999</v>
      </c>
      <c r="F273" s="9">
        <f>(data!E273-data!F273)-(data!G273-data!H273)</f>
        <v>1.4802</v>
      </c>
      <c r="G273" s="9">
        <f t="shared" si="200"/>
        <v>0.14260000000000028</v>
      </c>
      <c r="H273" s="9">
        <f t="shared" si="201"/>
        <v>0.10999999999999988</v>
      </c>
      <c r="I273" s="9">
        <f>IF(data!M274&gt; 111.81,1,0)</f>
        <v>0</v>
      </c>
      <c r="J273" s="9">
        <f t="shared" si="202"/>
        <v>1</v>
      </c>
      <c r="K273" s="9">
        <f t="shared" si="203"/>
        <v>0</v>
      </c>
      <c r="L273" s="9">
        <f t="shared" si="204"/>
        <v>0.64659999999999229</v>
      </c>
      <c r="M273" s="9">
        <f>data!J273</f>
        <v>-20.7</v>
      </c>
      <c r="N273" s="9">
        <f>data!I273</f>
        <v>-27.875</v>
      </c>
      <c r="O273" s="9">
        <f>data!L273</f>
        <v>-28.125</v>
      </c>
      <c r="P273" s="9">
        <f>data!K273</f>
        <v>-23.125</v>
      </c>
      <c r="Q273" s="9">
        <f>data!R273</f>
        <v>-18.899999999999999</v>
      </c>
      <c r="R273" s="9">
        <f t="shared" si="205"/>
        <v>2.8000000000000007</v>
      </c>
      <c r="S273" s="9">
        <f t="shared" si="206"/>
        <v>2.6999999999999993</v>
      </c>
      <c r="T273" s="9">
        <f t="shared" si="207"/>
        <v>1</v>
      </c>
      <c r="U273" s="9">
        <f t="shared" si="208"/>
        <v>9.9999999999997868E-2</v>
      </c>
      <c r="V273" s="9">
        <f t="shared" si="209"/>
        <v>-0.72500000000000142</v>
      </c>
      <c r="W273" s="9">
        <f t="shared" si="210"/>
        <v>-4.1999999999999993</v>
      </c>
      <c r="X273" s="9">
        <f t="shared" si="211"/>
        <v>-15.3</v>
      </c>
      <c r="Y273" s="9">
        <f t="shared" si="212"/>
        <v>-5.9000000000000021</v>
      </c>
      <c r="Z273" s="9">
        <f t="shared" si="213"/>
        <v>-10.3</v>
      </c>
      <c r="AA273" s="9">
        <f t="shared" si="214"/>
        <v>2.4349999999999987</v>
      </c>
      <c r="AB273" s="9">
        <f t="shared" si="215"/>
        <v>1.375</v>
      </c>
      <c r="AC273" s="9">
        <f t="shared" si="216"/>
        <v>1.745000000000001</v>
      </c>
      <c r="AD273" s="9">
        <f t="shared" si="217"/>
        <v>-0.625</v>
      </c>
      <c r="AE273" s="9">
        <f t="shared" si="218"/>
        <v>-0.125</v>
      </c>
      <c r="AF273" s="9">
        <f t="shared" si="219"/>
        <v>-1.5</v>
      </c>
      <c r="AG273" s="9">
        <f t="shared" si="220"/>
        <v>-8.5</v>
      </c>
      <c r="AH273" s="9">
        <f t="shared" si="221"/>
        <v>-6.25</v>
      </c>
      <c r="AI273" s="9">
        <f t="shared" si="222"/>
        <v>-9.125</v>
      </c>
      <c r="AJ273" s="9">
        <f t="shared" si="223"/>
        <v>2.8500000000000014</v>
      </c>
      <c r="AK273" s="9">
        <f t="shared" si="224"/>
        <v>1.8249999999999993</v>
      </c>
      <c r="AL273" s="9">
        <f t="shared" si="225"/>
        <v>1.870000000000001</v>
      </c>
      <c r="AM273" s="9">
        <f t="shared" si="226"/>
        <v>1</v>
      </c>
      <c r="AN273" s="9">
        <f t="shared" si="227"/>
        <v>1.625</v>
      </c>
      <c r="AO273" s="9">
        <f t="shared" si="228"/>
        <v>1</v>
      </c>
      <c r="AP273" s="9">
        <f t="shared" si="229"/>
        <v>-6.625</v>
      </c>
      <c r="AQ273" s="9">
        <f t="shared" si="230"/>
        <v>-2.375</v>
      </c>
      <c r="AR273" s="9">
        <f t="shared" si="231"/>
        <v>-5.6749999999999972</v>
      </c>
      <c r="AS273" s="9">
        <f t="shared" si="232"/>
        <v>2.5599999999999987</v>
      </c>
      <c r="AT273" s="9">
        <f t="shared" si="233"/>
        <v>2.125</v>
      </c>
      <c r="AU273" s="9">
        <f t="shared" si="234"/>
        <v>1.9349999999999987</v>
      </c>
      <c r="AV273" s="9">
        <f t="shared" si="235"/>
        <v>1.125</v>
      </c>
      <c r="AW273" s="9">
        <f t="shared" si="236"/>
        <v>2.6849999999999987</v>
      </c>
      <c r="AX273" s="9">
        <f t="shared" si="237"/>
        <v>3.375</v>
      </c>
      <c r="AY273" s="9">
        <f t="shared" si="238"/>
        <v>-3.8150000000000013</v>
      </c>
      <c r="AZ273" s="9">
        <f t="shared" si="239"/>
        <v>-0.25</v>
      </c>
      <c r="BA273" s="9">
        <f t="shared" si="240"/>
        <v>-0.17500000000000071</v>
      </c>
      <c r="BB273" s="9">
        <f t="shared" si="241"/>
        <v>2.0849999999999973</v>
      </c>
      <c r="BC273" s="9">
        <f t="shared" si="242"/>
        <v>1.8999999999999986</v>
      </c>
      <c r="BD273" s="9">
        <f t="shared" si="243"/>
        <v>1.8349999999999973</v>
      </c>
      <c r="BE273" s="9">
        <f t="shared" si="244"/>
        <v>1.1499999999999986</v>
      </c>
      <c r="BF273" s="9">
        <f t="shared" si="245"/>
        <v>2.6499999999999986</v>
      </c>
      <c r="BG273" s="9">
        <f t="shared" si="246"/>
        <v>3.8999999999999986</v>
      </c>
      <c r="BH273" s="9">
        <f t="shared" si="247"/>
        <v>-2.8500000000000014</v>
      </c>
      <c r="BI273" s="9">
        <f t="shared" si="248"/>
        <v>0.77499999999999858</v>
      </c>
      <c r="BJ273" s="9">
        <f t="shared" si="249"/>
        <v>1.8999999999999986</v>
      </c>
    </row>
    <row r="274" spans="1:62" x14ac:dyDescent="0.2">
      <c r="A274" s="9">
        <f>data!M275-data!M274</f>
        <v>-0.78159999999999741</v>
      </c>
      <c r="B274" s="9">
        <f>data!C275-data!C274</f>
        <v>-0.30000000000000071</v>
      </c>
      <c r="C274" s="9">
        <f>data!D275-data!D274</f>
        <v>0.27000000000000135</v>
      </c>
      <c r="D274" s="10">
        <f>data!B275-data!B274</f>
        <v>8.7499999999999911E-2</v>
      </c>
      <c r="E274" s="9">
        <f>data!E274-data!G274</f>
        <v>2.4618000000000002</v>
      </c>
      <c r="F274" s="9">
        <f>(data!E274-data!F274)-(data!G274-data!H274)</f>
        <v>1.5901999999999998</v>
      </c>
      <c r="G274" s="9">
        <f t="shared" si="200"/>
        <v>0.11879999999999935</v>
      </c>
      <c r="H274" s="9">
        <f t="shared" si="201"/>
        <v>6.1599999999999877E-2</v>
      </c>
      <c r="I274" s="9">
        <f>IF(data!M275&gt; 111.81,1,0)</f>
        <v>0</v>
      </c>
      <c r="J274" s="9">
        <f t="shared" si="202"/>
        <v>1</v>
      </c>
      <c r="K274" s="9">
        <f t="shared" si="203"/>
        <v>0</v>
      </c>
      <c r="L274" s="9">
        <f t="shared" si="204"/>
        <v>-0.78159999999999741</v>
      </c>
      <c r="M274" s="9">
        <f>data!J274</f>
        <v>-17.899999999999999</v>
      </c>
      <c r="N274" s="9">
        <f>data!I274</f>
        <v>-25.44</v>
      </c>
      <c r="O274" s="9">
        <f>data!L274</f>
        <v>-25.274999999999999</v>
      </c>
      <c r="P274" s="9">
        <f>data!K274</f>
        <v>-20.565000000000001</v>
      </c>
      <c r="Q274" s="9">
        <f>data!R274</f>
        <v>-16.815000000000001</v>
      </c>
      <c r="R274" s="9">
        <f t="shared" si="205"/>
        <v>-0.10000000000000142</v>
      </c>
      <c r="S274" s="9">
        <f t="shared" si="206"/>
        <v>-1.8000000000000007</v>
      </c>
      <c r="T274" s="9">
        <f t="shared" si="207"/>
        <v>-2.7000000000000028</v>
      </c>
      <c r="U274" s="9">
        <f t="shared" si="208"/>
        <v>-3.5250000000000021</v>
      </c>
      <c r="V274" s="9">
        <f t="shared" si="209"/>
        <v>-7</v>
      </c>
      <c r="W274" s="9">
        <f t="shared" si="210"/>
        <v>-18.100000000000001</v>
      </c>
      <c r="X274" s="9">
        <f t="shared" si="211"/>
        <v>-8.7000000000000028</v>
      </c>
      <c r="Y274" s="9">
        <f t="shared" si="212"/>
        <v>-13.100000000000001</v>
      </c>
      <c r="Z274" s="9">
        <f t="shared" si="213"/>
        <v>-14.700000000000003</v>
      </c>
      <c r="AA274" s="9">
        <f t="shared" si="214"/>
        <v>-1.0599999999999987</v>
      </c>
      <c r="AB274" s="9">
        <f t="shared" si="215"/>
        <v>-0.68999999999999773</v>
      </c>
      <c r="AC274" s="9">
        <f t="shared" si="216"/>
        <v>-3.0599999999999987</v>
      </c>
      <c r="AD274" s="9">
        <f t="shared" si="217"/>
        <v>-2.5599999999999987</v>
      </c>
      <c r="AE274" s="9">
        <f t="shared" si="218"/>
        <v>-3.9349999999999987</v>
      </c>
      <c r="AF274" s="9">
        <f t="shared" si="219"/>
        <v>-10.934999999999999</v>
      </c>
      <c r="AG274" s="9">
        <f t="shared" si="220"/>
        <v>-8.6849999999999987</v>
      </c>
      <c r="AH274" s="9">
        <f t="shared" si="221"/>
        <v>-11.559999999999999</v>
      </c>
      <c r="AI274" s="9">
        <f t="shared" si="222"/>
        <v>-13.059999999999999</v>
      </c>
      <c r="AJ274" s="9">
        <f t="shared" si="223"/>
        <v>-1.0250000000000021</v>
      </c>
      <c r="AK274" s="9">
        <f t="shared" si="224"/>
        <v>-0.98000000000000043</v>
      </c>
      <c r="AL274" s="9">
        <f t="shared" si="225"/>
        <v>-1.8500000000000014</v>
      </c>
      <c r="AM274" s="9">
        <f t="shared" si="226"/>
        <v>-1.2250000000000014</v>
      </c>
      <c r="AN274" s="9">
        <f t="shared" si="227"/>
        <v>-1.8500000000000014</v>
      </c>
      <c r="AO274" s="9">
        <f t="shared" si="228"/>
        <v>-9.4750000000000014</v>
      </c>
      <c r="AP274" s="9">
        <f t="shared" si="229"/>
        <v>-5.2250000000000014</v>
      </c>
      <c r="AQ274" s="9">
        <f t="shared" si="230"/>
        <v>-8.5249999999999986</v>
      </c>
      <c r="AR274" s="9">
        <f t="shared" si="231"/>
        <v>-9.2250000000000014</v>
      </c>
      <c r="AS274" s="9">
        <f t="shared" si="232"/>
        <v>-0.43499999999999872</v>
      </c>
      <c r="AT274" s="9">
        <f t="shared" si="233"/>
        <v>-0.625</v>
      </c>
      <c r="AU274" s="9">
        <f t="shared" si="234"/>
        <v>-1.4349999999999987</v>
      </c>
      <c r="AV274" s="9">
        <f t="shared" si="235"/>
        <v>0.125</v>
      </c>
      <c r="AW274" s="9">
        <f t="shared" si="236"/>
        <v>0.81500000000000128</v>
      </c>
      <c r="AX274" s="9">
        <f t="shared" si="237"/>
        <v>-6.375</v>
      </c>
      <c r="AY274" s="9">
        <f t="shared" si="238"/>
        <v>-2.8099999999999987</v>
      </c>
      <c r="AZ274" s="9">
        <f t="shared" si="239"/>
        <v>-2.7349999999999994</v>
      </c>
      <c r="BA274" s="9">
        <f t="shared" si="240"/>
        <v>1.0650000000000013</v>
      </c>
      <c r="BB274" s="9">
        <f t="shared" si="241"/>
        <v>-0.18499999999999872</v>
      </c>
      <c r="BC274" s="9">
        <f t="shared" si="242"/>
        <v>-0.25</v>
      </c>
      <c r="BD274" s="9">
        <f t="shared" si="243"/>
        <v>-0.93499999999999872</v>
      </c>
      <c r="BE274" s="9">
        <f t="shared" si="244"/>
        <v>0.56500000000000128</v>
      </c>
      <c r="BF274" s="9">
        <f t="shared" si="245"/>
        <v>1.8150000000000013</v>
      </c>
      <c r="BG274" s="9">
        <f t="shared" si="246"/>
        <v>-4.9349999999999987</v>
      </c>
      <c r="BH274" s="9">
        <f t="shared" si="247"/>
        <v>-1.3099999999999987</v>
      </c>
      <c r="BI274" s="9">
        <f t="shared" si="248"/>
        <v>-0.18499999999999872</v>
      </c>
      <c r="BJ274" s="9">
        <f t="shared" si="249"/>
        <v>4.3150000000000013</v>
      </c>
    </row>
    <row r="275" spans="1:62" x14ac:dyDescent="0.2">
      <c r="A275" s="9">
        <f>data!M276-data!M275</f>
        <v>-0.42849999999999966</v>
      </c>
      <c r="B275" s="9">
        <f>data!C276-data!C275</f>
        <v>-1.3299999999999983</v>
      </c>
      <c r="C275" s="9">
        <f>data!D276-data!D275</f>
        <v>-5.0000000000000711E-2</v>
      </c>
      <c r="D275" s="10">
        <f>data!B276-data!B275</f>
        <v>0.19249999999999989</v>
      </c>
      <c r="E275" s="9">
        <f>data!E275-data!G275</f>
        <v>2.5805999999999996</v>
      </c>
      <c r="F275" s="9">
        <f>(data!E275-data!F275)-(data!G275-data!H275)</f>
        <v>1.6517999999999997</v>
      </c>
      <c r="G275" s="9">
        <f t="shared" si="200"/>
        <v>-8.8099999999999845E-2</v>
      </c>
      <c r="H275" s="9">
        <f t="shared" si="201"/>
        <v>-5.0599999999999534E-2</v>
      </c>
      <c r="I275" s="9">
        <f>IF(data!M276&gt; 111.81,1,0)</f>
        <v>0</v>
      </c>
      <c r="J275" s="9">
        <f t="shared" si="202"/>
        <v>1</v>
      </c>
      <c r="K275" s="9">
        <f t="shared" si="203"/>
        <v>0</v>
      </c>
      <c r="L275" s="9">
        <f t="shared" si="204"/>
        <v>-0.42849999999999966</v>
      </c>
      <c r="M275" s="9">
        <f>data!J275</f>
        <v>-18</v>
      </c>
      <c r="N275" s="9">
        <f>data!I275</f>
        <v>-26.5</v>
      </c>
      <c r="O275" s="9">
        <f>data!L275</f>
        <v>-26.3</v>
      </c>
      <c r="P275" s="9">
        <f>data!K275</f>
        <v>-21</v>
      </c>
      <c r="Q275" s="9">
        <f>data!R275</f>
        <v>-17</v>
      </c>
      <c r="R275" s="9">
        <f t="shared" si="205"/>
        <v>-1.6999999999999993</v>
      </c>
      <c r="S275" s="9">
        <f t="shared" si="206"/>
        <v>-2.6000000000000014</v>
      </c>
      <c r="T275" s="9">
        <f t="shared" si="207"/>
        <v>-3.4250000000000007</v>
      </c>
      <c r="U275" s="9">
        <f t="shared" si="208"/>
        <v>-6.8999999999999986</v>
      </c>
      <c r="V275" s="9">
        <f t="shared" si="209"/>
        <v>-18</v>
      </c>
      <c r="W275" s="9">
        <f t="shared" si="210"/>
        <v>-8.6000000000000014</v>
      </c>
      <c r="X275" s="9">
        <f t="shared" si="211"/>
        <v>-13</v>
      </c>
      <c r="Y275" s="9">
        <f t="shared" si="212"/>
        <v>-14.600000000000001</v>
      </c>
      <c r="Z275" s="9">
        <f t="shared" si="213"/>
        <v>-15.100000000000001</v>
      </c>
      <c r="AA275" s="9">
        <f t="shared" si="214"/>
        <v>0.37000000000000099</v>
      </c>
      <c r="AB275" s="9">
        <f t="shared" si="215"/>
        <v>-2</v>
      </c>
      <c r="AC275" s="9">
        <f t="shared" si="216"/>
        <v>-1.5</v>
      </c>
      <c r="AD275" s="9">
        <f t="shared" si="217"/>
        <v>-2.875</v>
      </c>
      <c r="AE275" s="9">
        <f t="shared" si="218"/>
        <v>-9.875</v>
      </c>
      <c r="AF275" s="9">
        <f t="shared" si="219"/>
        <v>-7.625</v>
      </c>
      <c r="AG275" s="9">
        <f t="shared" si="220"/>
        <v>-10.5</v>
      </c>
      <c r="AH275" s="9">
        <f t="shared" si="221"/>
        <v>-12</v>
      </c>
      <c r="AI275" s="9">
        <f t="shared" si="222"/>
        <v>-13.75</v>
      </c>
      <c r="AJ275" s="9">
        <f t="shared" si="223"/>
        <v>4.5000000000001705E-2</v>
      </c>
      <c r="AK275" s="9">
        <f t="shared" si="224"/>
        <v>-0.82499999999999929</v>
      </c>
      <c r="AL275" s="9">
        <f t="shared" si="225"/>
        <v>-0.19999999999999929</v>
      </c>
      <c r="AM275" s="9">
        <f t="shared" si="226"/>
        <v>-0.82499999999999929</v>
      </c>
      <c r="AN275" s="9">
        <f t="shared" si="227"/>
        <v>-8.4499999999999993</v>
      </c>
      <c r="AO275" s="9">
        <f t="shared" si="228"/>
        <v>-4.1999999999999993</v>
      </c>
      <c r="AP275" s="9">
        <f t="shared" si="229"/>
        <v>-7.4999999999999964</v>
      </c>
      <c r="AQ275" s="9">
        <f t="shared" si="230"/>
        <v>-8.1999999999999993</v>
      </c>
      <c r="AR275" s="9">
        <f t="shared" si="231"/>
        <v>-10.080000000000002</v>
      </c>
      <c r="AS275" s="9">
        <f t="shared" si="232"/>
        <v>-0.19000000000000128</v>
      </c>
      <c r="AT275" s="9">
        <f t="shared" si="233"/>
        <v>-1</v>
      </c>
      <c r="AU275" s="9">
        <f t="shared" si="234"/>
        <v>0.55999999999999872</v>
      </c>
      <c r="AV275" s="9">
        <f t="shared" si="235"/>
        <v>1.25</v>
      </c>
      <c r="AW275" s="9">
        <f t="shared" si="236"/>
        <v>-5.9400000000000013</v>
      </c>
      <c r="AX275" s="9">
        <f t="shared" si="237"/>
        <v>-2.375</v>
      </c>
      <c r="AY275" s="9">
        <f t="shared" si="238"/>
        <v>-2.3000000000000007</v>
      </c>
      <c r="AZ275" s="9">
        <f t="shared" si="239"/>
        <v>1.5</v>
      </c>
      <c r="BA275" s="9">
        <f t="shared" si="240"/>
        <v>-0.75</v>
      </c>
      <c r="BB275" s="9">
        <f t="shared" si="241"/>
        <v>-6.5000000000001279E-2</v>
      </c>
      <c r="BC275" s="9">
        <f t="shared" si="242"/>
        <v>-0.75</v>
      </c>
      <c r="BD275" s="9">
        <f t="shared" si="243"/>
        <v>0.75</v>
      </c>
      <c r="BE275" s="9">
        <f t="shared" si="244"/>
        <v>2</v>
      </c>
      <c r="BF275" s="9">
        <f t="shared" si="245"/>
        <v>-4.75</v>
      </c>
      <c r="BG275" s="9">
        <f t="shared" si="246"/>
        <v>-1.125</v>
      </c>
      <c r="BH275" s="9">
        <f t="shared" si="247"/>
        <v>0</v>
      </c>
      <c r="BI275" s="9">
        <f t="shared" si="248"/>
        <v>4.5</v>
      </c>
      <c r="BJ275" s="9">
        <f t="shared" si="249"/>
        <v>2.25</v>
      </c>
    </row>
    <row r="276" spans="1:62" x14ac:dyDescent="0.2">
      <c r="A276" s="9">
        <f>data!M277-data!M276</f>
        <v>4.8100000000005139E-2</v>
      </c>
      <c r="B276" s="9">
        <f>data!C277-data!C276</f>
        <v>2.2199999999999989</v>
      </c>
      <c r="C276" s="9">
        <f>data!D277-data!D276</f>
        <v>-0.42999999999999972</v>
      </c>
      <c r="D276" s="10">
        <f>data!B277-data!B276</f>
        <v>-0.16999999999999993</v>
      </c>
      <c r="E276" s="9">
        <f>data!E276-data!G276</f>
        <v>2.4924999999999997</v>
      </c>
      <c r="F276" s="9">
        <f>(data!E276-data!F276)-(data!G276-data!H276)</f>
        <v>1.6012000000000002</v>
      </c>
      <c r="G276" s="9">
        <f t="shared" si="200"/>
        <v>-7.989999999999986E-2</v>
      </c>
      <c r="H276" s="9">
        <f t="shared" si="201"/>
        <v>3.0099999999999794E-2</v>
      </c>
      <c r="I276" s="9">
        <f>IF(data!M277&gt; 111.81,1,0)</f>
        <v>0</v>
      </c>
      <c r="J276" s="9">
        <f t="shared" si="202"/>
        <v>1</v>
      </c>
      <c r="K276" s="9">
        <f t="shared" si="203"/>
        <v>0</v>
      </c>
      <c r="L276" s="9">
        <f t="shared" si="204"/>
        <v>4.8100000000005139E-2</v>
      </c>
      <c r="M276" s="9">
        <f>data!J276</f>
        <v>-19.7</v>
      </c>
      <c r="N276" s="9">
        <f>data!I276</f>
        <v>-26.13</v>
      </c>
      <c r="O276" s="9">
        <f>data!L276</f>
        <v>-26.254999999999999</v>
      </c>
      <c r="P276" s="9">
        <f>data!K276</f>
        <v>-21.19</v>
      </c>
      <c r="Q276" s="9">
        <f>data!R276</f>
        <v>-17.065000000000001</v>
      </c>
      <c r="R276" s="9">
        <f t="shared" si="205"/>
        <v>-0.90000000000000213</v>
      </c>
      <c r="S276" s="9">
        <f t="shared" si="206"/>
        <v>-1.7250000000000014</v>
      </c>
      <c r="T276" s="9">
        <f t="shared" si="207"/>
        <v>-5.1999999999999993</v>
      </c>
      <c r="U276" s="9">
        <f t="shared" si="208"/>
        <v>-16.3</v>
      </c>
      <c r="V276" s="9">
        <f t="shared" si="209"/>
        <v>-6.9000000000000021</v>
      </c>
      <c r="W276" s="9">
        <f t="shared" si="210"/>
        <v>-11.3</v>
      </c>
      <c r="X276" s="9">
        <f t="shared" si="211"/>
        <v>-12.900000000000002</v>
      </c>
      <c r="Y276" s="9">
        <f t="shared" si="212"/>
        <v>-13.400000000000002</v>
      </c>
      <c r="Z276" s="9">
        <f t="shared" si="213"/>
        <v>-11.100000000000001</v>
      </c>
      <c r="AA276" s="9">
        <f t="shared" si="214"/>
        <v>-2.370000000000001</v>
      </c>
      <c r="AB276" s="9">
        <f t="shared" si="215"/>
        <v>-1.870000000000001</v>
      </c>
      <c r="AC276" s="9">
        <f t="shared" si="216"/>
        <v>-3.245000000000001</v>
      </c>
      <c r="AD276" s="9">
        <f t="shared" si="217"/>
        <v>-10.245000000000001</v>
      </c>
      <c r="AE276" s="9">
        <f t="shared" si="218"/>
        <v>-7.995000000000001</v>
      </c>
      <c r="AF276" s="9">
        <f t="shared" si="219"/>
        <v>-10.870000000000001</v>
      </c>
      <c r="AG276" s="9">
        <f t="shared" si="220"/>
        <v>-12.370000000000001</v>
      </c>
      <c r="AH276" s="9">
        <f t="shared" si="221"/>
        <v>-14.120000000000001</v>
      </c>
      <c r="AI276" s="9">
        <f t="shared" si="222"/>
        <v>-13.250000000000004</v>
      </c>
      <c r="AJ276" s="9">
        <f t="shared" si="223"/>
        <v>-0.87000000000000099</v>
      </c>
      <c r="AK276" s="9">
        <f t="shared" si="224"/>
        <v>-0.24500000000000099</v>
      </c>
      <c r="AL276" s="9">
        <f t="shared" si="225"/>
        <v>-0.87000000000000099</v>
      </c>
      <c r="AM276" s="9">
        <f t="shared" si="226"/>
        <v>-8.495000000000001</v>
      </c>
      <c r="AN276" s="9">
        <f t="shared" si="227"/>
        <v>-4.245000000000001</v>
      </c>
      <c r="AO276" s="9">
        <f t="shared" si="228"/>
        <v>-7.5449999999999982</v>
      </c>
      <c r="AP276" s="9">
        <f t="shared" si="229"/>
        <v>-8.245000000000001</v>
      </c>
      <c r="AQ276" s="9">
        <f t="shared" si="230"/>
        <v>-10.125000000000004</v>
      </c>
      <c r="AR276" s="9">
        <f t="shared" si="231"/>
        <v>-9.1250000000000036</v>
      </c>
      <c r="AS276" s="9">
        <f t="shared" si="232"/>
        <v>-0.80999999999999872</v>
      </c>
      <c r="AT276" s="9">
        <f t="shared" si="233"/>
        <v>0.75</v>
      </c>
      <c r="AU276" s="9">
        <f t="shared" si="234"/>
        <v>1.4400000000000013</v>
      </c>
      <c r="AV276" s="9">
        <f t="shared" si="235"/>
        <v>-5.75</v>
      </c>
      <c r="AW276" s="9">
        <f t="shared" si="236"/>
        <v>-2.1849999999999987</v>
      </c>
      <c r="AX276" s="9">
        <f t="shared" si="237"/>
        <v>-2.1099999999999994</v>
      </c>
      <c r="AY276" s="9">
        <f t="shared" si="238"/>
        <v>1.6900000000000013</v>
      </c>
      <c r="AZ276" s="9">
        <f t="shared" si="239"/>
        <v>-0.55999999999999872</v>
      </c>
      <c r="BA276" s="9">
        <f t="shared" si="240"/>
        <v>1.0600000000000023</v>
      </c>
      <c r="BB276" s="9">
        <f t="shared" si="241"/>
        <v>-0.68499999999999872</v>
      </c>
      <c r="BC276" s="9">
        <f t="shared" si="242"/>
        <v>0.81500000000000128</v>
      </c>
      <c r="BD276" s="9">
        <f t="shared" si="243"/>
        <v>2.0650000000000013</v>
      </c>
      <c r="BE276" s="9">
        <f t="shared" si="244"/>
        <v>-4.6849999999999987</v>
      </c>
      <c r="BF276" s="9">
        <f t="shared" si="245"/>
        <v>-1.0599999999999987</v>
      </c>
      <c r="BG276" s="9">
        <f t="shared" si="246"/>
        <v>6.5000000000001279E-2</v>
      </c>
      <c r="BH276" s="9">
        <f t="shared" si="247"/>
        <v>4.5650000000000013</v>
      </c>
      <c r="BI276" s="9">
        <f t="shared" si="248"/>
        <v>2.3150000000000013</v>
      </c>
      <c r="BJ276" s="9">
        <f t="shared" si="249"/>
        <v>4.3150000000000013</v>
      </c>
    </row>
    <row r="277" spans="1:62" x14ac:dyDescent="0.2">
      <c r="A277" s="9">
        <f>data!M278-data!M277</f>
        <v>0.13689999999999714</v>
      </c>
      <c r="B277" s="9">
        <f>data!C278-data!C277</f>
        <v>-1.7399999999999984</v>
      </c>
      <c r="C277" s="9">
        <f>data!D278-data!D277</f>
        <v>-0.19999999999999929</v>
      </c>
      <c r="D277" s="10">
        <f>data!B278-data!B277</f>
        <v>-0.25</v>
      </c>
      <c r="E277" s="9">
        <f>data!E277-data!G277</f>
        <v>2.4125999999999999</v>
      </c>
      <c r="F277" s="9">
        <f>(data!E277-data!F277)-(data!G277-data!H277)</f>
        <v>1.6313</v>
      </c>
      <c r="G277" s="9">
        <f t="shared" si="200"/>
        <v>7.6600000000000446E-2</v>
      </c>
      <c r="H277" s="9">
        <f t="shared" si="201"/>
        <v>-4.2700000000000182E-2</v>
      </c>
      <c r="I277" s="9">
        <f>IF(data!M278&gt; 111.81,1,0)</f>
        <v>0</v>
      </c>
      <c r="J277" s="9">
        <f t="shared" si="202"/>
        <v>1</v>
      </c>
      <c r="K277" s="9">
        <f t="shared" si="203"/>
        <v>0</v>
      </c>
      <c r="L277" s="9">
        <f t="shared" si="204"/>
        <v>0.13689999999999714</v>
      </c>
      <c r="M277" s="9">
        <f>data!J277</f>
        <v>-20.6</v>
      </c>
      <c r="N277" s="9">
        <f>data!I277</f>
        <v>-28.5</v>
      </c>
      <c r="O277" s="9">
        <f>data!L277</f>
        <v>-27.125</v>
      </c>
      <c r="P277" s="9">
        <f>data!K277</f>
        <v>-22</v>
      </c>
      <c r="Q277" s="9">
        <f>data!R277</f>
        <v>-17.75</v>
      </c>
      <c r="R277" s="9">
        <f t="shared" si="205"/>
        <v>-0.82499999999999929</v>
      </c>
      <c r="S277" s="9">
        <f t="shared" si="206"/>
        <v>-4.2999999999999972</v>
      </c>
      <c r="T277" s="9">
        <f t="shared" si="207"/>
        <v>-15.399999999999999</v>
      </c>
      <c r="U277" s="9">
        <f t="shared" si="208"/>
        <v>-6</v>
      </c>
      <c r="V277" s="9">
        <f t="shared" si="209"/>
        <v>-10.399999999999999</v>
      </c>
      <c r="W277" s="9">
        <f t="shared" si="210"/>
        <v>-12</v>
      </c>
      <c r="X277" s="9">
        <f t="shared" si="211"/>
        <v>-12.5</v>
      </c>
      <c r="Y277" s="9">
        <f t="shared" si="212"/>
        <v>-10.199999999999999</v>
      </c>
      <c r="Z277" s="9">
        <f t="shared" si="213"/>
        <v>-10.649999999999999</v>
      </c>
      <c r="AA277" s="9">
        <f t="shared" si="214"/>
        <v>0.5</v>
      </c>
      <c r="AB277" s="9">
        <f t="shared" si="215"/>
        <v>-0.875</v>
      </c>
      <c r="AC277" s="9">
        <f t="shared" si="216"/>
        <v>-7.875</v>
      </c>
      <c r="AD277" s="9">
        <f t="shared" si="217"/>
        <v>-5.625</v>
      </c>
      <c r="AE277" s="9">
        <f t="shared" si="218"/>
        <v>-8.5</v>
      </c>
      <c r="AF277" s="9">
        <f t="shared" si="219"/>
        <v>-10</v>
      </c>
      <c r="AG277" s="9">
        <f t="shared" si="220"/>
        <v>-11.75</v>
      </c>
      <c r="AH277" s="9">
        <f t="shared" si="221"/>
        <v>-10.880000000000003</v>
      </c>
      <c r="AI277" s="9">
        <f t="shared" si="222"/>
        <v>-11.75</v>
      </c>
      <c r="AJ277" s="9">
        <f t="shared" si="223"/>
        <v>0.625</v>
      </c>
      <c r="AK277" s="9">
        <f t="shared" si="224"/>
        <v>0</v>
      </c>
      <c r="AL277" s="9">
        <f t="shared" si="225"/>
        <v>-7.625</v>
      </c>
      <c r="AM277" s="9">
        <f t="shared" si="226"/>
        <v>-3.375</v>
      </c>
      <c r="AN277" s="9">
        <f t="shared" si="227"/>
        <v>-6.6749999999999972</v>
      </c>
      <c r="AO277" s="9">
        <f t="shared" si="228"/>
        <v>-7.375</v>
      </c>
      <c r="AP277" s="9">
        <f t="shared" si="229"/>
        <v>-9.2550000000000026</v>
      </c>
      <c r="AQ277" s="9">
        <f t="shared" si="230"/>
        <v>-8.2550000000000026</v>
      </c>
      <c r="AR277" s="9">
        <f t="shared" si="231"/>
        <v>-8.625</v>
      </c>
      <c r="AS277" s="9">
        <f t="shared" si="232"/>
        <v>1.5599999999999987</v>
      </c>
      <c r="AT277" s="9">
        <f t="shared" si="233"/>
        <v>2.25</v>
      </c>
      <c r="AU277" s="9">
        <f t="shared" si="234"/>
        <v>-4.9400000000000013</v>
      </c>
      <c r="AV277" s="9">
        <f t="shared" si="235"/>
        <v>-1.375</v>
      </c>
      <c r="AW277" s="9">
        <f t="shared" si="236"/>
        <v>-1.3000000000000007</v>
      </c>
      <c r="AX277" s="9">
        <f t="shared" si="237"/>
        <v>2.5</v>
      </c>
      <c r="AY277" s="9">
        <f t="shared" si="238"/>
        <v>0.25</v>
      </c>
      <c r="AZ277" s="9">
        <f t="shared" si="239"/>
        <v>1.870000000000001</v>
      </c>
      <c r="BA277" s="9">
        <f t="shared" si="240"/>
        <v>1.75</v>
      </c>
      <c r="BB277" s="9">
        <f t="shared" si="241"/>
        <v>1.5</v>
      </c>
      <c r="BC277" s="9">
        <f t="shared" si="242"/>
        <v>2.75</v>
      </c>
      <c r="BD277" s="9">
        <f t="shared" si="243"/>
        <v>-4</v>
      </c>
      <c r="BE277" s="9">
        <f t="shared" si="244"/>
        <v>-0.375</v>
      </c>
      <c r="BF277" s="9">
        <f t="shared" si="245"/>
        <v>0.75</v>
      </c>
      <c r="BG277" s="9">
        <f t="shared" si="246"/>
        <v>5.25</v>
      </c>
      <c r="BH277" s="9">
        <f t="shared" si="247"/>
        <v>3</v>
      </c>
      <c r="BI277" s="9">
        <f t="shared" si="248"/>
        <v>5</v>
      </c>
      <c r="BJ277" s="9">
        <f t="shared" si="249"/>
        <v>5</v>
      </c>
    </row>
    <row r="278" spans="1:62" x14ac:dyDescent="0.2">
      <c r="A278" s="9">
        <f>data!M279-data!M278</f>
        <v>0.18009999999999593</v>
      </c>
      <c r="B278" s="9">
        <f>data!C279-data!C278</f>
        <v>5.43</v>
      </c>
      <c r="C278" s="9">
        <f>data!D279-data!D278</f>
        <v>-7.2500000000001563E-2</v>
      </c>
      <c r="D278" s="10">
        <f>data!B279-data!B278</f>
        <v>3.5000000000000142E-2</v>
      </c>
      <c r="E278" s="9">
        <f>data!E278-data!G278</f>
        <v>2.4892000000000003</v>
      </c>
      <c r="F278" s="9">
        <f>(data!E278-data!F278)-(data!G278-data!H278)</f>
        <v>1.5885999999999998</v>
      </c>
      <c r="G278" s="9">
        <f t="shared" si="200"/>
        <v>-0.12600000000000033</v>
      </c>
      <c r="H278" s="9">
        <f t="shared" si="201"/>
        <v>-1.5700000000000047E-2</v>
      </c>
      <c r="I278" s="9">
        <f>IF(data!M279&gt; 111.81,1,0)</f>
        <v>0</v>
      </c>
      <c r="J278" s="9">
        <f t="shared" si="202"/>
        <v>1</v>
      </c>
      <c r="K278" s="9">
        <f t="shared" si="203"/>
        <v>0</v>
      </c>
      <c r="L278" s="9">
        <f t="shared" si="204"/>
        <v>0.18009999999999593</v>
      </c>
      <c r="M278" s="9">
        <f>data!J278</f>
        <v>-21.425000000000001</v>
      </c>
      <c r="N278" s="9">
        <f>data!I278</f>
        <v>-28</v>
      </c>
      <c r="O278" s="9">
        <f>data!L278</f>
        <v>-26.5</v>
      </c>
      <c r="P278" s="9">
        <f>data!K278</f>
        <v>-20.440000000000001</v>
      </c>
      <c r="Q278" s="9">
        <f>data!R278</f>
        <v>-16.25</v>
      </c>
      <c r="R278" s="9">
        <f t="shared" si="205"/>
        <v>-3.4749999999999979</v>
      </c>
      <c r="S278" s="9">
        <f t="shared" si="206"/>
        <v>-14.574999999999999</v>
      </c>
      <c r="T278" s="9">
        <f t="shared" si="207"/>
        <v>-5.1750000000000007</v>
      </c>
      <c r="U278" s="9">
        <f t="shared" si="208"/>
        <v>-9.5749999999999993</v>
      </c>
      <c r="V278" s="9">
        <f t="shared" si="209"/>
        <v>-11.175000000000001</v>
      </c>
      <c r="W278" s="9">
        <f t="shared" si="210"/>
        <v>-11.675000000000001</v>
      </c>
      <c r="X278" s="9">
        <f t="shared" si="211"/>
        <v>-9.375</v>
      </c>
      <c r="Y278" s="9">
        <f t="shared" si="212"/>
        <v>-9.8249999999999993</v>
      </c>
      <c r="Z278" s="9">
        <f t="shared" si="213"/>
        <v>-10.324999999999999</v>
      </c>
      <c r="AA278" s="9">
        <f t="shared" si="214"/>
        <v>-1.375</v>
      </c>
      <c r="AB278" s="9">
        <f t="shared" si="215"/>
        <v>-8.375</v>
      </c>
      <c r="AC278" s="9">
        <f t="shared" si="216"/>
        <v>-6.125</v>
      </c>
      <c r="AD278" s="9">
        <f t="shared" si="217"/>
        <v>-9</v>
      </c>
      <c r="AE278" s="9">
        <f t="shared" si="218"/>
        <v>-10.5</v>
      </c>
      <c r="AF278" s="9">
        <f t="shared" si="219"/>
        <v>-12.25</v>
      </c>
      <c r="AG278" s="9">
        <f t="shared" si="220"/>
        <v>-11.380000000000003</v>
      </c>
      <c r="AH278" s="9">
        <f t="shared" si="221"/>
        <v>-12.25</v>
      </c>
      <c r="AI278" s="9">
        <f t="shared" si="222"/>
        <v>-12.5</v>
      </c>
      <c r="AJ278" s="9">
        <f t="shared" si="223"/>
        <v>-0.625</v>
      </c>
      <c r="AK278" s="9">
        <f t="shared" si="224"/>
        <v>-8.25</v>
      </c>
      <c r="AL278" s="9">
        <f t="shared" si="225"/>
        <v>-4</v>
      </c>
      <c r="AM278" s="9">
        <f t="shared" si="226"/>
        <v>-7.2999999999999972</v>
      </c>
      <c r="AN278" s="9">
        <f t="shared" si="227"/>
        <v>-8</v>
      </c>
      <c r="AO278" s="9">
        <f t="shared" si="228"/>
        <v>-9.8800000000000026</v>
      </c>
      <c r="AP278" s="9">
        <f t="shared" si="229"/>
        <v>-8.8800000000000026</v>
      </c>
      <c r="AQ278" s="9">
        <f t="shared" si="230"/>
        <v>-9.25</v>
      </c>
      <c r="AR278" s="9">
        <f t="shared" si="231"/>
        <v>-9.5</v>
      </c>
      <c r="AS278" s="9">
        <f t="shared" si="232"/>
        <v>0.69000000000000128</v>
      </c>
      <c r="AT278" s="9">
        <f t="shared" si="233"/>
        <v>-6.5</v>
      </c>
      <c r="AU278" s="9">
        <f t="shared" si="234"/>
        <v>-2.9349999999999987</v>
      </c>
      <c r="AV278" s="9">
        <f t="shared" si="235"/>
        <v>-2.8599999999999994</v>
      </c>
      <c r="AW278" s="9">
        <f t="shared" si="236"/>
        <v>0.94000000000000128</v>
      </c>
      <c r="AX278" s="9">
        <f t="shared" si="237"/>
        <v>-1.3099999999999987</v>
      </c>
      <c r="AY278" s="9">
        <f t="shared" si="238"/>
        <v>0.31000000000000227</v>
      </c>
      <c r="AZ278" s="9">
        <f t="shared" si="239"/>
        <v>0.19000000000000128</v>
      </c>
      <c r="BA278" s="9">
        <f t="shared" si="240"/>
        <v>-5.9999999999998721E-2</v>
      </c>
      <c r="BB278" s="9">
        <f t="shared" si="241"/>
        <v>1.25</v>
      </c>
      <c r="BC278" s="9">
        <f t="shared" si="242"/>
        <v>-5.5</v>
      </c>
      <c r="BD278" s="9">
        <f t="shared" si="243"/>
        <v>-1.875</v>
      </c>
      <c r="BE278" s="9">
        <f t="shared" si="244"/>
        <v>-0.75</v>
      </c>
      <c r="BF278" s="9">
        <f t="shared" si="245"/>
        <v>3.75</v>
      </c>
      <c r="BG278" s="9">
        <f t="shared" si="246"/>
        <v>1.5</v>
      </c>
      <c r="BH278" s="9">
        <f t="shared" si="247"/>
        <v>3.5</v>
      </c>
      <c r="BI278" s="9">
        <f t="shared" si="248"/>
        <v>3.5</v>
      </c>
      <c r="BJ278" s="9">
        <f t="shared" si="249"/>
        <v>3</v>
      </c>
    </row>
    <row r="279" spans="1:62" x14ac:dyDescent="0.2">
      <c r="A279" s="9">
        <f>data!M280-data!M279</f>
        <v>2.4528999999999996</v>
      </c>
      <c r="B279" s="9">
        <f>data!C280-data!C279</f>
        <v>18.900000000000002</v>
      </c>
      <c r="C279" s="9">
        <f>data!D280-data!D279</f>
        <v>3.4175000000000004</v>
      </c>
      <c r="D279" s="10">
        <f>data!B280-data!B279</f>
        <v>-2.0749999999999997</v>
      </c>
      <c r="E279" s="9">
        <f>data!E279-data!G279</f>
        <v>2.3632</v>
      </c>
      <c r="F279" s="9">
        <f>(data!E279-data!F279)-(data!G279-data!H279)</f>
        <v>1.5728999999999997</v>
      </c>
      <c r="G279" s="9">
        <f t="shared" si="200"/>
        <v>-0.22170000000000023</v>
      </c>
      <c r="H279" s="9">
        <f t="shared" si="201"/>
        <v>-6.9400000000000128E-2</v>
      </c>
      <c r="I279" s="9">
        <f>IF(data!M280&gt; 111.81,1,0)</f>
        <v>0</v>
      </c>
      <c r="J279" s="9">
        <f t="shared" si="202"/>
        <v>1</v>
      </c>
      <c r="K279" s="9">
        <f t="shared" si="203"/>
        <v>0</v>
      </c>
      <c r="L279" s="9">
        <f t="shared" si="204"/>
        <v>2.4528999999999996</v>
      </c>
      <c r="M279" s="9">
        <f>data!J279</f>
        <v>-24.9</v>
      </c>
      <c r="N279" s="9">
        <f>data!I279</f>
        <v>-29.375</v>
      </c>
      <c r="O279" s="9">
        <f>data!L279</f>
        <v>-27.125</v>
      </c>
      <c r="P279" s="9">
        <f>data!K279</f>
        <v>-19.75</v>
      </c>
      <c r="Q279" s="9">
        <f>data!R279</f>
        <v>-15</v>
      </c>
      <c r="R279" s="9">
        <f t="shared" si="205"/>
        <v>-11.100000000000001</v>
      </c>
      <c r="S279" s="9">
        <f t="shared" si="206"/>
        <v>-1.7000000000000028</v>
      </c>
      <c r="T279" s="9">
        <f t="shared" si="207"/>
        <v>-6.1000000000000014</v>
      </c>
      <c r="U279" s="9">
        <f t="shared" si="208"/>
        <v>-7.7000000000000028</v>
      </c>
      <c r="V279" s="9">
        <f t="shared" si="209"/>
        <v>-8.2000000000000028</v>
      </c>
      <c r="W279" s="9">
        <f t="shared" si="210"/>
        <v>-5.9000000000000021</v>
      </c>
      <c r="X279" s="9">
        <f t="shared" si="211"/>
        <v>-6.3500000000000014</v>
      </c>
      <c r="Y279" s="9">
        <f t="shared" si="212"/>
        <v>-6.8500000000000014</v>
      </c>
      <c r="Z279" s="9">
        <f t="shared" si="213"/>
        <v>-8.6000000000000014</v>
      </c>
      <c r="AA279" s="9">
        <f t="shared" si="214"/>
        <v>-7</v>
      </c>
      <c r="AB279" s="9">
        <f t="shared" si="215"/>
        <v>-4.75</v>
      </c>
      <c r="AC279" s="9">
        <f t="shared" si="216"/>
        <v>-7.625</v>
      </c>
      <c r="AD279" s="9">
        <f t="shared" si="217"/>
        <v>-9.125</v>
      </c>
      <c r="AE279" s="9">
        <f t="shared" si="218"/>
        <v>-10.875</v>
      </c>
      <c r="AF279" s="9">
        <f t="shared" si="219"/>
        <v>-10.005000000000003</v>
      </c>
      <c r="AG279" s="9">
        <f t="shared" si="220"/>
        <v>-10.875</v>
      </c>
      <c r="AH279" s="9">
        <f t="shared" si="221"/>
        <v>-11.125</v>
      </c>
      <c r="AI279" s="9">
        <f t="shared" si="222"/>
        <v>-11.625</v>
      </c>
      <c r="AJ279" s="9">
        <f t="shared" si="223"/>
        <v>-7.625</v>
      </c>
      <c r="AK279" s="9">
        <f t="shared" si="224"/>
        <v>-3.375</v>
      </c>
      <c r="AL279" s="9">
        <f t="shared" si="225"/>
        <v>-6.6749999999999972</v>
      </c>
      <c r="AM279" s="9">
        <f t="shared" si="226"/>
        <v>-7.375</v>
      </c>
      <c r="AN279" s="9">
        <f t="shared" si="227"/>
        <v>-9.2550000000000026</v>
      </c>
      <c r="AO279" s="9">
        <f t="shared" si="228"/>
        <v>-8.2550000000000026</v>
      </c>
      <c r="AP279" s="9">
        <f t="shared" si="229"/>
        <v>-8.625</v>
      </c>
      <c r="AQ279" s="9">
        <f t="shared" si="230"/>
        <v>-8.875</v>
      </c>
      <c r="AR279" s="9">
        <f t="shared" si="231"/>
        <v>-8.875</v>
      </c>
      <c r="AS279" s="9">
        <f t="shared" si="232"/>
        <v>-7.1900000000000013</v>
      </c>
      <c r="AT279" s="9">
        <f t="shared" si="233"/>
        <v>-3.625</v>
      </c>
      <c r="AU279" s="9">
        <f t="shared" si="234"/>
        <v>-3.5500000000000007</v>
      </c>
      <c r="AV279" s="9">
        <f t="shared" si="235"/>
        <v>0.25</v>
      </c>
      <c r="AW279" s="9">
        <f t="shared" si="236"/>
        <v>-2</v>
      </c>
      <c r="AX279" s="9">
        <f t="shared" si="237"/>
        <v>-0.37999999999999901</v>
      </c>
      <c r="AY279" s="9">
        <f t="shared" si="238"/>
        <v>-0.5</v>
      </c>
      <c r="AZ279" s="9">
        <f t="shared" si="239"/>
        <v>-0.75</v>
      </c>
      <c r="BA279" s="9">
        <f t="shared" si="240"/>
        <v>0.5</v>
      </c>
      <c r="BB279" s="9">
        <f t="shared" si="241"/>
        <v>-6.75</v>
      </c>
      <c r="BC279" s="9">
        <f t="shared" si="242"/>
        <v>-3.125</v>
      </c>
      <c r="BD279" s="9">
        <f t="shared" si="243"/>
        <v>-2</v>
      </c>
      <c r="BE279" s="9">
        <f t="shared" si="244"/>
        <v>2.5</v>
      </c>
      <c r="BF279" s="9">
        <f t="shared" si="245"/>
        <v>0.25</v>
      </c>
      <c r="BG279" s="9">
        <f t="shared" si="246"/>
        <v>2.25</v>
      </c>
      <c r="BH279" s="9">
        <f t="shared" si="247"/>
        <v>2.25</v>
      </c>
      <c r="BI279" s="9">
        <f t="shared" si="248"/>
        <v>1.75</v>
      </c>
      <c r="BJ279" s="9">
        <f t="shared" si="249"/>
        <v>3.5</v>
      </c>
    </row>
    <row r="280" spans="1:62" x14ac:dyDescent="0.2">
      <c r="A280" s="9">
        <f>data!M281-data!M280</f>
        <v>7.9400000000006798E-2</v>
      </c>
      <c r="B280" s="9">
        <f>data!C281-data!C280</f>
        <v>-9.7100000000000044</v>
      </c>
      <c r="C280" s="9">
        <f>data!D281-data!D280</f>
        <v>-1.8349999999999991</v>
      </c>
      <c r="D280" s="10">
        <f>data!B281-data!B280</f>
        <v>0.5974999999999997</v>
      </c>
      <c r="E280" s="9">
        <f>data!E280-data!G280</f>
        <v>2.1414999999999997</v>
      </c>
      <c r="F280" s="9">
        <f>(data!E280-data!F280)-(data!G280-data!H280)</f>
        <v>1.5034999999999996</v>
      </c>
      <c r="G280" s="9">
        <f t="shared" si="200"/>
        <v>6.8999999999999062E-3</v>
      </c>
      <c r="H280" s="9">
        <f t="shared" si="201"/>
        <v>2.7900000000000258E-2</v>
      </c>
      <c r="I280" s="9">
        <f>IF(data!M281&gt; 111.81,1,0)</f>
        <v>0</v>
      </c>
      <c r="J280" s="9">
        <f t="shared" si="202"/>
        <v>1</v>
      </c>
      <c r="K280" s="9">
        <f t="shared" si="203"/>
        <v>0</v>
      </c>
      <c r="L280" s="9">
        <f t="shared" si="204"/>
        <v>7.9400000000006798E-2</v>
      </c>
      <c r="M280" s="9">
        <f>data!J280</f>
        <v>-36</v>
      </c>
      <c r="N280" s="9">
        <f>data!I280</f>
        <v>-36.375</v>
      </c>
      <c r="O280" s="9">
        <f>data!L280</f>
        <v>-34.75</v>
      </c>
      <c r="P280" s="9">
        <f>data!K280</f>
        <v>-26.94</v>
      </c>
      <c r="Q280" s="9">
        <f>data!R280</f>
        <v>-21.75</v>
      </c>
      <c r="R280" s="9">
        <f t="shared" si="205"/>
        <v>9.3999999999999986</v>
      </c>
      <c r="S280" s="9">
        <f t="shared" si="206"/>
        <v>5</v>
      </c>
      <c r="T280" s="9">
        <f t="shared" si="207"/>
        <v>3.3999999999999986</v>
      </c>
      <c r="U280" s="9">
        <f t="shared" si="208"/>
        <v>2.8999999999999986</v>
      </c>
      <c r="V280" s="9">
        <f t="shared" si="209"/>
        <v>5.1999999999999993</v>
      </c>
      <c r="W280" s="9">
        <f t="shared" si="210"/>
        <v>4.75</v>
      </c>
      <c r="X280" s="9">
        <f t="shared" si="211"/>
        <v>4.25</v>
      </c>
      <c r="Y280" s="9">
        <f t="shared" si="212"/>
        <v>2.5</v>
      </c>
      <c r="Z280" s="9">
        <f t="shared" si="213"/>
        <v>8.5</v>
      </c>
      <c r="AA280" s="9">
        <f t="shared" si="214"/>
        <v>2.25</v>
      </c>
      <c r="AB280" s="9">
        <f t="shared" si="215"/>
        <v>-0.625</v>
      </c>
      <c r="AC280" s="9">
        <f t="shared" si="216"/>
        <v>-2.125</v>
      </c>
      <c r="AD280" s="9">
        <f t="shared" si="217"/>
        <v>-3.875</v>
      </c>
      <c r="AE280" s="9">
        <f t="shared" si="218"/>
        <v>-3.0050000000000026</v>
      </c>
      <c r="AF280" s="9">
        <f t="shared" si="219"/>
        <v>-3.875</v>
      </c>
      <c r="AG280" s="9">
        <f t="shared" si="220"/>
        <v>-4.125</v>
      </c>
      <c r="AH280" s="9">
        <f t="shared" si="221"/>
        <v>-4.625</v>
      </c>
      <c r="AI280" s="9">
        <f t="shared" si="222"/>
        <v>-3.1749999999999972</v>
      </c>
      <c r="AJ280" s="9">
        <f t="shared" si="223"/>
        <v>4.25</v>
      </c>
      <c r="AK280" s="9">
        <f t="shared" si="224"/>
        <v>0.95000000000000284</v>
      </c>
      <c r="AL280" s="9">
        <f t="shared" si="225"/>
        <v>0.25</v>
      </c>
      <c r="AM280" s="9">
        <f t="shared" si="226"/>
        <v>-1.6300000000000026</v>
      </c>
      <c r="AN280" s="9">
        <f t="shared" si="227"/>
        <v>-0.63000000000000256</v>
      </c>
      <c r="AO280" s="9">
        <f t="shared" si="228"/>
        <v>-1</v>
      </c>
      <c r="AP280" s="9">
        <f t="shared" si="229"/>
        <v>-1.25</v>
      </c>
      <c r="AQ280" s="9">
        <f t="shared" si="230"/>
        <v>-1.25</v>
      </c>
      <c r="AR280" s="9">
        <f t="shared" si="231"/>
        <v>1.5</v>
      </c>
      <c r="AS280" s="9">
        <f t="shared" si="232"/>
        <v>3.5650000000000013</v>
      </c>
      <c r="AT280" s="9">
        <f t="shared" si="233"/>
        <v>3.6400000000000006</v>
      </c>
      <c r="AU280" s="9">
        <f t="shared" si="234"/>
        <v>7.4400000000000013</v>
      </c>
      <c r="AV280" s="9">
        <f t="shared" si="235"/>
        <v>5.1900000000000013</v>
      </c>
      <c r="AW280" s="9">
        <f t="shared" si="236"/>
        <v>6.8100000000000023</v>
      </c>
      <c r="AX280" s="9">
        <f t="shared" si="237"/>
        <v>6.6900000000000013</v>
      </c>
      <c r="AY280" s="9">
        <f t="shared" si="238"/>
        <v>6.4400000000000013</v>
      </c>
      <c r="AZ280" s="9">
        <f t="shared" si="239"/>
        <v>7.6900000000000013</v>
      </c>
      <c r="BA280" s="9">
        <f t="shared" si="240"/>
        <v>9.14</v>
      </c>
      <c r="BB280" s="9">
        <f t="shared" si="241"/>
        <v>3.625</v>
      </c>
      <c r="BC280" s="9">
        <f t="shared" si="242"/>
        <v>4.75</v>
      </c>
      <c r="BD280" s="9">
        <f t="shared" si="243"/>
        <v>9.25</v>
      </c>
      <c r="BE280" s="9">
        <f t="shared" si="244"/>
        <v>7</v>
      </c>
      <c r="BF280" s="9">
        <f t="shared" si="245"/>
        <v>9</v>
      </c>
      <c r="BG280" s="9">
        <f t="shared" si="246"/>
        <v>9</v>
      </c>
      <c r="BH280" s="9">
        <f t="shared" si="247"/>
        <v>8.5</v>
      </c>
      <c r="BI280" s="9">
        <f t="shared" si="248"/>
        <v>10.25</v>
      </c>
      <c r="BJ280" s="9">
        <f t="shared" si="249"/>
        <v>11.1</v>
      </c>
    </row>
    <row r="281" spans="1:62" x14ac:dyDescent="0.2">
      <c r="A281" s="9">
        <f>data!M282-data!M281</f>
        <v>0.9164999999999992</v>
      </c>
      <c r="B281" s="9">
        <f>data!C282-data!C281</f>
        <v>8.860000000000003</v>
      </c>
      <c r="C281" s="9">
        <f>data!D282-data!D281</f>
        <v>3.504999999999999</v>
      </c>
      <c r="D281" s="10">
        <f>data!B282-data!B281</f>
        <v>-2.0900000000000003</v>
      </c>
      <c r="E281" s="9">
        <f>data!E281-data!G281</f>
        <v>2.1483999999999996</v>
      </c>
      <c r="F281" s="9">
        <f>(data!E281-data!F281)-(data!G281-data!H281)</f>
        <v>1.5313999999999999</v>
      </c>
      <c r="G281" s="9">
        <f t="shared" si="200"/>
        <v>-0.15549999999999997</v>
      </c>
      <c r="H281" s="9">
        <f t="shared" si="201"/>
        <v>-0.13810000000000011</v>
      </c>
      <c r="I281" s="9">
        <f>IF(data!M282&gt; 111.81,1,0)</f>
        <v>0</v>
      </c>
      <c r="J281" s="9">
        <f t="shared" si="202"/>
        <v>1</v>
      </c>
      <c r="K281" s="9">
        <f t="shared" si="203"/>
        <v>0</v>
      </c>
      <c r="L281" s="9">
        <f t="shared" si="204"/>
        <v>0.9164999999999992</v>
      </c>
      <c r="M281" s="9">
        <f>data!J281</f>
        <v>-26.6</v>
      </c>
      <c r="N281" s="9">
        <f>data!I281</f>
        <v>-34.125</v>
      </c>
      <c r="O281" s="9">
        <f>data!L281</f>
        <v>-30.5</v>
      </c>
      <c r="P281" s="9">
        <f>data!K281</f>
        <v>-23.375</v>
      </c>
      <c r="Q281" s="9">
        <f>data!R281</f>
        <v>-18.125</v>
      </c>
      <c r="R281" s="9">
        <f t="shared" si="205"/>
        <v>-4.3999999999999986</v>
      </c>
      <c r="S281" s="9">
        <f t="shared" si="206"/>
        <v>-6</v>
      </c>
      <c r="T281" s="9">
        <f t="shared" si="207"/>
        <v>-6.5</v>
      </c>
      <c r="U281" s="9">
        <f t="shared" si="208"/>
        <v>-4.1999999999999993</v>
      </c>
      <c r="V281" s="9">
        <f t="shared" si="209"/>
        <v>-4.6499999999999986</v>
      </c>
      <c r="W281" s="9">
        <f t="shared" si="210"/>
        <v>-5.1499999999999986</v>
      </c>
      <c r="X281" s="9">
        <f t="shared" si="211"/>
        <v>-6.8999999999999986</v>
      </c>
      <c r="Y281" s="9">
        <f t="shared" si="212"/>
        <v>-0.89999999999999858</v>
      </c>
      <c r="Z281" s="9">
        <f t="shared" si="213"/>
        <v>-1.8999999999999986</v>
      </c>
      <c r="AA281" s="9">
        <f t="shared" si="214"/>
        <v>-2.875</v>
      </c>
      <c r="AB281" s="9">
        <f t="shared" si="215"/>
        <v>-4.375</v>
      </c>
      <c r="AC281" s="9">
        <f t="shared" si="216"/>
        <v>-6.125</v>
      </c>
      <c r="AD281" s="9">
        <f t="shared" si="217"/>
        <v>-5.2550000000000026</v>
      </c>
      <c r="AE281" s="9">
        <f t="shared" si="218"/>
        <v>-6.125</v>
      </c>
      <c r="AF281" s="9">
        <f t="shared" si="219"/>
        <v>-6.375</v>
      </c>
      <c r="AG281" s="9">
        <f t="shared" si="220"/>
        <v>-6.875</v>
      </c>
      <c r="AH281" s="9">
        <f t="shared" si="221"/>
        <v>-5.4249999999999972</v>
      </c>
      <c r="AI281" s="9">
        <f t="shared" si="222"/>
        <v>-6.375</v>
      </c>
      <c r="AJ281" s="9">
        <f t="shared" si="223"/>
        <v>-3.2999999999999972</v>
      </c>
      <c r="AK281" s="9">
        <f t="shared" si="224"/>
        <v>-4</v>
      </c>
      <c r="AL281" s="9">
        <f t="shared" si="225"/>
        <v>-5.8800000000000026</v>
      </c>
      <c r="AM281" s="9">
        <f t="shared" si="226"/>
        <v>-4.8800000000000026</v>
      </c>
      <c r="AN281" s="9">
        <f t="shared" si="227"/>
        <v>-5.25</v>
      </c>
      <c r="AO281" s="9">
        <f t="shared" si="228"/>
        <v>-5.5</v>
      </c>
      <c r="AP281" s="9">
        <f t="shared" si="229"/>
        <v>-5.5</v>
      </c>
      <c r="AQ281" s="9">
        <f t="shared" si="230"/>
        <v>-2.75</v>
      </c>
      <c r="AR281" s="9">
        <f t="shared" si="231"/>
        <v>-3.2999999999999972</v>
      </c>
      <c r="AS281" s="9">
        <f t="shared" si="232"/>
        <v>7.4999999999999289E-2</v>
      </c>
      <c r="AT281" s="9">
        <f t="shared" si="233"/>
        <v>3.875</v>
      </c>
      <c r="AU281" s="9">
        <f t="shared" si="234"/>
        <v>1.625</v>
      </c>
      <c r="AV281" s="9">
        <f t="shared" si="235"/>
        <v>3.245000000000001</v>
      </c>
      <c r="AW281" s="9">
        <f t="shared" si="236"/>
        <v>3.125</v>
      </c>
      <c r="AX281" s="9">
        <f t="shared" si="237"/>
        <v>2.875</v>
      </c>
      <c r="AY281" s="9">
        <f t="shared" si="238"/>
        <v>4.125</v>
      </c>
      <c r="AZ281" s="9">
        <f t="shared" si="239"/>
        <v>5.5749999999999993</v>
      </c>
      <c r="BA281" s="9">
        <f t="shared" si="240"/>
        <v>6.5749999999999993</v>
      </c>
      <c r="BB281" s="9">
        <f t="shared" si="241"/>
        <v>1.125</v>
      </c>
      <c r="BC281" s="9">
        <f t="shared" si="242"/>
        <v>5.625</v>
      </c>
      <c r="BD281" s="9">
        <f t="shared" si="243"/>
        <v>3.375</v>
      </c>
      <c r="BE281" s="9">
        <f t="shared" si="244"/>
        <v>5.375</v>
      </c>
      <c r="BF281" s="9">
        <f t="shared" si="245"/>
        <v>5.375</v>
      </c>
      <c r="BG281" s="9">
        <f t="shared" si="246"/>
        <v>4.875</v>
      </c>
      <c r="BH281" s="9">
        <f t="shared" si="247"/>
        <v>6.625</v>
      </c>
      <c r="BI281" s="9">
        <f t="shared" si="248"/>
        <v>7.4749999999999996</v>
      </c>
      <c r="BJ281" s="9">
        <f t="shared" si="249"/>
        <v>8.4</v>
      </c>
    </row>
    <row r="282" spans="1:62" x14ac:dyDescent="0.2">
      <c r="A282" s="9">
        <f>data!M283-data!M282</f>
        <v>1.5100000000003888E-2</v>
      </c>
      <c r="B282" s="9">
        <f>data!C283-data!C282</f>
        <v>-8.0300000000000011</v>
      </c>
      <c r="C282" s="9">
        <f>data!D283-data!D282</f>
        <v>-2.6124999999999989</v>
      </c>
      <c r="D282" s="10">
        <f>data!B283-data!B282</f>
        <v>1.2250000000000005</v>
      </c>
      <c r="E282" s="9">
        <f>data!E282-data!G282</f>
        <v>1.9928999999999997</v>
      </c>
      <c r="F282" s="9">
        <f>(data!E282-data!F282)-(data!G282-data!H282)</f>
        <v>1.3932999999999998</v>
      </c>
      <c r="G282" s="9">
        <f t="shared" si="200"/>
        <v>4.0300000000000225E-2</v>
      </c>
      <c r="H282" s="9">
        <f t="shared" si="201"/>
        <v>3.9100000000000135E-2</v>
      </c>
      <c r="I282" s="9">
        <f>IF(data!M283&gt; 111.81,1,0)</f>
        <v>0</v>
      </c>
      <c r="J282" s="9">
        <f t="shared" si="202"/>
        <v>1</v>
      </c>
      <c r="K282" s="9">
        <f t="shared" si="203"/>
        <v>0</v>
      </c>
      <c r="L282" s="9">
        <f t="shared" si="204"/>
        <v>1.5100000000003888E-2</v>
      </c>
      <c r="M282" s="9">
        <f>data!J282</f>
        <v>-31</v>
      </c>
      <c r="N282" s="9">
        <f>data!I282</f>
        <v>-37</v>
      </c>
      <c r="O282" s="9">
        <f>data!L282</f>
        <v>-33.799999999999997</v>
      </c>
      <c r="P282" s="9">
        <f>data!K282</f>
        <v>-23.3</v>
      </c>
      <c r="Q282" s="9">
        <f>data!R282</f>
        <v>-17</v>
      </c>
      <c r="R282" s="9">
        <f t="shared" si="205"/>
        <v>-1.6000000000000014</v>
      </c>
      <c r="S282" s="9">
        <f t="shared" si="206"/>
        <v>-2.1000000000000014</v>
      </c>
      <c r="T282" s="9">
        <f t="shared" si="207"/>
        <v>0.19999999999999929</v>
      </c>
      <c r="U282" s="9">
        <f t="shared" si="208"/>
        <v>-0.25</v>
      </c>
      <c r="V282" s="9">
        <f t="shared" si="209"/>
        <v>-0.75</v>
      </c>
      <c r="W282" s="9">
        <f t="shared" si="210"/>
        <v>-2.5</v>
      </c>
      <c r="X282" s="9">
        <f t="shared" si="211"/>
        <v>3.5</v>
      </c>
      <c r="Y282" s="9">
        <f t="shared" si="212"/>
        <v>2.5</v>
      </c>
      <c r="Z282" s="9">
        <f t="shared" si="213"/>
        <v>4</v>
      </c>
      <c r="AA282" s="9">
        <f t="shared" si="214"/>
        <v>-1.5</v>
      </c>
      <c r="AB282" s="9">
        <f t="shared" si="215"/>
        <v>-3.25</v>
      </c>
      <c r="AC282" s="9">
        <f t="shared" si="216"/>
        <v>-2.3800000000000026</v>
      </c>
      <c r="AD282" s="9">
        <f t="shared" si="217"/>
        <v>-3.25</v>
      </c>
      <c r="AE282" s="9">
        <f t="shared" si="218"/>
        <v>-3.5</v>
      </c>
      <c r="AF282" s="9">
        <f t="shared" si="219"/>
        <v>-4</v>
      </c>
      <c r="AG282" s="9">
        <f t="shared" si="220"/>
        <v>-2.5499999999999972</v>
      </c>
      <c r="AH282" s="9">
        <f t="shared" si="221"/>
        <v>-3.5</v>
      </c>
      <c r="AI282" s="9">
        <f t="shared" si="222"/>
        <v>-2.75</v>
      </c>
      <c r="AJ282" s="9">
        <f t="shared" si="223"/>
        <v>-0.70000000000000284</v>
      </c>
      <c r="AK282" s="9">
        <f t="shared" si="224"/>
        <v>-2.5800000000000054</v>
      </c>
      <c r="AL282" s="9">
        <f t="shared" si="225"/>
        <v>-1.5800000000000054</v>
      </c>
      <c r="AM282" s="9">
        <f t="shared" si="226"/>
        <v>-1.9500000000000028</v>
      </c>
      <c r="AN282" s="9">
        <f t="shared" si="227"/>
        <v>-2.2000000000000028</v>
      </c>
      <c r="AO282" s="9">
        <f t="shared" si="228"/>
        <v>-2.2000000000000028</v>
      </c>
      <c r="AP282" s="9">
        <f t="shared" si="229"/>
        <v>0.54999999999999716</v>
      </c>
      <c r="AQ282" s="9">
        <f t="shared" si="230"/>
        <v>0</v>
      </c>
      <c r="AR282" s="9">
        <f t="shared" si="231"/>
        <v>2.1499999999999986</v>
      </c>
      <c r="AS282" s="9">
        <f t="shared" si="232"/>
        <v>3.8000000000000007</v>
      </c>
      <c r="AT282" s="9">
        <f t="shared" si="233"/>
        <v>1.5500000000000007</v>
      </c>
      <c r="AU282" s="9">
        <f t="shared" si="234"/>
        <v>3.1700000000000017</v>
      </c>
      <c r="AV282" s="9">
        <f t="shared" si="235"/>
        <v>3.0500000000000007</v>
      </c>
      <c r="AW282" s="9">
        <f t="shared" si="236"/>
        <v>2.8000000000000007</v>
      </c>
      <c r="AX282" s="9">
        <f t="shared" si="237"/>
        <v>4.0500000000000007</v>
      </c>
      <c r="AY282" s="9">
        <f t="shared" si="238"/>
        <v>5.5</v>
      </c>
      <c r="AZ282" s="9">
        <f t="shared" si="239"/>
        <v>6.5</v>
      </c>
      <c r="BA282" s="9">
        <f t="shared" si="240"/>
        <v>8.5500000000000007</v>
      </c>
      <c r="BB282" s="9">
        <f t="shared" si="241"/>
        <v>4.5</v>
      </c>
      <c r="BC282" s="9">
        <f t="shared" si="242"/>
        <v>2.25</v>
      </c>
      <c r="BD282" s="9">
        <f t="shared" si="243"/>
        <v>4.25</v>
      </c>
      <c r="BE282" s="9">
        <f t="shared" si="244"/>
        <v>4.25</v>
      </c>
      <c r="BF282" s="9">
        <f t="shared" si="245"/>
        <v>3.75</v>
      </c>
      <c r="BG282" s="9">
        <f t="shared" si="246"/>
        <v>5.5</v>
      </c>
      <c r="BH282" s="9">
        <f t="shared" si="247"/>
        <v>6.35</v>
      </c>
      <c r="BI282" s="9">
        <f t="shared" si="248"/>
        <v>7.2750000000000004</v>
      </c>
      <c r="BJ282" s="9">
        <f t="shared" si="249"/>
        <v>10.2125</v>
      </c>
    </row>
    <row r="283" spans="1:62" x14ac:dyDescent="0.2">
      <c r="A283" s="9">
        <f>data!M284-data!M283</f>
        <v>0.86260000000000048</v>
      </c>
      <c r="B283" s="9">
        <f>data!C284-data!C283</f>
        <v>3.4099999999999966</v>
      </c>
      <c r="C283" s="9">
        <f>data!D284-data!D283</f>
        <v>8.4999999999999076E-2</v>
      </c>
      <c r="D283" s="10">
        <f>data!B284-data!B283</f>
        <v>-0.27750000000000075</v>
      </c>
      <c r="E283" s="9">
        <f>data!E283-data!G283</f>
        <v>2.0331999999999999</v>
      </c>
      <c r="F283" s="9">
        <f>(data!E283-data!F283)-(data!G283-data!H283)</f>
        <v>1.4323999999999999</v>
      </c>
      <c r="G283" s="9">
        <f t="shared" si="200"/>
        <v>-0.10589999999999966</v>
      </c>
      <c r="H283" s="9">
        <f t="shared" si="201"/>
        <v>-7.5199999999999489E-2</v>
      </c>
      <c r="I283" s="9">
        <f>IF(data!M284&gt; 111.81,1,0)</f>
        <v>0</v>
      </c>
      <c r="J283" s="9">
        <f t="shared" si="202"/>
        <v>1</v>
      </c>
      <c r="K283" s="9">
        <f t="shared" si="203"/>
        <v>0</v>
      </c>
      <c r="L283" s="9">
        <f t="shared" si="204"/>
        <v>0.86260000000000048</v>
      </c>
      <c r="M283" s="9">
        <f>data!J283</f>
        <v>-32.6</v>
      </c>
      <c r="N283" s="9">
        <f>data!I283</f>
        <v>-38.5</v>
      </c>
      <c r="O283" s="9">
        <f>data!L283</f>
        <v>-34.5</v>
      </c>
      <c r="P283" s="9">
        <f>data!K283</f>
        <v>-19.5</v>
      </c>
      <c r="Q283" s="9">
        <f>data!R283</f>
        <v>-12.5</v>
      </c>
      <c r="R283" s="9">
        <f t="shared" si="205"/>
        <v>-0.5</v>
      </c>
      <c r="S283" s="9">
        <f t="shared" si="206"/>
        <v>1.8000000000000007</v>
      </c>
      <c r="T283" s="9">
        <f t="shared" si="207"/>
        <v>1.3500000000000014</v>
      </c>
      <c r="U283" s="9">
        <f t="shared" si="208"/>
        <v>0.85000000000000142</v>
      </c>
      <c r="V283" s="9">
        <f t="shared" si="209"/>
        <v>-0.89999999999999858</v>
      </c>
      <c r="W283" s="9">
        <f t="shared" si="210"/>
        <v>5.1000000000000014</v>
      </c>
      <c r="X283" s="9">
        <f t="shared" si="211"/>
        <v>4.1000000000000014</v>
      </c>
      <c r="Y283" s="9">
        <f t="shared" si="212"/>
        <v>5.6000000000000014</v>
      </c>
      <c r="Z283" s="9">
        <f t="shared" si="213"/>
        <v>8.3500000000000014</v>
      </c>
      <c r="AA283" s="9">
        <f t="shared" si="214"/>
        <v>-1.75</v>
      </c>
      <c r="AB283" s="9">
        <f t="shared" si="215"/>
        <v>-0.88000000000000256</v>
      </c>
      <c r="AC283" s="9">
        <f t="shared" si="216"/>
        <v>-1.75</v>
      </c>
      <c r="AD283" s="9">
        <f t="shared" si="217"/>
        <v>-2</v>
      </c>
      <c r="AE283" s="9">
        <f t="shared" si="218"/>
        <v>-2.5</v>
      </c>
      <c r="AF283" s="9">
        <f t="shared" si="219"/>
        <v>-1.0499999999999972</v>
      </c>
      <c r="AG283" s="9">
        <f t="shared" si="220"/>
        <v>-2</v>
      </c>
      <c r="AH283" s="9">
        <f t="shared" si="221"/>
        <v>-1.25</v>
      </c>
      <c r="AI283" s="9">
        <f t="shared" si="222"/>
        <v>2.25</v>
      </c>
      <c r="AJ283" s="9">
        <f t="shared" si="223"/>
        <v>-1.8800000000000026</v>
      </c>
      <c r="AK283" s="9">
        <f t="shared" si="224"/>
        <v>-0.88000000000000256</v>
      </c>
      <c r="AL283" s="9">
        <f t="shared" si="225"/>
        <v>-1.25</v>
      </c>
      <c r="AM283" s="9">
        <f t="shared" si="226"/>
        <v>-1.5</v>
      </c>
      <c r="AN283" s="9">
        <f t="shared" si="227"/>
        <v>-1.5</v>
      </c>
      <c r="AO283" s="9">
        <f t="shared" si="228"/>
        <v>1.25</v>
      </c>
      <c r="AP283" s="9">
        <f t="shared" si="229"/>
        <v>0.70000000000000284</v>
      </c>
      <c r="AQ283" s="9">
        <f t="shared" si="230"/>
        <v>2.8500000000000014</v>
      </c>
      <c r="AR283" s="9">
        <f t="shared" si="231"/>
        <v>5</v>
      </c>
      <c r="AS283" s="9">
        <f t="shared" si="232"/>
        <v>-2.25</v>
      </c>
      <c r="AT283" s="9">
        <f t="shared" si="233"/>
        <v>-0.62999999999999901</v>
      </c>
      <c r="AU283" s="9">
        <f t="shared" si="234"/>
        <v>-0.75</v>
      </c>
      <c r="AV283" s="9">
        <f t="shared" si="235"/>
        <v>-1</v>
      </c>
      <c r="AW283" s="9">
        <f t="shared" si="236"/>
        <v>0.25</v>
      </c>
      <c r="AX283" s="9">
        <f t="shared" si="237"/>
        <v>1.6999999999999993</v>
      </c>
      <c r="AY283" s="9">
        <f t="shared" si="238"/>
        <v>2.6999999999999993</v>
      </c>
      <c r="AZ283" s="9">
        <f t="shared" si="239"/>
        <v>4.75</v>
      </c>
      <c r="BA283" s="9">
        <f t="shared" si="240"/>
        <v>10</v>
      </c>
      <c r="BB283" s="9">
        <f t="shared" si="241"/>
        <v>-2.25</v>
      </c>
      <c r="BC283" s="9">
        <f t="shared" si="242"/>
        <v>-0.25</v>
      </c>
      <c r="BD283" s="9">
        <f t="shared" si="243"/>
        <v>-0.25</v>
      </c>
      <c r="BE283" s="9">
        <f t="shared" si="244"/>
        <v>-0.75</v>
      </c>
      <c r="BF283" s="9">
        <f t="shared" si="245"/>
        <v>1</v>
      </c>
      <c r="BG283" s="9">
        <f t="shared" si="246"/>
        <v>1.8499999999999996</v>
      </c>
      <c r="BH283" s="9">
        <f t="shared" si="247"/>
        <v>2.7750000000000004</v>
      </c>
      <c r="BI283" s="9">
        <f t="shared" si="248"/>
        <v>5.7125000000000004</v>
      </c>
      <c r="BJ283" s="9">
        <f t="shared" si="249"/>
        <v>10.25</v>
      </c>
    </row>
    <row r="284" spans="1:62" x14ac:dyDescent="0.2">
      <c r="A284" s="9">
        <f>data!M285-data!M284</f>
        <v>-0.60720000000000596</v>
      </c>
      <c r="B284" s="9">
        <f>data!C285-data!C284</f>
        <v>-6.6899999999999977</v>
      </c>
      <c r="C284" s="9">
        <f>data!D285-data!D284</f>
        <v>-0.77749999999999986</v>
      </c>
      <c r="D284" s="10">
        <f>data!B285-data!B284</f>
        <v>0.67750000000000021</v>
      </c>
      <c r="E284" s="9">
        <f>data!E284-data!G284</f>
        <v>1.9273000000000002</v>
      </c>
      <c r="F284" s="9">
        <f>(data!E284-data!F284)-(data!G284-data!H284)</f>
        <v>1.3572000000000004</v>
      </c>
      <c r="G284" s="9">
        <f t="shared" si="200"/>
        <v>7.0299999999999585E-2</v>
      </c>
      <c r="H284" s="9">
        <f t="shared" si="201"/>
        <v>7.4499999999999567E-2</v>
      </c>
      <c r="I284" s="9">
        <f>IF(data!M285&gt; 111.81,1,0)</f>
        <v>0</v>
      </c>
      <c r="J284" s="9">
        <f t="shared" si="202"/>
        <v>1</v>
      </c>
      <c r="K284" s="9">
        <f t="shared" si="203"/>
        <v>0</v>
      </c>
      <c r="L284" s="9">
        <f t="shared" si="204"/>
        <v>-0.60720000000000596</v>
      </c>
      <c r="M284" s="9">
        <f>data!J284</f>
        <v>-33.1</v>
      </c>
      <c r="N284" s="9">
        <f>data!I284</f>
        <v>-40.25</v>
      </c>
      <c r="O284" s="9">
        <f>data!L284</f>
        <v>-36.380000000000003</v>
      </c>
      <c r="P284" s="9">
        <f>data!K284</f>
        <v>-21.75</v>
      </c>
      <c r="Q284" s="9">
        <f>data!R284</f>
        <v>-14.75</v>
      </c>
      <c r="R284" s="9">
        <f t="shared" si="205"/>
        <v>2.3000000000000007</v>
      </c>
      <c r="S284" s="9">
        <f t="shared" si="206"/>
        <v>1.8500000000000014</v>
      </c>
      <c r="T284" s="9">
        <f t="shared" si="207"/>
        <v>1.3500000000000014</v>
      </c>
      <c r="U284" s="9">
        <f t="shared" si="208"/>
        <v>-0.39999999999999858</v>
      </c>
      <c r="V284" s="9">
        <f t="shared" si="209"/>
        <v>5.6000000000000014</v>
      </c>
      <c r="W284" s="9">
        <f t="shared" si="210"/>
        <v>4.6000000000000014</v>
      </c>
      <c r="X284" s="9">
        <f t="shared" si="211"/>
        <v>6.1000000000000014</v>
      </c>
      <c r="Y284" s="9">
        <f t="shared" si="212"/>
        <v>8.8500000000000014</v>
      </c>
      <c r="Z284" s="9">
        <f t="shared" si="213"/>
        <v>9.5</v>
      </c>
      <c r="AA284" s="9">
        <f t="shared" si="214"/>
        <v>0.86999999999999744</v>
      </c>
      <c r="AB284" s="9">
        <f t="shared" si="215"/>
        <v>0</v>
      </c>
      <c r="AC284" s="9">
        <f t="shared" si="216"/>
        <v>-0.25</v>
      </c>
      <c r="AD284" s="9">
        <f t="shared" si="217"/>
        <v>-0.75</v>
      </c>
      <c r="AE284" s="9">
        <f t="shared" si="218"/>
        <v>0.70000000000000284</v>
      </c>
      <c r="AF284" s="9">
        <f t="shared" si="219"/>
        <v>-0.25</v>
      </c>
      <c r="AG284" s="9">
        <f t="shared" si="220"/>
        <v>0.5</v>
      </c>
      <c r="AH284" s="9">
        <f t="shared" si="221"/>
        <v>4</v>
      </c>
      <c r="AI284" s="9">
        <f t="shared" si="222"/>
        <v>4.75</v>
      </c>
      <c r="AJ284" s="9">
        <f t="shared" si="223"/>
        <v>1</v>
      </c>
      <c r="AK284" s="9">
        <f t="shared" si="224"/>
        <v>0.63000000000000256</v>
      </c>
      <c r="AL284" s="9">
        <f t="shared" si="225"/>
        <v>0.38000000000000256</v>
      </c>
      <c r="AM284" s="9">
        <f t="shared" si="226"/>
        <v>0.38000000000000256</v>
      </c>
      <c r="AN284" s="9">
        <f t="shared" si="227"/>
        <v>3.1300000000000026</v>
      </c>
      <c r="AO284" s="9">
        <f t="shared" si="228"/>
        <v>2.5800000000000054</v>
      </c>
      <c r="AP284" s="9">
        <f t="shared" si="229"/>
        <v>4.730000000000004</v>
      </c>
      <c r="AQ284" s="9">
        <f t="shared" si="230"/>
        <v>6.8800000000000026</v>
      </c>
      <c r="AR284" s="9">
        <f t="shared" si="231"/>
        <v>5.8800000000000026</v>
      </c>
      <c r="AS284" s="9">
        <f t="shared" si="232"/>
        <v>1.620000000000001</v>
      </c>
      <c r="AT284" s="9">
        <f t="shared" si="233"/>
        <v>1.5</v>
      </c>
      <c r="AU284" s="9">
        <f t="shared" si="234"/>
        <v>1.25</v>
      </c>
      <c r="AV284" s="9">
        <f t="shared" si="235"/>
        <v>2.5</v>
      </c>
      <c r="AW284" s="9">
        <f t="shared" si="236"/>
        <v>3.9499999999999993</v>
      </c>
      <c r="AX284" s="9">
        <f t="shared" si="237"/>
        <v>4.9499999999999993</v>
      </c>
      <c r="AY284" s="9">
        <f t="shared" si="238"/>
        <v>7</v>
      </c>
      <c r="AZ284" s="9">
        <f t="shared" si="239"/>
        <v>12.25</v>
      </c>
      <c r="BA284" s="9">
        <f t="shared" si="240"/>
        <v>9.15</v>
      </c>
      <c r="BB284" s="9">
        <f t="shared" si="241"/>
        <v>2</v>
      </c>
      <c r="BC284" s="9">
        <f t="shared" si="242"/>
        <v>2</v>
      </c>
      <c r="BD284" s="9">
        <f t="shared" si="243"/>
        <v>1.5</v>
      </c>
      <c r="BE284" s="9">
        <f t="shared" si="244"/>
        <v>3.25</v>
      </c>
      <c r="BF284" s="9">
        <f t="shared" si="245"/>
        <v>4.0999999999999996</v>
      </c>
      <c r="BG284" s="9">
        <f t="shared" si="246"/>
        <v>5.0250000000000004</v>
      </c>
      <c r="BH284" s="9">
        <f t="shared" si="247"/>
        <v>7.9625000000000004</v>
      </c>
      <c r="BI284" s="9">
        <f t="shared" si="248"/>
        <v>12.5</v>
      </c>
      <c r="BJ284" s="9">
        <f t="shared" si="249"/>
        <v>9</v>
      </c>
    </row>
    <row r="285" spans="1:62" x14ac:dyDescent="0.2">
      <c r="A285" s="9">
        <f>data!M286-data!M285</f>
        <v>-1.2634999999999934</v>
      </c>
      <c r="B285" s="9">
        <f>data!C286-data!C285</f>
        <v>-4.84</v>
      </c>
      <c r="C285" s="9">
        <f>data!D286-data!D285</f>
        <v>-0.67999999999999972</v>
      </c>
      <c r="D285" s="10">
        <f>data!B286-data!B285</f>
        <v>0.1850000000000005</v>
      </c>
      <c r="E285" s="9">
        <f>data!E285-data!G285</f>
        <v>1.9975999999999998</v>
      </c>
      <c r="F285" s="9">
        <f>(data!E285-data!F285)-(data!G285-data!H285)</f>
        <v>1.4317</v>
      </c>
      <c r="G285" s="9">
        <f t="shared" si="200"/>
        <v>1.5900000000000247E-2</v>
      </c>
      <c r="H285" s="9">
        <f t="shared" si="201"/>
        <v>3.1400000000000095E-2</v>
      </c>
      <c r="I285" s="9">
        <f>IF(data!M286&gt; 111.81,1,0)</f>
        <v>0</v>
      </c>
      <c r="J285" s="9">
        <f t="shared" si="202"/>
        <v>1</v>
      </c>
      <c r="K285" s="9">
        <f t="shared" si="203"/>
        <v>0</v>
      </c>
      <c r="L285" s="9">
        <f t="shared" si="204"/>
        <v>-1.2634999999999934</v>
      </c>
      <c r="M285" s="9">
        <f>data!J285</f>
        <v>-30.8</v>
      </c>
      <c r="N285" s="9">
        <f>data!I285</f>
        <v>-39.380000000000003</v>
      </c>
      <c r="O285" s="9">
        <f>data!L285</f>
        <v>-35.380000000000003</v>
      </c>
      <c r="P285" s="9">
        <f>data!K285</f>
        <v>-20.13</v>
      </c>
      <c r="Q285" s="9">
        <f>data!R285</f>
        <v>-12.75</v>
      </c>
      <c r="R285" s="9">
        <f t="shared" si="205"/>
        <v>-0.44999999999999929</v>
      </c>
      <c r="S285" s="9">
        <f t="shared" si="206"/>
        <v>-0.94999999999999929</v>
      </c>
      <c r="T285" s="9">
        <f t="shared" si="207"/>
        <v>-2.6999999999999993</v>
      </c>
      <c r="U285" s="9">
        <f t="shared" si="208"/>
        <v>3.3000000000000007</v>
      </c>
      <c r="V285" s="9">
        <f t="shared" si="209"/>
        <v>2.3000000000000007</v>
      </c>
      <c r="W285" s="9">
        <f t="shared" si="210"/>
        <v>3.8000000000000007</v>
      </c>
      <c r="X285" s="9">
        <f t="shared" si="211"/>
        <v>6.5500000000000007</v>
      </c>
      <c r="Y285" s="9">
        <f t="shared" si="212"/>
        <v>7.1999999999999993</v>
      </c>
      <c r="Z285" s="9">
        <f t="shared" si="213"/>
        <v>5.4000000000000021</v>
      </c>
      <c r="AA285" s="9">
        <f t="shared" si="214"/>
        <v>-0.86999999999999744</v>
      </c>
      <c r="AB285" s="9">
        <f t="shared" si="215"/>
        <v>-1.1199999999999974</v>
      </c>
      <c r="AC285" s="9">
        <f t="shared" si="216"/>
        <v>-1.6199999999999974</v>
      </c>
      <c r="AD285" s="9">
        <f t="shared" si="217"/>
        <v>-0.1699999999999946</v>
      </c>
      <c r="AE285" s="9">
        <f t="shared" si="218"/>
        <v>-1.1199999999999974</v>
      </c>
      <c r="AF285" s="9">
        <f t="shared" si="219"/>
        <v>-0.36999999999999744</v>
      </c>
      <c r="AG285" s="9">
        <f t="shared" si="220"/>
        <v>3.1300000000000026</v>
      </c>
      <c r="AH285" s="9">
        <f t="shared" si="221"/>
        <v>3.8800000000000026</v>
      </c>
      <c r="AI285" s="9">
        <f t="shared" si="222"/>
        <v>1.25</v>
      </c>
      <c r="AJ285" s="9">
        <f t="shared" si="223"/>
        <v>-0.36999999999999744</v>
      </c>
      <c r="AK285" s="9">
        <f t="shared" si="224"/>
        <v>-0.61999999999999744</v>
      </c>
      <c r="AL285" s="9">
        <f t="shared" si="225"/>
        <v>-0.61999999999999744</v>
      </c>
      <c r="AM285" s="9">
        <f t="shared" si="226"/>
        <v>2.1300000000000026</v>
      </c>
      <c r="AN285" s="9">
        <f t="shared" si="227"/>
        <v>1.5800000000000054</v>
      </c>
      <c r="AO285" s="9">
        <f t="shared" si="228"/>
        <v>3.730000000000004</v>
      </c>
      <c r="AP285" s="9">
        <f t="shared" si="229"/>
        <v>5.8800000000000026</v>
      </c>
      <c r="AQ285" s="9">
        <f t="shared" si="230"/>
        <v>4.8800000000000026</v>
      </c>
      <c r="AR285" s="9">
        <f t="shared" si="231"/>
        <v>3</v>
      </c>
      <c r="AS285" s="9">
        <f t="shared" si="232"/>
        <v>-0.12000000000000099</v>
      </c>
      <c r="AT285" s="9">
        <f t="shared" si="233"/>
        <v>-0.37000000000000099</v>
      </c>
      <c r="AU285" s="9">
        <f t="shared" si="234"/>
        <v>0.87999999999999901</v>
      </c>
      <c r="AV285" s="9">
        <f t="shared" si="235"/>
        <v>2.3299999999999983</v>
      </c>
      <c r="AW285" s="9">
        <f t="shared" si="236"/>
        <v>3.3299999999999983</v>
      </c>
      <c r="AX285" s="9">
        <f t="shared" si="237"/>
        <v>5.379999999999999</v>
      </c>
      <c r="AY285" s="9">
        <f t="shared" si="238"/>
        <v>10.629999999999999</v>
      </c>
      <c r="AZ285" s="9">
        <f t="shared" si="239"/>
        <v>7.5299999999999994</v>
      </c>
      <c r="BA285" s="9">
        <f t="shared" si="240"/>
        <v>4.9999999999999982</v>
      </c>
      <c r="BB285" s="9">
        <f t="shared" si="241"/>
        <v>0</v>
      </c>
      <c r="BC285" s="9">
        <f t="shared" si="242"/>
        <v>-0.5</v>
      </c>
      <c r="BD285" s="9">
        <f t="shared" si="243"/>
        <v>1.25</v>
      </c>
      <c r="BE285" s="9">
        <f t="shared" si="244"/>
        <v>2.0999999999999996</v>
      </c>
      <c r="BF285" s="9">
        <f t="shared" si="245"/>
        <v>3.0250000000000004</v>
      </c>
      <c r="BG285" s="9">
        <f t="shared" si="246"/>
        <v>5.9625000000000004</v>
      </c>
      <c r="BH285" s="9">
        <f t="shared" si="247"/>
        <v>10.5</v>
      </c>
      <c r="BI285" s="9">
        <f t="shared" si="248"/>
        <v>7</v>
      </c>
      <c r="BJ285" s="9">
        <f t="shared" si="249"/>
        <v>4.5</v>
      </c>
    </row>
    <row r="286" spans="1:62" x14ac:dyDescent="0.2">
      <c r="A286" s="9">
        <f>data!M287-data!M286</f>
        <v>0.16009999999999991</v>
      </c>
      <c r="B286" s="9">
        <f>data!C287-data!C286</f>
        <v>4.5800000000000018</v>
      </c>
      <c r="C286" s="9">
        <f>data!D287-data!D286</f>
        <v>0.61500000000000021</v>
      </c>
      <c r="D286" s="10">
        <f>data!B287-data!B286</f>
        <v>-0.58750000000000036</v>
      </c>
      <c r="E286" s="9">
        <f>data!E286-data!G286</f>
        <v>2.0135000000000001</v>
      </c>
      <c r="F286" s="9">
        <f>(data!E286-data!F286)-(data!G286-data!H286)</f>
        <v>1.4631000000000001</v>
      </c>
      <c r="G286" s="9">
        <f t="shared" si="200"/>
        <v>-5.5699999999999861E-2</v>
      </c>
      <c r="H286" s="9">
        <f t="shared" si="201"/>
        <v>6.1000000000002164E-3</v>
      </c>
      <c r="I286" s="9">
        <f>IF(data!M287&gt; 111.81,1,0)</f>
        <v>0</v>
      </c>
      <c r="J286" s="9">
        <f t="shared" si="202"/>
        <v>1</v>
      </c>
      <c r="K286" s="9">
        <f t="shared" si="203"/>
        <v>0</v>
      </c>
      <c r="L286" s="9">
        <f t="shared" si="204"/>
        <v>0.16009999999999991</v>
      </c>
      <c r="M286" s="9">
        <f>data!J286</f>
        <v>-31.25</v>
      </c>
      <c r="N286" s="9">
        <f>data!I286</f>
        <v>-40.25</v>
      </c>
      <c r="O286" s="9">
        <f>data!L286</f>
        <v>-35.75</v>
      </c>
      <c r="P286" s="9">
        <f>data!K286</f>
        <v>-20.25</v>
      </c>
      <c r="Q286" s="9">
        <f>data!R286</f>
        <v>-12.75</v>
      </c>
      <c r="R286" s="9">
        <f t="shared" si="205"/>
        <v>-0.5</v>
      </c>
      <c r="S286" s="9">
        <f t="shared" si="206"/>
        <v>-2.25</v>
      </c>
      <c r="T286" s="9">
        <f t="shared" si="207"/>
        <v>3.75</v>
      </c>
      <c r="U286" s="9">
        <f t="shared" si="208"/>
        <v>2.75</v>
      </c>
      <c r="V286" s="9">
        <f t="shared" si="209"/>
        <v>4.25</v>
      </c>
      <c r="W286" s="9">
        <f t="shared" si="210"/>
        <v>7</v>
      </c>
      <c r="X286" s="9">
        <f t="shared" si="211"/>
        <v>7.6499999999999986</v>
      </c>
      <c r="Y286" s="9">
        <f t="shared" si="212"/>
        <v>5.8500000000000014</v>
      </c>
      <c r="Z286" s="9">
        <f t="shared" si="213"/>
        <v>2.75</v>
      </c>
      <c r="AA286" s="9">
        <f t="shared" si="214"/>
        <v>-0.25</v>
      </c>
      <c r="AB286" s="9">
        <f t="shared" si="215"/>
        <v>-0.75</v>
      </c>
      <c r="AC286" s="9">
        <f t="shared" si="216"/>
        <v>0.70000000000000284</v>
      </c>
      <c r="AD286" s="9">
        <f t="shared" si="217"/>
        <v>-0.25</v>
      </c>
      <c r="AE286" s="9">
        <f t="shared" si="218"/>
        <v>0.5</v>
      </c>
      <c r="AF286" s="9">
        <f t="shared" si="219"/>
        <v>4</v>
      </c>
      <c r="AG286" s="9">
        <f t="shared" si="220"/>
        <v>4.75</v>
      </c>
      <c r="AH286" s="9">
        <f t="shared" si="221"/>
        <v>2.1199999999999974</v>
      </c>
      <c r="AI286" s="9">
        <f t="shared" si="222"/>
        <v>1.5</v>
      </c>
      <c r="AJ286" s="9">
        <f t="shared" si="223"/>
        <v>-0.25</v>
      </c>
      <c r="AK286" s="9">
        <f t="shared" si="224"/>
        <v>-0.25</v>
      </c>
      <c r="AL286" s="9">
        <f t="shared" si="225"/>
        <v>2.5</v>
      </c>
      <c r="AM286" s="9">
        <f t="shared" si="226"/>
        <v>1.9500000000000028</v>
      </c>
      <c r="AN286" s="9">
        <f t="shared" si="227"/>
        <v>4.1000000000000014</v>
      </c>
      <c r="AO286" s="9">
        <f t="shared" si="228"/>
        <v>6.25</v>
      </c>
      <c r="AP286" s="9">
        <f t="shared" si="229"/>
        <v>5.25</v>
      </c>
      <c r="AQ286" s="9">
        <f t="shared" si="230"/>
        <v>3.3699999999999974</v>
      </c>
      <c r="AR286" s="9">
        <f t="shared" si="231"/>
        <v>6</v>
      </c>
      <c r="AS286" s="9">
        <f t="shared" si="232"/>
        <v>-0.25</v>
      </c>
      <c r="AT286" s="9">
        <f t="shared" si="233"/>
        <v>1</v>
      </c>
      <c r="AU286" s="9">
        <f t="shared" si="234"/>
        <v>2.4499999999999993</v>
      </c>
      <c r="AV286" s="9">
        <f t="shared" si="235"/>
        <v>3.4499999999999993</v>
      </c>
      <c r="AW286" s="9">
        <f t="shared" si="236"/>
        <v>5.5</v>
      </c>
      <c r="AX286" s="9">
        <f t="shared" si="237"/>
        <v>10.75</v>
      </c>
      <c r="AY286" s="9">
        <f t="shared" si="238"/>
        <v>7.65</v>
      </c>
      <c r="AZ286" s="9">
        <f t="shared" si="239"/>
        <v>5.1199999999999992</v>
      </c>
      <c r="BA286" s="9">
        <f t="shared" si="240"/>
        <v>11.75</v>
      </c>
      <c r="BB286" s="9">
        <f t="shared" si="241"/>
        <v>-0.5</v>
      </c>
      <c r="BC286" s="9">
        <f t="shared" si="242"/>
        <v>1.25</v>
      </c>
      <c r="BD286" s="9">
        <f t="shared" si="243"/>
        <v>2.0999999999999996</v>
      </c>
      <c r="BE286" s="9">
        <f t="shared" si="244"/>
        <v>3.0250000000000004</v>
      </c>
      <c r="BF286" s="9">
        <f t="shared" si="245"/>
        <v>5.9625000000000004</v>
      </c>
      <c r="BG286" s="9">
        <f t="shared" si="246"/>
        <v>10.5</v>
      </c>
      <c r="BH286" s="9">
        <f t="shared" si="247"/>
        <v>7</v>
      </c>
      <c r="BI286" s="9">
        <f t="shared" si="248"/>
        <v>4.5</v>
      </c>
      <c r="BJ286" s="9">
        <f t="shared" si="249"/>
        <v>10.875</v>
      </c>
    </row>
    <row r="287" spans="1:62" x14ac:dyDescent="0.2">
      <c r="A287" s="9">
        <f>data!M288-data!M287</f>
        <v>0.17629999999999768</v>
      </c>
      <c r="B287" s="9">
        <f>data!C288-data!C287</f>
        <v>1.5899999999999999</v>
      </c>
      <c r="C287" s="9">
        <f>data!D288-data!D287</f>
        <v>0.43499999999999872</v>
      </c>
      <c r="D287" s="10">
        <f>data!B288-data!B287</f>
        <v>0.13750000000000018</v>
      </c>
      <c r="E287" s="9">
        <f>data!E287-data!G287</f>
        <v>1.9578000000000002</v>
      </c>
      <c r="F287" s="9">
        <f>(data!E287-data!F287)-(data!G287-data!H287)</f>
        <v>1.4692000000000003</v>
      </c>
      <c r="G287" s="9">
        <f t="shared" si="200"/>
        <v>-8.3800000000000319E-2</v>
      </c>
      <c r="H287" s="9">
        <f t="shared" si="201"/>
        <v>-7.0200000000000262E-2</v>
      </c>
      <c r="I287" s="9">
        <f>IF(data!M288&gt; 111.81,1,0)</f>
        <v>0</v>
      </c>
      <c r="J287" s="9">
        <f t="shared" si="202"/>
        <v>1</v>
      </c>
      <c r="K287" s="9">
        <f t="shared" si="203"/>
        <v>0</v>
      </c>
      <c r="L287" s="9">
        <f t="shared" si="204"/>
        <v>0.17629999999999768</v>
      </c>
      <c r="M287" s="9">
        <f>data!J287</f>
        <v>-31.75</v>
      </c>
      <c r="N287" s="9">
        <f>data!I287</f>
        <v>-40.5</v>
      </c>
      <c r="O287" s="9">
        <f>data!L287</f>
        <v>-36</v>
      </c>
      <c r="P287" s="9">
        <f>data!K287</f>
        <v>-20.5</v>
      </c>
      <c r="Q287" s="9">
        <f>data!R287</f>
        <v>-13.25</v>
      </c>
      <c r="R287" s="9">
        <f t="shared" si="205"/>
        <v>-1.75</v>
      </c>
      <c r="S287" s="9">
        <f t="shared" si="206"/>
        <v>4.25</v>
      </c>
      <c r="T287" s="9">
        <f t="shared" si="207"/>
        <v>3.25</v>
      </c>
      <c r="U287" s="9">
        <f t="shared" si="208"/>
        <v>4.75</v>
      </c>
      <c r="V287" s="9">
        <f t="shared" si="209"/>
        <v>7.5</v>
      </c>
      <c r="W287" s="9">
        <f t="shared" si="210"/>
        <v>8.1499999999999986</v>
      </c>
      <c r="X287" s="9">
        <f t="shared" si="211"/>
        <v>6.3500000000000014</v>
      </c>
      <c r="Y287" s="9">
        <f t="shared" si="212"/>
        <v>3.25</v>
      </c>
      <c r="Z287" s="9">
        <f t="shared" si="213"/>
        <v>-1.75</v>
      </c>
      <c r="AA287" s="9">
        <f t="shared" si="214"/>
        <v>-0.5</v>
      </c>
      <c r="AB287" s="9">
        <f t="shared" si="215"/>
        <v>0.95000000000000284</v>
      </c>
      <c r="AC287" s="9">
        <f t="shared" si="216"/>
        <v>0</v>
      </c>
      <c r="AD287" s="9">
        <f t="shared" si="217"/>
        <v>0.75</v>
      </c>
      <c r="AE287" s="9">
        <f t="shared" si="218"/>
        <v>4.25</v>
      </c>
      <c r="AF287" s="9">
        <f t="shared" si="219"/>
        <v>5</v>
      </c>
      <c r="AG287" s="9">
        <f t="shared" si="220"/>
        <v>2.3699999999999974</v>
      </c>
      <c r="AH287" s="9">
        <f t="shared" si="221"/>
        <v>1.75</v>
      </c>
      <c r="AI287" s="9">
        <f t="shared" si="222"/>
        <v>-0.54999999999999716</v>
      </c>
      <c r="AJ287" s="9">
        <f t="shared" si="223"/>
        <v>0</v>
      </c>
      <c r="AK287" s="9">
        <f t="shared" si="224"/>
        <v>2.75</v>
      </c>
      <c r="AL287" s="9">
        <f t="shared" si="225"/>
        <v>2.2000000000000028</v>
      </c>
      <c r="AM287" s="9">
        <f t="shared" si="226"/>
        <v>4.3500000000000014</v>
      </c>
      <c r="AN287" s="9">
        <f t="shared" si="227"/>
        <v>6.5</v>
      </c>
      <c r="AO287" s="9">
        <f t="shared" si="228"/>
        <v>5.5</v>
      </c>
      <c r="AP287" s="9">
        <f t="shared" si="229"/>
        <v>3.6199999999999974</v>
      </c>
      <c r="AQ287" s="9">
        <f t="shared" si="230"/>
        <v>6.25</v>
      </c>
      <c r="AR287" s="9">
        <f t="shared" si="231"/>
        <v>5.6499999999999986</v>
      </c>
      <c r="AS287" s="9">
        <f t="shared" si="232"/>
        <v>1.25</v>
      </c>
      <c r="AT287" s="9">
        <f t="shared" si="233"/>
        <v>2.6999999999999993</v>
      </c>
      <c r="AU287" s="9">
        <f t="shared" si="234"/>
        <v>3.6999999999999993</v>
      </c>
      <c r="AV287" s="9">
        <f t="shared" si="235"/>
        <v>5.75</v>
      </c>
      <c r="AW287" s="9">
        <f t="shared" si="236"/>
        <v>11</v>
      </c>
      <c r="AX287" s="9">
        <f t="shared" si="237"/>
        <v>7.9</v>
      </c>
      <c r="AY287" s="9">
        <f t="shared" si="238"/>
        <v>5.3699999999999992</v>
      </c>
      <c r="AZ287" s="9">
        <f t="shared" si="239"/>
        <v>12</v>
      </c>
      <c r="BA287" s="9">
        <f t="shared" si="240"/>
        <v>11.125</v>
      </c>
      <c r="BB287" s="9">
        <f t="shared" si="241"/>
        <v>1.75</v>
      </c>
      <c r="BC287" s="9">
        <f t="shared" si="242"/>
        <v>2.5999999999999996</v>
      </c>
      <c r="BD287" s="9">
        <f t="shared" si="243"/>
        <v>3.5250000000000004</v>
      </c>
      <c r="BE287" s="9">
        <f t="shared" si="244"/>
        <v>6.4625000000000004</v>
      </c>
      <c r="BF287" s="9">
        <f t="shared" si="245"/>
        <v>11</v>
      </c>
      <c r="BG287" s="9">
        <f t="shared" si="246"/>
        <v>7.5</v>
      </c>
      <c r="BH287" s="9">
        <f t="shared" si="247"/>
        <v>5</v>
      </c>
      <c r="BI287" s="9">
        <f t="shared" si="248"/>
        <v>11.375</v>
      </c>
      <c r="BJ287" s="9">
        <f t="shared" si="249"/>
        <v>10.75</v>
      </c>
    </row>
    <row r="288" spans="1:62" x14ac:dyDescent="0.2">
      <c r="A288" s="9">
        <f>data!M289-data!M288</f>
        <v>-0.95149999999999579</v>
      </c>
      <c r="B288" s="9">
        <f>data!C289-data!C288</f>
        <v>-5.1400000000000006</v>
      </c>
      <c r="C288" s="9">
        <f>data!D289-data!D288</f>
        <v>-1.4849999999999994</v>
      </c>
      <c r="D288" s="10">
        <f>data!B289-data!B288</f>
        <v>0.53749999999999964</v>
      </c>
      <c r="E288" s="9">
        <f>data!E288-data!G288</f>
        <v>1.8739999999999999</v>
      </c>
      <c r="F288" s="9">
        <f>(data!E288-data!F288)-(data!G288-data!H288)</f>
        <v>1.399</v>
      </c>
      <c r="G288" s="9">
        <f t="shared" si="200"/>
        <v>1.4000000000000234E-2</v>
      </c>
      <c r="H288" s="9">
        <f t="shared" si="201"/>
        <v>1.4000000000000012E-2</v>
      </c>
      <c r="I288" s="9">
        <f>IF(data!M289&gt; 111.81,1,0)</f>
        <v>0</v>
      </c>
      <c r="J288" s="9">
        <f t="shared" si="202"/>
        <v>1</v>
      </c>
      <c r="K288" s="9">
        <f t="shared" si="203"/>
        <v>0</v>
      </c>
      <c r="L288" s="9">
        <f t="shared" si="204"/>
        <v>-0.95149999999999579</v>
      </c>
      <c r="M288" s="9">
        <f>data!J288</f>
        <v>-33.5</v>
      </c>
      <c r="N288" s="9">
        <f>data!I288</f>
        <v>-41</v>
      </c>
      <c r="O288" s="9">
        <f>data!L288</f>
        <v>-36</v>
      </c>
      <c r="P288" s="9">
        <f>data!K288</f>
        <v>-19.25</v>
      </c>
      <c r="Q288" s="9">
        <f>data!R288</f>
        <v>-11.5</v>
      </c>
      <c r="R288" s="9">
        <f t="shared" si="205"/>
        <v>6</v>
      </c>
      <c r="S288" s="9">
        <f t="shared" si="206"/>
        <v>5</v>
      </c>
      <c r="T288" s="9">
        <f t="shared" si="207"/>
        <v>6.5</v>
      </c>
      <c r="U288" s="9">
        <f t="shared" si="208"/>
        <v>9.25</v>
      </c>
      <c r="V288" s="9">
        <f t="shared" si="209"/>
        <v>9.8999999999999986</v>
      </c>
      <c r="W288" s="9">
        <f t="shared" si="210"/>
        <v>8.1000000000000014</v>
      </c>
      <c r="X288" s="9">
        <f t="shared" si="211"/>
        <v>5</v>
      </c>
      <c r="Y288" s="9">
        <f t="shared" si="212"/>
        <v>0</v>
      </c>
      <c r="Z288" s="9">
        <f t="shared" si="213"/>
        <v>0.10000000000000142</v>
      </c>
      <c r="AA288" s="9">
        <f t="shared" si="214"/>
        <v>1.4500000000000028</v>
      </c>
      <c r="AB288" s="9">
        <f t="shared" si="215"/>
        <v>0.5</v>
      </c>
      <c r="AC288" s="9">
        <f t="shared" si="216"/>
        <v>1.25</v>
      </c>
      <c r="AD288" s="9">
        <f t="shared" si="217"/>
        <v>4.75</v>
      </c>
      <c r="AE288" s="9">
        <f t="shared" si="218"/>
        <v>5.5</v>
      </c>
      <c r="AF288" s="9">
        <f t="shared" si="219"/>
        <v>2.8699999999999974</v>
      </c>
      <c r="AG288" s="9">
        <f t="shared" si="220"/>
        <v>2.25</v>
      </c>
      <c r="AH288" s="9">
        <f t="shared" si="221"/>
        <v>-4.9999999999997158E-2</v>
      </c>
      <c r="AI288" s="9">
        <f t="shared" si="222"/>
        <v>-4</v>
      </c>
      <c r="AJ288" s="9">
        <f t="shared" si="223"/>
        <v>2.75</v>
      </c>
      <c r="AK288" s="9">
        <f t="shared" si="224"/>
        <v>2.2000000000000028</v>
      </c>
      <c r="AL288" s="9">
        <f t="shared" si="225"/>
        <v>4.3500000000000014</v>
      </c>
      <c r="AM288" s="9">
        <f t="shared" si="226"/>
        <v>6.5</v>
      </c>
      <c r="AN288" s="9">
        <f t="shared" si="227"/>
        <v>5.5</v>
      </c>
      <c r="AO288" s="9">
        <f t="shared" si="228"/>
        <v>3.6199999999999974</v>
      </c>
      <c r="AP288" s="9">
        <f t="shared" si="229"/>
        <v>6.25</v>
      </c>
      <c r="AQ288" s="9">
        <f t="shared" si="230"/>
        <v>5.6499999999999986</v>
      </c>
      <c r="AR288" s="9">
        <f t="shared" si="231"/>
        <v>1.25</v>
      </c>
      <c r="AS288" s="9">
        <f t="shared" si="232"/>
        <v>1.4499999999999993</v>
      </c>
      <c r="AT288" s="9">
        <f t="shared" si="233"/>
        <v>2.4499999999999993</v>
      </c>
      <c r="AU288" s="9">
        <f t="shared" si="234"/>
        <v>4.5</v>
      </c>
      <c r="AV288" s="9">
        <f t="shared" si="235"/>
        <v>9.75</v>
      </c>
      <c r="AW288" s="9">
        <f t="shared" si="236"/>
        <v>6.65</v>
      </c>
      <c r="AX288" s="9">
        <f t="shared" si="237"/>
        <v>4.1199999999999992</v>
      </c>
      <c r="AY288" s="9">
        <f t="shared" si="238"/>
        <v>10.75</v>
      </c>
      <c r="AZ288" s="9">
        <f t="shared" si="239"/>
        <v>9.875</v>
      </c>
      <c r="BA288" s="9">
        <f t="shared" si="240"/>
        <v>4.4499999999999993</v>
      </c>
      <c r="BB288" s="9">
        <f t="shared" si="241"/>
        <v>0.84999999999999964</v>
      </c>
      <c r="BC288" s="9">
        <f t="shared" si="242"/>
        <v>1.7750000000000004</v>
      </c>
      <c r="BD288" s="9">
        <f t="shared" si="243"/>
        <v>4.7125000000000004</v>
      </c>
      <c r="BE288" s="9">
        <f t="shared" si="244"/>
        <v>9.25</v>
      </c>
      <c r="BF288" s="9">
        <f t="shared" si="245"/>
        <v>5.75</v>
      </c>
      <c r="BG288" s="9">
        <f t="shared" si="246"/>
        <v>3.25</v>
      </c>
      <c r="BH288" s="9">
        <f t="shared" si="247"/>
        <v>9.625</v>
      </c>
      <c r="BI288" s="9">
        <f t="shared" si="248"/>
        <v>9</v>
      </c>
      <c r="BJ288" s="9">
        <f t="shared" si="249"/>
        <v>3.75</v>
      </c>
    </row>
    <row r="289" spans="1:62" x14ac:dyDescent="0.2">
      <c r="A289" s="9">
        <f>data!M290-data!M289</f>
        <v>-0.17690000000000339</v>
      </c>
      <c r="B289" s="9">
        <f>data!C290-data!C289</f>
        <v>1.2699999999999996</v>
      </c>
      <c r="C289" s="9">
        <f>data!D290-data!D289</f>
        <v>1.0150000000000006</v>
      </c>
      <c r="D289" s="10">
        <f>data!B290-data!B289</f>
        <v>-6.25E-2</v>
      </c>
      <c r="E289" s="9">
        <f>data!E289-data!G289</f>
        <v>1.8880000000000001</v>
      </c>
      <c r="F289" s="9">
        <f>(data!E289-data!F289)-(data!G289-data!H289)</f>
        <v>1.413</v>
      </c>
      <c r="G289" s="9">
        <f t="shared" si="200"/>
        <v>-6.150000000000011E-2</v>
      </c>
      <c r="H289" s="9">
        <f t="shared" si="201"/>
        <v>-2.2100000000000009E-2</v>
      </c>
      <c r="I289" s="9">
        <f>IF(data!M290&gt; 111.81,1,0)</f>
        <v>0</v>
      </c>
      <c r="J289" s="9">
        <f t="shared" si="202"/>
        <v>1</v>
      </c>
      <c r="K289" s="9">
        <f t="shared" si="203"/>
        <v>0</v>
      </c>
      <c r="L289" s="9">
        <f t="shared" si="204"/>
        <v>-0.17690000000000339</v>
      </c>
      <c r="M289" s="9">
        <f>data!J289</f>
        <v>-27.5</v>
      </c>
      <c r="N289" s="9">
        <f>data!I289</f>
        <v>-39.549999999999997</v>
      </c>
      <c r="O289" s="9">
        <f>data!L289</f>
        <v>-33.25</v>
      </c>
      <c r="P289" s="9">
        <f>data!K289</f>
        <v>-17.8</v>
      </c>
      <c r="Q289" s="9">
        <f>data!R289</f>
        <v>-10.65</v>
      </c>
      <c r="R289" s="9">
        <f t="shared" si="205"/>
        <v>-1</v>
      </c>
      <c r="S289" s="9">
        <f t="shared" si="206"/>
        <v>0.5</v>
      </c>
      <c r="T289" s="9">
        <f t="shared" si="207"/>
        <v>3.25</v>
      </c>
      <c r="U289" s="9">
        <f t="shared" si="208"/>
        <v>3.8999999999999986</v>
      </c>
      <c r="V289" s="9">
        <f t="shared" si="209"/>
        <v>2.1000000000000014</v>
      </c>
      <c r="W289" s="9">
        <f t="shared" si="210"/>
        <v>-1</v>
      </c>
      <c r="X289" s="9">
        <f t="shared" si="211"/>
        <v>-6</v>
      </c>
      <c r="Y289" s="9">
        <f t="shared" si="212"/>
        <v>-5.8999999999999986</v>
      </c>
      <c r="Z289" s="9">
        <f t="shared" si="213"/>
        <v>-4.9750000000000014</v>
      </c>
      <c r="AA289" s="9">
        <f t="shared" si="214"/>
        <v>-0.95000000000000284</v>
      </c>
      <c r="AB289" s="9">
        <f t="shared" si="215"/>
        <v>-0.20000000000000284</v>
      </c>
      <c r="AC289" s="9">
        <f t="shared" si="216"/>
        <v>3.2999999999999972</v>
      </c>
      <c r="AD289" s="9">
        <f t="shared" si="217"/>
        <v>4.0499999999999972</v>
      </c>
      <c r="AE289" s="9">
        <f t="shared" si="218"/>
        <v>1.4199999999999946</v>
      </c>
      <c r="AF289" s="9">
        <f t="shared" si="219"/>
        <v>0.79999999999999716</v>
      </c>
      <c r="AG289" s="9">
        <f t="shared" si="220"/>
        <v>-1.5</v>
      </c>
      <c r="AH289" s="9">
        <f t="shared" si="221"/>
        <v>-5.4500000000000028</v>
      </c>
      <c r="AI289" s="9">
        <f t="shared" si="222"/>
        <v>-5.4500000000000028</v>
      </c>
      <c r="AJ289" s="9">
        <f t="shared" si="223"/>
        <v>-0.54999999999999716</v>
      </c>
      <c r="AK289" s="9">
        <f t="shared" si="224"/>
        <v>1.6000000000000014</v>
      </c>
      <c r="AL289" s="9">
        <f t="shared" si="225"/>
        <v>3.75</v>
      </c>
      <c r="AM289" s="9">
        <f t="shared" si="226"/>
        <v>2.75</v>
      </c>
      <c r="AN289" s="9">
        <f t="shared" si="227"/>
        <v>0.86999999999999744</v>
      </c>
      <c r="AO289" s="9">
        <f t="shared" si="228"/>
        <v>3.5</v>
      </c>
      <c r="AP289" s="9">
        <f t="shared" si="229"/>
        <v>2.8999999999999986</v>
      </c>
      <c r="AQ289" s="9">
        <f t="shared" si="230"/>
        <v>-1.5</v>
      </c>
      <c r="AR289" s="9">
        <f t="shared" si="231"/>
        <v>-1.5249999999999986</v>
      </c>
      <c r="AS289" s="9">
        <f t="shared" si="232"/>
        <v>1</v>
      </c>
      <c r="AT289" s="9">
        <f t="shared" si="233"/>
        <v>3.0500000000000007</v>
      </c>
      <c r="AU289" s="9">
        <f t="shared" si="234"/>
        <v>8.3000000000000007</v>
      </c>
      <c r="AV289" s="9">
        <f t="shared" si="235"/>
        <v>5.2000000000000011</v>
      </c>
      <c r="AW289" s="9">
        <f t="shared" si="236"/>
        <v>2.67</v>
      </c>
      <c r="AX289" s="9">
        <f t="shared" si="237"/>
        <v>9.3000000000000007</v>
      </c>
      <c r="AY289" s="9">
        <f t="shared" si="238"/>
        <v>8.4250000000000007</v>
      </c>
      <c r="AZ289" s="9">
        <f t="shared" si="239"/>
        <v>3</v>
      </c>
      <c r="BA289" s="9">
        <f t="shared" si="240"/>
        <v>2.5500000000000007</v>
      </c>
      <c r="BB289" s="9">
        <f t="shared" si="241"/>
        <v>0.92500000000000071</v>
      </c>
      <c r="BC289" s="9">
        <f t="shared" si="242"/>
        <v>3.8625000000000007</v>
      </c>
      <c r="BD289" s="9">
        <f t="shared" si="243"/>
        <v>8.4</v>
      </c>
      <c r="BE289" s="9">
        <f t="shared" si="244"/>
        <v>4.9000000000000004</v>
      </c>
      <c r="BF289" s="9">
        <f t="shared" si="245"/>
        <v>2.4000000000000004</v>
      </c>
      <c r="BG289" s="9">
        <f t="shared" si="246"/>
        <v>8.7750000000000004</v>
      </c>
      <c r="BH289" s="9">
        <f t="shared" si="247"/>
        <v>8.15</v>
      </c>
      <c r="BI289" s="9">
        <f t="shared" si="248"/>
        <v>2.9000000000000004</v>
      </c>
      <c r="BJ289" s="9">
        <f t="shared" si="249"/>
        <v>2.1500000000000004</v>
      </c>
    </row>
    <row r="290" spans="1:62" x14ac:dyDescent="0.2">
      <c r="A290" s="9">
        <f>data!M291-data!M290</f>
        <v>-0.36299999999999955</v>
      </c>
      <c r="B290" s="9">
        <f>data!C291-data!C290</f>
        <v>-2.7800000000000011</v>
      </c>
      <c r="C290" s="9">
        <f>data!D291-data!D290</f>
        <v>-0.92999999999999972</v>
      </c>
      <c r="D290" s="10">
        <f>data!B291-data!B290</f>
        <v>0.33500000000000041</v>
      </c>
      <c r="E290" s="9">
        <f>data!E290-data!G290</f>
        <v>1.8265</v>
      </c>
      <c r="F290" s="9">
        <f>(data!E290-data!F290)-(data!G290-data!H290)</f>
        <v>1.3909</v>
      </c>
      <c r="G290" s="9">
        <f t="shared" si="200"/>
        <v>9.2799999999999994E-2</v>
      </c>
      <c r="H290" s="9">
        <f t="shared" si="201"/>
        <v>9.4200000000000061E-2</v>
      </c>
      <c r="I290" s="9">
        <f>IF(data!M291&gt; 111.81,1,0)</f>
        <v>0</v>
      </c>
      <c r="J290" s="9">
        <f t="shared" si="202"/>
        <v>1</v>
      </c>
      <c r="K290" s="9">
        <f t="shared" si="203"/>
        <v>0</v>
      </c>
      <c r="L290" s="9">
        <f t="shared" si="204"/>
        <v>-0.36299999999999955</v>
      </c>
      <c r="M290" s="9">
        <f>data!J290</f>
        <v>-28.5</v>
      </c>
      <c r="N290" s="9">
        <f>data!I290</f>
        <v>-40.5</v>
      </c>
      <c r="O290" s="9">
        <f>data!L290</f>
        <v>-33.799999999999997</v>
      </c>
      <c r="P290" s="9">
        <f>data!K290</f>
        <v>-16.8</v>
      </c>
      <c r="Q290" s="9">
        <f>data!R290</f>
        <v>-9.7249999999999996</v>
      </c>
      <c r="R290" s="9">
        <f t="shared" si="205"/>
        <v>1.5</v>
      </c>
      <c r="S290" s="9">
        <f t="shared" si="206"/>
        <v>4.25</v>
      </c>
      <c r="T290" s="9">
        <f t="shared" si="207"/>
        <v>4.8999999999999986</v>
      </c>
      <c r="U290" s="9">
        <f t="shared" si="208"/>
        <v>3.1000000000000014</v>
      </c>
      <c r="V290" s="9">
        <f t="shared" si="209"/>
        <v>0</v>
      </c>
      <c r="W290" s="9">
        <f t="shared" si="210"/>
        <v>-5</v>
      </c>
      <c r="X290" s="9">
        <f t="shared" si="211"/>
        <v>-4.8999999999999986</v>
      </c>
      <c r="Y290" s="9">
        <f t="shared" si="212"/>
        <v>-3.9750000000000014</v>
      </c>
      <c r="Z290" s="9">
        <f t="shared" si="213"/>
        <v>-12.5</v>
      </c>
      <c r="AA290" s="9">
        <f t="shared" si="214"/>
        <v>0.75</v>
      </c>
      <c r="AB290" s="9">
        <f t="shared" si="215"/>
        <v>4.25</v>
      </c>
      <c r="AC290" s="9">
        <f t="shared" si="216"/>
        <v>5</v>
      </c>
      <c r="AD290" s="9">
        <f t="shared" si="217"/>
        <v>2.3699999999999974</v>
      </c>
      <c r="AE290" s="9">
        <f t="shared" si="218"/>
        <v>1.75</v>
      </c>
      <c r="AF290" s="9">
        <f t="shared" si="219"/>
        <v>-0.54999999999999716</v>
      </c>
      <c r="AG290" s="9">
        <f t="shared" si="220"/>
        <v>-4.5</v>
      </c>
      <c r="AH290" s="9">
        <f t="shared" si="221"/>
        <v>-4.5</v>
      </c>
      <c r="AI290" s="9">
        <f t="shared" si="222"/>
        <v>-5.2999999999999972</v>
      </c>
      <c r="AJ290" s="9">
        <f t="shared" si="223"/>
        <v>2.1499999999999986</v>
      </c>
      <c r="AK290" s="9">
        <f t="shared" si="224"/>
        <v>4.2999999999999972</v>
      </c>
      <c r="AL290" s="9">
        <f t="shared" si="225"/>
        <v>3.2999999999999972</v>
      </c>
      <c r="AM290" s="9">
        <f t="shared" si="226"/>
        <v>1.4199999999999946</v>
      </c>
      <c r="AN290" s="9">
        <f t="shared" si="227"/>
        <v>4.0499999999999972</v>
      </c>
      <c r="AO290" s="9">
        <f t="shared" si="228"/>
        <v>3.4499999999999957</v>
      </c>
      <c r="AP290" s="9">
        <f t="shared" si="229"/>
        <v>-0.95000000000000284</v>
      </c>
      <c r="AQ290" s="9">
        <f t="shared" si="230"/>
        <v>-0.97500000000000142</v>
      </c>
      <c r="AR290" s="9">
        <f t="shared" si="231"/>
        <v>-0.70000000000000284</v>
      </c>
      <c r="AS290" s="9">
        <f t="shared" si="232"/>
        <v>2.0500000000000007</v>
      </c>
      <c r="AT290" s="9">
        <f t="shared" si="233"/>
        <v>7.3000000000000007</v>
      </c>
      <c r="AU290" s="9">
        <f t="shared" si="234"/>
        <v>4.2000000000000011</v>
      </c>
      <c r="AV290" s="9">
        <f t="shared" si="235"/>
        <v>1.67</v>
      </c>
      <c r="AW290" s="9">
        <f t="shared" si="236"/>
        <v>8.3000000000000007</v>
      </c>
      <c r="AX290" s="9">
        <f t="shared" si="237"/>
        <v>7.4250000000000007</v>
      </c>
      <c r="AY290" s="9">
        <f t="shared" si="238"/>
        <v>2</v>
      </c>
      <c r="AZ290" s="9">
        <f t="shared" si="239"/>
        <v>1.5500000000000007</v>
      </c>
      <c r="BA290" s="9">
        <f t="shared" si="240"/>
        <v>2</v>
      </c>
      <c r="BB290" s="9">
        <f t="shared" si="241"/>
        <v>2.9375</v>
      </c>
      <c r="BC290" s="9">
        <f t="shared" si="242"/>
        <v>7.4749999999999996</v>
      </c>
      <c r="BD290" s="9">
        <f t="shared" si="243"/>
        <v>3.9749999999999996</v>
      </c>
      <c r="BE290" s="9">
        <f t="shared" si="244"/>
        <v>1.4749999999999996</v>
      </c>
      <c r="BF290" s="9">
        <f t="shared" si="245"/>
        <v>7.85</v>
      </c>
      <c r="BG290" s="9">
        <f t="shared" si="246"/>
        <v>7.2249999999999996</v>
      </c>
      <c r="BH290" s="9">
        <f t="shared" si="247"/>
        <v>1.9749999999999996</v>
      </c>
      <c r="BI290" s="9">
        <f t="shared" si="248"/>
        <v>1.2249999999999996</v>
      </c>
      <c r="BJ290" s="9">
        <f t="shared" si="249"/>
        <v>1.7249999999999996</v>
      </c>
    </row>
    <row r="291" spans="1:62" x14ac:dyDescent="0.2">
      <c r="A291" s="9">
        <f>data!M292-data!M291</f>
        <v>-0.86379999999999768</v>
      </c>
      <c r="B291" s="9">
        <f>data!C292-data!C291</f>
        <v>3.0000000000001137E-2</v>
      </c>
      <c r="C291" s="9">
        <f>data!D292-data!D291</f>
        <v>-9.9999999999997868E-3</v>
      </c>
      <c r="D291" s="10">
        <f>data!B292-data!B291</f>
        <v>0.11999999999999966</v>
      </c>
      <c r="E291" s="9">
        <f>data!E291-data!G291</f>
        <v>1.9193</v>
      </c>
      <c r="F291" s="9">
        <f>(data!E291-data!F291)-(data!G291-data!H291)</f>
        <v>1.4851000000000001</v>
      </c>
      <c r="G291" s="9">
        <f t="shared" si="200"/>
        <v>-8.8100000000000289E-2</v>
      </c>
      <c r="H291" s="9">
        <f t="shared" si="201"/>
        <v>-4.5000000000000373E-2</v>
      </c>
      <c r="I291" s="9">
        <f>IF(data!M292&gt; 111.81,1,0)</f>
        <v>0</v>
      </c>
      <c r="J291" s="9">
        <f t="shared" si="202"/>
        <v>1</v>
      </c>
      <c r="K291" s="9">
        <f t="shared" si="203"/>
        <v>0</v>
      </c>
      <c r="L291" s="9">
        <f t="shared" si="204"/>
        <v>-0.86379999999999768</v>
      </c>
      <c r="M291" s="9">
        <f>data!J291</f>
        <v>-27</v>
      </c>
      <c r="N291" s="9">
        <f>data!I291</f>
        <v>-39.75</v>
      </c>
      <c r="O291" s="9">
        <f>data!L291</f>
        <v>-31.65</v>
      </c>
      <c r="P291" s="9">
        <f>data!K291</f>
        <v>-14.75</v>
      </c>
      <c r="Q291" s="9">
        <f>data!R291</f>
        <v>-6.7874999999999996</v>
      </c>
      <c r="R291" s="9">
        <f t="shared" si="205"/>
        <v>2.75</v>
      </c>
      <c r="S291" s="9">
        <f t="shared" si="206"/>
        <v>3.3999999999999986</v>
      </c>
      <c r="T291" s="9">
        <f t="shared" si="207"/>
        <v>1.6000000000000014</v>
      </c>
      <c r="U291" s="9">
        <f t="shared" si="208"/>
        <v>-1.5</v>
      </c>
      <c r="V291" s="9">
        <f t="shared" si="209"/>
        <v>-6.5</v>
      </c>
      <c r="W291" s="9">
        <f t="shared" si="210"/>
        <v>-6.3999999999999986</v>
      </c>
      <c r="X291" s="9">
        <f t="shared" si="211"/>
        <v>-5.4750000000000014</v>
      </c>
      <c r="Y291" s="9">
        <f t="shared" si="212"/>
        <v>-14</v>
      </c>
      <c r="Z291" s="9">
        <f t="shared" si="213"/>
        <v>-7.8999999999999986</v>
      </c>
      <c r="AA291" s="9">
        <f t="shared" si="214"/>
        <v>3.5</v>
      </c>
      <c r="AB291" s="9">
        <f t="shared" si="215"/>
        <v>4.25</v>
      </c>
      <c r="AC291" s="9">
        <f t="shared" si="216"/>
        <v>1.6199999999999974</v>
      </c>
      <c r="AD291" s="9">
        <f t="shared" si="217"/>
        <v>1</v>
      </c>
      <c r="AE291" s="9">
        <f t="shared" si="218"/>
        <v>-1.2999999999999972</v>
      </c>
      <c r="AF291" s="9">
        <f t="shared" si="219"/>
        <v>-5.25</v>
      </c>
      <c r="AG291" s="9">
        <f t="shared" si="220"/>
        <v>-5.25</v>
      </c>
      <c r="AH291" s="9">
        <f t="shared" si="221"/>
        <v>-6.0499999999999972</v>
      </c>
      <c r="AI291" s="9">
        <f t="shared" si="222"/>
        <v>-5.25</v>
      </c>
      <c r="AJ291" s="9">
        <f t="shared" si="223"/>
        <v>2.1499999999999986</v>
      </c>
      <c r="AK291" s="9">
        <f t="shared" si="224"/>
        <v>1.1499999999999986</v>
      </c>
      <c r="AL291" s="9">
        <f t="shared" si="225"/>
        <v>-0.73000000000000398</v>
      </c>
      <c r="AM291" s="9">
        <f t="shared" si="226"/>
        <v>1.8999999999999986</v>
      </c>
      <c r="AN291" s="9">
        <f t="shared" si="227"/>
        <v>1.2999999999999972</v>
      </c>
      <c r="AO291" s="9">
        <f t="shared" si="228"/>
        <v>-3.1000000000000014</v>
      </c>
      <c r="AP291" s="9">
        <f t="shared" si="229"/>
        <v>-3.125</v>
      </c>
      <c r="AQ291" s="9">
        <f t="shared" si="230"/>
        <v>-2.8500000000000014</v>
      </c>
      <c r="AR291" s="9">
        <f t="shared" si="231"/>
        <v>-1.8500000000000014</v>
      </c>
      <c r="AS291" s="9">
        <f t="shared" si="232"/>
        <v>5.25</v>
      </c>
      <c r="AT291" s="9">
        <f t="shared" si="233"/>
        <v>2.1500000000000004</v>
      </c>
      <c r="AU291" s="9">
        <f t="shared" si="234"/>
        <v>-0.38000000000000078</v>
      </c>
      <c r="AV291" s="9">
        <f t="shared" si="235"/>
        <v>6.25</v>
      </c>
      <c r="AW291" s="9">
        <f t="shared" si="236"/>
        <v>5.375</v>
      </c>
      <c r="AX291" s="9">
        <f t="shared" si="237"/>
        <v>-5.0000000000000711E-2</v>
      </c>
      <c r="AY291" s="9">
        <f t="shared" si="238"/>
        <v>-0.5</v>
      </c>
      <c r="AZ291" s="9">
        <f t="shared" si="239"/>
        <v>-5.0000000000000711E-2</v>
      </c>
      <c r="BA291" s="9">
        <f t="shared" si="240"/>
        <v>0.94999999999999929</v>
      </c>
      <c r="BB291" s="9">
        <f t="shared" si="241"/>
        <v>4.5374999999999996</v>
      </c>
      <c r="BC291" s="9">
        <f t="shared" si="242"/>
        <v>1.0374999999999996</v>
      </c>
      <c r="BD291" s="9">
        <f t="shared" si="243"/>
        <v>-1.4625000000000004</v>
      </c>
      <c r="BE291" s="9">
        <f t="shared" si="244"/>
        <v>4.9124999999999996</v>
      </c>
      <c r="BF291" s="9">
        <f t="shared" si="245"/>
        <v>4.2874999999999996</v>
      </c>
      <c r="BG291" s="9">
        <f t="shared" si="246"/>
        <v>-0.96250000000000036</v>
      </c>
      <c r="BH291" s="9">
        <f t="shared" si="247"/>
        <v>-1.7125000000000004</v>
      </c>
      <c r="BI291" s="9">
        <f t="shared" si="248"/>
        <v>-1.2125000000000004</v>
      </c>
      <c r="BJ291" s="9">
        <f t="shared" si="249"/>
        <v>-1.2500000000000178E-2</v>
      </c>
    </row>
    <row r="292" spans="1:62" x14ac:dyDescent="0.2">
      <c r="A292" s="9">
        <f>data!M293-data!M292</f>
        <v>-0.68780000000000996</v>
      </c>
      <c r="B292" s="9">
        <f>data!C293-data!C292</f>
        <v>-1.7600000000000016</v>
      </c>
      <c r="C292" s="9">
        <f>data!D293-data!D292</f>
        <v>0.13499999999999979</v>
      </c>
      <c r="D292" s="10">
        <f>data!B293-data!B292</f>
        <v>0.25</v>
      </c>
      <c r="E292" s="9">
        <f>data!E292-data!G292</f>
        <v>1.8311999999999997</v>
      </c>
      <c r="F292" s="9">
        <f>(data!E292-data!F292)-(data!G292-data!H292)</f>
        <v>1.4400999999999997</v>
      </c>
      <c r="G292" s="9">
        <f t="shared" si="200"/>
        <v>-7.8599999999999559E-2</v>
      </c>
      <c r="H292" s="9">
        <f t="shared" si="201"/>
        <v>-4.3099999999999916E-2</v>
      </c>
      <c r="I292" s="9">
        <f>IF(data!M293&gt; 111.81,1,0)</f>
        <v>0</v>
      </c>
      <c r="J292" s="9">
        <f t="shared" si="202"/>
        <v>1</v>
      </c>
      <c r="K292" s="9">
        <f t="shared" si="203"/>
        <v>0</v>
      </c>
      <c r="L292" s="9">
        <f t="shared" si="204"/>
        <v>-0.68780000000000996</v>
      </c>
      <c r="M292" s="9">
        <f>data!J292</f>
        <v>-24.25</v>
      </c>
      <c r="N292" s="9">
        <f>data!I292</f>
        <v>-36.25</v>
      </c>
      <c r="O292" s="9">
        <f>data!L292</f>
        <v>-29.5</v>
      </c>
      <c r="P292" s="9">
        <f>data!K292</f>
        <v>-9.5</v>
      </c>
      <c r="Q292" s="9">
        <f>data!R292</f>
        <v>-2.25</v>
      </c>
      <c r="R292" s="9">
        <f t="shared" si="205"/>
        <v>0.64999999999999858</v>
      </c>
      <c r="S292" s="9">
        <f t="shared" si="206"/>
        <v>-1.1499999999999986</v>
      </c>
      <c r="T292" s="9">
        <f t="shared" si="207"/>
        <v>-4.25</v>
      </c>
      <c r="U292" s="9">
        <f t="shared" si="208"/>
        <v>-9.25</v>
      </c>
      <c r="V292" s="9">
        <f t="shared" si="209"/>
        <v>-9.1499999999999986</v>
      </c>
      <c r="W292" s="9">
        <f t="shared" si="210"/>
        <v>-8.2250000000000014</v>
      </c>
      <c r="X292" s="9">
        <f t="shared" si="211"/>
        <v>-16.75</v>
      </c>
      <c r="Y292" s="9">
        <f t="shared" si="212"/>
        <v>-10.649999999999999</v>
      </c>
      <c r="Z292" s="9">
        <f t="shared" si="213"/>
        <v>-11.75</v>
      </c>
      <c r="AA292" s="9">
        <f t="shared" si="214"/>
        <v>0.75</v>
      </c>
      <c r="AB292" s="9">
        <f t="shared" si="215"/>
        <v>-1.8800000000000026</v>
      </c>
      <c r="AC292" s="9">
        <f t="shared" si="216"/>
        <v>-2.5</v>
      </c>
      <c r="AD292" s="9">
        <f t="shared" si="217"/>
        <v>-4.7999999999999972</v>
      </c>
      <c r="AE292" s="9">
        <f t="shared" si="218"/>
        <v>-8.75</v>
      </c>
      <c r="AF292" s="9">
        <f t="shared" si="219"/>
        <v>-8.75</v>
      </c>
      <c r="AG292" s="9">
        <f t="shared" si="220"/>
        <v>-9.5499999999999972</v>
      </c>
      <c r="AH292" s="9">
        <f t="shared" si="221"/>
        <v>-8.75</v>
      </c>
      <c r="AI292" s="9">
        <f t="shared" si="222"/>
        <v>-8.75</v>
      </c>
      <c r="AJ292" s="9">
        <f t="shared" si="223"/>
        <v>-1</v>
      </c>
      <c r="AK292" s="9">
        <f t="shared" si="224"/>
        <v>-2.8800000000000026</v>
      </c>
      <c r="AL292" s="9">
        <f t="shared" si="225"/>
        <v>-0.25</v>
      </c>
      <c r="AM292" s="9">
        <f t="shared" si="226"/>
        <v>-0.85000000000000142</v>
      </c>
      <c r="AN292" s="9">
        <f t="shared" si="227"/>
        <v>-5.25</v>
      </c>
      <c r="AO292" s="9">
        <f t="shared" si="228"/>
        <v>-5.2749999999999986</v>
      </c>
      <c r="AP292" s="9">
        <f t="shared" si="229"/>
        <v>-5</v>
      </c>
      <c r="AQ292" s="9">
        <f t="shared" si="230"/>
        <v>-4</v>
      </c>
      <c r="AR292" s="9">
        <f t="shared" si="231"/>
        <v>-4</v>
      </c>
      <c r="AS292" s="9">
        <f t="shared" si="232"/>
        <v>-3.0999999999999996</v>
      </c>
      <c r="AT292" s="9">
        <f t="shared" si="233"/>
        <v>-5.6300000000000008</v>
      </c>
      <c r="AU292" s="9">
        <f t="shared" si="234"/>
        <v>1</v>
      </c>
      <c r="AV292" s="9">
        <f t="shared" si="235"/>
        <v>0.125</v>
      </c>
      <c r="AW292" s="9">
        <f t="shared" si="236"/>
        <v>-5.3000000000000007</v>
      </c>
      <c r="AX292" s="9">
        <f t="shared" si="237"/>
        <v>-5.75</v>
      </c>
      <c r="AY292" s="9">
        <f t="shared" si="238"/>
        <v>-5.3000000000000007</v>
      </c>
      <c r="AZ292" s="9">
        <f t="shared" si="239"/>
        <v>-4.3000000000000007</v>
      </c>
      <c r="BA292" s="9">
        <f t="shared" si="240"/>
        <v>-4.3874999999999993</v>
      </c>
      <c r="BB292" s="9">
        <f t="shared" si="241"/>
        <v>-3.5</v>
      </c>
      <c r="BC292" s="9">
        <f t="shared" si="242"/>
        <v>-6</v>
      </c>
      <c r="BD292" s="9">
        <f t="shared" si="243"/>
        <v>0.375</v>
      </c>
      <c r="BE292" s="9">
        <f t="shared" si="244"/>
        <v>-0.25</v>
      </c>
      <c r="BF292" s="9">
        <f t="shared" si="245"/>
        <v>-5.5</v>
      </c>
      <c r="BG292" s="9">
        <f t="shared" si="246"/>
        <v>-6.25</v>
      </c>
      <c r="BH292" s="9">
        <f t="shared" si="247"/>
        <v>-5.75</v>
      </c>
      <c r="BI292" s="9">
        <f t="shared" si="248"/>
        <v>-4.55</v>
      </c>
      <c r="BJ292" s="9">
        <f t="shared" si="249"/>
        <v>-4.6375000000000002</v>
      </c>
    </row>
    <row r="293" spans="1:62" x14ac:dyDescent="0.2">
      <c r="A293" s="9">
        <f>data!M294-data!M293</f>
        <v>1.4542000000000002</v>
      </c>
      <c r="B293" s="9">
        <f>data!C294-data!C293</f>
        <v>4.5</v>
      </c>
      <c r="C293" s="9">
        <f>data!D294-data!D293</f>
        <v>-1.2500000000001066E-2</v>
      </c>
      <c r="D293" s="10">
        <f>data!B294-data!B293</f>
        <v>-0.30499999999999972</v>
      </c>
      <c r="E293" s="9">
        <f>data!E293-data!G293</f>
        <v>1.7526000000000002</v>
      </c>
      <c r="F293" s="9">
        <f>(data!E293-data!F293)-(data!G293-data!H293)</f>
        <v>1.3969999999999998</v>
      </c>
      <c r="G293" s="9">
        <f t="shared" si="200"/>
        <v>-7.0999999999999952E-2</v>
      </c>
      <c r="H293" s="9">
        <f t="shared" si="201"/>
        <v>-0.10289999999999933</v>
      </c>
      <c r="I293" s="9">
        <f>IF(data!M294&gt; 111.81,1,0)</f>
        <v>0</v>
      </c>
      <c r="J293" s="9">
        <f t="shared" si="202"/>
        <v>1</v>
      </c>
      <c r="K293" s="9">
        <f t="shared" si="203"/>
        <v>0</v>
      </c>
      <c r="L293" s="9">
        <f t="shared" si="204"/>
        <v>1.4542000000000002</v>
      </c>
      <c r="M293" s="9">
        <f>data!J293</f>
        <v>-23.6</v>
      </c>
      <c r="N293" s="9">
        <f>data!I293</f>
        <v>-35.5</v>
      </c>
      <c r="O293" s="9">
        <f>data!L293</f>
        <v>-30.5</v>
      </c>
      <c r="P293" s="9">
        <f>data!K293</f>
        <v>-12.6</v>
      </c>
      <c r="Q293" s="9">
        <f>data!R293</f>
        <v>-5.75</v>
      </c>
      <c r="R293" s="9">
        <f t="shared" si="205"/>
        <v>-1.7999999999999972</v>
      </c>
      <c r="S293" s="9">
        <f t="shared" si="206"/>
        <v>-4.8999999999999986</v>
      </c>
      <c r="T293" s="9">
        <f t="shared" si="207"/>
        <v>-9.8999999999999986</v>
      </c>
      <c r="U293" s="9">
        <f t="shared" si="208"/>
        <v>-9.7999999999999972</v>
      </c>
      <c r="V293" s="9">
        <f t="shared" si="209"/>
        <v>-8.875</v>
      </c>
      <c r="W293" s="9">
        <f t="shared" si="210"/>
        <v>-17.399999999999999</v>
      </c>
      <c r="X293" s="9">
        <f t="shared" si="211"/>
        <v>-11.299999999999997</v>
      </c>
      <c r="Y293" s="9">
        <f t="shared" si="212"/>
        <v>-12.399999999999999</v>
      </c>
      <c r="Z293" s="9">
        <f t="shared" si="213"/>
        <v>-10.5</v>
      </c>
      <c r="AA293" s="9">
        <f t="shared" si="214"/>
        <v>-2.6300000000000026</v>
      </c>
      <c r="AB293" s="9">
        <f t="shared" si="215"/>
        <v>-3.25</v>
      </c>
      <c r="AC293" s="9">
        <f t="shared" si="216"/>
        <v>-5.5499999999999972</v>
      </c>
      <c r="AD293" s="9">
        <f t="shared" si="217"/>
        <v>-9.5</v>
      </c>
      <c r="AE293" s="9">
        <f t="shared" si="218"/>
        <v>-9.5</v>
      </c>
      <c r="AF293" s="9">
        <f t="shared" si="219"/>
        <v>-10.299999999999997</v>
      </c>
      <c r="AG293" s="9">
        <f t="shared" si="220"/>
        <v>-9.5</v>
      </c>
      <c r="AH293" s="9">
        <f t="shared" si="221"/>
        <v>-9.5</v>
      </c>
      <c r="AI293" s="9">
        <f t="shared" si="222"/>
        <v>-8.2999999999999972</v>
      </c>
      <c r="AJ293" s="9">
        <f t="shared" si="223"/>
        <v>-1.8800000000000026</v>
      </c>
      <c r="AK293" s="9">
        <f t="shared" si="224"/>
        <v>0.75</v>
      </c>
      <c r="AL293" s="9">
        <f t="shared" si="225"/>
        <v>0.14999999999999858</v>
      </c>
      <c r="AM293" s="9">
        <f t="shared" si="226"/>
        <v>-4.25</v>
      </c>
      <c r="AN293" s="9">
        <f t="shared" si="227"/>
        <v>-4.2749999999999986</v>
      </c>
      <c r="AO293" s="9">
        <f t="shared" si="228"/>
        <v>-4</v>
      </c>
      <c r="AP293" s="9">
        <f t="shared" si="229"/>
        <v>-3</v>
      </c>
      <c r="AQ293" s="9">
        <f t="shared" si="230"/>
        <v>-3</v>
      </c>
      <c r="AR293" s="9">
        <f t="shared" si="231"/>
        <v>-4</v>
      </c>
      <c r="AS293" s="9">
        <f t="shared" si="232"/>
        <v>-2.5300000000000011</v>
      </c>
      <c r="AT293" s="9">
        <f t="shared" si="233"/>
        <v>4.0999999999999996</v>
      </c>
      <c r="AU293" s="9">
        <f t="shared" si="234"/>
        <v>3.2249999999999996</v>
      </c>
      <c r="AV293" s="9">
        <f t="shared" si="235"/>
        <v>-2.2000000000000011</v>
      </c>
      <c r="AW293" s="9">
        <f t="shared" si="236"/>
        <v>-2.6500000000000004</v>
      </c>
      <c r="AX293" s="9">
        <f t="shared" si="237"/>
        <v>-2.2000000000000011</v>
      </c>
      <c r="AY293" s="9">
        <f t="shared" si="238"/>
        <v>-1.2000000000000011</v>
      </c>
      <c r="AZ293" s="9">
        <f t="shared" si="239"/>
        <v>-1.2874999999999996</v>
      </c>
      <c r="BA293" s="9">
        <f t="shared" si="240"/>
        <v>-0.70000000000000107</v>
      </c>
      <c r="BB293" s="9">
        <f t="shared" si="241"/>
        <v>-2.5</v>
      </c>
      <c r="BC293" s="9">
        <f t="shared" si="242"/>
        <v>3.875</v>
      </c>
      <c r="BD293" s="9">
        <f t="shared" si="243"/>
        <v>3.25</v>
      </c>
      <c r="BE293" s="9">
        <f t="shared" si="244"/>
        <v>-2</v>
      </c>
      <c r="BF293" s="9">
        <f t="shared" si="245"/>
        <v>-2.75</v>
      </c>
      <c r="BG293" s="9">
        <f t="shared" si="246"/>
        <v>-2.25</v>
      </c>
      <c r="BH293" s="9">
        <f t="shared" si="247"/>
        <v>-1.0499999999999998</v>
      </c>
      <c r="BI293" s="9">
        <f t="shared" si="248"/>
        <v>-1.1375000000000002</v>
      </c>
      <c r="BJ293" s="9">
        <f t="shared" si="249"/>
        <v>-1.25</v>
      </c>
    </row>
    <row r="294" spans="1:62" x14ac:dyDescent="0.2">
      <c r="A294" s="9">
        <f>data!M295-data!M294</f>
        <v>0.1629999999999967</v>
      </c>
      <c r="B294" s="9">
        <f>data!C295-data!C294</f>
        <v>-0.75</v>
      </c>
      <c r="C294" s="9">
        <f>data!D295-data!D294</f>
        <v>-5.7499999999999218E-2</v>
      </c>
      <c r="D294" s="10">
        <f>data!B295-data!B294</f>
        <v>6.4999999999999947E-2</v>
      </c>
      <c r="E294" s="9">
        <f>data!E294-data!G294</f>
        <v>1.6816000000000002</v>
      </c>
      <c r="F294" s="9">
        <f>(data!E294-data!F294)-(data!G294-data!H294)</f>
        <v>1.2941000000000005</v>
      </c>
      <c r="G294" s="9">
        <f t="shared" si="200"/>
        <v>-6.0000000000004494E-3</v>
      </c>
      <c r="H294" s="9">
        <f t="shared" si="201"/>
        <v>1.4399999999999524E-2</v>
      </c>
      <c r="I294" s="9">
        <f>IF(data!M295&gt; 111.81,1,0)</f>
        <v>0</v>
      </c>
      <c r="J294" s="9">
        <f t="shared" si="202"/>
        <v>1</v>
      </c>
      <c r="K294" s="9">
        <f t="shared" si="203"/>
        <v>0</v>
      </c>
      <c r="L294" s="9">
        <f t="shared" si="204"/>
        <v>0.1629999999999967</v>
      </c>
      <c r="M294" s="9">
        <f>data!J294</f>
        <v>-25.4</v>
      </c>
      <c r="N294" s="9">
        <f>data!I294</f>
        <v>-38.130000000000003</v>
      </c>
      <c r="O294" s="9">
        <f>data!L294</f>
        <v>-32.380000000000003</v>
      </c>
      <c r="P294" s="9">
        <f>data!K294</f>
        <v>-15.13</v>
      </c>
      <c r="Q294" s="9">
        <f>data!R294</f>
        <v>-8.25</v>
      </c>
      <c r="R294" s="9">
        <f t="shared" si="205"/>
        <v>-3.1000000000000014</v>
      </c>
      <c r="S294" s="9">
        <f t="shared" si="206"/>
        <v>-8.1000000000000014</v>
      </c>
      <c r="T294" s="9">
        <f t="shared" si="207"/>
        <v>-8</v>
      </c>
      <c r="U294" s="9">
        <f t="shared" si="208"/>
        <v>-7.0750000000000028</v>
      </c>
      <c r="V294" s="9">
        <f t="shared" si="209"/>
        <v>-15.600000000000001</v>
      </c>
      <c r="W294" s="9">
        <f t="shared" si="210"/>
        <v>-9.5</v>
      </c>
      <c r="X294" s="9">
        <f t="shared" si="211"/>
        <v>-10.600000000000001</v>
      </c>
      <c r="Y294" s="9">
        <f t="shared" si="212"/>
        <v>-8.7000000000000028</v>
      </c>
      <c r="Z294" s="9">
        <f t="shared" si="213"/>
        <v>-9</v>
      </c>
      <c r="AA294" s="9">
        <f t="shared" si="214"/>
        <v>-0.61999999999999744</v>
      </c>
      <c r="AB294" s="9">
        <f t="shared" si="215"/>
        <v>-2.9199999999999946</v>
      </c>
      <c r="AC294" s="9">
        <f t="shared" si="216"/>
        <v>-6.8699999999999974</v>
      </c>
      <c r="AD294" s="9">
        <f t="shared" si="217"/>
        <v>-6.8699999999999974</v>
      </c>
      <c r="AE294" s="9">
        <f t="shared" si="218"/>
        <v>-7.6699999999999946</v>
      </c>
      <c r="AF294" s="9">
        <f t="shared" si="219"/>
        <v>-6.8699999999999974</v>
      </c>
      <c r="AG294" s="9">
        <f t="shared" si="220"/>
        <v>-6.8699999999999974</v>
      </c>
      <c r="AH294" s="9">
        <f t="shared" si="221"/>
        <v>-5.6699999999999946</v>
      </c>
      <c r="AI294" s="9">
        <f t="shared" si="222"/>
        <v>-6.8699999999999974</v>
      </c>
      <c r="AJ294" s="9">
        <f t="shared" si="223"/>
        <v>2.6300000000000026</v>
      </c>
      <c r="AK294" s="9">
        <f t="shared" si="224"/>
        <v>2.0300000000000011</v>
      </c>
      <c r="AL294" s="9">
        <f t="shared" si="225"/>
        <v>-2.3699999999999974</v>
      </c>
      <c r="AM294" s="9">
        <f t="shared" si="226"/>
        <v>-2.394999999999996</v>
      </c>
      <c r="AN294" s="9">
        <f t="shared" si="227"/>
        <v>-2.1199999999999974</v>
      </c>
      <c r="AO294" s="9">
        <f t="shared" si="228"/>
        <v>-1.1199999999999974</v>
      </c>
      <c r="AP294" s="9">
        <f t="shared" si="229"/>
        <v>-1.1199999999999974</v>
      </c>
      <c r="AQ294" s="9">
        <f t="shared" si="230"/>
        <v>-2.1199999999999974</v>
      </c>
      <c r="AR294" s="9">
        <f t="shared" si="231"/>
        <v>-2.8699999999999974</v>
      </c>
      <c r="AS294" s="9">
        <f t="shared" si="232"/>
        <v>6.6300000000000008</v>
      </c>
      <c r="AT294" s="9">
        <f t="shared" si="233"/>
        <v>5.7550000000000008</v>
      </c>
      <c r="AU294" s="9">
        <f t="shared" si="234"/>
        <v>0.33000000000000007</v>
      </c>
      <c r="AV294" s="9">
        <f t="shared" si="235"/>
        <v>-0.11999999999999922</v>
      </c>
      <c r="AW294" s="9">
        <f t="shared" si="236"/>
        <v>0.33000000000000007</v>
      </c>
      <c r="AX294" s="9">
        <f t="shared" si="237"/>
        <v>1.33</v>
      </c>
      <c r="AY294" s="9">
        <f t="shared" si="238"/>
        <v>1.2425000000000015</v>
      </c>
      <c r="AZ294" s="9">
        <f t="shared" si="239"/>
        <v>1.83</v>
      </c>
      <c r="BA294" s="9">
        <f t="shared" si="240"/>
        <v>0.83000000000000007</v>
      </c>
      <c r="BB294" s="9">
        <f t="shared" si="241"/>
        <v>6.375</v>
      </c>
      <c r="BC294" s="9">
        <f t="shared" si="242"/>
        <v>5.75</v>
      </c>
      <c r="BD294" s="9">
        <f t="shared" si="243"/>
        <v>0.5</v>
      </c>
      <c r="BE294" s="9">
        <f t="shared" si="244"/>
        <v>-0.25</v>
      </c>
      <c r="BF294" s="9">
        <f t="shared" si="245"/>
        <v>0.25</v>
      </c>
      <c r="BG294" s="9">
        <f t="shared" si="246"/>
        <v>1.4500000000000002</v>
      </c>
      <c r="BH294" s="9">
        <f t="shared" si="247"/>
        <v>1.3624999999999998</v>
      </c>
      <c r="BI294" s="9">
        <f t="shared" si="248"/>
        <v>1.25</v>
      </c>
      <c r="BJ294" s="9">
        <f t="shared" si="249"/>
        <v>0.75</v>
      </c>
    </row>
    <row r="295" spans="1:62" x14ac:dyDescent="0.2">
      <c r="A295" s="9">
        <f>data!M296-data!M295</f>
        <v>0.13750000000000284</v>
      </c>
      <c r="B295" s="9">
        <f>data!C296-data!C295</f>
        <v>-1.0399999999999991</v>
      </c>
      <c r="C295" s="9">
        <f>data!D296-data!D295</f>
        <v>0.52500000000000036</v>
      </c>
      <c r="D295" s="10">
        <f>data!B296-data!B295</f>
        <v>0.18500000000000005</v>
      </c>
      <c r="E295" s="9">
        <f>data!E295-data!G295</f>
        <v>1.6755999999999998</v>
      </c>
      <c r="F295" s="9">
        <f>(data!E295-data!F295)-(data!G295-data!H295)</f>
        <v>1.3085</v>
      </c>
      <c r="G295" s="9">
        <f t="shared" si="200"/>
        <v>-3.9899999999999824E-2</v>
      </c>
      <c r="H295" s="9">
        <f t="shared" si="201"/>
        <v>-8.5900000000000309E-2</v>
      </c>
      <c r="I295" s="9">
        <f>IF(data!M296&gt; 111.81,1,0)</f>
        <v>0</v>
      </c>
      <c r="J295" s="9">
        <f t="shared" si="202"/>
        <v>1</v>
      </c>
      <c r="K295" s="9">
        <f t="shared" si="203"/>
        <v>0</v>
      </c>
      <c r="L295" s="9">
        <f t="shared" si="204"/>
        <v>0.13750000000000284</v>
      </c>
      <c r="M295" s="9">
        <f>data!J295</f>
        <v>-28.5</v>
      </c>
      <c r="N295" s="9">
        <f>data!I295</f>
        <v>-38.75</v>
      </c>
      <c r="O295" s="9">
        <f>data!L295</f>
        <v>-29.75</v>
      </c>
      <c r="P295" s="9">
        <f>data!K295</f>
        <v>-8.5</v>
      </c>
      <c r="Q295" s="9">
        <f>data!R295</f>
        <v>-1.875</v>
      </c>
      <c r="R295" s="9">
        <f t="shared" si="205"/>
        <v>-5</v>
      </c>
      <c r="S295" s="9">
        <f t="shared" si="206"/>
        <v>-4.8999999999999986</v>
      </c>
      <c r="T295" s="9">
        <f t="shared" si="207"/>
        <v>-3.9750000000000014</v>
      </c>
      <c r="U295" s="9">
        <f t="shared" si="208"/>
        <v>-12.5</v>
      </c>
      <c r="V295" s="9">
        <f t="shared" si="209"/>
        <v>-6.3999999999999986</v>
      </c>
      <c r="W295" s="9">
        <f t="shared" si="210"/>
        <v>-7.5</v>
      </c>
      <c r="X295" s="9">
        <f t="shared" si="211"/>
        <v>-5.6000000000000014</v>
      </c>
      <c r="Y295" s="9">
        <f t="shared" si="212"/>
        <v>-5.8999999999999986</v>
      </c>
      <c r="Z295" s="9">
        <f t="shared" si="213"/>
        <v>-4.5</v>
      </c>
      <c r="AA295" s="9">
        <f t="shared" si="214"/>
        <v>-2.2999999999999972</v>
      </c>
      <c r="AB295" s="9">
        <f t="shared" si="215"/>
        <v>-6.25</v>
      </c>
      <c r="AC295" s="9">
        <f t="shared" si="216"/>
        <v>-6.25</v>
      </c>
      <c r="AD295" s="9">
        <f t="shared" si="217"/>
        <v>-7.0499999999999972</v>
      </c>
      <c r="AE295" s="9">
        <f t="shared" si="218"/>
        <v>-6.25</v>
      </c>
      <c r="AF295" s="9">
        <f t="shared" si="219"/>
        <v>-6.25</v>
      </c>
      <c r="AG295" s="9">
        <f t="shared" si="220"/>
        <v>-5.0499999999999972</v>
      </c>
      <c r="AH295" s="9">
        <f t="shared" si="221"/>
        <v>-6.25</v>
      </c>
      <c r="AI295" s="9">
        <f t="shared" si="222"/>
        <v>-5.5499999999999972</v>
      </c>
      <c r="AJ295" s="9">
        <f t="shared" si="223"/>
        <v>-0.60000000000000142</v>
      </c>
      <c r="AK295" s="9">
        <f t="shared" si="224"/>
        <v>-5</v>
      </c>
      <c r="AL295" s="9">
        <f t="shared" si="225"/>
        <v>-5.0249999999999986</v>
      </c>
      <c r="AM295" s="9">
        <f t="shared" si="226"/>
        <v>-4.75</v>
      </c>
      <c r="AN295" s="9">
        <f t="shared" si="227"/>
        <v>-3.75</v>
      </c>
      <c r="AO295" s="9">
        <f t="shared" si="228"/>
        <v>-3.75</v>
      </c>
      <c r="AP295" s="9">
        <f t="shared" si="229"/>
        <v>-4.75</v>
      </c>
      <c r="AQ295" s="9">
        <f t="shared" si="230"/>
        <v>-5.5</v>
      </c>
      <c r="AR295" s="9">
        <f t="shared" si="231"/>
        <v>-5.0499999999999972</v>
      </c>
      <c r="AS295" s="9">
        <f t="shared" si="232"/>
        <v>-0.875</v>
      </c>
      <c r="AT295" s="9">
        <f t="shared" si="233"/>
        <v>-6.3000000000000007</v>
      </c>
      <c r="AU295" s="9">
        <f t="shared" si="234"/>
        <v>-6.75</v>
      </c>
      <c r="AV295" s="9">
        <f t="shared" si="235"/>
        <v>-6.3000000000000007</v>
      </c>
      <c r="AW295" s="9">
        <f t="shared" si="236"/>
        <v>-5.3000000000000007</v>
      </c>
      <c r="AX295" s="9">
        <f t="shared" si="237"/>
        <v>-5.3874999999999993</v>
      </c>
      <c r="AY295" s="9">
        <f t="shared" si="238"/>
        <v>-4.8000000000000007</v>
      </c>
      <c r="AZ295" s="9">
        <f t="shared" si="239"/>
        <v>-5.8000000000000007</v>
      </c>
      <c r="BA295" s="9">
        <f t="shared" si="240"/>
        <v>-6</v>
      </c>
      <c r="BB295" s="9">
        <f t="shared" si="241"/>
        <v>-0.625</v>
      </c>
      <c r="BC295" s="9">
        <f t="shared" si="242"/>
        <v>-5.875</v>
      </c>
      <c r="BD295" s="9">
        <f t="shared" si="243"/>
        <v>-6.625</v>
      </c>
      <c r="BE295" s="9">
        <f t="shared" si="244"/>
        <v>-6.125</v>
      </c>
      <c r="BF295" s="9">
        <f t="shared" si="245"/>
        <v>-4.9249999999999998</v>
      </c>
      <c r="BG295" s="9">
        <f t="shared" si="246"/>
        <v>-5.0125000000000002</v>
      </c>
      <c r="BH295" s="9">
        <f t="shared" si="247"/>
        <v>-5.125</v>
      </c>
      <c r="BI295" s="9">
        <f t="shared" si="248"/>
        <v>-5.625</v>
      </c>
      <c r="BJ295" s="9">
        <f t="shared" si="249"/>
        <v>-5.625</v>
      </c>
    </row>
    <row r="296" spans="1:62" x14ac:dyDescent="0.2">
      <c r="A296" s="9">
        <f>data!M297-data!M296</f>
        <v>-0.65099999999999625</v>
      </c>
      <c r="B296" s="9">
        <f>data!C297-data!C296</f>
        <v>-3.1400000000000006</v>
      </c>
      <c r="C296" s="9">
        <f>data!D297-data!D296</f>
        <v>9.9999999999999645E-2</v>
      </c>
      <c r="D296" s="10">
        <f>data!B297-data!B296</f>
        <v>0.17999999999999972</v>
      </c>
      <c r="E296" s="9">
        <f>data!E296-data!G296</f>
        <v>1.6356999999999999</v>
      </c>
      <c r="F296" s="9">
        <f>(data!E296-data!F296)-(data!G296-data!H296)</f>
        <v>1.2225999999999997</v>
      </c>
      <c r="G296" s="9">
        <f t="shared" si="200"/>
        <v>-8.5699999999999887E-2</v>
      </c>
      <c r="H296" s="9">
        <f t="shared" si="201"/>
        <v>-4.7599999999999421E-2</v>
      </c>
      <c r="I296" s="9">
        <f>IF(data!M297&gt; 111.81,1,0)</f>
        <v>0</v>
      </c>
      <c r="J296" s="9">
        <f t="shared" si="202"/>
        <v>1</v>
      </c>
      <c r="K296" s="9">
        <f t="shared" si="203"/>
        <v>0</v>
      </c>
      <c r="L296" s="9">
        <f t="shared" si="204"/>
        <v>-0.65099999999999625</v>
      </c>
      <c r="M296" s="9">
        <f>data!J296</f>
        <v>-33.5</v>
      </c>
      <c r="N296" s="9">
        <f>data!I296</f>
        <v>-41.05</v>
      </c>
      <c r="O296" s="9">
        <f>data!L296</f>
        <v>-30.35</v>
      </c>
      <c r="P296" s="9">
        <f>data!K296</f>
        <v>-9.375</v>
      </c>
      <c r="Q296" s="9">
        <f>data!R296</f>
        <v>-2.5</v>
      </c>
      <c r="R296" s="9">
        <f t="shared" si="205"/>
        <v>0.10000000000000142</v>
      </c>
      <c r="S296" s="9">
        <f t="shared" si="206"/>
        <v>1.0249999999999986</v>
      </c>
      <c r="T296" s="9">
        <f t="shared" si="207"/>
        <v>-7.5</v>
      </c>
      <c r="U296" s="9">
        <f t="shared" si="208"/>
        <v>-1.3999999999999986</v>
      </c>
      <c r="V296" s="9">
        <f t="shared" si="209"/>
        <v>-2.5</v>
      </c>
      <c r="W296" s="9">
        <f t="shared" si="210"/>
        <v>-0.60000000000000142</v>
      </c>
      <c r="X296" s="9">
        <f t="shared" si="211"/>
        <v>-0.89999999999999858</v>
      </c>
      <c r="Y296" s="9">
        <f t="shared" si="212"/>
        <v>0.5</v>
      </c>
      <c r="Z296" s="9">
        <f t="shared" si="213"/>
        <v>-0.20000000000000284</v>
      </c>
      <c r="AA296" s="9">
        <f t="shared" si="214"/>
        <v>-3.9500000000000028</v>
      </c>
      <c r="AB296" s="9">
        <f t="shared" si="215"/>
        <v>-3.9500000000000028</v>
      </c>
      <c r="AC296" s="9">
        <f t="shared" si="216"/>
        <v>-4.75</v>
      </c>
      <c r="AD296" s="9">
        <f t="shared" si="217"/>
        <v>-3.9500000000000028</v>
      </c>
      <c r="AE296" s="9">
        <f t="shared" si="218"/>
        <v>-3.9500000000000028</v>
      </c>
      <c r="AF296" s="9">
        <f t="shared" si="219"/>
        <v>-2.75</v>
      </c>
      <c r="AG296" s="9">
        <f t="shared" si="220"/>
        <v>-3.9500000000000028</v>
      </c>
      <c r="AH296" s="9">
        <f t="shared" si="221"/>
        <v>-3.25</v>
      </c>
      <c r="AI296" s="9">
        <f t="shared" si="222"/>
        <v>-3.75</v>
      </c>
      <c r="AJ296" s="9">
        <f t="shared" si="223"/>
        <v>-4.3999999999999986</v>
      </c>
      <c r="AK296" s="9">
        <f t="shared" si="224"/>
        <v>-4.4249999999999972</v>
      </c>
      <c r="AL296" s="9">
        <f t="shared" si="225"/>
        <v>-4.1499999999999986</v>
      </c>
      <c r="AM296" s="9">
        <f t="shared" si="226"/>
        <v>-3.1499999999999986</v>
      </c>
      <c r="AN296" s="9">
        <f t="shared" si="227"/>
        <v>-3.1499999999999986</v>
      </c>
      <c r="AO296" s="9">
        <f t="shared" si="228"/>
        <v>-4.1499999999999986</v>
      </c>
      <c r="AP296" s="9">
        <f t="shared" si="229"/>
        <v>-4.8999999999999986</v>
      </c>
      <c r="AQ296" s="9">
        <f t="shared" si="230"/>
        <v>-4.4499999999999957</v>
      </c>
      <c r="AR296" s="9">
        <f t="shared" si="231"/>
        <v>-5.1499999999999986</v>
      </c>
      <c r="AS296" s="9">
        <f t="shared" si="232"/>
        <v>-5.4250000000000007</v>
      </c>
      <c r="AT296" s="9">
        <f t="shared" si="233"/>
        <v>-5.875</v>
      </c>
      <c r="AU296" s="9">
        <f t="shared" si="234"/>
        <v>-5.4250000000000007</v>
      </c>
      <c r="AV296" s="9">
        <f t="shared" si="235"/>
        <v>-4.4250000000000007</v>
      </c>
      <c r="AW296" s="9">
        <f t="shared" si="236"/>
        <v>-4.5124999999999993</v>
      </c>
      <c r="AX296" s="9">
        <f t="shared" si="237"/>
        <v>-3.9250000000000007</v>
      </c>
      <c r="AY296" s="9">
        <f t="shared" si="238"/>
        <v>-4.9250000000000007</v>
      </c>
      <c r="AZ296" s="9">
        <f t="shared" si="239"/>
        <v>-5.125</v>
      </c>
      <c r="BA296" s="9">
        <f t="shared" si="240"/>
        <v>-5.875</v>
      </c>
      <c r="BB296" s="9">
        <f t="shared" si="241"/>
        <v>-5.25</v>
      </c>
      <c r="BC296" s="9">
        <f t="shared" si="242"/>
        <v>-6</v>
      </c>
      <c r="BD296" s="9">
        <f t="shared" si="243"/>
        <v>-5.5</v>
      </c>
      <c r="BE296" s="9">
        <f t="shared" si="244"/>
        <v>-4.3</v>
      </c>
      <c r="BF296" s="9">
        <f t="shared" si="245"/>
        <v>-4.3875000000000002</v>
      </c>
      <c r="BG296" s="9">
        <f t="shared" si="246"/>
        <v>-4.5</v>
      </c>
      <c r="BH296" s="9">
        <f t="shared" si="247"/>
        <v>-5</v>
      </c>
      <c r="BI296" s="9">
        <f t="shared" si="248"/>
        <v>-5</v>
      </c>
      <c r="BJ296" s="9">
        <f t="shared" si="249"/>
        <v>-5.75</v>
      </c>
    </row>
    <row r="297" spans="1:62" x14ac:dyDescent="0.2">
      <c r="A297" s="9">
        <f>data!M298-data!M297</f>
        <v>-1.839999999999975E-2</v>
      </c>
      <c r="B297" s="9">
        <f>data!C298-data!C297</f>
        <v>0.67999999999999972</v>
      </c>
      <c r="C297" s="9">
        <f>data!D298-data!D297</f>
        <v>0.13499999999999979</v>
      </c>
      <c r="D297" s="10">
        <f>data!B298-data!B297</f>
        <v>0.22999999999999998</v>
      </c>
      <c r="E297" s="9">
        <f>data!E297-data!G297</f>
        <v>1.55</v>
      </c>
      <c r="F297" s="9">
        <f>(data!E297-data!F297)-(data!G297-data!H297)</f>
        <v>1.1750000000000003</v>
      </c>
      <c r="G297" s="9">
        <f t="shared" si="200"/>
        <v>8.0699999999999994E-2</v>
      </c>
      <c r="H297" s="9">
        <f t="shared" si="201"/>
        <v>3.939999999999988E-2</v>
      </c>
      <c r="I297" s="9">
        <f>IF(data!M298&gt; 111.81,1,0)</f>
        <v>0</v>
      </c>
      <c r="J297" s="9">
        <f t="shared" si="202"/>
        <v>1</v>
      </c>
      <c r="K297" s="9">
        <f t="shared" si="203"/>
        <v>0</v>
      </c>
      <c r="L297" s="9">
        <f t="shared" si="204"/>
        <v>-1.839999999999975E-2</v>
      </c>
      <c r="M297" s="9">
        <f>data!J297</f>
        <v>-33.4</v>
      </c>
      <c r="N297" s="9">
        <f>data!I297</f>
        <v>-45</v>
      </c>
      <c r="O297" s="9">
        <f>data!L297</f>
        <v>-34.75</v>
      </c>
      <c r="P297" s="9">
        <f>data!K297</f>
        <v>-14.8</v>
      </c>
      <c r="Q297" s="9">
        <f>data!R297</f>
        <v>-7.75</v>
      </c>
      <c r="R297" s="9">
        <f t="shared" si="205"/>
        <v>0.92499999999999716</v>
      </c>
      <c r="S297" s="9">
        <f t="shared" si="206"/>
        <v>-7.6000000000000014</v>
      </c>
      <c r="T297" s="9">
        <f t="shared" si="207"/>
        <v>-1.5</v>
      </c>
      <c r="U297" s="9">
        <f t="shared" si="208"/>
        <v>-2.6000000000000014</v>
      </c>
      <c r="V297" s="9">
        <f t="shared" si="209"/>
        <v>-0.70000000000000284</v>
      </c>
      <c r="W297" s="9">
        <f t="shared" si="210"/>
        <v>-1</v>
      </c>
      <c r="X297" s="9">
        <f t="shared" si="211"/>
        <v>0.39999999999999858</v>
      </c>
      <c r="Y297" s="9">
        <f t="shared" si="212"/>
        <v>-0.30000000000000426</v>
      </c>
      <c r="Z297" s="9">
        <f t="shared" si="213"/>
        <v>1.6499999999999986</v>
      </c>
      <c r="AA297" s="9">
        <f t="shared" si="214"/>
        <v>0</v>
      </c>
      <c r="AB297" s="9">
        <f t="shared" si="215"/>
        <v>-0.79999999999999716</v>
      </c>
      <c r="AC297" s="9">
        <f t="shared" si="216"/>
        <v>0</v>
      </c>
      <c r="AD297" s="9">
        <f t="shared" si="217"/>
        <v>0</v>
      </c>
      <c r="AE297" s="9">
        <f t="shared" si="218"/>
        <v>1.2000000000000028</v>
      </c>
      <c r="AF297" s="9">
        <f t="shared" si="219"/>
        <v>0</v>
      </c>
      <c r="AG297" s="9">
        <f t="shared" si="220"/>
        <v>0.70000000000000284</v>
      </c>
      <c r="AH297" s="9">
        <f t="shared" si="221"/>
        <v>0.20000000000000284</v>
      </c>
      <c r="AI297" s="9">
        <f t="shared" si="222"/>
        <v>-0.25</v>
      </c>
      <c r="AJ297" s="9">
        <f t="shared" si="223"/>
        <v>-2.4999999999998579E-2</v>
      </c>
      <c r="AK297" s="9">
        <f t="shared" si="224"/>
        <v>0.25</v>
      </c>
      <c r="AL297" s="9">
        <f t="shared" si="225"/>
        <v>1.25</v>
      </c>
      <c r="AM297" s="9">
        <f t="shared" si="226"/>
        <v>1.25</v>
      </c>
      <c r="AN297" s="9">
        <f t="shared" si="227"/>
        <v>0.25</v>
      </c>
      <c r="AO297" s="9">
        <f t="shared" si="228"/>
        <v>-0.5</v>
      </c>
      <c r="AP297" s="9">
        <f t="shared" si="229"/>
        <v>-4.9999999999997158E-2</v>
      </c>
      <c r="AQ297" s="9">
        <f t="shared" si="230"/>
        <v>-0.75</v>
      </c>
      <c r="AR297" s="9">
        <f t="shared" si="231"/>
        <v>-3.25</v>
      </c>
      <c r="AS297" s="9">
        <f t="shared" si="232"/>
        <v>-0.44999999999999929</v>
      </c>
      <c r="AT297" s="9">
        <f t="shared" si="233"/>
        <v>0</v>
      </c>
      <c r="AU297" s="9">
        <f t="shared" si="234"/>
        <v>1</v>
      </c>
      <c r="AV297" s="9">
        <f t="shared" si="235"/>
        <v>0.91250000000000142</v>
      </c>
      <c r="AW297" s="9">
        <f t="shared" si="236"/>
        <v>1.5</v>
      </c>
      <c r="AX297" s="9">
        <f t="shared" si="237"/>
        <v>0.5</v>
      </c>
      <c r="AY297" s="9">
        <f t="shared" si="238"/>
        <v>0.30000000000000071</v>
      </c>
      <c r="AZ297" s="9">
        <f t="shared" si="239"/>
        <v>-0.44999999999999929</v>
      </c>
      <c r="BA297" s="9">
        <f t="shared" si="240"/>
        <v>-4.8499999999999979</v>
      </c>
      <c r="BB297" s="9">
        <f t="shared" si="241"/>
        <v>-0.75</v>
      </c>
      <c r="BC297" s="9">
        <f t="shared" si="242"/>
        <v>-0.25</v>
      </c>
      <c r="BD297" s="9">
        <f t="shared" si="243"/>
        <v>0.95000000000000018</v>
      </c>
      <c r="BE297" s="9">
        <f t="shared" si="244"/>
        <v>0.86249999999999982</v>
      </c>
      <c r="BF297" s="9">
        <f t="shared" si="245"/>
        <v>0.75</v>
      </c>
      <c r="BG297" s="9">
        <f t="shared" si="246"/>
        <v>0.25</v>
      </c>
      <c r="BH297" s="9">
        <f t="shared" si="247"/>
        <v>0.25</v>
      </c>
      <c r="BI297" s="9">
        <f t="shared" si="248"/>
        <v>-0.5</v>
      </c>
      <c r="BJ297" s="9">
        <f t="shared" si="249"/>
        <v>-4.4000000000000004</v>
      </c>
    </row>
    <row r="298" spans="1:62" x14ac:dyDescent="0.2">
      <c r="A298" s="9">
        <f>data!M299-data!M298</f>
        <v>-0.73499999999999943</v>
      </c>
      <c r="B298" s="9">
        <f>data!C299-data!C298</f>
        <v>2.0000000000003126E-2</v>
      </c>
      <c r="C298" s="9">
        <f>data!D299-data!D298</f>
        <v>-1.1899999999999995</v>
      </c>
      <c r="D298" s="10">
        <f>data!B299-data!B298</f>
        <v>0.37250000000000005</v>
      </c>
      <c r="E298" s="9">
        <f>data!E298-data!G298</f>
        <v>1.6307</v>
      </c>
      <c r="F298" s="9">
        <f>(data!E298-data!F298)-(data!G298-data!H298)</f>
        <v>1.2144000000000001</v>
      </c>
      <c r="G298" s="9">
        <f t="shared" si="200"/>
        <v>3.0499999999999972E-2</v>
      </c>
      <c r="H298" s="9">
        <f t="shared" si="201"/>
        <v>0.11789999999999967</v>
      </c>
      <c r="I298" s="9">
        <f>IF(data!M299&gt; 111.81,1,0)</f>
        <v>0</v>
      </c>
      <c r="J298" s="9">
        <f t="shared" si="202"/>
        <v>1</v>
      </c>
      <c r="K298" s="9">
        <f t="shared" si="203"/>
        <v>0</v>
      </c>
      <c r="L298" s="9">
        <f t="shared" si="204"/>
        <v>-0.73499999999999943</v>
      </c>
      <c r="M298" s="9">
        <f>data!J298</f>
        <v>-32.475000000000001</v>
      </c>
      <c r="N298" s="9">
        <f>data!I298</f>
        <v>-45</v>
      </c>
      <c r="O298" s="9">
        <f>data!L298</f>
        <v>-34.774999999999999</v>
      </c>
      <c r="P298" s="9">
        <f>data!K298</f>
        <v>-15.25</v>
      </c>
      <c r="Q298" s="9">
        <f>data!R298</f>
        <v>-8.5</v>
      </c>
      <c r="R298" s="9">
        <f t="shared" si="205"/>
        <v>-8.5249999999999986</v>
      </c>
      <c r="S298" s="9">
        <f t="shared" si="206"/>
        <v>-2.4249999999999972</v>
      </c>
      <c r="T298" s="9">
        <f t="shared" si="207"/>
        <v>-3.5249999999999986</v>
      </c>
      <c r="U298" s="9">
        <f t="shared" si="208"/>
        <v>-1.625</v>
      </c>
      <c r="V298" s="9">
        <f t="shared" si="209"/>
        <v>-1.9249999999999972</v>
      </c>
      <c r="W298" s="9">
        <f t="shared" si="210"/>
        <v>-0.52499999999999858</v>
      </c>
      <c r="X298" s="9">
        <f t="shared" si="211"/>
        <v>-1.2250000000000014</v>
      </c>
      <c r="Y298" s="9">
        <f t="shared" si="212"/>
        <v>0.72500000000000142</v>
      </c>
      <c r="Z298" s="9">
        <f t="shared" si="213"/>
        <v>0.97500000000000142</v>
      </c>
      <c r="AA298" s="9">
        <f t="shared" si="214"/>
        <v>-0.79999999999999716</v>
      </c>
      <c r="AB298" s="9">
        <f t="shared" si="215"/>
        <v>0</v>
      </c>
      <c r="AC298" s="9">
        <f t="shared" si="216"/>
        <v>0</v>
      </c>
      <c r="AD298" s="9">
        <f t="shared" si="217"/>
        <v>1.2000000000000028</v>
      </c>
      <c r="AE298" s="9">
        <f t="shared" si="218"/>
        <v>0</v>
      </c>
      <c r="AF298" s="9">
        <f t="shared" si="219"/>
        <v>0.70000000000000284</v>
      </c>
      <c r="AG298" s="9">
        <f t="shared" si="220"/>
        <v>0.20000000000000284</v>
      </c>
      <c r="AH298" s="9">
        <f t="shared" si="221"/>
        <v>-0.25</v>
      </c>
      <c r="AI298" s="9">
        <f t="shared" si="222"/>
        <v>-1.25</v>
      </c>
      <c r="AJ298" s="9">
        <f t="shared" si="223"/>
        <v>0.27499999999999858</v>
      </c>
      <c r="AK298" s="9">
        <f t="shared" si="224"/>
        <v>1.2749999999999986</v>
      </c>
      <c r="AL298" s="9">
        <f t="shared" si="225"/>
        <v>1.2749999999999986</v>
      </c>
      <c r="AM298" s="9">
        <f t="shared" si="226"/>
        <v>0.27499999999999858</v>
      </c>
      <c r="AN298" s="9">
        <f t="shared" si="227"/>
        <v>-0.47500000000000142</v>
      </c>
      <c r="AO298" s="9">
        <f t="shared" si="228"/>
        <v>-2.4999999999998579E-2</v>
      </c>
      <c r="AP298" s="9">
        <f t="shared" si="229"/>
        <v>-0.72500000000000142</v>
      </c>
      <c r="AQ298" s="9">
        <f t="shared" si="230"/>
        <v>-3.2250000000000014</v>
      </c>
      <c r="AR298" s="9">
        <f t="shared" si="231"/>
        <v>-3.4750000000000014</v>
      </c>
      <c r="AS298" s="9">
        <f t="shared" si="232"/>
        <v>0.44999999999999929</v>
      </c>
      <c r="AT298" s="9">
        <f t="shared" si="233"/>
        <v>1.4499999999999993</v>
      </c>
      <c r="AU298" s="9">
        <f t="shared" si="234"/>
        <v>1.3625000000000007</v>
      </c>
      <c r="AV298" s="9">
        <f t="shared" si="235"/>
        <v>1.9499999999999993</v>
      </c>
      <c r="AW298" s="9">
        <f t="shared" si="236"/>
        <v>0.94999999999999929</v>
      </c>
      <c r="AX298" s="9">
        <f t="shared" si="237"/>
        <v>0.75</v>
      </c>
      <c r="AY298" s="9">
        <f t="shared" si="238"/>
        <v>0</v>
      </c>
      <c r="AZ298" s="9">
        <f t="shared" si="239"/>
        <v>-4.3999999999999986</v>
      </c>
      <c r="BA298" s="9">
        <f t="shared" si="240"/>
        <v>-6.25</v>
      </c>
      <c r="BB298" s="9">
        <f t="shared" si="241"/>
        <v>0.5</v>
      </c>
      <c r="BC298" s="9">
        <f t="shared" si="242"/>
        <v>1.7000000000000002</v>
      </c>
      <c r="BD298" s="9">
        <f t="shared" si="243"/>
        <v>1.6124999999999998</v>
      </c>
      <c r="BE298" s="9">
        <f t="shared" si="244"/>
        <v>1.5</v>
      </c>
      <c r="BF298" s="9">
        <f t="shared" si="245"/>
        <v>1</v>
      </c>
      <c r="BG298" s="9">
        <f t="shared" si="246"/>
        <v>1</v>
      </c>
      <c r="BH298" s="9">
        <f t="shared" si="247"/>
        <v>0.25</v>
      </c>
      <c r="BI298" s="9">
        <f t="shared" si="248"/>
        <v>-3.6500000000000004</v>
      </c>
      <c r="BJ298" s="9">
        <f t="shared" si="249"/>
        <v>-6</v>
      </c>
    </row>
    <row r="299" spans="1:62" x14ac:dyDescent="0.2">
      <c r="A299" s="9">
        <f>data!M300-data!M299</f>
        <v>-1.3422000000000054</v>
      </c>
      <c r="B299" s="9">
        <f>data!C300-data!C299</f>
        <v>-0.30000000000000071</v>
      </c>
      <c r="C299" s="9">
        <f>data!D300-data!D299</f>
        <v>0.14999999999999858</v>
      </c>
      <c r="D299" s="10">
        <f>data!B300-data!B299</f>
        <v>0.33499999999999996</v>
      </c>
      <c r="E299" s="9">
        <f>data!E299-data!G299</f>
        <v>1.6612</v>
      </c>
      <c r="F299" s="9">
        <f>(data!E299-data!F299)-(data!G299-data!H299)</f>
        <v>1.3322999999999998</v>
      </c>
      <c r="G299" s="9">
        <f t="shared" si="200"/>
        <v>-6.3199999999999923E-2</v>
      </c>
      <c r="H299" s="9">
        <f t="shared" si="201"/>
        <v>-3.4599999999999964E-2</v>
      </c>
      <c r="I299" s="9">
        <f>IF(data!M300&gt; 111.81,1,0)</f>
        <v>0</v>
      </c>
      <c r="J299" s="9">
        <f t="shared" si="202"/>
        <v>1</v>
      </c>
      <c r="K299" s="9">
        <f t="shared" si="203"/>
        <v>0</v>
      </c>
      <c r="L299" s="9">
        <f t="shared" si="204"/>
        <v>-1.3422000000000054</v>
      </c>
      <c r="M299" s="9">
        <f>data!J299</f>
        <v>-41</v>
      </c>
      <c r="N299" s="9">
        <f>data!I299</f>
        <v>-45.8</v>
      </c>
      <c r="O299" s="9">
        <f>data!L299</f>
        <v>-34.5</v>
      </c>
      <c r="P299" s="9">
        <f>data!K299</f>
        <v>-14.8</v>
      </c>
      <c r="Q299" s="9">
        <f>data!R299</f>
        <v>-8</v>
      </c>
      <c r="R299" s="9">
        <f t="shared" si="205"/>
        <v>6.1000000000000014</v>
      </c>
      <c r="S299" s="9">
        <f t="shared" si="206"/>
        <v>5</v>
      </c>
      <c r="T299" s="9">
        <f t="shared" si="207"/>
        <v>6.8999999999999986</v>
      </c>
      <c r="U299" s="9">
        <f t="shared" si="208"/>
        <v>6.6000000000000014</v>
      </c>
      <c r="V299" s="9">
        <f t="shared" si="209"/>
        <v>8</v>
      </c>
      <c r="W299" s="9">
        <f t="shared" si="210"/>
        <v>7.2999999999999972</v>
      </c>
      <c r="X299" s="9">
        <f t="shared" si="211"/>
        <v>9.25</v>
      </c>
      <c r="Y299" s="9">
        <f t="shared" si="212"/>
        <v>9.5</v>
      </c>
      <c r="Z299" s="9">
        <f t="shared" si="213"/>
        <v>8.1000000000000014</v>
      </c>
      <c r="AA299" s="9">
        <f t="shared" si="214"/>
        <v>0.79999999999999716</v>
      </c>
      <c r="AB299" s="9">
        <f t="shared" si="215"/>
        <v>0.79999999999999716</v>
      </c>
      <c r="AC299" s="9">
        <f t="shared" si="216"/>
        <v>2</v>
      </c>
      <c r="AD299" s="9">
        <f t="shared" si="217"/>
        <v>0.79999999999999716</v>
      </c>
      <c r="AE299" s="9">
        <f t="shared" si="218"/>
        <v>1.5</v>
      </c>
      <c r="AF299" s="9">
        <f t="shared" si="219"/>
        <v>1</v>
      </c>
      <c r="AG299" s="9">
        <f t="shared" si="220"/>
        <v>0.54999999999999716</v>
      </c>
      <c r="AH299" s="9">
        <f t="shared" si="221"/>
        <v>-0.45000000000000284</v>
      </c>
      <c r="AI299" s="9">
        <f t="shared" si="222"/>
        <v>-2.5</v>
      </c>
      <c r="AJ299" s="9">
        <f t="shared" si="223"/>
        <v>1</v>
      </c>
      <c r="AK299" s="9">
        <f t="shared" si="224"/>
        <v>1</v>
      </c>
      <c r="AL299" s="9">
        <f t="shared" si="225"/>
        <v>0</v>
      </c>
      <c r="AM299" s="9">
        <f t="shared" si="226"/>
        <v>-0.75</v>
      </c>
      <c r="AN299" s="9">
        <f t="shared" si="227"/>
        <v>-0.29999999999999716</v>
      </c>
      <c r="AO299" s="9">
        <f t="shared" si="228"/>
        <v>-1</v>
      </c>
      <c r="AP299" s="9">
        <f t="shared" si="229"/>
        <v>-3.5</v>
      </c>
      <c r="AQ299" s="9">
        <f t="shared" si="230"/>
        <v>-3.75</v>
      </c>
      <c r="AR299" s="9">
        <f t="shared" si="231"/>
        <v>-4</v>
      </c>
      <c r="AS299" s="9">
        <f t="shared" si="232"/>
        <v>1</v>
      </c>
      <c r="AT299" s="9">
        <f t="shared" si="233"/>
        <v>0.91250000000000142</v>
      </c>
      <c r="AU299" s="9">
        <f t="shared" si="234"/>
        <v>1.5</v>
      </c>
      <c r="AV299" s="9">
        <f t="shared" si="235"/>
        <v>0.5</v>
      </c>
      <c r="AW299" s="9">
        <f t="shared" si="236"/>
        <v>0.30000000000000071</v>
      </c>
      <c r="AX299" s="9">
        <f t="shared" si="237"/>
        <v>-0.44999999999999929</v>
      </c>
      <c r="AY299" s="9">
        <f t="shared" si="238"/>
        <v>-4.8499999999999979</v>
      </c>
      <c r="AZ299" s="9">
        <f t="shared" si="239"/>
        <v>-6.6999999999999993</v>
      </c>
      <c r="BA299" s="9">
        <f t="shared" si="240"/>
        <v>-5.6999999999999993</v>
      </c>
      <c r="BB299" s="9">
        <f t="shared" si="241"/>
        <v>1.2000000000000002</v>
      </c>
      <c r="BC299" s="9">
        <f t="shared" si="242"/>
        <v>1.1124999999999998</v>
      </c>
      <c r="BD299" s="9">
        <f t="shared" si="243"/>
        <v>1</v>
      </c>
      <c r="BE299" s="9">
        <f t="shared" si="244"/>
        <v>0.5</v>
      </c>
      <c r="BF299" s="9">
        <f t="shared" si="245"/>
        <v>0.5</v>
      </c>
      <c r="BG299" s="9">
        <f t="shared" si="246"/>
        <v>-0.25</v>
      </c>
      <c r="BH299" s="9">
        <f t="shared" si="247"/>
        <v>-4.1500000000000004</v>
      </c>
      <c r="BI299" s="9">
        <f t="shared" si="248"/>
        <v>-6.5</v>
      </c>
      <c r="BJ299" s="9">
        <f t="shared" si="249"/>
        <v>-5.5</v>
      </c>
    </row>
    <row r="300" spans="1:62" x14ac:dyDescent="0.2">
      <c r="A300" s="9">
        <f>data!M301-data!M300</f>
        <v>-0.76359999999999673</v>
      </c>
      <c r="B300" s="9">
        <f>data!C301-data!C300</f>
        <v>0.78999999999999915</v>
      </c>
      <c r="C300" s="9">
        <f>data!D301-data!D300</f>
        <v>-0.25499999999999901</v>
      </c>
      <c r="D300" s="10">
        <f>data!B301-data!B300</f>
        <v>0.16500000000000004</v>
      </c>
      <c r="E300" s="9">
        <f>data!E300-data!G300</f>
        <v>1.5980000000000001</v>
      </c>
      <c r="F300" s="9">
        <f>(data!E300-data!F300)-(data!G300-data!H300)</f>
        <v>1.2976999999999999</v>
      </c>
      <c r="G300" s="9">
        <f t="shared" si="200"/>
        <v>-5.3299999999999903E-2</v>
      </c>
      <c r="H300" s="9">
        <f t="shared" si="201"/>
        <v>-3.2499999999999751E-2</v>
      </c>
      <c r="I300" s="9">
        <f>IF(data!M301&gt; 111.81,1,0)</f>
        <v>0</v>
      </c>
      <c r="J300" s="9">
        <f t="shared" si="202"/>
        <v>1</v>
      </c>
      <c r="K300" s="9">
        <f t="shared" si="203"/>
        <v>0</v>
      </c>
      <c r="L300" s="9">
        <f t="shared" si="204"/>
        <v>-0.76359999999999673</v>
      </c>
      <c r="M300" s="9">
        <f>data!J300</f>
        <v>-34.9</v>
      </c>
      <c r="N300" s="9">
        <f>data!I300</f>
        <v>-45</v>
      </c>
      <c r="O300" s="9">
        <f>data!L300</f>
        <v>-33.5</v>
      </c>
      <c r="P300" s="9">
        <f>data!K300</f>
        <v>-13.8</v>
      </c>
      <c r="Q300" s="9">
        <f>data!R300</f>
        <v>-6.8</v>
      </c>
      <c r="R300" s="9">
        <f t="shared" si="205"/>
        <v>-1.1000000000000014</v>
      </c>
      <c r="S300" s="9">
        <f t="shared" si="206"/>
        <v>0.79999999999999716</v>
      </c>
      <c r="T300" s="9">
        <f t="shared" si="207"/>
        <v>0.5</v>
      </c>
      <c r="U300" s="9">
        <f t="shared" si="208"/>
        <v>1.8999999999999986</v>
      </c>
      <c r="V300" s="9">
        <f t="shared" si="209"/>
        <v>1.1999999999999957</v>
      </c>
      <c r="W300" s="9">
        <f t="shared" si="210"/>
        <v>3.1499999999999986</v>
      </c>
      <c r="X300" s="9">
        <f t="shared" si="211"/>
        <v>3.3999999999999986</v>
      </c>
      <c r="Y300" s="9">
        <f t="shared" si="212"/>
        <v>2</v>
      </c>
      <c r="Z300" s="9">
        <f t="shared" si="213"/>
        <v>-9.8000000000000043</v>
      </c>
      <c r="AA300" s="9">
        <f t="shared" si="214"/>
        <v>0</v>
      </c>
      <c r="AB300" s="9">
        <f t="shared" si="215"/>
        <v>1.2000000000000028</v>
      </c>
      <c r="AC300" s="9">
        <f t="shared" si="216"/>
        <v>0</v>
      </c>
      <c r="AD300" s="9">
        <f t="shared" si="217"/>
        <v>0.70000000000000284</v>
      </c>
      <c r="AE300" s="9">
        <f t="shared" si="218"/>
        <v>0.20000000000000284</v>
      </c>
      <c r="AF300" s="9">
        <f t="shared" si="219"/>
        <v>-0.25</v>
      </c>
      <c r="AG300" s="9">
        <f t="shared" si="220"/>
        <v>-1.25</v>
      </c>
      <c r="AH300" s="9">
        <f t="shared" si="221"/>
        <v>-3.2999999999999972</v>
      </c>
      <c r="AI300" s="9">
        <f t="shared" si="222"/>
        <v>-11.5</v>
      </c>
      <c r="AJ300" s="9">
        <f t="shared" si="223"/>
        <v>0</v>
      </c>
      <c r="AK300" s="9">
        <f t="shared" si="224"/>
        <v>-1</v>
      </c>
      <c r="AL300" s="9">
        <f t="shared" si="225"/>
        <v>-1.75</v>
      </c>
      <c r="AM300" s="9">
        <f t="shared" si="226"/>
        <v>-1.2999999999999972</v>
      </c>
      <c r="AN300" s="9">
        <f t="shared" si="227"/>
        <v>-2</v>
      </c>
      <c r="AO300" s="9">
        <f t="shared" si="228"/>
        <v>-4.5</v>
      </c>
      <c r="AP300" s="9">
        <f t="shared" si="229"/>
        <v>-4.75</v>
      </c>
      <c r="AQ300" s="9">
        <f t="shared" si="230"/>
        <v>-5</v>
      </c>
      <c r="AR300" s="9">
        <f t="shared" si="231"/>
        <v>-11</v>
      </c>
      <c r="AS300" s="9">
        <f t="shared" si="232"/>
        <v>-8.7499999999998579E-2</v>
      </c>
      <c r="AT300" s="9">
        <f t="shared" si="233"/>
        <v>0.5</v>
      </c>
      <c r="AU300" s="9">
        <f t="shared" si="234"/>
        <v>-0.5</v>
      </c>
      <c r="AV300" s="9">
        <f t="shared" si="235"/>
        <v>-0.69999999999999929</v>
      </c>
      <c r="AW300" s="9">
        <f t="shared" si="236"/>
        <v>-1.4499999999999993</v>
      </c>
      <c r="AX300" s="9">
        <f t="shared" si="237"/>
        <v>-5.8499999999999979</v>
      </c>
      <c r="AY300" s="9">
        <f t="shared" si="238"/>
        <v>-7.6999999999999993</v>
      </c>
      <c r="AZ300" s="9">
        <f t="shared" si="239"/>
        <v>-6.6999999999999993</v>
      </c>
      <c r="BA300" s="9">
        <f t="shared" si="240"/>
        <v>-11.2</v>
      </c>
      <c r="BB300" s="9">
        <f t="shared" si="241"/>
        <v>-8.7500000000000355E-2</v>
      </c>
      <c r="BC300" s="9">
        <f t="shared" si="242"/>
        <v>-0.20000000000000018</v>
      </c>
      <c r="BD300" s="9">
        <f t="shared" si="243"/>
        <v>-0.70000000000000018</v>
      </c>
      <c r="BE300" s="9">
        <f t="shared" si="244"/>
        <v>-0.70000000000000018</v>
      </c>
      <c r="BF300" s="9">
        <f t="shared" si="245"/>
        <v>-1.4500000000000002</v>
      </c>
      <c r="BG300" s="9">
        <f t="shared" si="246"/>
        <v>-5.3500000000000005</v>
      </c>
      <c r="BH300" s="9">
        <f t="shared" si="247"/>
        <v>-7.7</v>
      </c>
      <c r="BI300" s="9">
        <f t="shared" si="248"/>
        <v>-6.7</v>
      </c>
      <c r="BJ300" s="9">
        <f t="shared" si="249"/>
        <v>-10.95</v>
      </c>
    </row>
    <row r="301" spans="1:62" x14ac:dyDescent="0.2">
      <c r="A301" s="9">
        <f>data!M302-data!M301</f>
        <v>-0.72270000000000323</v>
      </c>
      <c r="B301" s="9">
        <f>data!C302-data!C301</f>
        <v>-1.7899999999999991</v>
      </c>
      <c r="C301" s="9">
        <f>data!D302-data!D301</f>
        <v>1.2949999999999999</v>
      </c>
      <c r="D301" s="10">
        <f>data!B302-data!B301</f>
        <v>8.2500000000000018E-2</v>
      </c>
      <c r="E301" s="9">
        <f>data!E301-data!G301</f>
        <v>1.5447000000000002</v>
      </c>
      <c r="F301" s="9">
        <f>(data!E301-data!F301)-(data!G301-data!H301)</f>
        <v>1.2652000000000001</v>
      </c>
      <c r="G301" s="9">
        <f t="shared" si="200"/>
        <v>-2.5700000000000278E-2</v>
      </c>
      <c r="H301" s="9">
        <f t="shared" si="201"/>
        <v>3.5699999999999621E-2</v>
      </c>
      <c r="I301" s="9">
        <f>IF(data!M302&gt; 111.81,1,0)</f>
        <v>0</v>
      </c>
      <c r="J301" s="9">
        <f t="shared" si="202"/>
        <v>1</v>
      </c>
      <c r="K301" s="9">
        <f t="shared" si="203"/>
        <v>0</v>
      </c>
      <c r="L301" s="9">
        <f t="shared" si="204"/>
        <v>-0.72270000000000323</v>
      </c>
      <c r="M301" s="9">
        <f>data!J301</f>
        <v>-36</v>
      </c>
      <c r="N301" s="9">
        <f>data!I301</f>
        <v>-45</v>
      </c>
      <c r="O301" s="9">
        <f>data!L301</f>
        <v>-33.5</v>
      </c>
      <c r="P301" s="9">
        <f>data!K301</f>
        <v>-13.887499999999999</v>
      </c>
      <c r="Q301" s="9">
        <f>data!R301</f>
        <v>-6.8875000000000002</v>
      </c>
      <c r="R301" s="9">
        <f t="shared" si="205"/>
        <v>1.8999999999999986</v>
      </c>
      <c r="S301" s="9">
        <f t="shared" si="206"/>
        <v>1.6000000000000014</v>
      </c>
      <c r="T301" s="9">
        <f t="shared" si="207"/>
        <v>3</v>
      </c>
      <c r="U301" s="9">
        <f t="shared" si="208"/>
        <v>2.2999999999999972</v>
      </c>
      <c r="V301" s="9">
        <f t="shared" si="209"/>
        <v>4.25</v>
      </c>
      <c r="W301" s="9">
        <f t="shared" si="210"/>
        <v>4.5</v>
      </c>
      <c r="X301" s="9">
        <f t="shared" si="211"/>
        <v>3.1000000000000014</v>
      </c>
      <c r="Y301" s="9">
        <f t="shared" si="212"/>
        <v>-8.7000000000000028</v>
      </c>
      <c r="Z301" s="9">
        <f t="shared" si="213"/>
        <v>-3.8999999999999986</v>
      </c>
      <c r="AA301" s="9">
        <f t="shared" si="214"/>
        <v>1.2000000000000028</v>
      </c>
      <c r="AB301" s="9">
        <f t="shared" si="215"/>
        <v>0</v>
      </c>
      <c r="AC301" s="9">
        <f t="shared" si="216"/>
        <v>0.70000000000000284</v>
      </c>
      <c r="AD301" s="9">
        <f t="shared" si="217"/>
        <v>0.20000000000000284</v>
      </c>
      <c r="AE301" s="9">
        <f t="shared" si="218"/>
        <v>-0.25</v>
      </c>
      <c r="AF301" s="9">
        <f t="shared" si="219"/>
        <v>-1.25</v>
      </c>
      <c r="AG301" s="9">
        <f t="shared" si="220"/>
        <v>-3.2999999999999972</v>
      </c>
      <c r="AH301" s="9">
        <f t="shared" si="221"/>
        <v>-11.5</v>
      </c>
      <c r="AI301" s="9">
        <f t="shared" si="222"/>
        <v>-9.75</v>
      </c>
      <c r="AJ301" s="9">
        <f t="shared" si="223"/>
        <v>-1</v>
      </c>
      <c r="AK301" s="9">
        <f t="shared" si="224"/>
        <v>-1.75</v>
      </c>
      <c r="AL301" s="9">
        <f t="shared" si="225"/>
        <v>-1.2999999999999972</v>
      </c>
      <c r="AM301" s="9">
        <f t="shared" si="226"/>
        <v>-2</v>
      </c>
      <c r="AN301" s="9">
        <f t="shared" si="227"/>
        <v>-4.5</v>
      </c>
      <c r="AO301" s="9">
        <f t="shared" si="228"/>
        <v>-4.75</v>
      </c>
      <c r="AP301" s="9">
        <f t="shared" si="229"/>
        <v>-5</v>
      </c>
      <c r="AQ301" s="9">
        <f t="shared" si="230"/>
        <v>-11</v>
      </c>
      <c r="AR301" s="9">
        <f t="shared" si="231"/>
        <v>-9.25</v>
      </c>
      <c r="AS301" s="9">
        <f t="shared" si="232"/>
        <v>0.58749999999999858</v>
      </c>
      <c r="AT301" s="9">
        <f t="shared" si="233"/>
        <v>-0.41250000000000142</v>
      </c>
      <c r="AU301" s="9">
        <f t="shared" si="234"/>
        <v>-0.61250000000000071</v>
      </c>
      <c r="AV301" s="9">
        <f t="shared" si="235"/>
        <v>-1.3625000000000007</v>
      </c>
      <c r="AW301" s="9">
        <f t="shared" si="236"/>
        <v>-5.7624999999999993</v>
      </c>
      <c r="AX301" s="9">
        <f t="shared" si="237"/>
        <v>-7.6125000000000007</v>
      </c>
      <c r="AY301" s="9">
        <f t="shared" si="238"/>
        <v>-6.6125000000000007</v>
      </c>
      <c r="AZ301" s="9">
        <f t="shared" si="239"/>
        <v>-11.112500000000001</v>
      </c>
      <c r="BA301" s="9">
        <f t="shared" si="240"/>
        <v>-8.6125000000000007</v>
      </c>
      <c r="BB301" s="9">
        <f t="shared" si="241"/>
        <v>-0.11249999999999982</v>
      </c>
      <c r="BC301" s="9">
        <f t="shared" si="242"/>
        <v>-0.61249999999999982</v>
      </c>
      <c r="BD301" s="9">
        <f t="shared" si="243"/>
        <v>-0.61249999999999982</v>
      </c>
      <c r="BE301" s="9">
        <f t="shared" si="244"/>
        <v>-1.3624999999999998</v>
      </c>
      <c r="BF301" s="9">
        <f t="shared" si="245"/>
        <v>-5.2625000000000002</v>
      </c>
      <c r="BG301" s="9">
        <f t="shared" si="246"/>
        <v>-7.6124999999999998</v>
      </c>
      <c r="BH301" s="9">
        <f t="shared" si="247"/>
        <v>-6.6124999999999998</v>
      </c>
      <c r="BI301" s="9">
        <f t="shared" si="248"/>
        <v>-10.862500000000001</v>
      </c>
      <c r="BJ301" s="9">
        <f t="shared" si="249"/>
        <v>-7.6124999999999998</v>
      </c>
    </row>
    <row r="302" spans="1:62" x14ac:dyDescent="0.2">
      <c r="A302" s="9">
        <f>data!M303-data!M302</f>
        <v>-0.43179999999999552</v>
      </c>
      <c r="B302" s="9">
        <f>data!C303-data!C302</f>
        <v>-1.6799999999999997</v>
      </c>
      <c r="C302" s="9">
        <f>data!D303-data!D302</f>
        <v>-0.39499999999999957</v>
      </c>
      <c r="D302" s="10">
        <f>data!B303-data!B302</f>
        <v>-7.2499999999999787E-2</v>
      </c>
      <c r="E302" s="9">
        <f>data!E302-data!G302</f>
        <v>1.5189999999999999</v>
      </c>
      <c r="F302" s="9">
        <f>(data!E302-data!F302)-(data!G302-data!H302)</f>
        <v>1.3008999999999997</v>
      </c>
      <c r="G302" s="9">
        <f t="shared" si="200"/>
        <v>0.15569999999999995</v>
      </c>
      <c r="H302" s="9">
        <f t="shared" si="201"/>
        <v>0.14890000000000048</v>
      </c>
      <c r="I302" s="9">
        <f>IF(data!M303&gt; 111.81,1,0)</f>
        <v>0</v>
      </c>
      <c r="J302" s="9">
        <f t="shared" si="202"/>
        <v>1</v>
      </c>
      <c r="K302" s="9">
        <f t="shared" si="203"/>
        <v>0</v>
      </c>
      <c r="L302" s="9">
        <f t="shared" si="204"/>
        <v>-0.43179999999999552</v>
      </c>
      <c r="M302" s="9">
        <f>data!J302</f>
        <v>-34.1</v>
      </c>
      <c r="N302" s="9">
        <f>data!I302</f>
        <v>-43.8</v>
      </c>
      <c r="O302" s="9">
        <f>data!L302</f>
        <v>-34.5</v>
      </c>
      <c r="P302" s="9">
        <f>data!K302</f>
        <v>-13.3</v>
      </c>
      <c r="Q302" s="9">
        <f>data!R302</f>
        <v>-7</v>
      </c>
      <c r="R302" s="9">
        <f t="shared" si="205"/>
        <v>-0.29999999999999716</v>
      </c>
      <c r="S302" s="9">
        <f t="shared" si="206"/>
        <v>1.1000000000000014</v>
      </c>
      <c r="T302" s="9">
        <f t="shared" si="207"/>
        <v>0.39999999999999858</v>
      </c>
      <c r="U302" s="9">
        <f t="shared" si="208"/>
        <v>2.3500000000000014</v>
      </c>
      <c r="V302" s="9">
        <f t="shared" si="209"/>
        <v>2.6000000000000014</v>
      </c>
      <c r="W302" s="9">
        <f t="shared" si="210"/>
        <v>1.2000000000000028</v>
      </c>
      <c r="X302" s="9">
        <f t="shared" si="211"/>
        <v>-10.600000000000001</v>
      </c>
      <c r="Y302" s="9">
        <f t="shared" si="212"/>
        <v>-5.7999999999999972</v>
      </c>
      <c r="Z302" s="9">
        <f t="shared" si="213"/>
        <v>-5.8999999999999986</v>
      </c>
      <c r="AA302" s="9">
        <f t="shared" si="214"/>
        <v>-1.2000000000000028</v>
      </c>
      <c r="AB302" s="9">
        <f t="shared" si="215"/>
        <v>-0.5</v>
      </c>
      <c r="AC302" s="9">
        <f t="shared" si="216"/>
        <v>-1</v>
      </c>
      <c r="AD302" s="9">
        <f t="shared" si="217"/>
        <v>-1.4500000000000028</v>
      </c>
      <c r="AE302" s="9">
        <f t="shared" si="218"/>
        <v>-2.4500000000000028</v>
      </c>
      <c r="AF302" s="9">
        <f t="shared" si="219"/>
        <v>-4.5</v>
      </c>
      <c r="AG302" s="9">
        <f t="shared" si="220"/>
        <v>-12.700000000000003</v>
      </c>
      <c r="AH302" s="9">
        <f t="shared" si="221"/>
        <v>-10.950000000000003</v>
      </c>
      <c r="AI302" s="9">
        <f t="shared" si="222"/>
        <v>-14.5</v>
      </c>
      <c r="AJ302" s="9">
        <f t="shared" si="223"/>
        <v>-0.75</v>
      </c>
      <c r="AK302" s="9">
        <f t="shared" si="224"/>
        <v>-0.29999999999999716</v>
      </c>
      <c r="AL302" s="9">
        <f t="shared" si="225"/>
        <v>-1</v>
      </c>
      <c r="AM302" s="9">
        <f t="shared" si="226"/>
        <v>-3.5</v>
      </c>
      <c r="AN302" s="9">
        <f t="shared" si="227"/>
        <v>-3.75</v>
      </c>
      <c r="AO302" s="9">
        <f t="shared" si="228"/>
        <v>-4</v>
      </c>
      <c r="AP302" s="9">
        <f t="shared" si="229"/>
        <v>-10</v>
      </c>
      <c r="AQ302" s="9">
        <f t="shared" si="230"/>
        <v>-8.25</v>
      </c>
      <c r="AR302" s="9">
        <f t="shared" si="231"/>
        <v>-12.799999999999997</v>
      </c>
      <c r="AS302" s="9">
        <f t="shared" si="232"/>
        <v>-1</v>
      </c>
      <c r="AT302" s="9">
        <f t="shared" si="233"/>
        <v>-1.1999999999999993</v>
      </c>
      <c r="AU302" s="9">
        <f t="shared" si="234"/>
        <v>-1.9499999999999993</v>
      </c>
      <c r="AV302" s="9">
        <f t="shared" si="235"/>
        <v>-6.3499999999999979</v>
      </c>
      <c r="AW302" s="9">
        <f t="shared" si="236"/>
        <v>-8.1999999999999993</v>
      </c>
      <c r="AX302" s="9">
        <f t="shared" si="237"/>
        <v>-7.1999999999999993</v>
      </c>
      <c r="AY302" s="9">
        <f t="shared" si="238"/>
        <v>-11.7</v>
      </c>
      <c r="AZ302" s="9">
        <f t="shared" si="239"/>
        <v>-9.1999999999999993</v>
      </c>
      <c r="BA302" s="9">
        <f t="shared" si="240"/>
        <v>-15.7</v>
      </c>
      <c r="BB302" s="9">
        <f t="shared" si="241"/>
        <v>-0.5</v>
      </c>
      <c r="BC302" s="9">
        <f t="shared" si="242"/>
        <v>-0.5</v>
      </c>
      <c r="BD302" s="9">
        <f t="shared" si="243"/>
        <v>-1.25</v>
      </c>
      <c r="BE302" s="9">
        <f t="shared" si="244"/>
        <v>-5.15</v>
      </c>
      <c r="BF302" s="9">
        <f t="shared" si="245"/>
        <v>-7.5</v>
      </c>
      <c r="BG302" s="9">
        <f t="shared" si="246"/>
        <v>-6.5</v>
      </c>
      <c r="BH302" s="9">
        <f t="shared" si="247"/>
        <v>-10.75</v>
      </c>
      <c r="BI302" s="9">
        <f t="shared" si="248"/>
        <v>-7.5</v>
      </c>
      <c r="BJ302" s="9">
        <f t="shared" si="249"/>
        <v>-14.3</v>
      </c>
    </row>
    <row r="303" spans="1:62" x14ac:dyDescent="0.2">
      <c r="A303" s="9">
        <f>data!M304-data!M303</f>
        <v>0.72480000000000189</v>
      </c>
      <c r="B303" s="9">
        <f>data!C304-data!C303</f>
        <v>-0.25</v>
      </c>
      <c r="C303" s="9">
        <f>data!D304-data!D303</f>
        <v>-0.24500000000000099</v>
      </c>
      <c r="D303" s="10">
        <f>data!B304-data!B303</f>
        <v>-0.43999999999999995</v>
      </c>
      <c r="E303" s="9">
        <f>data!E303-data!G303</f>
        <v>1.6746999999999999</v>
      </c>
      <c r="F303" s="9">
        <f>(data!E303-data!F303)-(data!G303-data!H303)</f>
        <v>1.4498000000000002</v>
      </c>
      <c r="G303" s="9">
        <f t="shared" si="200"/>
        <v>-1.6599999999999726E-2</v>
      </c>
      <c r="H303" s="9">
        <f t="shared" si="201"/>
        <v>1.6999999999998128E-3</v>
      </c>
      <c r="I303" s="9">
        <f>IF(data!M304&gt; 111.81,1,0)</f>
        <v>0</v>
      </c>
      <c r="J303" s="9">
        <f t="shared" si="202"/>
        <v>1</v>
      </c>
      <c r="K303" s="9">
        <f t="shared" si="203"/>
        <v>0</v>
      </c>
      <c r="L303" s="9">
        <f t="shared" si="204"/>
        <v>0.72480000000000189</v>
      </c>
      <c r="M303" s="9">
        <f>data!J303</f>
        <v>-34.4</v>
      </c>
      <c r="N303" s="9">
        <f>data!I303</f>
        <v>-45</v>
      </c>
      <c r="O303" s="9">
        <f>data!L303</f>
        <v>-35.25</v>
      </c>
      <c r="P303" s="9">
        <f>data!K303</f>
        <v>-14.3</v>
      </c>
      <c r="Q303" s="9">
        <f>data!R303</f>
        <v>-7.5</v>
      </c>
      <c r="R303" s="9">
        <f t="shared" si="205"/>
        <v>1.3999999999999986</v>
      </c>
      <c r="S303" s="9">
        <f t="shared" si="206"/>
        <v>0.69999999999999574</v>
      </c>
      <c r="T303" s="9">
        <f t="shared" si="207"/>
        <v>2.6499999999999986</v>
      </c>
      <c r="U303" s="9">
        <f t="shared" si="208"/>
        <v>2.8999999999999986</v>
      </c>
      <c r="V303" s="9">
        <f t="shared" si="209"/>
        <v>1.5</v>
      </c>
      <c r="W303" s="9">
        <f t="shared" si="210"/>
        <v>-10.300000000000004</v>
      </c>
      <c r="X303" s="9">
        <f t="shared" si="211"/>
        <v>-5.5</v>
      </c>
      <c r="Y303" s="9">
        <f t="shared" si="212"/>
        <v>-5.6000000000000014</v>
      </c>
      <c r="Z303" s="9">
        <f t="shared" si="213"/>
        <v>-4.3500000000000014</v>
      </c>
      <c r="AA303" s="9">
        <f t="shared" si="214"/>
        <v>0.70000000000000284</v>
      </c>
      <c r="AB303" s="9">
        <f t="shared" si="215"/>
        <v>0.20000000000000284</v>
      </c>
      <c r="AC303" s="9">
        <f t="shared" si="216"/>
        <v>-0.25</v>
      </c>
      <c r="AD303" s="9">
        <f t="shared" si="217"/>
        <v>-1.25</v>
      </c>
      <c r="AE303" s="9">
        <f t="shared" si="218"/>
        <v>-3.2999999999999972</v>
      </c>
      <c r="AF303" s="9">
        <f t="shared" si="219"/>
        <v>-11.5</v>
      </c>
      <c r="AG303" s="9">
        <f t="shared" si="220"/>
        <v>-9.75</v>
      </c>
      <c r="AH303" s="9">
        <f t="shared" si="221"/>
        <v>-13.299999999999997</v>
      </c>
      <c r="AI303" s="9">
        <f t="shared" si="222"/>
        <v>-12.494999999999997</v>
      </c>
      <c r="AJ303" s="9">
        <f t="shared" si="223"/>
        <v>0.45000000000000284</v>
      </c>
      <c r="AK303" s="9">
        <f t="shared" si="224"/>
        <v>-0.25</v>
      </c>
      <c r="AL303" s="9">
        <f t="shared" si="225"/>
        <v>-2.75</v>
      </c>
      <c r="AM303" s="9">
        <f t="shared" si="226"/>
        <v>-3</v>
      </c>
      <c r="AN303" s="9">
        <f t="shared" si="227"/>
        <v>-3.25</v>
      </c>
      <c r="AO303" s="9">
        <f t="shared" si="228"/>
        <v>-9.25</v>
      </c>
      <c r="AP303" s="9">
        <f t="shared" si="229"/>
        <v>-7.5</v>
      </c>
      <c r="AQ303" s="9">
        <f t="shared" si="230"/>
        <v>-12.049999999999997</v>
      </c>
      <c r="AR303" s="9">
        <f t="shared" si="231"/>
        <v>-11.274999999999999</v>
      </c>
      <c r="AS303" s="9">
        <f t="shared" si="232"/>
        <v>-0.19999999999999929</v>
      </c>
      <c r="AT303" s="9">
        <f t="shared" si="233"/>
        <v>-0.94999999999999929</v>
      </c>
      <c r="AU303" s="9">
        <f t="shared" si="234"/>
        <v>-5.3499999999999979</v>
      </c>
      <c r="AV303" s="9">
        <f t="shared" si="235"/>
        <v>-7.1999999999999993</v>
      </c>
      <c r="AW303" s="9">
        <f t="shared" si="236"/>
        <v>-6.1999999999999993</v>
      </c>
      <c r="AX303" s="9">
        <f t="shared" si="237"/>
        <v>-10.7</v>
      </c>
      <c r="AY303" s="9">
        <f t="shared" si="238"/>
        <v>-8.1999999999999993</v>
      </c>
      <c r="AZ303" s="9">
        <f t="shared" si="239"/>
        <v>-14.7</v>
      </c>
      <c r="BA303" s="9">
        <f t="shared" si="240"/>
        <v>-14.287499999999998</v>
      </c>
      <c r="BB303" s="9">
        <f t="shared" si="241"/>
        <v>0</v>
      </c>
      <c r="BC303" s="9">
        <f t="shared" si="242"/>
        <v>-0.75</v>
      </c>
      <c r="BD303" s="9">
        <f t="shared" si="243"/>
        <v>-4.6500000000000004</v>
      </c>
      <c r="BE303" s="9">
        <f t="shared" si="244"/>
        <v>-7</v>
      </c>
      <c r="BF303" s="9">
        <f t="shared" si="245"/>
        <v>-6</v>
      </c>
      <c r="BG303" s="9">
        <f t="shared" si="246"/>
        <v>-10.25</v>
      </c>
      <c r="BH303" s="9">
        <f t="shared" si="247"/>
        <v>-7</v>
      </c>
      <c r="BI303" s="9">
        <f t="shared" si="248"/>
        <v>-13.8</v>
      </c>
      <c r="BJ303" s="9">
        <f t="shared" si="249"/>
        <v>-13.3125</v>
      </c>
    </row>
    <row r="304" spans="1:62" x14ac:dyDescent="0.2">
      <c r="A304" s="9">
        <f>data!M305-data!M304</f>
        <v>-0.31279999999999575</v>
      </c>
      <c r="B304" s="9">
        <f>data!C305-data!C304</f>
        <v>2.4199999999999982</v>
      </c>
      <c r="C304" s="9">
        <f>data!D305-data!D304</f>
        <v>0.15000000000000036</v>
      </c>
      <c r="D304" s="10">
        <f>data!B305-data!B304</f>
        <v>-7.2500000000000231E-2</v>
      </c>
      <c r="E304" s="9">
        <f>data!E304-data!G304</f>
        <v>1.6581000000000001</v>
      </c>
      <c r="F304" s="9">
        <f>(data!E304-data!F304)-(data!G304-data!H304)</f>
        <v>1.4515</v>
      </c>
      <c r="G304" s="9">
        <f t="shared" si="200"/>
        <v>2.1999999999997577E-3</v>
      </c>
      <c r="H304" s="9">
        <f t="shared" si="201"/>
        <v>1.8099999999999783E-2</v>
      </c>
      <c r="I304" s="9">
        <f>IF(data!M305&gt; 111.81,1,0)</f>
        <v>0</v>
      </c>
      <c r="J304" s="9">
        <f t="shared" si="202"/>
        <v>1</v>
      </c>
      <c r="K304" s="9">
        <f t="shared" si="203"/>
        <v>0</v>
      </c>
      <c r="L304" s="9">
        <f t="shared" si="204"/>
        <v>-0.31279999999999575</v>
      </c>
      <c r="M304" s="9">
        <f>data!J304</f>
        <v>-33</v>
      </c>
      <c r="N304" s="9">
        <f>data!I304</f>
        <v>-44.3</v>
      </c>
      <c r="O304" s="9">
        <f>data!L304</f>
        <v>-34.799999999999997</v>
      </c>
      <c r="P304" s="9">
        <f>data!K304</f>
        <v>-14.5</v>
      </c>
      <c r="Q304" s="9">
        <f>data!R304</f>
        <v>-7.5</v>
      </c>
      <c r="R304" s="9">
        <f t="shared" si="205"/>
        <v>-0.70000000000000284</v>
      </c>
      <c r="S304" s="9">
        <f t="shared" si="206"/>
        <v>1.25</v>
      </c>
      <c r="T304" s="9">
        <f t="shared" si="207"/>
        <v>1.5</v>
      </c>
      <c r="U304" s="9">
        <f t="shared" si="208"/>
        <v>0.10000000000000142</v>
      </c>
      <c r="V304" s="9">
        <f t="shared" si="209"/>
        <v>-11.700000000000003</v>
      </c>
      <c r="W304" s="9">
        <f t="shared" si="210"/>
        <v>-6.8999999999999986</v>
      </c>
      <c r="X304" s="9">
        <f t="shared" si="211"/>
        <v>-7</v>
      </c>
      <c r="Y304" s="9">
        <f t="shared" si="212"/>
        <v>-5.75</v>
      </c>
      <c r="Z304" s="9">
        <f t="shared" si="213"/>
        <v>-3</v>
      </c>
      <c r="AA304" s="9">
        <f t="shared" si="214"/>
        <v>-0.5</v>
      </c>
      <c r="AB304" s="9">
        <f t="shared" si="215"/>
        <v>-0.95000000000000284</v>
      </c>
      <c r="AC304" s="9">
        <f t="shared" si="216"/>
        <v>-1.9500000000000028</v>
      </c>
      <c r="AD304" s="9">
        <f t="shared" si="217"/>
        <v>-4</v>
      </c>
      <c r="AE304" s="9">
        <f t="shared" si="218"/>
        <v>-12.200000000000003</v>
      </c>
      <c r="AF304" s="9">
        <f t="shared" si="219"/>
        <v>-10.450000000000003</v>
      </c>
      <c r="AG304" s="9">
        <f t="shared" si="220"/>
        <v>-14</v>
      </c>
      <c r="AH304" s="9">
        <f t="shared" si="221"/>
        <v>-13.195</v>
      </c>
      <c r="AI304" s="9">
        <f t="shared" si="222"/>
        <v>-12.200000000000003</v>
      </c>
      <c r="AJ304" s="9">
        <f t="shared" si="223"/>
        <v>-0.70000000000000284</v>
      </c>
      <c r="AK304" s="9">
        <f t="shared" si="224"/>
        <v>-3.2000000000000028</v>
      </c>
      <c r="AL304" s="9">
        <f t="shared" si="225"/>
        <v>-3.4500000000000028</v>
      </c>
      <c r="AM304" s="9">
        <f t="shared" si="226"/>
        <v>-3.7000000000000028</v>
      </c>
      <c r="AN304" s="9">
        <f t="shared" si="227"/>
        <v>-9.7000000000000028</v>
      </c>
      <c r="AO304" s="9">
        <f t="shared" si="228"/>
        <v>-7.9500000000000028</v>
      </c>
      <c r="AP304" s="9">
        <f t="shared" si="229"/>
        <v>-12.5</v>
      </c>
      <c r="AQ304" s="9">
        <f t="shared" si="230"/>
        <v>-11.725000000000001</v>
      </c>
      <c r="AR304" s="9">
        <f t="shared" si="231"/>
        <v>-11.200000000000003</v>
      </c>
      <c r="AS304" s="9">
        <f t="shared" si="232"/>
        <v>-0.75</v>
      </c>
      <c r="AT304" s="9">
        <f t="shared" si="233"/>
        <v>-5.1499999999999986</v>
      </c>
      <c r="AU304" s="9">
        <f t="shared" si="234"/>
        <v>-7</v>
      </c>
      <c r="AV304" s="9">
        <f t="shared" si="235"/>
        <v>-6</v>
      </c>
      <c r="AW304" s="9">
        <f t="shared" si="236"/>
        <v>-10.5</v>
      </c>
      <c r="AX304" s="9">
        <f t="shared" si="237"/>
        <v>-8</v>
      </c>
      <c r="AY304" s="9">
        <f t="shared" si="238"/>
        <v>-14.5</v>
      </c>
      <c r="AZ304" s="9">
        <f t="shared" si="239"/>
        <v>-14.087499999999999</v>
      </c>
      <c r="BA304" s="9">
        <f t="shared" si="240"/>
        <v>-13.5</v>
      </c>
      <c r="BB304" s="9">
        <f t="shared" si="241"/>
        <v>-0.75</v>
      </c>
      <c r="BC304" s="9">
        <f t="shared" si="242"/>
        <v>-4.6500000000000004</v>
      </c>
      <c r="BD304" s="9">
        <f t="shared" si="243"/>
        <v>-7</v>
      </c>
      <c r="BE304" s="9">
        <f t="shared" si="244"/>
        <v>-6</v>
      </c>
      <c r="BF304" s="9">
        <f t="shared" si="245"/>
        <v>-10.25</v>
      </c>
      <c r="BG304" s="9">
        <f t="shared" si="246"/>
        <v>-7</v>
      </c>
      <c r="BH304" s="9">
        <f t="shared" si="247"/>
        <v>-13.8</v>
      </c>
      <c r="BI304" s="9">
        <f t="shared" si="248"/>
        <v>-13.3125</v>
      </c>
      <c r="BJ304" s="9">
        <f t="shared" si="249"/>
        <v>-12.8</v>
      </c>
    </row>
    <row r="305" spans="1:62" x14ac:dyDescent="0.2">
      <c r="A305" s="9">
        <f>data!M306-data!M305</f>
        <v>-0.84940000000000282</v>
      </c>
      <c r="B305" s="9">
        <f>data!C306-data!C305</f>
        <v>-2.9399999999999977</v>
      </c>
      <c r="C305" s="9">
        <f>data!D306-data!D305</f>
        <v>-0.86999999999999922</v>
      </c>
      <c r="D305" s="10">
        <f>data!B306-data!B305</f>
        <v>0.24750000000000005</v>
      </c>
      <c r="E305" s="9">
        <f>data!E305-data!G305</f>
        <v>1.6602999999999999</v>
      </c>
      <c r="F305" s="9">
        <f>(data!E305-data!F305)-(data!G305-data!H305)</f>
        <v>1.4695999999999998</v>
      </c>
      <c r="G305" s="9">
        <f t="shared" si="200"/>
        <v>-6.5899999999999626E-2</v>
      </c>
      <c r="H305" s="9">
        <f t="shared" si="201"/>
        <v>-9.8299999999999388E-2</v>
      </c>
      <c r="I305" s="9">
        <f>IF(data!M306&gt; 111.81,1,0)</f>
        <v>0</v>
      </c>
      <c r="J305" s="9">
        <f t="shared" si="202"/>
        <v>1</v>
      </c>
      <c r="K305" s="9">
        <f t="shared" si="203"/>
        <v>0</v>
      </c>
      <c r="L305" s="9">
        <f t="shared" si="204"/>
        <v>-0.84940000000000282</v>
      </c>
      <c r="M305" s="9">
        <f>data!J305</f>
        <v>-33.700000000000003</v>
      </c>
      <c r="N305" s="9">
        <f>data!I305</f>
        <v>-44.8</v>
      </c>
      <c r="O305" s="9">
        <f>data!L305</f>
        <v>-35.5</v>
      </c>
      <c r="P305" s="9">
        <f>data!K305</f>
        <v>-15.25</v>
      </c>
      <c r="Q305" s="9">
        <f>data!R305</f>
        <v>-8.25</v>
      </c>
      <c r="R305" s="9">
        <f t="shared" si="205"/>
        <v>1.9500000000000028</v>
      </c>
      <c r="S305" s="9">
        <f t="shared" si="206"/>
        <v>2.2000000000000028</v>
      </c>
      <c r="T305" s="9">
        <f t="shared" si="207"/>
        <v>0.80000000000000426</v>
      </c>
      <c r="U305" s="9">
        <f t="shared" si="208"/>
        <v>-11</v>
      </c>
      <c r="V305" s="9">
        <f t="shared" si="209"/>
        <v>-6.1999999999999957</v>
      </c>
      <c r="W305" s="9">
        <f t="shared" si="210"/>
        <v>-6.2999999999999972</v>
      </c>
      <c r="X305" s="9">
        <f t="shared" si="211"/>
        <v>-5.0499999999999972</v>
      </c>
      <c r="Y305" s="9">
        <f t="shared" si="212"/>
        <v>-2.2999999999999972</v>
      </c>
      <c r="Z305" s="9">
        <f t="shared" si="213"/>
        <v>-2.2999999999999972</v>
      </c>
      <c r="AA305" s="9">
        <f t="shared" si="214"/>
        <v>-0.45000000000000284</v>
      </c>
      <c r="AB305" s="9">
        <f t="shared" si="215"/>
        <v>-1.4500000000000028</v>
      </c>
      <c r="AC305" s="9">
        <f t="shared" si="216"/>
        <v>-3.5</v>
      </c>
      <c r="AD305" s="9">
        <f t="shared" si="217"/>
        <v>-11.700000000000003</v>
      </c>
      <c r="AE305" s="9">
        <f t="shared" si="218"/>
        <v>-9.9500000000000028</v>
      </c>
      <c r="AF305" s="9">
        <f t="shared" si="219"/>
        <v>-13.5</v>
      </c>
      <c r="AG305" s="9">
        <f t="shared" si="220"/>
        <v>-12.695</v>
      </c>
      <c r="AH305" s="9">
        <f t="shared" si="221"/>
        <v>-11.700000000000003</v>
      </c>
      <c r="AI305" s="9">
        <f t="shared" si="222"/>
        <v>-10.950000000000003</v>
      </c>
      <c r="AJ305" s="9">
        <f t="shared" si="223"/>
        <v>-2.5</v>
      </c>
      <c r="AK305" s="9">
        <f t="shared" si="224"/>
        <v>-2.75</v>
      </c>
      <c r="AL305" s="9">
        <f t="shared" si="225"/>
        <v>-3</v>
      </c>
      <c r="AM305" s="9">
        <f t="shared" si="226"/>
        <v>-9</v>
      </c>
      <c r="AN305" s="9">
        <f t="shared" si="227"/>
        <v>-7.25</v>
      </c>
      <c r="AO305" s="9">
        <f t="shared" si="228"/>
        <v>-11.799999999999997</v>
      </c>
      <c r="AP305" s="9">
        <f t="shared" si="229"/>
        <v>-11.024999999999999</v>
      </c>
      <c r="AQ305" s="9">
        <f t="shared" si="230"/>
        <v>-10.5</v>
      </c>
      <c r="AR305" s="9">
        <f t="shared" si="231"/>
        <v>-10.25</v>
      </c>
      <c r="AS305" s="9">
        <f t="shared" si="232"/>
        <v>-4.3999999999999986</v>
      </c>
      <c r="AT305" s="9">
        <f t="shared" si="233"/>
        <v>-6.25</v>
      </c>
      <c r="AU305" s="9">
        <f t="shared" si="234"/>
        <v>-5.25</v>
      </c>
      <c r="AV305" s="9">
        <f t="shared" si="235"/>
        <v>-9.75</v>
      </c>
      <c r="AW305" s="9">
        <f t="shared" si="236"/>
        <v>-7.25</v>
      </c>
      <c r="AX305" s="9">
        <f t="shared" si="237"/>
        <v>-13.75</v>
      </c>
      <c r="AY305" s="9">
        <f t="shared" si="238"/>
        <v>-13.337499999999999</v>
      </c>
      <c r="AZ305" s="9">
        <f t="shared" si="239"/>
        <v>-12.75</v>
      </c>
      <c r="BA305" s="9">
        <f t="shared" si="240"/>
        <v>-12.5</v>
      </c>
      <c r="BB305" s="9">
        <f t="shared" si="241"/>
        <v>-3.9000000000000004</v>
      </c>
      <c r="BC305" s="9">
        <f t="shared" si="242"/>
        <v>-6.25</v>
      </c>
      <c r="BD305" s="9">
        <f t="shared" si="243"/>
        <v>-5.25</v>
      </c>
      <c r="BE305" s="9">
        <f t="shared" si="244"/>
        <v>-9.5</v>
      </c>
      <c r="BF305" s="9">
        <f t="shared" si="245"/>
        <v>-6.25</v>
      </c>
      <c r="BG305" s="9">
        <f t="shared" si="246"/>
        <v>-13.05</v>
      </c>
      <c r="BH305" s="9">
        <f t="shared" si="247"/>
        <v>-12.5625</v>
      </c>
      <c r="BI305" s="9">
        <f t="shared" si="248"/>
        <v>-12.05</v>
      </c>
      <c r="BJ305" s="9">
        <f t="shared" si="249"/>
        <v>-11.5</v>
      </c>
    </row>
    <row r="306" spans="1:62" x14ac:dyDescent="0.2">
      <c r="A306" s="9">
        <f>data!M307-data!M306</f>
        <v>0.92600000000000193</v>
      </c>
      <c r="B306" s="9">
        <f>data!C307-data!C306</f>
        <v>2.3499999999999979</v>
      </c>
      <c r="C306" s="9">
        <f>data!D307-data!D306</f>
        <v>0.22499999999999964</v>
      </c>
      <c r="D306" s="10">
        <f>data!B307-data!B306</f>
        <v>-0.48249999999999993</v>
      </c>
      <c r="E306" s="9">
        <f>data!E306-data!G306</f>
        <v>1.5944000000000003</v>
      </c>
      <c r="F306" s="9">
        <f>(data!E306-data!F306)-(data!G306-data!H306)</f>
        <v>1.3713000000000004</v>
      </c>
      <c r="G306" s="9">
        <f t="shared" si="200"/>
        <v>0.18969999999999998</v>
      </c>
      <c r="H306" s="9">
        <f t="shared" si="201"/>
        <v>6.3199999999999923E-2</v>
      </c>
      <c r="I306" s="9">
        <f>IF(data!M307&gt; 111.81,1,0)</f>
        <v>0</v>
      </c>
      <c r="J306" s="9">
        <f t="shared" si="202"/>
        <v>1</v>
      </c>
      <c r="K306" s="9">
        <f t="shared" si="203"/>
        <v>0</v>
      </c>
      <c r="L306" s="9">
        <f t="shared" si="204"/>
        <v>0.92600000000000193</v>
      </c>
      <c r="M306" s="9">
        <f>data!J306</f>
        <v>-31.75</v>
      </c>
      <c r="N306" s="9">
        <f>data!I306</f>
        <v>-45.25</v>
      </c>
      <c r="O306" s="9">
        <f>data!L306</f>
        <v>-38</v>
      </c>
      <c r="P306" s="9">
        <f>data!K306</f>
        <v>-19.649999999999999</v>
      </c>
      <c r="Q306" s="9">
        <f>data!R306</f>
        <v>-12.15</v>
      </c>
      <c r="R306" s="9">
        <f t="shared" si="205"/>
        <v>0.25</v>
      </c>
      <c r="S306" s="9">
        <f t="shared" si="206"/>
        <v>-1.1499999999999986</v>
      </c>
      <c r="T306" s="9">
        <f t="shared" si="207"/>
        <v>-12.950000000000003</v>
      </c>
      <c r="U306" s="9">
        <f t="shared" si="208"/>
        <v>-8.1499999999999986</v>
      </c>
      <c r="V306" s="9">
        <f t="shared" si="209"/>
        <v>-8.25</v>
      </c>
      <c r="W306" s="9">
        <f t="shared" si="210"/>
        <v>-7</v>
      </c>
      <c r="X306" s="9">
        <f t="shared" si="211"/>
        <v>-4.25</v>
      </c>
      <c r="Y306" s="9">
        <f t="shared" si="212"/>
        <v>-4.25</v>
      </c>
      <c r="Z306" s="9">
        <f t="shared" si="213"/>
        <v>-3.25</v>
      </c>
      <c r="AA306" s="9">
        <f t="shared" si="214"/>
        <v>-1</v>
      </c>
      <c r="AB306" s="9">
        <f t="shared" si="215"/>
        <v>-3.0499999999999972</v>
      </c>
      <c r="AC306" s="9">
        <f t="shared" si="216"/>
        <v>-11.25</v>
      </c>
      <c r="AD306" s="9">
        <f t="shared" si="217"/>
        <v>-9.5</v>
      </c>
      <c r="AE306" s="9">
        <f t="shared" si="218"/>
        <v>-13.049999999999997</v>
      </c>
      <c r="AF306" s="9">
        <f t="shared" si="219"/>
        <v>-12.244999999999997</v>
      </c>
      <c r="AG306" s="9">
        <f t="shared" si="220"/>
        <v>-11.25</v>
      </c>
      <c r="AH306" s="9">
        <f t="shared" si="221"/>
        <v>-10.5</v>
      </c>
      <c r="AI306" s="9">
        <f t="shared" si="222"/>
        <v>-8.75</v>
      </c>
      <c r="AJ306" s="9">
        <f t="shared" si="223"/>
        <v>-0.25</v>
      </c>
      <c r="AK306" s="9">
        <f t="shared" si="224"/>
        <v>-0.5</v>
      </c>
      <c r="AL306" s="9">
        <f t="shared" si="225"/>
        <v>-6.5</v>
      </c>
      <c r="AM306" s="9">
        <f t="shared" si="226"/>
        <v>-4.75</v>
      </c>
      <c r="AN306" s="9">
        <f t="shared" si="227"/>
        <v>-9.2999999999999972</v>
      </c>
      <c r="AO306" s="9">
        <f t="shared" si="228"/>
        <v>-8.5249999999999986</v>
      </c>
      <c r="AP306" s="9">
        <f t="shared" si="229"/>
        <v>-8</v>
      </c>
      <c r="AQ306" s="9">
        <f t="shared" si="230"/>
        <v>-7.75</v>
      </c>
      <c r="AR306" s="9">
        <f t="shared" si="231"/>
        <v>-5</v>
      </c>
      <c r="AS306" s="9">
        <f t="shared" si="232"/>
        <v>-1.8500000000000014</v>
      </c>
      <c r="AT306" s="9">
        <f t="shared" si="233"/>
        <v>-0.85000000000000142</v>
      </c>
      <c r="AU306" s="9">
        <f t="shared" si="234"/>
        <v>-5.3500000000000014</v>
      </c>
      <c r="AV306" s="9">
        <f t="shared" si="235"/>
        <v>-2.8500000000000014</v>
      </c>
      <c r="AW306" s="9">
        <f t="shared" si="236"/>
        <v>-9.3500000000000014</v>
      </c>
      <c r="AX306" s="9">
        <f t="shared" si="237"/>
        <v>-8.9375</v>
      </c>
      <c r="AY306" s="9">
        <f t="shared" si="238"/>
        <v>-8.3500000000000014</v>
      </c>
      <c r="AZ306" s="9">
        <f t="shared" si="239"/>
        <v>-8.1000000000000014</v>
      </c>
      <c r="BA306" s="9">
        <f t="shared" si="240"/>
        <v>-6.1500000000000021</v>
      </c>
      <c r="BB306" s="9">
        <f t="shared" si="241"/>
        <v>-2.3499999999999996</v>
      </c>
      <c r="BC306" s="9">
        <f t="shared" si="242"/>
        <v>-1.3499999999999996</v>
      </c>
      <c r="BD306" s="9">
        <f t="shared" si="243"/>
        <v>-5.6</v>
      </c>
      <c r="BE306" s="9">
        <f t="shared" si="244"/>
        <v>-2.3499999999999996</v>
      </c>
      <c r="BF306" s="9">
        <f t="shared" si="245"/>
        <v>-9.15</v>
      </c>
      <c r="BG306" s="9">
        <f t="shared" si="246"/>
        <v>-8.6624999999999996</v>
      </c>
      <c r="BH306" s="9">
        <f t="shared" si="247"/>
        <v>-8.15</v>
      </c>
      <c r="BI306" s="9">
        <f t="shared" si="248"/>
        <v>-7.6</v>
      </c>
      <c r="BJ306" s="9">
        <f t="shared" si="249"/>
        <v>-6.15</v>
      </c>
    </row>
    <row r="307" spans="1:62" x14ac:dyDescent="0.2">
      <c r="A307" s="9">
        <f>data!M308-data!M307</f>
        <v>0.52849999999999397</v>
      </c>
      <c r="B307" s="9">
        <f>data!C308-data!C307</f>
        <v>-2.5700000000000003</v>
      </c>
      <c r="C307" s="9">
        <f>data!D308-data!D307</f>
        <v>-0.59500000000000064</v>
      </c>
      <c r="D307" s="10">
        <f>data!B308-data!B307</f>
        <v>0.18999999999999995</v>
      </c>
      <c r="E307" s="9">
        <f>data!E307-data!G307</f>
        <v>1.7841000000000002</v>
      </c>
      <c r="F307" s="9">
        <f>(data!E307-data!F307)-(data!G307-data!H307)</f>
        <v>1.4345000000000003</v>
      </c>
      <c r="G307" s="9">
        <f t="shared" si="200"/>
        <v>1.6199999999999992E-2</v>
      </c>
      <c r="H307" s="9">
        <f t="shared" si="201"/>
        <v>2.609999999999979E-2</v>
      </c>
      <c r="I307" s="9">
        <f>IF(data!M308&gt; 111.81,1,0)</f>
        <v>0</v>
      </c>
      <c r="J307" s="9">
        <f t="shared" si="202"/>
        <v>1</v>
      </c>
      <c r="K307" s="9">
        <f t="shared" si="203"/>
        <v>0</v>
      </c>
      <c r="L307" s="9">
        <f t="shared" si="204"/>
        <v>0.52849999999999397</v>
      </c>
      <c r="M307" s="9">
        <f>data!J307</f>
        <v>-31.5</v>
      </c>
      <c r="N307" s="9">
        <f>data!I307</f>
        <v>-46.25</v>
      </c>
      <c r="O307" s="9">
        <f>data!L307</f>
        <v>-38.25</v>
      </c>
      <c r="P307" s="9">
        <f>data!K307</f>
        <v>-21.5</v>
      </c>
      <c r="Q307" s="9">
        <f>data!R307</f>
        <v>-14.5</v>
      </c>
      <c r="R307" s="9">
        <f t="shared" si="205"/>
        <v>-1.3999999999999986</v>
      </c>
      <c r="S307" s="9">
        <f t="shared" si="206"/>
        <v>-13.200000000000003</v>
      </c>
      <c r="T307" s="9">
        <f t="shared" si="207"/>
        <v>-8.3999999999999986</v>
      </c>
      <c r="U307" s="9">
        <f t="shared" si="208"/>
        <v>-8.5</v>
      </c>
      <c r="V307" s="9">
        <f t="shared" si="209"/>
        <v>-7.25</v>
      </c>
      <c r="W307" s="9">
        <f t="shared" si="210"/>
        <v>-4.5</v>
      </c>
      <c r="X307" s="9">
        <f t="shared" si="211"/>
        <v>-4.5</v>
      </c>
      <c r="Y307" s="9">
        <f t="shared" si="212"/>
        <v>-3.5</v>
      </c>
      <c r="Z307" s="9">
        <f t="shared" si="213"/>
        <v>-0.25</v>
      </c>
      <c r="AA307" s="9">
        <f t="shared" si="214"/>
        <v>-2.0499999999999972</v>
      </c>
      <c r="AB307" s="9">
        <f t="shared" si="215"/>
        <v>-10.25</v>
      </c>
      <c r="AC307" s="9">
        <f t="shared" si="216"/>
        <v>-8.5</v>
      </c>
      <c r="AD307" s="9">
        <f t="shared" si="217"/>
        <v>-12.049999999999997</v>
      </c>
      <c r="AE307" s="9">
        <f t="shared" si="218"/>
        <v>-11.244999999999997</v>
      </c>
      <c r="AF307" s="9">
        <f t="shared" si="219"/>
        <v>-10.25</v>
      </c>
      <c r="AG307" s="9">
        <f t="shared" si="220"/>
        <v>-9.5</v>
      </c>
      <c r="AH307" s="9">
        <f t="shared" si="221"/>
        <v>-7.75</v>
      </c>
      <c r="AI307" s="9">
        <f t="shared" si="222"/>
        <v>-6.2550000000000026</v>
      </c>
      <c r="AJ307" s="9">
        <f t="shared" si="223"/>
        <v>-0.25</v>
      </c>
      <c r="AK307" s="9">
        <f t="shared" si="224"/>
        <v>-6.25</v>
      </c>
      <c r="AL307" s="9">
        <f t="shared" si="225"/>
        <v>-4.5</v>
      </c>
      <c r="AM307" s="9">
        <f t="shared" si="226"/>
        <v>-9.0499999999999972</v>
      </c>
      <c r="AN307" s="9">
        <f t="shared" si="227"/>
        <v>-8.2749999999999986</v>
      </c>
      <c r="AO307" s="9">
        <f t="shared" si="228"/>
        <v>-7.75</v>
      </c>
      <c r="AP307" s="9">
        <f t="shared" si="229"/>
        <v>-7.5</v>
      </c>
      <c r="AQ307" s="9">
        <f t="shared" si="230"/>
        <v>-4.75</v>
      </c>
      <c r="AR307" s="9">
        <f t="shared" si="231"/>
        <v>-4.6499999999999986</v>
      </c>
      <c r="AS307" s="9">
        <f t="shared" si="232"/>
        <v>1</v>
      </c>
      <c r="AT307" s="9">
        <f t="shared" si="233"/>
        <v>-3.5</v>
      </c>
      <c r="AU307" s="9">
        <f t="shared" si="234"/>
        <v>-1</v>
      </c>
      <c r="AV307" s="9">
        <f t="shared" si="235"/>
        <v>-7.5</v>
      </c>
      <c r="AW307" s="9">
        <f t="shared" si="236"/>
        <v>-7.0874999999999986</v>
      </c>
      <c r="AX307" s="9">
        <f t="shared" si="237"/>
        <v>-6.5</v>
      </c>
      <c r="AY307" s="9">
        <f t="shared" si="238"/>
        <v>-6.25</v>
      </c>
      <c r="AZ307" s="9">
        <f t="shared" si="239"/>
        <v>-4.3000000000000007</v>
      </c>
      <c r="BA307" s="9">
        <f t="shared" si="240"/>
        <v>-3</v>
      </c>
      <c r="BB307" s="9">
        <f t="shared" si="241"/>
        <v>1</v>
      </c>
      <c r="BC307" s="9">
        <f t="shared" si="242"/>
        <v>-3.25</v>
      </c>
      <c r="BD307" s="9">
        <f t="shared" si="243"/>
        <v>0</v>
      </c>
      <c r="BE307" s="9">
        <f t="shared" si="244"/>
        <v>-6.8000000000000007</v>
      </c>
      <c r="BF307" s="9">
        <f t="shared" si="245"/>
        <v>-6.3125</v>
      </c>
      <c r="BG307" s="9">
        <f t="shared" si="246"/>
        <v>-5.8000000000000007</v>
      </c>
      <c r="BH307" s="9">
        <f t="shared" si="247"/>
        <v>-5.25</v>
      </c>
      <c r="BI307" s="9">
        <f t="shared" si="248"/>
        <v>-3.8000000000000007</v>
      </c>
      <c r="BJ307" s="9">
        <f t="shared" si="249"/>
        <v>-2</v>
      </c>
    </row>
    <row r="308" spans="1:62" x14ac:dyDescent="0.2">
      <c r="A308" s="9">
        <f>data!M309-data!M308</f>
        <v>1.1166000000000054</v>
      </c>
      <c r="B308" s="9">
        <f>data!C309-data!C308</f>
        <v>4.18</v>
      </c>
      <c r="C308" s="9">
        <f>data!D309-data!D308</f>
        <v>0.42250000000000121</v>
      </c>
      <c r="D308" s="10">
        <f>data!B309-data!B308</f>
        <v>-0.18250000000000011</v>
      </c>
      <c r="E308" s="9">
        <f>data!E308-data!G308</f>
        <v>1.8003000000000002</v>
      </c>
      <c r="F308" s="9">
        <f>(data!E308-data!F308)-(data!G308-data!H308)</f>
        <v>1.4606000000000001</v>
      </c>
      <c r="G308" s="9">
        <f t="shared" si="200"/>
        <v>-0.12900000000000045</v>
      </c>
      <c r="H308" s="9">
        <f t="shared" si="201"/>
        <v>-9.3200000000000616E-2</v>
      </c>
      <c r="I308" s="9">
        <f>IF(data!M309&gt; 111.81,1,0)</f>
        <v>0</v>
      </c>
      <c r="J308" s="9">
        <f t="shared" si="202"/>
        <v>1</v>
      </c>
      <c r="K308" s="9">
        <f t="shared" si="203"/>
        <v>0</v>
      </c>
      <c r="L308" s="9">
        <f t="shared" si="204"/>
        <v>1.1166000000000054</v>
      </c>
      <c r="M308" s="9">
        <f>data!J308</f>
        <v>-32.9</v>
      </c>
      <c r="N308" s="9">
        <f>data!I308</f>
        <v>-48.3</v>
      </c>
      <c r="O308" s="9">
        <f>data!L308</f>
        <v>-38.5</v>
      </c>
      <c r="P308" s="9">
        <f>data!K308</f>
        <v>-20.5</v>
      </c>
      <c r="Q308" s="9">
        <f>data!R308</f>
        <v>-13.5</v>
      </c>
      <c r="R308" s="9">
        <f t="shared" si="205"/>
        <v>-11.800000000000004</v>
      </c>
      <c r="S308" s="9">
        <f t="shared" si="206"/>
        <v>-7</v>
      </c>
      <c r="T308" s="9">
        <f t="shared" si="207"/>
        <v>-7.1000000000000014</v>
      </c>
      <c r="U308" s="9">
        <f t="shared" si="208"/>
        <v>-5.8500000000000014</v>
      </c>
      <c r="V308" s="9">
        <f t="shared" si="209"/>
        <v>-3.1000000000000014</v>
      </c>
      <c r="W308" s="9">
        <f t="shared" si="210"/>
        <v>-3.1000000000000014</v>
      </c>
      <c r="X308" s="9">
        <f t="shared" si="211"/>
        <v>-2.1000000000000014</v>
      </c>
      <c r="Y308" s="9">
        <f t="shared" si="212"/>
        <v>1.1499999999999986</v>
      </c>
      <c r="Z308" s="9">
        <f t="shared" si="213"/>
        <v>1.7999999999999972</v>
      </c>
      <c r="AA308" s="9">
        <f t="shared" si="214"/>
        <v>-8.2000000000000028</v>
      </c>
      <c r="AB308" s="9">
        <f t="shared" si="215"/>
        <v>-6.4500000000000028</v>
      </c>
      <c r="AC308" s="9">
        <f t="shared" si="216"/>
        <v>-10</v>
      </c>
      <c r="AD308" s="9">
        <f t="shared" si="217"/>
        <v>-9.1950000000000003</v>
      </c>
      <c r="AE308" s="9">
        <f t="shared" si="218"/>
        <v>-8.2000000000000028</v>
      </c>
      <c r="AF308" s="9">
        <f t="shared" si="219"/>
        <v>-7.4500000000000028</v>
      </c>
      <c r="AG308" s="9">
        <f t="shared" si="220"/>
        <v>-5.7000000000000028</v>
      </c>
      <c r="AH308" s="9">
        <f t="shared" si="221"/>
        <v>-4.2050000000000054</v>
      </c>
      <c r="AI308" s="9">
        <f t="shared" si="222"/>
        <v>-4.5</v>
      </c>
      <c r="AJ308" s="9">
        <f t="shared" si="223"/>
        <v>-6</v>
      </c>
      <c r="AK308" s="9">
        <f t="shared" si="224"/>
        <v>-4.25</v>
      </c>
      <c r="AL308" s="9">
        <f t="shared" si="225"/>
        <v>-8.7999999999999972</v>
      </c>
      <c r="AM308" s="9">
        <f t="shared" si="226"/>
        <v>-8.0249999999999986</v>
      </c>
      <c r="AN308" s="9">
        <f t="shared" si="227"/>
        <v>-7.5</v>
      </c>
      <c r="AO308" s="9">
        <f t="shared" si="228"/>
        <v>-7.25</v>
      </c>
      <c r="AP308" s="9">
        <f t="shared" si="229"/>
        <v>-4.5</v>
      </c>
      <c r="AQ308" s="9">
        <f t="shared" si="230"/>
        <v>-4.3999999999999986</v>
      </c>
      <c r="AR308" s="9">
        <f t="shared" si="231"/>
        <v>-5</v>
      </c>
      <c r="AS308" s="9">
        <f t="shared" si="232"/>
        <v>-4.5</v>
      </c>
      <c r="AT308" s="9">
        <f t="shared" si="233"/>
        <v>-2</v>
      </c>
      <c r="AU308" s="9">
        <f t="shared" si="234"/>
        <v>-8.5</v>
      </c>
      <c r="AV308" s="9">
        <f t="shared" si="235"/>
        <v>-8.0874999999999986</v>
      </c>
      <c r="AW308" s="9">
        <f t="shared" si="236"/>
        <v>-7.5</v>
      </c>
      <c r="AX308" s="9">
        <f t="shared" si="237"/>
        <v>-7.25</v>
      </c>
      <c r="AY308" s="9">
        <f t="shared" si="238"/>
        <v>-5.3000000000000007</v>
      </c>
      <c r="AZ308" s="9">
        <f t="shared" si="239"/>
        <v>-4</v>
      </c>
      <c r="BA308" s="9">
        <f t="shared" si="240"/>
        <v>-4.8000000000000007</v>
      </c>
      <c r="BB308" s="9">
        <f t="shared" si="241"/>
        <v>-4.25</v>
      </c>
      <c r="BC308" s="9">
        <f t="shared" si="242"/>
        <v>-1</v>
      </c>
      <c r="BD308" s="9">
        <f t="shared" si="243"/>
        <v>-7.8000000000000007</v>
      </c>
      <c r="BE308" s="9">
        <f t="shared" si="244"/>
        <v>-7.3125</v>
      </c>
      <c r="BF308" s="9">
        <f t="shared" si="245"/>
        <v>-6.8000000000000007</v>
      </c>
      <c r="BG308" s="9">
        <f t="shared" si="246"/>
        <v>-6.25</v>
      </c>
      <c r="BH308" s="9">
        <f t="shared" si="247"/>
        <v>-4.8000000000000007</v>
      </c>
      <c r="BI308" s="9">
        <f t="shared" si="248"/>
        <v>-3</v>
      </c>
      <c r="BJ308" s="9">
        <f t="shared" si="249"/>
        <v>-3.5</v>
      </c>
    </row>
    <row r="309" spans="1:62" x14ac:dyDescent="0.2">
      <c r="A309" s="9">
        <f>data!M310-data!M309</f>
        <v>-0.93640000000000612</v>
      </c>
      <c r="B309" s="9">
        <f>data!C310-data!C309</f>
        <v>-4.2099999999999973</v>
      </c>
      <c r="C309" s="9">
        <f>data!D310-data!D309</f>
        <v>-0.10250000000000092</v>
      </c>
      <c r="D309" s="10">
        <f>data!B310-data!B309</f>
        <v>1.5000000000000124E-2</v>
      </c>
      <c r="E309" s="9">
        <f>data!E309-data!G309</f>
        <v>1.6712999999999998</v>
      </c>
      <c r="F309" s="9">
        <f>(data!E309-data!F309)-(data!G309-data!H309)</f>
        <v>1.3673999999999995</v>
      </c>
      <c r="G309" s="9">
        <f t="shared" si="200"/>
        <v>0.11920000000000019</v>
      </c>
      <c r="H309" s="9">
        <f t="shared" si="201"/>
        <v>0.14880000000000027</v>
      </c>
      <c r="I309" s="9">
        <f>IF(data!M310&gt; 111.81,1,0)</f>
        <v>0</v>
      </c>
      <c r="J309" s="9">
        <f t="shared" si="202"/>
        <v>1</v>
      </c>
      <c r="K309" s="9">
        <f t="shared" si="203"/>
        <v>0</v>
      </c>
      <c r="L309" s="9">
        <f t="shared" si="204"/>
        <v>-0.93640000000000612</v>
      </c>
      <c r="M309" s="9">
        <f>data!J309</f>
        <v>-44.7</v>
      </c>
      <c r="N309" s="9">
        <f>data!I309</f>
        <v>-56.5</v>
      </c>
      <c r="O309" s="9">
        <f>data!L309</f>
        <v>-44.5</v>
      </c>
      <c r="P309" s="9">
        <f>data!K309</f>
        <v>-25</v>
      </c>
      <c r="Q309" s="9">
        <f>data!R309</f>
        <v>-17.75</v>
      </c>
      <c r="R309" s="9">
        <f t="shared" si="205"/>
        <v>4.8000000000000043</v>
      </c>
      <c r="S309" s="9">
        <f t="shared" si="206"/>
        <v>4.7000000000000028</v>
      </c>
      <c r="T309" s="9">
        <f t="shared" si="207"/>
        <v>5.9500000000000028</v>
      </c>
      <c r="U309" s="9">
        <f t="shared" si="208"/>
        <v>8.7000000000000028</v>
      </c>
      <c r="V309" s="9">
        <f t="shared" si="209"/>
        <v>8.7000000000000028</v>
      </c>
      <c r="W309" s="9">
        <f t="shared" si="210"/>
        <v>9.7000000000000028</v>
      </c>
      <c r="X309" s="9">
        <f t="shared" si="211"/>
        <v>12.950000000000003</v>
      </c>
      <c r="Y309" s="9">
        <f t="shared" si="212"/>
        <v>13.600000000000001</v>
      </c>
      <c r="Z309" s="9">
        <f t="shared" si="213"/>
        <v>14.700000000000003</v>
      </c>
      <c r="AA309" s="9">
        <f t="shared" si="214"/>
        <v>1.75</v>
      </c>
      <c r="AB309" s="9">
        <f t="shared" si="215"/>
        <v>-1.7999999999999972</v>
      </c>
      <c r="AC309" s="9">
        <f t="shared" si="216"/>
        <v>-0.99499999999999744</v>
      </c>
      <c r="AD309" s="9">
        <f t="shared" si="217"/>
        <v>0</v>
      </c>
      <c r="AE309" s="9">
        <f t="shared" si="218"/>
        <v>0.75</v>
      </c>
      <c r="AF309" s="9">
        <f t="shared" si="219"/>
        <v>2.5</v>
      </c>
      <c r="AG309" s="9">
        <f t="shared" si="220"/>
        <v>3.9949999999999974</v>
      </c>
      <c r="AH309" s="9">
        <f t="shared" si="221"/>
        <v>3.7000000000000028</v>
      </c>
      <c r="AI309" s="9">
        <f t="shared" si="222"/>
        <v>5.75</v>
      </c>
      <c r="AJ309" s="9">
        <f t="shared" si="223"/>
        <v>1.75</v>
      </c>
      <c r="AK309" s="9">
        <f t="shared" si="224"/>
        <v>-2.7999999999999972</v>
      </c>
      <c r="AL309" s="9">
        <f t="shared" si="225"/>
        <v>-2.0249999999999986</v>
      </c>
      <c r="AM309" s="9">
        <f t="shared" si="226"/>
        <v>-1.5</v>
      </c>
      <c r="AN309" s="9">
        <f t="shared" si="227"/>
        <v>-1.25</v>
      </c>
      <c r="AO309" s="9">
        <f t="shared" si="228"/>
        <v>1.5</v>
      </c>
      <c r="AP309" s="9">
        <f t="shared" si="229"/>
        <v>1.6000000000000014</v>
      </c>
      <c r="AQ309" s="9">
        <f t="shared" si="230"/>
        <v>1</v>
      </c>
      <c r="AR309" s="9">
        <f t="shared" si="231"/>
        <v>2.25</v>
      </c>
      <c r="AS309" s="9">
        <f t="shared" si="232"/>
        <v>2.5</v>
      </c>
      <c r="AT309" s="9">
        <f t="shared" si="233"/>
        <v>-4</v>
      </c>
      <c r="AU309" s="9">
        <f t="shared" si="234"/>
        <v>-3.5874999999999986</v>
      </c>
      <c r="AV309" s="9">
        <f t="shared" si="235"/>
        <v>-3</v>
      </c>
      <c r="AW309" s="9">
        <f t="shared" si="236"/>
        <v>-2.75</v>
      </c>
      <c r="AX309" s="9">
        <f t="shared" si="237"/>
        <v>-0.80000000000000071</v>
      </c>
      <c r="AY309" s="9">
        <f t="shared" si="238"/>
        <v>0.5</v>
      </c>
      <c r="AZ309" s="9">
        <f t="shared" si="239"/>
        <v>-0.30000000000000071</v>
      </c>
      <c r="BA309" s="9">
        <f t="shared" si="240"/>
        <v>0.75</v>
      </c>
      <c r="BB309" s="9">
        <f t="shared" si="241"/>
        <v>3.25</v>
      </c>
      <c r="BC309" s="9">
        <f t="shared" si="242"/>
        <v>-3.5500000000000007</v>
      </c>
      <c r="BD309" s="9">
        <f t="shared" si="243"/>
        <v>-3.0625</v>
      </c>
      <c r="BE309" s="9">
        <f t="shared" si="244"/>
        <v>-2.5500000000000007</v>
      </c>
      <c r="BF309" s="9">
        <f t="shared" si="245"/>
        <v>-2</v>
      </c>
      <c r="BG309" s="9">
        <f t="shared" si="246"/>
        <v>-0.55000000000000071</v>
      </c>
      <c r="BH309" s="9">
        <f t="shared" si="247"/>
        <v>1.25</v>
      </c>
      <c r="BI309" s="9">
        <f t="shared" si="248"/>
        <v>0.75</v>
      </c>
      <c r="BJ309" s="9">
        <f t="shared" si="249"/>
        <v>1.5</v>
      </c>
    </row>
    <row r="310" spans="1:62" x14ac:dyDescent="0.2">
      <c r="A310" s="9">
        <f>data!M311-data!M310</f>
        <v>0.40430000000000632</v>
      </c>
      <c r="B310" s="9">
        <f>data!C311-data!C310</f>
        <v>-0.40000000000000213</v>
      </c>
      <c r="C310" s="9">
        <f>data!D311-data!D310</f>
        <v>0.40499999999999936</v>
      </c>
      <c r="D310" s="10">
        <f>data!B311-data!B310</f>
        <v>2.4999999999999911E-2</v>
      </c>
      <c r="E310" s="9">
        <f>data!E310-data!G310</f>
        <v>1.7905</v>
      </c>
      <c r="F310" s="9">
        <f>(data!E310-data!F310)-(data!G310-data!H310)</f>
        <v>1.5161999999999998</v>
      </c>
      <c r="G310" s="9">
        <f t="shared" si="200"/>
        <v>0.3234999999999999</v>
      </c>
      <c r="H310" s="9">
        <f t="shared" si="201"/>
        <v>0.18850000000000011</v>
      </c>
      <c r="I310" s="9">
        <f>IF(data!M311&gt; 111.81,1,0)</f>
        <v>0</v>
      </c>
      <c r="J310" s="9">
        <f t="shared" si="202"/>
        <v>1</v>
      </c>
      <c r="K310" s="9">
        <f t="shared" si="203"/>
        <v>0</v>
      </c>
      <c r="L310" s="9">
        <f t="shared" si="204"/>
        <v>0.40430000000000632</v>
      </c>
      <c r="M310" s="9">
        <f>data!J310</f>
        <v>-39.9</v>
      </c>
      <c r="N310" s="9">
        <f>data!I310</f>
        <v>-54.75</v>
      </c>
      <c r="O310" s="9">
        <f>data!L310</f>
        <v>-42.75</v>
      </c>
      <c r="P310" s="9">
        <f>data!K310</f>
        <v>-22.5</v>
      </c>
      <c r="Q310" s="9">
        <f>data!R310</f>
        <v>-14.5</v>
      </c>
      <c r="R310" s="9">
        <f t="shared" si="205"/>
        <v>-0.10000000000000142</v>
      </c>
      <c r="S310" s="9">
        <f t="shared" si="206"/>
        <v>1.1499999999999986</v>
      </c>
      <c r="T310" s="9">
        <f t="shared" si="207"/>
        <v>3.8999999999999986</v>
      </c>
      <c r="U310" s="9">
        <f t="shared" si="208"/>
        <v>3.8999999999999986</v>
      </c>
      <c r="V310" s="9">
        <f t="shared" si="209"/>
        <v>4.8999999999999986</v>
      </c>
      <c r="W310" s="9">
        <f t="shared" si="210"/>
        <v>8.1499999999999986</v>
      </c>
      <c r="X310" s="9">
        <f t="shared" si="211"/>
        <v>8.7999999999999972</v>
      </c>
      <c r="Y310" s="9">
        <f t="shared" si="212"/>
        <v>9.8999999999999986</v>
      </c>
      <c r="Z310" s="9">
        <f t="shared" si="213"/>
        <v>11.299999999999997</v>
      </c>
      <c r="AA310" s="9">
        <f t="shared" si="214"/>
        <v>-3.5499999999999972</v>
      </c>
      <c r="AB310" s="9">
        <f t="shared" si="215"/>
        <v>-2.7449999999999974</v>
      </c>
      <c r="AC310" s="9">
        <f t="shared" si="216"/>
        <v>-1.75</v>
      </c>
      <c r="AD310" s="9">
        <f t="shared" si="217"/>
        <v>-1</v>
      </c>
      <c r="AE310" s="9">
        <f t="shared" si="218"/>
        <v>0.75</v>
      </c>
      <c r="AF310" s="9">
        <f t="shared" si="219"/>
        <v>2.2449999999999974</v>
      </c>
      <c r="AG310" s="9">
        <f t="shared" si="220"/>
        <v>1.9500000000000028</v>
      </c>
      <c r="AH310" s="9">
        <f t="shared" si="221"/>
        <v>4</v>
      </c>
      <c r="AI310" s="9">
        <f t="shared" si="222"/>
        <v>5.75</v>
      </c>
      <c r="AJ310" s="9">
        <f t="shared" si="223"/>
        <v>-4.5499999999999972</v>
      </c>
      <c r="AK310" s="9">
        <f t="shared" si="224"/>
        <v>-3.7749999999999986</v>
      </c>
      <c r="AL310" s="9">
        <f t="shared" si="225"/>
        <v>-3.25</v>
      </c>
      <c r="AM310" s="9">
        <f t="shared" si="226"/>
        <v>-3</v>
      </c>
      <c r="AN310" s="9">
        <f t="shared" si="227"/>
        <v>-0.25</v>
      </c>
      <c r="AO310" s="9">
        <f t="shared" si="228"/>
        <v>-0.14999999999999858</v>
      </c>
      <c r="AP310" s="9">
        <f t="shared" si="229"/>
        <v>-0.75</v>
      </c>
      <c r="AQ310" s="9">
        <f t="shared" si="230"/>
        <v>0.5</v>
      </c>
      <c r="AR310" s="9">
        <f t="shared" si="231"/>
        <v>2.9500000000000028</v>
      </c>
      <c r="AS310" s="9">
        <f t="shared" si="232"/>
        <v>-6.5</v>
      </c>
      <c r="AT310" s="9">
        <f t="shared" si="233"/>
        <v>-6.0874999999999986</v>
      </c>
      <c r="AU310" s="9">
        <f t="shared" si="234"/>
        <v>-5.5</v>
      </c>
      <c r="AV310" s="9">
        <f t="shared" si="235"/>
        <v>-5.25</v>
      </c>
      <c r="AW310" s="9">
        <f t="shared" si="236"/>
        <v>-3.3000000000000007</v>
      </c>
      <c r="AX310" s="9">
        <f t="shared" si="237"/>
        <v>-2</v>
      </c>
      <c r="AY310" s="9">
        <f t="shared" si="238"/>
        <v>-2.8000000000000007</v>
      </c>
      <c r="AZ310" s="9">
        <f t="shared" si="239"/>
        <v>-1.75</v>
      </c>
      <c r="BA310" s="9">
        <f t="shared" si="240"/>
        <v>0.5</v>
      </c>
      <c r="BB310" s="9">
        <f t="shared" si="241"/>
        <v>-6.8000000000000007</v>
      </c>
      <c r="BC310" s="9">
        <f t="shared" si="242"/>
        <v>-6.3125</v>
      </c>
      <c r="BD310" s="9">
        <f t="shared" si="243"/>
        <v>-5.8000000000000007</v>
      </c>
      <c r="BE310" s="9">
        <f t="shared" si="244"/>
        <v>-5.25</v>
      </c>
      <c r="BF310" s="9">
        <f t="shared" si="245"/>
        <v>-3.8000000000000007</v>
      </c>
      <c r="BG310" s="9">
        <f t="shared" si="246"/>
        <v>-2</v>
      </c>
      <c r="BH310" s="9">
        <f t="shared" si="247"/>
        <v>-2.5</v>
      </c>
      <c r="BI310" s="9">
        <f t="shared" si="248"/>
        <v>-1.75</v>
      </c>
      <c r="BJ310" s="9">
        <f t="shared" si="249"/>
        <v>0.5</v>
      </c>
    </row>
    <row r="311" spans="1:62" x14ac:dyDescent="0.2">
      <c r="A311" s="9">
        <f>data!M312-data!M311</f>
        <v>0.27239999999999043</v>
      </c>
      <c r="B311" s="9">
        <f>data!C312-data!C311</f>
        <v>-1.5</v>
      </c>
      <c r="C311" s="9">
        <f>data!D312-data!D311</f>
        <v>-0.28999999999999915</v>
      </c>
      <c r="D311" s="10">
        <f>data!B312-data!B311</f>
        <v>6.4999999999999947E-2</v>
      </c>
      <c r="E311" s="9">
        <f>data!E311-data!G311</f>
        <v>2.1139999999999999</v>
      </c>
      <c r="F311" s="9">
        <f>(data!E311-data!F311)-(data!G311-data!H311)</f>
        <v>1.7046999999999999</v>
      </c>
      <c r="G311" s="9">
        <f t="shared" si="200"/>
        <v>1.2900000000000134E-2</v>
      </c>
      <c r="H311" s="9">
        <f t="shared" si="201"/>
        <v>2.4000000000000021E-2</v>
      </c>
      <c r="I311" s="9">
        <f>IF(data!M312&gt; 111.81,1,0)</f>
        <v>0</v>
      </c>
      <c r="J311" s="9">
        <f t="shared" si="202"/>
        <v>1</v>
      </c>
      <c r="K311" s="9">
        <f t="shared" si="203"/>
        <v>0</v>
      </c>
      <c r="L311" s="9">
        <f t="shared" si="204"/>
        <v>0.27239999999999043</v>
      </c>
      <c r="M311" s="9">
        <f>data!J311</f>
        <v>-40</v>
      </c>
      <c r="N311" s="9">
        <f>data!I311</f>
        <v>-58.3</v>
      </c>
      <c r="O311" s="9">
        <f>data!L311</f>
        <v>-47.3</v>
      </c>
      <c r="P311" s="9">
        <f>data!K311</f>
        <v>-29</v>
      </c>
      <c r="Q311" s="9">
        <f>data!R311</f>
        <v>-21.3</v>
      </c>
      <c r="R311" s="9">
        <f t="shared" si="205"/>
        <v>1.25</v>
      </c>
      <c r="S311" s="9">
        <f t="shared" si="206"/>
        <v>4</v>
      </c>
      <c r="T311" s="9">
        <f t="shared" si="207"/>
        <v>4</v>
      </c>
      <c r="U311" s="9">
        <f t="shared" si="208"/>
        <v>5</v>
      </c>
      <c r="V311" s="9">
        <f t="shared" si="209"/>
        <v>8.25</v>
      </c>
      <c r="W311" s="9">
        <f t="shared" si="210"/>
        <v>8.8999999999999986</v>
      </c>
      <c r="X311" s="9">
        <f t="shared" si="211"/>
        <v>10</v>
      </c>
      <c r="Y311" s="9">
        <f t="shared" si="212"/>
        <v>11.399999999999999</v>
      </c>
      <c r="Z311" s="9">
        <f t="shared" si="213"/>
        <v>9.8999999999999986</v>
      </c>
      <c r="AA311" s="9">
        <f t="shared" si="214"/>
        <v>0.80499999999999972</v>
      </c>
      <c r="AB311" s="9">
        <f t="shared" si="215"/>
        <v>1.7999999999999972</v>
      </c>
      <c r="AC311" s="9">
        <f t="shared" si="216"/>
        <v>2.5499999999999972</v>
      </c>
      <c r="AD311" s="9">
        <f t="shared" si="217"/>
        <v>4.2999999999999972</v>
      </c>
      <c r="AE311" s="9">
        <f t="shared" si="218"/>
        <v>5.7949999999999946</v>
      </c>
      <c r="AF311" s="9">
        <f t="shared" si="219"/>
        <v>5.5</v>
      </c>
      <c r="AG311" s="9">
        <f t="shared" si="220"/>
        <v>7.5499999999999972</v>
      </c>
      <c r="AH311" s="9">
        <f t="shared" si="221"/>
        <v>9.2999999999999972</v>
      </c>
      <c r="AI311" s="9">
        <f t="shared" si="222"/>
        <v>7.7999999999999972</v>
      </c>
      <c r="AJ311" s="9">
        <f t="shared" si="223"/>
        <v>0.77499999999999858</v>
      </c>
      <c r="AK311" s="9">
        <f t="shared" si="224"/>
        <v>1.2999999999999972</v>
      </c>
      <c r="AL311" s="9">
        <f t="shared" si="225"/>
        <v>1.5499999999999972</v>
      </c>
      <c r="AM311" s="9">
        <f t="shared" si="226"/>
        <v>4.2999999999999972</v>
      </c>
      <c r="AN311" s="9">
        <f t="shared" si="227"/>
        <v>4.3999999999999986</v>
      </c>
      <c r="AO311" s="9">
        <f t="shared" si="228"/>
        <v>3.7999999999999972</v>
      </c>
      <c r="AP311" s="9">
        <f t="shared" si="229"/>
        <v>5.0499999999999972</v>
      </c>
      <c r="AQ311" s="9">
        <f t="shared" si="230"/>
        <v>7.5</v>
      </c>
      <c r="AR311" s="9">
        <f t="shared" si="231"/>
        <v>5.2999999999999972</v>
      </c>
      <c r="AS311" s="9">
        <f t="shared" si="232"/>
        <v>0.41250000000000142</v>
      </c>
      <c r="AT311" s="9">
        <f t="shared" si="233"/>
        <v>1</v>
      </c>
      <c r="AU311" s="9">
        <f t="shared" si="234"/>
        <v>1.25</v>
      </c>
      <c r="AV311" s="9">
        <f t="shared" si="235"/>
        <v>3.1999999999999993</v>
      </c>
      <c r="AW311" s="9">
        <f t="shared" si="236"/>
        <v>4.5</v>
      </c>
      <c r="AX311" s="9">
        <f t="shared" si="237"/>
        <v>3.6999999999999993</v>
      </c>
      <c r="AY311" s="9">
        <f t="shared" si="238"/>
        <v>4.75</v>
      </c>
      <c r="AZ311" s="9">
        <f t="shared" si="239"/>
        <v>7</v>
      </c>
      <c r="BA311" s="9">
        <f t="shared" si="240"/>
        <v>4.6999999999999993</v>
      </c>
      <c r="BB311" s="9">
        <f t="shared" si="241"/>
        <v>0.48750000000000071</v>
      </c>
      <c r="BC311" s="9">
        <f t="shared" si="242"/>
        <v>1</v>
      </c>
      <c r="BD311" s="9">
        <f t="shared" si="243"/>
        <v>1.5500000000000007</v>
      </c>
      <c r="BE311" s="9">
        <f t="shared" si="244"/>
        <v>3</v>
      </c>
      <c r="BF311" s="9">
        <f t="shared" si="245"/>
        <v>4.8000000000000007</v>
      </c>
      <c r="BG311" s="9">
        <f t="shared" si="246"/>
        <v>4.3000000000000007</v>
      </c>
      <c r="BH311" s="9">
        <f t="shared" si="247"/>
        <v>5.0500000000000007</v>
      </c>
      <c r="BI311" s="9">
        <f t="shared" si="248"/>
        <v>7.3000000000000007</v>
      </c>
      <c r="BJ311" s="9">
        <f t="shared" si="249"/>
        <v>5</v>
      </c>
    </row>
    <row r="312" spans="1:62" x14ac:dyDescent="0.2">
      <c r="A312" s="9">
        <f>data!M313-data!M312</f>
        <v>-0.25419999999999732</v>
      </c>
      <c r="B312" s="9">
        <f>data!C313-data!C312</f>
        <v>0.35999999999999943</v>
      </c>
      <c r="C312" s="9">
        <f>data!D313-data!D312</f>
        <v>-0.15499999999999936</v>
      </c>
      <c r="D312" s="10">
        <f>data!B313-data!B312</f>
        <v>6.4999999999999947E-2</v>
      </c>
      <c r="E312" s="9">
        <f>data!E312-data!G312</f>
        <v>2.1269</v>
      </c>
      <c r="F312" s="9">
        <f>(data!E312-data!F312)-(data!G312-data!H312)</f>
        <v>1.7286999999999999</v>
      </c>
      <c r="G312" s="9">
        <f t="shared" si="200"/>
        <v>0.10539999999999994</v>
      </c>
      <c r="H312" s="9">
        <f t="shared" si="201"/>
        <v>8.7199999999999722E-2</v>
      </c>
      <c r="I312" s="9">
        <f>IF(data!M313&gt; 111.81,1,0)</f>
        <v>0</v>
      </c>
      <c r="J312" s="9">
        <f t="shared" si="202"/>
        <v>1</v>
      </c>
      <c r="K312" s="9">
        <f t="shared" si="203"/>
        <v>0</v>
      </c>
      <c r="L312" s="9">
        <f t="shared" si="204"/>
        <v>-0.25419999999999732</v>
      </c>
      <c r="M312" s="9">
        <f>data!J312</f>
        <v>-38.75</v>
      </c>
      <c r="N312" s="9">
        <f>data!I312</f>
        <v>-57.494999999999997</v>
      </c>
      <c r="O312" s="9">
        <f>data!L312</f>
        <v>-46.524999999999999</v>
      </c>
      <c r="P312" s="9">
        <f>data!K312</f>
        <v>-28.587499999999999</v>
      </c>
      <c r="Q312" s="9">
        <f>data!R312</f>
        <v>-20.8125</v>
      </c>
      <c r="R312" s="9">
        <f t="shared" si="205"/>
        <v>2.75</v>
      </c>
      <c r="S312" s="9">
        <f t="shared" si="206"/>
        <v>2.75</v>
      </c>
      <c r="T312" s="9">
        <f t="shared" si="207"/>
        <v>3.75</v>
      </c>
      <c r="U312" s="9">
        <f t="shared" si="208"/>
        <v>7</v>
      </c>
      <c r="V312" s="9">
        <f t="shared" si="209"/>
        <v>7.6499999999999986</v>
      </c>
      <c r="W312" s="9">
        <f t="shared" si="210"/>
        <v>8.75</v>
      </c>
      <c r="X312" s="9">
        <f t="shared" si="211"/>
        <v>10.149999999999999</v>
      </c>
      <c r="Y312" s="9">
        <f t="shared" si="212"/>
        <v>8.6499999999999986</v>
      </c>
      <c r="Z312" s="9">
        <f t="shared" si="213"/>
        <v>9.8000000000000007</v>
      </c>
      <c r="AA312" s="9">
        <f t="shared" si="214"/>
        <v>0.99499999999999744</v>
      </c>
      <c r="AB312" s="9">
        <f t="shared" si="215"/>
        <v>1.7449999999999974</v>
      </c>
      <c r="AC312" s="9">
        <f t="shared" si="216"/>
        <v>3.4949999999999974</v>
      </c>
      <c r="AD312" s="9">
        <f t="shared" si="217"/>
        <v>4.9899999999999949</v>
      </c>
      <c r="AE312" s="9">
        <f t="shared" si="218"/>
        <v>4.6950000000000003</v>
      </c>
      <c r="AF312" s="9">
        <f t="shared" si="219"/>
        <v>6.7449999999999974</v>
      </c>
      <c r="AG312" s="9">
        <f t="shared" si="220"/>
        <v>8.4949999999999974</v>
      </c>
      <c r="AH312" s="9">
        <f t="shared" si="221"/>
        <v>6.9949999999999974</v>
      </c>
      <c r="AI312" s="9">
        <f t="shared" si="222"/>
        <v>6.6950000000000003</v>
      </c>
      <c r="AJ312" s="9">
        <f t="shared" si="223"/>
        <v>0.52499999999999858</v>
      </c>
      <c r="AK312" s="9">
        <f t="shared" si="224"/>
        <v>0.77499999999999858</v>
      </c>
      <c r="AL312" s="9">
        <f t="shared" si="225"/>
        <v>3.5249999999999986</v>
      </c>
      <c r="AM312" s="9">
        <f t="shared" si="226"/>
        <v>3.625</v>
      </c>
      <c r="AN312" s="9">
        <f t="shared" si="227"/>
        <v>3.0249999999999986</v>
      </c>
      <c r="AO312" s="9">
        <f t="shared" si="228"/>
        <v>4.2749999999999986</v>
      </c>
      <c r="AP312" s="9">
        <f t="shared" si="229"/>
        <v>6.7250000000000014</v>
      </c>
      <c r="AQ312" s="9">
        <f t="shared" si="230"/>
        <v>4.5249999999999986</v>
      </c>
      <c r="AR312" s="9">
        <f t="shared" si="231"/>
        <v>3.7250000000000014</v>
      </c>
      <c r="AS312" s="9">
        <f t="shared" si="232"/>
        <v>0.58749999999999858</v>
      </c>
      <c r="AT312" s="9">
        <f t="shared" si="233"/>
        <v>0.83749999999999858</v>
      </c>
      <c r="AU312" s="9">
        <f t="shared" si="234"/>
        <v>2.7874999999999979</v>
      </c>
      <c r="AV312" s="9">
        <f t="shared" si="235"/>
        <v>4.0874999999999986</v>
      </c>
      <c r="AW312" s="9">
        <f t="shared" si="236"/>
        <v>3.2874999999999979</v>
      </c>
      <c r="AX312" s="9">
        <f t="shared" si="237"/>
        <v>4.3374999999999986</v>
      </c>
      <c r="AY312" s="9">
        <f t="shared" si="238"/>
        <v>6.5874999999999986</v>
      </c>
      <c r="AZ312" s="9">
        <f t="shared" si="239"/>
        <v>4.2874999999999979</v>
      </c>
      <c r="BA312" s="9">
        <f t="shared" si="240"/>
        <v>4.0874999999999986</v>
      </c>
      <c r="BB312" s="9">
        <f t="shared" si="241"/>
        <v>0.51249999999999929</v>
      </c>
      <c r="BC312" s="9">
        <f t="shared" si="242"/>
        <v>1.0625</v>
      </c>
      <c r="BD312" s="9">
        <f t="shared" si="243"/>
        <v>2.5124999999999993</v>
      </c>
      <c r="BE312" s="9">
        <f t="shared" si="244"/>
        <v>4.3125</v>
      </c>
      <c r="BF312" s="9">
        <f t="shared" si="245"/>
        <v>3.8125</v>
      </c>
      <c r="BG312" s="9">
        <f t="shared" si="246"/>
        <v>4.5625</v>
      </c>
      <c r="BH312" s="9">
        <f t="shared" si="247"/>
        <v>6.8125</v>
      </c>
      <c r="BI312" s="9">
        <f t="shared" si="248"/>
        <v>4.5124999999999993</v>
      </c>
      <c r="BJ312" s="9">
        <f t="shared" si="249"/>
        <v>4.3125</v>
      </c>
    </row>
    <row r="313" spans="1:62" x14ac:dyDescent="0.2">
      <c r="A313" s="9">
        <f>data!M314-data!M313</f>
        <v>-0.78669999999999618</v>
      </c>
      <c r="B313" s="9">
        <f>data!C314-data!C313</f>
        <v>1.2800000000000011</v>
      </c>
      <c r="C313" s="9">
        <f>data!D314-data!D313</f>
        <v>0.54499999999999993</v>
      </c>
      <c r="D313" s="10">
        <f>data!B314-data!B313</f>
        <v>0</v>
      </c>
      <c r="E313" s="9">
        <f>data!E313-data!G313</f>
        <v>2.2323</v>
      </c>
      <c r="F313" s="9">
        <f>(data!E313-data!F313)-(data!G313-data!H313)</f>
        <v>1.8158999999999996</v>
      </c>
      <c r="G313" s="9">
        <f t="shared" si="200"/>
        <v>-6.6800000000000193E-2</v>
      </c>
      <c r="H313" s="9">
        <f t="shared" si="201"/>
        <v>-6.3799999999999635E-2</v>
      </c>
      <c r="I313" s="9">
        <f>IF(data!M314&gt; 111.81,1,0)</f>
        <v>0</v>
      </c>
      <c r="J313" s="9">
        <f t="shared" si="202"/>
        <v>1</v>
      </c>
      <c r="K313" s="9">
        <f t="shared" si="203"/>
        <v>0</v>
      </c>
      <c r="L313" s="9">
        <f t="shared" si="204"/>
        <v>-0.78669999999999618</v>
      </c>
      <c r="M313" s="9">
        <f>data!J313</f>
        <v>-36</v>
      </c>
      <c r="N313" s="9">
        <f>data!I313</f>
        <v>-56.5</v>
      </c>
      <c r="O313" s="9">
        <f>data!L313</f>
        <v>-46</v>
      </c>
      <c r="P313" s="9">
        <f>data!K313</f>
        <v>-28</v>
      </c>
      <c r="Q313" s="9">
        <f>data!R313</f>
        <v>-20.3</v>
      </c>
      <c r="R313" s="9">
        <f t="shared" si="205"/>
        <v>0</v>
      </c>
      <c r="S313" s="9">
        <f t="shared" si="206"/>
        <v>1</v>
      </c>
      <c r="T313" s="9">
        <f t="shared" si="207"/>
        <v>4.25</v>
      </c>
      <c r="U313" s="9">
        <f t="shared" si="208"/>
        <v>4.8999999999999986</v>
      </c>
      <c r="V313" s="9">
        <f t="shared" si="209"/>
        <v>6</v>
      </c>
      <c r="W313" s="9">
        <f t="shared" si="210"/>
        <v>7.3999999999999986</v>
      </c>
      <c r="X313" s="9">
        <f t="shared" si="211"/>
        <v>5.8999999999999986</v>
      </c>
      <c r="Y313" s="9">
        <f t="shared" si="212"/>
        <v>7.0500000000000007</v>
      </c>
      <c r="Z313" s="9">
        <f t="shared" si="213"/>
        <v>7.0749999999999993</v>
      </c>
      <c r="AA313" s="9">
        <f t="shared" si="214"/>
        <v>0.75</v>
      </c>
      <c r="AB313" s="9">
        <f t="shared" si="215"/>
        <v>2.5</v>
      </c>
      <c r="AC313" s="9">
        <f t="shared" si="216"/>
        <v>3.9949999999999974</v>
      </c>
      <c r="AD313" s="9">
        <f t="shared" si="217"/>
        <v>3.7000000000000028</v>
      </c>
      <c r="AE313" s="9">
        <f t="shared" si="218"/>
        <v>5.75</v>
      </c>
      <c r="AF313" s="9">
        <f t="shared" si="219"/>
        <v>7.5</v>
      </c>
      <c r="AG313" s="9">
        <f t="shared" si="220"/>
        <v>6</v>
      </c>
      <c r="AH313" s="9">
        <f t="shared" si="221"/>
        <v>5.7000000000000028</v>
      </c>
      <c r="AI313" s="9">
        <f t="shared" si="222"/>
        <v>7.5</v>
      </c>
      <c r="AJ313" s="9">
        <f t="shared" si="223"/>
        <v>0.25</v>
      </c>
      <c r="AK313" s="9">
        <f t="shared" si="224"/>
        <v>3</v>
      </c>
      <c r="AL313" s="9">
        <f t="shared" si="225"/>
        <v>3.1000000000000014</v>
      </c>
      <c r="AM313" s="9">
        <f t="shared" si="226"/>
        <v>2.5</v>
      </c>
      <c r="AN313" s="9">
        <f t="shared" si="227"/>
        <v>3.75</v>
      </c>
      <c r="AO313" s="9">
        <f t="shared" si="228"/>
        <v>6.2000000000000028</v>
      </c>
      <c r="AP313" s="9">
        <f t="shared" si="229"/>
        <v>4</v>
      </c>
      <c r="AQ313" s="9">
        <f t="shared" si="230"/>
        <v>3.2000000000000028</v>
      </c>
      <c r="AR313" s="9">
        <f t="shared" si="231"/>
        <v>4.5</v>
      </c>
      <c r="AS313" s="9">
        <f t="shared" si="232"/>
        <v>0.25</v>
      </c>
      <c r="AT313" s="9">
        <f t="shared" si="233"/>
        <v>2.1999999999999993</v>
      </c>
      <c r="AU313" s="9">
        <f t="shared" si="234"/>
        <v>3.5</v>
      </c>
      <c r="AV313" s="9">
        <f t="shared" si="235"/>
        <v>2.6999999999999993</v>
      </c>
      <c r="AW313" s="9">
        <f t="shared" si="236"/>
        <v>3.75</v>
      </c>
      <c r="AX313" s="9">
        <f t="shared" si="237"/>
        <v>6</v>
      </c>
      <c r="AY313" s="9">
        <f t="shared" si="238"/>
        <v>3.6999999999999993</v>
      </c>
      <c r="AZ313" s="9">
        <f t="shared" si="239"/>
        <v>3.5</v>
      </c>
      <c r="BA313" s="9">
        <f t="shared" si="240"/>
        <v>3.5</v>
      </c>
      <c r="BB313" s="9">
        <f t="shared" si="241"/>
        <v>0.55000000000000071</v>
      </c>
      <c r="BC313" s="9">
        <f t="shared" si="242"/>
        <v>2</v>
      </c>
      <c r="BD313" s="9">
        <f t="shared" si="243"/>
        <v>3.8000000000000007</v>
      </c>
      <c r="BE313" s="9">
        <f t="shared" si="244"/>
        <v>3.3000000000000007</v>
      </c>
      <c r="BF313" s="9">
        <f t="shared" si="245"/>
        <v>4.0500000000000007</v>
      </c>
      <c r="BG313" s="9">
        <f t="shared" si="246"/>
        <v>6.3000000000000007</v>
      </c>
      <c r="BH313" s="9">
        <f t="shared" si="247"/>
        <v>4</v>
      </c>
      <c r="BI313" s="9">
        <f t="shared" si="248"/>
        <v>3.8000000000000007</v>
      </c>
      <c r="BJ313" s="9">
        <f t="shared" si="249"/>
        <v>3.8000000000000007</v>
      </c>
    </row>
    <row r="314" spans="1:62" x14ac:dyDescent="0.2">
      <c r="A314" s="9">
        <f>data!M315-data!M314</f>
        <v>0.48550000000000182</v>
      </c>
      <c r="B314" s="9">
        <f>data!C315-data!C314</f>
        <v>-0.60999999999999943</v>
      </c>
      <c r="C314" s="9">
        <f>data!D315-data!D314</f>
        <v>-0.44500000000000028</v>
      </c>
      <c r="D314" s="10">
        <f>data!B315-data!B314</f>
        <v>-9.9999999999997868E-3</v>
      </c>
      <c r="E314" s="9">
        <f>data!E314-data!G314</f>
        <v>2.1654999999999998</v>
      </c>
      <c r="F314" s="9">
        <f>(data!E314-data!F314)-(data!G314-data!H314)</f>
        <v>1.7521</v>
      </c>
      <c r="G314" s="9">
        <f t="shared" si="200"/>
        <v>-4.6799999999999731E-2</v>
      </c>
      <c r="H314" s="9">
        <f t="shared" si="201"/>
        <v>-4.4500000000000206E-2</v>
      </c>
      <c r="I314" s="9">
        <f>IF(data!M315&gt; 111.81,1,0)</f>
        <v>0</v>
      </c>
      <c r="J314" s="9">
        <f t="shared" si="202"/>
        <v>1</v>
      </c>
      <c r="K314" s="9">
        <f t="shared" si="203"/>
        <v>0</v>
      </c>
      <c r="L314" s="9">
        <f t="shared" si="204"/>
        <v>0.48550000000000182</v>
      </c>
      <c r="M314" s="9">
        <f>data!J314</f>
        <v>-36</v>
      </c>
      <c r="N314" s="9">
        <f>data!I314</f>
        <v>-55.75</v>
      </c>
      <c r="O314" s="9">
        <f>data!L314</f>
        <v>-45.75</v>
      </c>
      <c r="P314" s="9">
        <f>data!K314</f>
        <v>-27.75</v>
      </c>
      <c r="Q314" s="9">
        <f>data!R314</f>
        <v>-19.75</v>
      </c>
      <c r="R314" s="9">
        <f t="shared" si="205"/>
        <v>1</v>
      </c>
      <c r="S314" s="9">
        <f t="shared" si="206"/>
        <v>4.25</v>
      </c>
      <c r="T314" s="9">
        <f t="shared" si="207"/>
        <v>4.8999999999999986</v>
      </c>
      <c r="U314" s="9">
        <f t="shared" si="208"/>
        <v>6</v>
      </c>
      <c r="V314" s="9">
        <f t="shared" si="209"/>
        <v>7.3999999999999986</v>
      </c>
      <c r="W314" s="9">
        <f t="shared" si="210"/>
        <v>5.8999999999999986</v>
      </c>
      <c r="X314" s="9">
        <f t="shared" si="211"/>
        <v>7.0500000000000007</v>
      </c>
      <c r="Y314" s="9">
        <f t="shared" si="212"/>
        <v>7.0749999999999993</v>
      </c>
      <c r="Z314" s="9">
        <f t="shared" si="213"/>
        <v>9.25</v>
      </c>
      <c r="AA314" s="9">
        <f t="shared" si="214"/>
        <v>1.75</v>
      </c>
      <c r="AB314" s="9">
        <f t="shared" si="215"/>
        <v>3.2449999999999974</v>
      </c>
      <c r="AC314" s="9">
        <f t="shared" si="216"/>
        <v>2.9500000000000028</v>
      </c>
      <c r="AD314" s="9">
        <f t="shared" si="217"/>
        <v>5</v>
      </c>
      <c r="AE314" s="9">
        <f t="shared" si="218"/>
        <v>6.75</v>
      </c>
      <c r="AF314" s="9">
        <f t="shared" si="219"/>
        <v>5.25</v>
      </c>
      <c r="AG314" s="9">
        <f t="shared" si="220"/>
        <v>4.9500000000000028</v>
      </c>
      <c r="AH314" s="9">
        <f t="shared" si="221"/>
        <v>6.75</v>
      </c>
      <c r="AI314" s="9">
        <f t="shared" si="222"/>
        <v>7.5</v>
      </c>
      <c r="AJ314" s="9">
        <f t="shared" si="223"/>
        <v>2.75</v>
      </c>
      <c r="AK314" s="9">
        <f t="shared" si="224"/>
        <v>2.8500000000000014</v>
      </c>
      <c r="AL314" s="9">
        <f t="shared" si="225"/>
        <v>2.25</v>
      </c>
      <c r="AM314" s="9">
        <f t="shared" si="226"/>
        <v>3.5</v>
      </c>
      <c r="AN314" s="9">
        <f t="shared" si="227"/>
        <v>5.9500000000000028</v>
      </c>
      <c r="AO314" s="9">
        <f t="shared" si="228"/>
        <v>3.75</v>
      </c>
      <c r="AP314" s="9">
        <f t="shared" si="229"/>
        <v>2.9500000000000028</v>
      </c>
      <c r="AQ314" s="9">
        <f t="shared" si="230"/>
        <v>4.25</v>
      </c>
      <c r="AR314" s="9">
        <f t="shared" si="231"/>
        <v>4.5</v>
      </c>
      <c r="AS314" s="9">
        <f t="shared" si="232"/>
        <v>1.9499999999999993</v>
      </c>
      <c r="AT314" s="9">
        <f t="shared" si="233"/>
        <v>3.25</v>
      </c>
      <c r="AU314" s="9">
        <f t="shared" si="234"/>
        <v>2.4499999999999993</v>
      </c>
      <c r="AV314" s="9">
        <f t="shared" si="235"/>
        <v>3.5</v>
      </c>
      <c r="AW314" s="9">
        <f t="shared" si="236"/>
        <v>5.75</v>
      </c>
      <c r="AX314" s="9">
        <f t="shared" si="237"/>
        <v>3.4499999999999993</v>
      </c>
      <c r="AY314" s="9">
        <f t="shared" si="238"/>
        <v>3.25</v>
      </c>
      <c r="AZ314" s="9">
        <f t="shared" si="239"/>
        <v>3.25</v>
      </c>
      <c r="BA314" s="9">
        <f t="shared" si="240"/>
        <v>3.5</v>
      </c>
      <c r="BB314" s="9">
        <f t="shared" si="241"/>
        <v>1.4499999999999993</v>
      </c>
      <c r="BC314" s="9">
        <f t="shared" si="242"/>
        <v>3.25</v>
      </c>
      <c r="BD314" s="9">
        <f t="shared" si="243"/>
        <v>2.75</v>
      </c>
      <c r="BE314" s="9">
        <f t="shared" si="244"/>
        <v>3.5</v>
      </c>
      <c r="BF314" s="9">
        <f t="shared" si="245"/>
        <v>5.75</v>
      </c>
      <c r="BG314" s="9">
        <f t="shared" si="246"/>
        <v>3.4499999999999993</v>
      </c>
      <c r="BH314" s="9">
        <f t="shared" si="247"/>
        <v>3.25</v>
      </c>
      <c r="BI314" s="9">
        <f t="shared" si="248"/>
        <v>3.25</v>
      </c>
      <c r="BJ314" s="9">
        <f t="shared" si="249"/>
        <v>3.5</v>
      </c>
    </row>
    <row r="315" spans="1:62" x14ac:dyDescent="0.2">
      <c r="A315" s="9">
        <f>data!M316-data!M315</f>
        <v>-0.95400000000000773</v>
      </c>
      <c r="B315" s="9">
        <f>data!C316-data!C315</f>
        <v>-1.6799999999999997</v>
      </c>
      <c r="C315" s="9">
        <f>data!D316-data!D315</f>
        <v>-0.37000000000000099</v>
      </c>
      <c r="D315" s="10">
        <f>data!B316-data!B315</f>
        <v>0.43500000000000005</v>
      </c>
      <c r="E315" s="9">
        <f>data!E315-data!G315</f>
        <v>2.1187</v>
      </c>
      <c r="F315" s="9">
        <f>(data!E315-data!F315)-(data!G315-data!H315)</f>
        <v>1.7075999999999998</v>
      </c>
      <c r="G315" s="9">
        <f t="shared" si="200"/>
        <v>-5.9999999999993392E-4</v>
      </c>
      <c r="H315" s="9">
        <f t="shared" si="201"/>
        <v>3.2000000000000028E-2</v>
      </c>
      <c r="I315" s="9">
        <f>IF(data!M316&gt; 111.81,1,0)</f>
        <v>0</v>
      </c>
      <c r="J315" s="9">
        <f t="shared" si="202"/>
        <v>1</v>
      </c>
      <c r="K315" s="9">
        <f t="shared" si="203"/>
        <v>0</v>
      </c>
      <c r="L315" s="9">
        <f t="shared" si="204"/>
        <v>-0.95400000000000773</v>
      </c>
      <c r="M315" s="9">
        <f>data!J315</f>
        <v>-35</v>
      </c>
      <c r="N315" s="9">
        <f>data!I315</f>
        <v>-54</v>
      </c>
      <c r="O315" s="9">
        <f>data!L315</f>
        <v>-43</v>
      </c>
      <c r="P315" s="9">
        <f>data!K315</f>
        <v>-25.8</v>
      </c>
      <c r="Q315" s="9">
        <f>data!R315</f>
        <v>-18.3</v>
      </c>
      <c r="R315" s="9">
        <f t="shared" si="205"/>
        <v>3.25</v>
      </c>
      <c r="S315" s="9">
        <f t="shared" si="206"/>
        <v>3.8999999999999986</v>
      </c>
      <c r="T315" s="9">
        <f t="shared" si="207"/>
        <v>5</v>
      </c>
      <c r="U315" s="9">
        <f t="shared" si="208"/>
        <v>6.3999999999999986</v>
      </c>
      <c r="V315" s="9">
        <f t="shared" si="209"/>
        <v>4.8999999999999986</v>
      </c>
      <c r="W315" s="9">
        <f t="shared" si="210"/>
        <v>6.0500000000000007</v>
      </c>
      <c r="X315" s="9">
        <f t="shared" si="211"/>
        <v>6.0749999999999993</v>
      </c>
      <c r="Y315" s="9">
        <f t="shared" si="212"/>
        <v>8.25</v>
      </c>
      <c r="Z315" s="9">
        <f t="shared" si="213"/>
        <v>8.8000000000000007</v>
      </c>
      <c r="AA315" s="9">
        <f t="shared" si="214"/>
        <v>1.4949999999999974</v>
      </c>
      <c r="AB315" s="9">
        <f t="shared" si="215"/>
        <v>1.2000000000000028</v>
      </c>
      <c r="AC315" s="9">
        <f t="shared" si="216"/>
        <v>3.25</v>
      </c>
      <c r="AD315" s="9">
        <f t="shared" si="217"/>
        <v>5</v>
      </c>
      <c r="AE315" s="9">
        <f t="shared" si="218"/>
        <v>3.5</v>
      </c>
      <c r="AF315" s="9">
        <f t="shared" si="219"/>
        <v>3.2000000000000028</v>
      </c>
      <c r="AG315" s="9">
        <f t="shared" si="220"/>
        <v>5</v>
      </c>
      <c r="AH315" s="9">
        <f t="shared" si="221"/>
        <v>5.75</v>
      </c>
      <c r="AI315" s="9">
        <f t="shared" si="222"/>
        <v>4</v>
      </c>
      <c r="AJ315" s="9">
        <f t="shared" si="223"/>
        <v>0.10000000000000142</v>
      </c>
      <c r="AK315" s="9">
        <f t="shared" si="224"/>
        <v>-0.5</v>
      </c>
      <c r="AL315" s="9">
        <f t="shared" si="225"/>
        <v>0.75</v>
      </c>
      <c r="AM315" s="9">
        <f t="shared" si="226"/>
        <v>3.2000000000000028</v>
      </c>
      <c r="AN315" s="9">
        <f t="shared" si="227"/>
        <v>1</v>
      </c>
      <c r="AO315" s="9">
        <f t="shared" si="228"/>
        <v>0.20000000000000284</v>
      </c>
      <c r="AP315" s="9">
        <f t="shared" si="229"/>
        <v>1.5</v>
      </c>
      <c r="AQ315" s="9">
        <f t="shared" si="230"/>
        <v>1.75</v>
      </c>
      <c r="AR315" s="9">
        <f t="shared" si="231"/>
        <v>-0.25</v>
      </c>
      <c r="AS315" s="9">
        <f t="shared" si="232"/>
        <v>1.3000000000000007</v>
      </c>
      <c r="AT315" s="9">
        <f t="shared" si="233"/>
        <v>0.5</v>
      </c>
      <c r="AU315" s="9">
        <f t="shared" si="234"/>
        <v>1.5500000000000007</v>
      </c>
      <c r="AV315" s="9">
        <f t="shared" si="235"/>
        <v>3.8000000000000007</v>
      </c>
      <c r="AW315" s="9">
        <f t="shared" si="236"/>
        <v>1.5</v>
      </c>
      <c r="AX315" s="9">
        <f t="shared" si="237"/>
        <v>1.3000000000000007</v>
      </c>
      <c r="AY315" s="9">
        <f t="shared" si="238"/>
        <v>1.3000000000000007</v>
      </c>
      <c r="AZ315" s="9">
        <f t="shared" si="239"/>
        <v>1.5500000000000007</v>
      </c>
      <c r="BA315" s="9">
        <f t="shared" si="240"/>
        <v>-0.19999999999999929</v>
      </c>
      <c r="BB315" s="9">
        <f t="shared" si="241"/>
        <v>1.8000000000000007</v>
      </c>
      <c r="BC315" s="9">
        <f t="shared" si="242"/>
        <v>1.3000000000000007</v>
      </c>
      <c r="BD315" s="9">
        <f t="shared" si="243"/>
        <v>2.0500000000000007</v>
      </c>
      <c r="BE315" s="9">
        <f t="shared" si="244"/>
        <v>4.3000000000000007</v>
      </c>
      <c r="BF315" s="9">
        <f t="shared" si="245"/>
        <v>2</v>
      </c>
      <c r="BG315" s="9">
        <f t="shared" si="246"/>
        <v>1.8000000000000007</v>
      </c>
      <c r="BH315" s="9">
        <f t="shared" si="247"/>
        <v>1.8000000000000007</v>
      </c>
      <c r="BI315" s="9">
        <f t="shared" si="248"/>
        <v>2.0500000000000007</v>
      </c>
      <c r="BJ315" s="9">
        <f t="shared" si="249"/>
        <v>-0.19999999999999929</v>
      </c>
    </row>
    <row r="316" spans="1:62" x14ac:dyDescent="0.2">
      <c r="A316" s="9">
        <f>data!M317-data!M316</f>
        <v>-0.32569999999999766</v>
      </c>
      <c r="B316" s="9">
        <f>data!C317-data!C316</f>
        <v>3.009999999999998</v>
      </c>
      <c r="C316" s="9">
        <f>data!D317-data!D316</f>
        <v>3.7500000000001421E-2</v>
      </c>
      <c r="D316" s="10">
        <f>data!B317-data!B316</f>
        <v>-0.18999999999999995</v>
      </c>
      <c r="E316" s="9">
        <f>data!E316-data!G316</f>
        <v>2.1181000000000001</v>
      </c>
      <c r="F316" s="9">
        <f>(data!E316-data!F316)-(data!G316-data!H316)</f>
        <v>1.7395999999999998</v>
      </c>
      <c r="G316" s="9">
        <f t="shared" si="200"/>
        <v>6.8099999999999827E-2</v>
      </c>
      <c r="H316" s="9">
        <f t="shared" si="201"/>
        <v>2.7899999999999814E-2</v>
      </c>
      <c r="I316" s="9">
        <f>IF(data!M317&gt; 111.81,1,0)</f>
        <v>0</v>
      </c>
      <c r="J316" s="9">
        <f t="shared" si="202"/>
        <v>1</v>
      </c>
      <c r="K316" s="9">
        <f t="shared" si="203"/>
        <v>0</v>
      </c>
      <c r="L316" s="9">
        <f t="shared" si="204"/>
        <v>-0.32569999999999766</v>
      </c>
      <c r="M316" s="9">
        <f>data!J316</f>
        <v>-31.75</v>
      </c>
      <c r="N316" s="9">
        <f>data!I316</f>
        <v>-52.505000000000003</v>
      </c>
      <c r="O316" s="9">
        <f>data!L316</f>
        <v>-42.9</v>
      </c>
      <c r="P316" s="9">
        <f>data!K316</f>
        <v>-24.5</v>
      </c>
      <c r="Q316" s="9">
        <f>data!R316</f>
        <v>-16.5</v>
      </c>
      <c r="R316" s="9">
        <f t="shared" si="205"/>
        <v>0.64999999999999858</v>
      </c>
      <c r="S316" s="9">
        <f t="shared" si="206"/>
        <v>1.75</v>
      </c>
      <c r="T316" s="9">
        <f t="shared" si="207"/>
        <v>3.1499999999999986</v>
      </c>
      <c r="U316" s="9">
        <f t="shared" si="208"/>
        <v>1.6499999999999986</v>
      </c>
      <c r="V316" s="9">
        <f t="shared" si="209"/>
        <v>2.8000000000000007</v>
      </c>
      <c r="W316" s="9">
        <f t="shared" si="210"/>
        <v>2.8249999999999993</v>
      </c>
      <c r="X316" s="9">
        <f t="shared" si="211"/>
        <v>5</v>
      </c>
      <c r="Y316" s="9">
        <f t="shared" si="212"/>
        <v>5.5500000000000007</v>
      </c>
      <c r="Z316" s="9">
        <f t="shared" si="213"/>
        <v>2.1000000000000014</v>
      </c>
      <c r="AA316" s="9">
        <f t="shared" si="214"/>
        <v>-0.2949999999999946</v>
      </c>
      <c r="AB316" s="9">
        <f t="shared" si="215"/>
        <v>1.7550000000000026</v>
      </c>
      <c r="AC316" s="9">
        <f t="shared" si="216"/>
        <v>3.5050000000000026</v>
      </c>
      <c r="AD316" s="9">
        <f t="shared" si="217"/>
        <v>2.0050000000000026</v>
      </c>
      <c r="AE316" s="9">
        <f t="shared" si="218"/>
        <v>1.7050000000000054</v>
      </c>
      <c r="AF316" s="9">
        <f t="shared" si="219"/>
        <v>3.5050000000000026</v>
      </c>
      <c r="AG316" s="9">
        <f t="shared" si="220"/>
        <v>4.2550000000000026</v>
      </c>
      <c r="AH316" s="9">
        <f t="shared" si="221"/>
        <v>2.5050000000000026</v>
      </c>
      <c r="AI316" s="9">
        <f t="shared" si="222"/>
        <v>2.8800000000000026</v>
      </c>
      <c r="AJ316" s="9">
        <f t="shared" si="223"/>
        <v>-0.60000000000000142</v>
      </c>
      <c r="AK316" s="9">
        <f t="shared" si="224"/>
        <v>0.64999999999999858</v>
      </c>
      <c r="AL316" s="9">
        <f t="shared" si="225"/>
        <v>3.1000000000000014</v>
      </c>
      <c r="AM316" s="9">
        <f t="shared" si="226"/>
        <v>0.89999999999999858</v>
      </c>
      <c r="AN316" s="9">
        <f t="shared" si="227"/>
        <v>0.10000000000000142</v>
      </c>
      <c r="AO316" s="9">
        <f t="shared" si="228"/>
        <v>1.3999999999999986</v>
      </c>
      <c r="AP316" s="9">
        <f t="shared" si="229"/>
        <v>1.6499999999999986</v>
      </c>
      <c r="AQ316" s="9">
        <f t="shared" si="230"/>
        <v>-0.35000000000000142</v>
      </c>
      <c r="AR316" s="9">
        <f t="shared" si="231"/>
        <v>1.8999999999999986</v>
      </c>
      <c r="AS316" s="9">
        <f t="shared" si="232"/>
        <v>-0.80000000000000071</v>
      </c>
      <c r="AT316" s="9">
        <f t="shared" si="233"/>
        <v>0.25</v>
      </c>
      <c r="AU316" s="9">
        <f t="shared" si="234"/>
        <v>2.5</v>
      </c>
      <c r="AV316" s="9">
        <f t="shared" si="235"/>
        <v>0.19999999999999929</v>
      </c>
      <c r="AW316" s="9">
        <f t="shared" si="236"/>
        <v>0</v>
      </c>
      <c r="AX316" s="9">
        <f t="shared" si="237"/>
        <v>0</v>
      </c>
      <c r="AY316" s="9">
        <f t="shared" si="238"/>
        <v>0.25</v>
      </c>
      <c r="AZ316" s="9">
        <f t="shared" si="239"/>
        <v>-1.5</v>
      </c>
      <c r="BA316" s="9">
        <f t="shared" si="240"/>
        <v>0</v>
      </c>
      <c r="BB316" s="9">
        <f t="shared" si="241"/>
        <v>-0.5</v>
      </c>
      <c r="BC316" s="9">
        <f t="shared" si="242"/>
        <v>0.25</v>
      </c>
      <c r="BD316" s="9">
        <f t="shared" si="243"/>
        <v>2.5</v>
      </c>
      <c r="BE316" s="9">
        <f t="shared" si="244"/>
        <v>0.19999999999999929</v>
      </c>
      <c r="BF316" s="9">
        <f t="shared" si="245"/>
        <v>0</v>
      </c>
      <c r="BG316" s="9">
        <f t="shared" si="246"/>
        <v>0</v>
      </c>
      <c r="BH316" s="9">
        <f t="shared" si="247"/>
        <v>0.25</v>
      </c>
      <c r="BI316" s="9">
        <f t="shared" si="248"/>
        <v>-2</v>
      </c>
      <c r="BJ316" s="9">
        <f t="shared" si="249"/>
        <v>-0.25</v>
      </c>
    </row>
    <row r="317" spans="1:62" x14ac:dyDescent="0.2">
      <c r="A317" s="9">
        <f>data!M318-data!M317</f>
        <v>9.8500000000001364E-2</v>
      </c>
      <c r="B317" s="9">
        <f>data!C318-data!C317</f>
        <v>1.5700000000000003</v>
      </c>
      <c r="C317" s="9">
        <f>data!D318-data!D317</f>
        <v>-0.52250000000000085</v>
      </c>
      <c r="D317" s="10">
        <f>data!B318-data!B317</f>
        <v>3.4999999999999698E-2</v>
      </c>
      <c r="E317" s="9">
        <f>data!E317-data!G317</f>
        <v>2.1861999999999999</v>
      </c>
      <c r="F317" s="9">
        <f>(data!E317-data!F317)-(data!G317-data!H317)</f>
        <v>1.7674999999999996</v>
      </c>
      <c r="G317" s="9">
        <f t="shared" si="200"/>
        <v>-8.8799999999999546E-2</v>
      </c>
      <c r="H317" s="9">
        <f t="shared" si="201"/>
        <v>-3.5999999999993815E-3</v>
      </c>
      <c r="I317" s="9">
        <f>IF(data!M318&gt; 111.81,1,0)</f>
        <v>0</v>
      </c>
      <c r="J317" s="9">
        <f t="shared" si="202"/>
        <v>1</v>
      </c>
      <c r="K317" s="9">
        <f t="shared" si="203"/>
        <v>0</v>
      </c>
      <c r="L317" s="9">
        <f t="shared" si="204"/>
        <v>9.8500000000001364E-2</v>
      </c>
      <c r="M317" s="9">
        <f>data!J317</f>
        <v>-31.1</v>
      </c>
      <c r="N317" s="9">
        <f>data!I317</f>
        <v>-52.8</v>
      </c>
      <c r="O317" s="9">
        <f>data!L317</f>
        <v>-43.5</v>
      </c>
      <c r="P317" s="9">
        <f>data!K317</f>
        <v>-25.3</v>
      </c>
      <c r="Q317" s="9">
        <f>data!R317</f>
        <v>-17</v>
      </c>
      <c r="R317" s="9">
        <f t="shared" si="205"/>
        <v>1.1000000000000014</v>
      </c>
      <c r="S317" s="9">
        <f t="shared" si="206"/>
        <v>2.5</v>
      </c>
      <c r="T317" s="9">
        <f t="shared" si="207"/>
        <v>1</v>
      </c>
      <c r="U317" s="9">
        <f t="shared" si="208"/>
        <v>2.1500000000000021</v>
      </c>
      <c r="V317" s="9">
        <f t="shared" si="209"/>
        <v>2.1750000000000007</v>
      </c>
      <c r="W317" s="9">
        <f t="shared" si="210"/>
        <v>4.3500000000000014</v>
      </c>
      <c r="X317" s="9">
        <f t="shared" si="211"/>
        <v>4.9000000000000021</v>
      </c>
      <c r="Y317" s="9">
        <f t="shared" si="212"/>
        <v>1.4500000000000028</v>
      </c>
      <c r="Z317" s="9">
        <f t="shared" si="213"/>
        <v>4.0500000000000007</v>
      </c>
      <c r="AA317" s="9">
        <f t="shared" si="214"/>
        <v>2.0499999999999972</v>
      </c>
      <c r="AB317" s="9">
        <f t="shared" si="215"/>
        <v>3.7999999999999972</v>
      </c>
      <c r="AC317" s="9">
        <f t="shared" si="216"/>
        <v>2.2999999999999972</v>
      </c>
      <c r="AD317" s="9">
        <f t="shared" si="217"/>
        <v>2</v>
      </c>
      <c r="AE317" s="9">
        <f t="shared" si="218"/>
        <v>3.7999999999999972</v>
      </c>
      <c r="AF317" s="9">
        <f t="shared" si="219"/>
        <v>4.5499999999999972</v>
      </c>
      <c r="AG317" s="9">
        <f t="shared" si="220"/>
        <v>2.7999999999999972</v>
      </c>
      <c r="AH317" s="9">
        <f t="shared" si="221"/>
        <v>3.1749999999999972</v>
      </c>
      <c r="AI317" s="9">
        <f t="shared" si="222"/>
        <v>7.0499999999999972</v>
      </c>
      <c r="AJ317" s="9">
        <f t="shared" si="223"/>
        <v>1.25</v>
      </c>
      <c r="AK317" s="9">
        <f t="shared" si="224"/>
        <v>3.7000000000000028</v>
      </c>
      <c r="AL317" s="9">
        <f t="shared" si="225"/>
        <v>1.5</v>
      </c>
      <c r="AM317" s="9">
        <f t="shared" si="226"/>
        <v>0.70000000000000284</v>
      </c>
      <c r="AN317" s="9">
        <f t="shared" si="227"/>
        <v>2</v>
      </c>
      <c r="AO317" s="9">
        <f t="shared" si="228"/>
        <v>2.25</v>
      </c>
      <c r="AP317" s="9">
        <f t="shared" si="229"/>
        <v>0.25</v>
      </c>
      <c r="AQ317" s="9">
        <f t="shared" si="230"/>
        <v>2.5</v>
      </c>
      <c r="AR317" s="9">
        <f t="shared" si="231"/>
        <v>4.75</v>
      </c>
      <c r="AS317" s="9">
        <f t="shared" si="232"/>
        <v>1.0500000000000007</v>
      </c>
      <c r="AT317" s="9">
        <f t="shared" si="233"/>
        <v>3.3000000000000007</v>
      </c>
      <c r="AU317" s="9">
        <f t="shared" si="234"/>
        <v>1</v>
      </c>
      <c r="AV317" s="9">
        <f t="shared" si="235"/>
        <v>0.80000000000000071</v>
      </c>
      <c r="AW317" s="9">
        <f t="shared" si="236"/>
        <v>0.80000000000000071</v>
      </c>
      <c r="AX317" s="9">
        <f t="shared" si="237"/>
        <v>1.0500000000000007</v>
      </c>
      <c r="AY317" s="9">
        <f t="shared" si="238"/>
        <v>-0.69999999999999929</v>
      </c>
      <c r="AZ317" s="9">
        <f t="shared" si="239"/>
        <v>0.80000000000000071</v>
      </c>
      <c r="BA317" s="9">
        <f t="shared" si="240"/>
        <v>3.4250000000000007</v>
      </c>
      <c r="BB317" s="9">
        <f t="shared" si="241"/>
        <v>0.75</v>
      </c>
      <c r="BC317" s="9">
        <f t="shared" si="242"/>
        <v>3</v>
      </c>
      <c r="BD317" s="9">
        <f t="shared" si="243"/>
        <v>0.69999999999999929</v>
      </c>
      <c r="BE317" s="9">
        <f t="shared" si="244"/>
        <v>0.5</v>
      </c>
      <c r="BF317" s="9">
        <f t="shared" si="245"/>
        <v>0.5</v>
      </c>
      <c r="BG317" s="9">
        <f t="shared" si="246"/>
        <v>0.75</v>
      </c>
      <c r="BH317" s="9">
        <f t="shared" si="247"/>
        <v>-1.5</v>
      </c>
      <c r="BI317" s="9">
        <f t="shared" si="248"/>
        <v>0.25</v>
      </c>
      <c r="BJ317" s="9">
        <f t="shared" si="249"/>
        <v>2.75</v>
      </c>
    </row>
    <row r="318" spans="1:62" x14ac:dyDescent="0.2">
      <c r="A318" s="9">
        <f>data!M319-data!M318</f>
        <v>-0.42789999999999395</v>
      </c>
      <c r="B318" s="9">
        <f>data!C319-data!C318</f>
        <v>-4.1099999999999994</v>
      </c>
      <c r="C318" s="9">
        <f>data!D319-data!D318</f>
        <v>0.25</v>
      </c>
      <c r="D318" s="10">
        <f>data!B319-data!B318</f>
        <v>-4.7499999999999876E-2</v>
      </c>
      <c r="E318" s="9">
        <f>data!E318-data!G318</f>
        <v>2.0974000000000004</v>
      </c>
      <c r="F318" s="9">
        <f>(data!E318-data!F318)-(data!G318-data!H318)</f>
        <v>1.7639000000000002</v>
      </c>
      <c r="G318" s="9">
        <f t="shared" si="200"/>
        <v>0.24819999999999975</v>
      </c>
      <c r="H318" s="9">
        <f t="shared" si="201"/>
        <v>5.2300000000000235E-2</v>
      </c>
      <c r="I318" s="9">
        <f>IF(data!M319&gt; 111.81,1,0)</f>
        <v>0</v>
      </c>
      <c r="J318" s="9">
        <f t="shared" si="202"/>
        <v>1</v>
      </c>
      <c r="K318" s="9">
        <f t="shared" si="203"/>
        <v>0</v>
      </c>
      <c r="L318" s="9">
        <f t="shared" si="204"/>
        <v>-0.42789999999999395</v>
      </c>
      <c r="M318" s="9">
        <f>data!J318</f>
        <v>-30</v>
      </c>
      <c r="N318" s="9">
        <f>data!I318</f>
        <v>-50.75</v>
      </c>
      <c r="O318" s="9">
        <f>data!L318</f>
        <v>-42.25</v>
      </c>
      <c r="P318" s="9">
        <f>data!K318</f>
        <v>-24.25</v>
      </c>
      <c r="Q318" s="9">
        <f>data!R318</f>
        <v>-16.25</v>
      </c>
      <c r="R318" s="9">
        <f t="shared" si="205"/>
        <v>1.3999999999999986</v>
      </c>
      <c r="S318" s="9">
        <f t="shared" si="206"/>
        <v>-0.10000000000000142</v>
      </c>
      <c r="T318" s="9">
        <f t="shared" si="207"/>
        <v>1.0500000000000007</v>
      </c>
      <c r="U318" s="9">
        <f t="shared" si="208"/>
        <v>1.0749999999999993</v>
      </c>
      <c r="V318" s="9">
        <f t="shared" si="209"/>
        <v>3.25</v>
      </c>
      <c r="W318" s="9">
        <f t="shared" si="210"/>
        <v>3.8000000000000007</v>
      </c>
      <c r="X318" s="9">
        <f t="shared" si="211"/>
        <v>0.35000000000000142</v>
      </c>
      <c r="Y318" s="9">
        <f t="shared" si="212"/>
        <v>2.9499999999999993</v>
      </c>
      <c r="Z318" s="9">
        <f t="shared" si="213"/>
        <v>5.3000000000000007</v>
      </c>
      <c r="AA318" s="9">
        <f t="shared" si="214"/>
        <v>1.75</v>
      </c>
      <c r="AB318" s="9">
        <f t="shared" si="215"/>
        <v>0.25</v>
      </c>
      <c r="AC318" s="9">
        <f t="shared" si="216"/>
        <v>-4.9999999999997158E-2</v>
      </c>
      <c r="AD318" s="9">
        <f t="shared" si="217"/>
        <v>1.75</v>
      </c>
      <c r="AE318" s="9">
        <f t="shared" si="218"/>
        <v>2.5</v>
      </c>
      <c r="AF318" s="9">
        <f t="shared" si="219"/>
        <v>0.75</v>
      </c>
      <c r="AG318" s="9">
        <f t="shared" si="220"/>
        <v>1.125</v>
      </c>
      <c r="AH318" s="9">
        <f t="shared" si="221"/>
        <v>5</v>
      </c>
      <c r="AI318" s="9">
        <f t="shared" si="222"/>
        <v>4.4500000000000028</v>
      </c>
      <c r="AJ318" s="9">
        <f t="shared" si="223"/>
        <v>2.4500000000000028</v>
      </c>
      <c r="AK318" s="9">
        <f t="shared" si="224"/>
        <v>0.25</v>
      </c>
      <c r="AL318" s="9">
        <f t="shared" si="225"/>
        <v>-0.54999999999999716</v>
      </c>
      <c r="AM318" s="9">
        <f t="shared" si="226"/>
        <v>0.75</v>
      </c>
      <c r="AN318" s="9">
        <f t="shared" si="227"/>
        <v>1</v>
      </c>
      <c r="AO318" s="9">
        <f t="shared" si="228"/>
        <v>-1</v>
      </c>
      <c r="AP318" s="9">
        <f t="shared" si="229"/>
        <v>1.25</v>
      </c>
      <c r="AQ318" s="9">
        <f t="shared" si="230"/>
        <v>3.5</v>
      </c>
      <c r="AR318" s="9">
        <f t="shared" si="231"/>
        <v>1.9500000000000028</v>
      </c>
      <c r="AS318" s="9">
        <f t="shared" si="232"/>
        <v>2.25</v>
      </c>
      <c r="AT318" s="9">
        <f t="shared" si="233"/>
        <v>-5.0000000000000711E-2</v>
      </c>
      <c r="AU318" s="9">
        <f t="shared" si="234"/>
        <v>-0.25</v>
      </c>
      <c r="AV318" s="9">
        <f t="shared" si="235"/>
        <v>-0.25</v>
      </c>
      <c r="AW318" s="9">
        <f t="shared" si="236"/>
        <v>0</v>
      </c>
      <c r="AX318" s="9">
        <f t="shared" si="237"/>
        <v>-1.75</v>
      </c>
      <c r="AY318" s="9">
        <f t="shared" si="238"/>
        <v>-0.25</v>
      </c>
      <c r="AZ318" s="9">
        <f t="shared" si="239"/>
        <v>2.375</v>
      </c>
      <c r="BA318" s="9">
        <f t="shared" si="240"/>
        <v>1.9499999999999993</v>
      </c>
      <c r="BB318" s="9">
        <f t="shared" si="241"/>
        <v>2.25</v>
      </c>
      <c r="BC318" s="9">
        <f t="shared" si="242"/>
        <v>-5.0000000000000711E-2</v>
      </c>
      <c r="BD318" s="9">
        <f t="shared" si="243"/>
        <v>-0.25</v>
      </c>
      <c r="BE318" s="9">
        <f t="shared" si="244"/>
        <v>-0.25</v>
      </c>
      <c r="BF318" s="9">
        <f t="shared" si="245"/>
        <v>0</v>
      </c>
      <c r="BG318" s="9">
        <f t="shared" si="246"/>
        <v>-2.25</v>
      </c>
      <c r="BH318" s="9">
        <f t="shared" si="247"/>
        <v>-0.5</v>
      </c>
      <c r="BI318" s="9">
        <f t="shared" si="248"/>
        <v>2</v>
      </c>
      <c r="BJ318" s="9">
        <f t="shared" si="249"/>
        <v>1.75</v>
      </c>
    </row>
    <row r="319" spans="1:62" x14ac:dyDescent="0.2">
      <c r="A319" s="9">
        <f>data!M320-data!M319</f>
        <v>0.48739999999999384</v>
      </c>
      <c r="B319" s="9">
        <f>data!C320-data!C319</f>
        <v>-0.24000000000000021</v>
      </c>
      <c r="C319" s="9">
        <f>data!D320-data!D319</f>
        <v>-0.26500000000000057</v>
      </c>
      <c r="D319" s="10">
        <f>data!B320-data!B319</f>
        <v>4.9999999999998934E-3</v>
      </c>
      <c r="E319" s="9">
        <f>data!E319-data!G319</f>
        <v>2.3456000000000001</v>
      </c>
      <c r="F319" s="9">
        <f>(data!E319-data!F319)-(data!G319-data!H319)</f>
        <v>1.8162000000000005</v>
      </c>
      <c r="G319" s="9">
        <f t="shared" si="200"/>
        <v>-3.180000000000005E-2</v>
      </c>
      <c r="H319" s="9">
        <f t="shared" si="201"/>
        <v>-9.1600000000000348E-2</v>
      </c>
      <c r="I319" s="9">
        <f>IF(data!M320&gt; 111.81,1,0)</f>
        <v>0</v>
      </c>
      <c r="J319" s="9">
        <f t="shared" si="202"/>
        <v>1</v>
      </c>
      <c r="K319" s="9">
        <f t="shared" si="203"/>
        <v>0</v>
      </c>
      <c r="L319" s="9">
        <f t="shared" si="204"/>
        <v>0.48739999999999384</v>
      </c>
      <c r="M319" s="9">
        <f>data!J319</f>
        <v>-28.6</v>
      </c>
      <c r="N319" s="9">
        <f>data!I319</f>
        <v>-49</v>
      </c>
      <c r="O319" s="9">
        <f>data!L319</f>
        <v>-39.799999999999997</v>
      </c>
      <c r="P319" s="9">
        <f>data!K319</f>
        <v>-22</v>
      </c>
      <c r="Q319" s="9">
        <f>data!R319</f>
        <v>-14</v>
      </c>
      <c r="R319" s="9">
        <f t="shared" si="205"/>
        <v>-1.5</v>
      </c>
      <c r="S319" s="9">
        <f t="shared" si="206"/>
        <v>-0.34999999999999787</v>
      </c>
      <c r="T319" s="9">
        <f t="shared" si="207"/>
        <v>-0.32499999999999929</v>
      </c>
      <c r="U319" s="9">
        <f t="shared" si="208"/>
        <v>1.8500000000000014</v>
      </c>
      <c r="V319" s="9">
        <f t="shared" si="209"/>
        <v>2.4000000000000021</v>
      </c>
      <c r="W319" s="9">
        <f t="shared" si="210"/>
        <v>-1.0499999999999972</v>
      </c>
      <c r="X319" s="9">
        <f t="shared" si="211"/>
        <v>1.5500000000000007</v>
      </c>
      <c r="Y319" s="9">
        <f t="shared" si="212"/>
        <v>3.9000000000000021</v>
      </c>
      <c r="Z319" s="9">
        <f t="shared" si="213"/>
        <v>4.8500000000000014</v>
      </c>
      <c r="AA319" s="9">
        <f t="shared" si="214"/>
        <v>-1.5</v>
      </c>
      <c r="AB319" s="9">
        <f t="shared" si="215"/>
        <v>-1.7999999999999972</v>
      </c>
      <c r="AC319" s="9">
        <f t="shared" si="216"/>
        <v>0</v>
      </c>
      <c r="AD319" s="9">
        <f t="shared" si="217"/>
        <v>0.75</v>
      </c>
      <c r="AE319" s="9">
        <f t="shared" si="218"/>
        <v>-1</v>
      </c>
      <c r="AF319" s="9">
        <f t="shared" si="219"/>
        <v>-0.625</v>
      </c>
      <c r="AG319" s="9">
        <f t="shared" si="220"/>
        <v>3.25</v>
      </c>
      <c r="AH319" s="9">
        <f t="shared" si="221"/>
        <v>2.7000000000000028</v>
      </c>
      <c r="AI319" s="9">
        <f t="shared" si="222"/>
        <v>4</v>
      </c>
      <c r="AJ319" s="9">
        <f t="shared" si="223"/>
        <v>-2.2000000000000028</v>
      </c>
      <c r="AK319" s="9">
        <f t="shared" si="224"/>
        <v>-3</v>
      </c>
      <c r="AL319" s="9">
        <f t="shared" si="225"/>
        <v>-1.7000000000000028</v>
      </c>
      <c r="AM319" s="9">
        <f t="shared" si="226"/>
        <v>-1.4500000000000028</v>
      </c>
      <c r="AN319" s="9">
        <f t="shared" si="227"/>
        <v>-3.4500000000000028</v>
      </c>
      <c r="AO319" s="9">
        <f t="shared" si="228"/>
        <v>-1.2000000000000028</v>
      </c>
      <c r="AP319" s="9">
        <f t="shared" si="229"/>
        <v>1.0499999999999972</v>
      </c>
      <c r="AQ319" s="9">
        <f t="shared" si="230"/>
        <v>-0.5</v>
      </c>
      <c r="AR319" s="9">
        <f t="shared" si="231"/>
        <v>0.29999999999999716</v>
      </c>
      <c r="AS319" s="9">
        <f t="shared" si="232"/>
        <v>-2.3000000000000007</v>
      </c>
      <c r="AT319" s="9">
        <f t="shared" si="233"/>
        <v>-2.5</v>
      </c>
      <c r="AU319" s="9">
        <f t="shared" si="234"/>
        <v>-2.5</v>
      </c>
      <c r="AV319" s="9">
        <f t="shared" si="235"/>
        <v>-2.25</v>
      </c>
      <c r="AW319" s="9">
        <f t="shared" si="236"/>
        <v>-4</v>
      </c>
      <c r="AX319" s="9">
        <f t="shared" si="237"/>
        <v>-2.5</v>
      </c>
      <c r="AY319" s="9">
        <f t="shared" si="238"/>
        <v>0.125</v>
      </c>
      <c r="AZ319" s="9">
        <f t="shared" si="239"/>
        <v>-0.30000000000000071</v>
      </c>
      <c r="BA319" s="9">
        <f t="shared" si="240"/>
        <v>0.19999999999999929</v>
      </c>
      <c r="BB319" s="9">
        <f t="shared" si="241"/>
        <v>-2.3000000000000007</v>
      </c>
      <c r="BC319" s="9">
        <f t="shared" si="242"/>
        <v>-2.5</v>
      </c>
      <c r="BD319" s="9">
        <f t="shared" si="243"/>
        <v>-2.5</v>
      </c>
      <c r="BE319" s="9">
        <f t="shared" si="244"/>
        <v>-2.25</v>
      </c>
      <c r="BF319" s="9">
        <f t="shared" si="245"/>
        <v>-4.5</v>
      </c>
      <c r="BG319" s="9">
        <f t="shared" si="246"/>
        <v>-2.75</v>
      </c>
      <c r="BH319" s="9">
        <f t="shared" si="247"/>
        <v>-0.25</v>
      </c>
      <c r="BI319" s="9">
        <f t="shared" si="248"/>
        <v>-0.5</v>
      </c>
      <c r="BJ319" s="9">
        <f t="shared" si="249"/>
        <v>0</v>
      </c>
    </row>
    <row r="320" spans="1:62" x14ac:dyDescent="0.2">
      <c r="A320" s="9">
        <f>data!M321-data!M320</f>
        <v>-0.68099999999999739</v>
      </c>
      <c r="B320" s="9">
        <f>data!C321-data!C320</f>
        <v>0.74000000000000021</v>
      </c>
      <c r="C320" s="9">
        <f>data!D321-data!D320</f>
        <v>-0.53999999999999915</v>
      </c>
      <c r="D320" s="10">
        <f>data!B321-data!B320</f>
        <v>0.18250000000000011</v>
      </c>
      <c r="E320" s="9">
        <f>data!E320-data!G320</f>
        <v>2.3138000000000001</v>
      </c>
      <c r="F320" s="9">
        <f>(data!E320-data!F320)-(data!G320-data!H320)</f>
        <v>1.7246000000000001</v>
      </c>
      <c r="G320" s="9">
        <f t="shared" si="200"/>
        <v>-4.2899999999999938E-2</v>
      </c>
      <c r="H320" s="9">
        <f t="shared" si="201"/>
        <v>3.5399999999999654E-2</v>
      </c>
      <c r="I320" s="9">
        <f>IF(data!M321&gt; 111.81,1,0)</f>
        <v>0</v>
      </c>
      <c r="J320" s="9">
        <f t="shared" si="202"/>
        <v>1</v>
      </c>
      <c r="K320" s="9">
        <f t="shared" si="203"/>
        <v>0</v>
      </c>
      <c r="L320" s="9">
        <f t="shared" si="204"/>
        <v>-0.68099999999999739</v>
      </c>
      <c r="M320" s="9">
        <f>data!J320</f>
        <v>-30.1</v>
      </c>
      <c r="N320" s="9">
        <f>data!I320</f>
        <v>-50.5</v>
      </c>
      <c r="O320" s="9">
        <f>data!L320</f>
        <v>-42</v>
      </c>
      <c r="P320" s="9">
        <f>data!K320</f>
        <v>-24.3</v>
      </c>
      <c r="Q320" s="9">
        <f>data!R320</f>
        <v>-16.3</v>
      </c>
      <c r="R320" s="9">
        <f t="shared" si="205"/>
        <v>1.1500000000000021</v>
      </c>
      <c r="S320" s="9">
        <f t="shared" si="206"/>
        <v>1.1750000000000007</v>
      </c>
      <c r="T320" s="9">
        <f t="shared" si="207"/>
        <v>3.3500000000000014</v>
      </c>
      <c r="U320" s="9">
        <f t="shared" si="208"/>
        <v>3.9000000000000021</v>
      </c>
      <c r="V320" s="9">
        <f t="shared" si="209"/>
        <v>0.45000000000000284</v>
      </c>
      <c r="W320" s="9">
        <f t="shared" si="210"/>
        <v>3.0500000000000007</v>
      </c>
      <c r="X320" s="9">
        <f t="shared" si="211"/>
        <v>5.4000000000000021</v>
      </c>
      <c r="Y320" s="9">
        <f t="shared" si="212"/>
        <v>6.3500000000000014</v>
      </c>
      <c r="Z320" s="9">
        <f t="shared" si="213"/>
        <v>8.1000000000000014</v>
      </c>
      <c r="AA320" s="9">
        <f t="shared" si="214"/>
        <v>-0.29999999999999716</v>
      </c>
      <c r="AB320" s="9">
        <f t="shared" si="215"/>
        <v>1.5</v>
      </c>
      <c r="AC320" s="9">
        <f t="shared" si="216"/>
        <v>2.25</v>
      </c>
      <c r="AD320" s="9">
        <f t="shared" si="217"/>
        <v>0.5</v>
      </c>
      <c r="AE320" s="9">
        <f t="shared" si="218"/>
        <v>0.875</v>
      </c>
      <c r="AF320" s="9">
        <f t="shared" si="219"/>
        <v>4.75</v>
      </c>
      <c r="AG320" s="9">
        <f t="shared" si="220"/>
        <v>4.2000000000000028</v>
      </c>
      <c r="AH320" s="9">
        <f t="shared" si="221"/>
        <v>5.5</v>
      </c>
      <c r="AI320" s="9">
        <f t="shared" si="222"/>
        <v>4.5</v>
      </c>
      <c r="AJ320" s="9">
        <f t="shared" si="223"/>
        <v>-0.79999999999999716</v>
      </c>
      <c r="AK320" s="9">
        <f t="shared" si="224"/>
        <v>0.5</v>
      </c>
      <c r="AL320" s="9">
        <f t="shared" si="225"/>
        <v>0.75</v>
      </c>
      <c r="AM320" s="9">
        <f t="shared" si="226"/>
        <v>-1.25</v>
      </c>
      <c r="AN320" s="9">
        <f t="shared" si="227"/>
        <v>1</v>
      </c>
      <c r="AO320" s="9">
        <f t="shared" si="228"/>
        <v>3.25</v>
      </c>
      <c r="AP320" s="9">
        <f t="shared" si="229"/>
        <v>1.7000000000000028</v>
      </c>
      <c r="AQ320" s="9">
        <f t="shared" si="230"/>
        <v>2.5</v>
      </c>
      <c r="AR320" s="9">
        <f t="shared" si="231"/>
        <v>1.5</v>
      </c>
      <c r="AS320" s="9">
        <f t="shared" si="232"/>
        <v>-0.19999999999999929</v>
      </c>
      <c r="AT320" s="9">
        <f t="shared" si="233"/>
        <v>-0.19999999999999929</v>
      </c>
      <c r="AU320" s="9">
        <f t="shared" si="234"/>
        <v>5.0000000000000711E-2</v>
      </c>
      <c r="AV320" s="9">
        <f t="shared" si="235"/>
        <v>-1.6999999999999993</v>
      </c>
      <c r="AW320" s="9">
        <f t="shared" si="236"/>
        <v>-0.19999999999999929</v>
      </c>
      <c r="AX320" s="9">
        <f t="shared" si="237"/>
        <v>2.4250000000000007</v>
      </c>
      <c r="AY320" s="9">
        <f t="shared" si="238"/>
        <v>2</v>
      </c>
      <c r="AZ320" s="9">
        <f t="shared" si="239"/>
        <v>2.5</v>
      </c>
      <c r="BA320" s="9">
        <f t="shared" si="240"/>
        <v>2</v>
      </c>
      <c r="BB320" s="9">
        <f t="shared" si="241"/>
        <v>-0.19999999999999929</v>
      </c>
      <c r="BC320" s="9">
        <f t="shared" si="242"/>
        <v>-0.19999999999999929</v>
      </c>
      <c r="BD320" s="9">
        <f t="shared" si="243"/>
        <v>5.0000000000000711E-2</v>
      </c>
      <c r="BE320" s="9">
        <f t="shared" si="244"/>
        <v>-2.1999999999999993</v>
      </c>
      <c r="BF320" s="9">
        <f t="shared" si="245"/>
        <v>-0.44999999999999929</v>
      </c>
      <c r="BG320" s="9">
        <f t="shared" si="246"/>
        <v>2.0500000000000007</v>
      </c>
      <c r="BH320" s="9">
        <f t="shared" si="247"/>
        <v>1.8000000000000007</v>
      </c>
      <c r="BI320" s="9">
        <f t="shared" si="248"/>
        <v>2.3000000000000007</v>
      </c>
      <c r="BJ320" s="9">
        <f t="shared" si="249"/>
        <v>1.8000000000000007</v>
      </c>
    </row>
    <row r="321" spans="1:62" x14ac:dyDescent="0.2">
      <c r="A321" s="9">
        <f>data!M322-data!M321</f>
        <v>-3.1000000000005912E-2</v>
      </c>
      <c r="B321" s="9">
        <f>data!C322-data!C321</f>
        <v>2.7899999999999991</v>
      </c>
      <c r="C321" s="9">
        <f>data!D322-data!D321</f>
        <v>0.61500000000000021</v>
      </c>
      <c r="D321" s="10">
        <f>data!B322-data!B321</f>
        <v>-0.14500000000000002</v>
      </c>
      <c r="E321" s="9">
        <f>data!E321-data!G321</f>
        <v>2.2709000000000001</v>
      </c>
      <c r="F321" s="9">
        <f>(data!E321-data!F321)-(data!G321-data!H321)</f>
        <v>1.7599999999999998</v>
      </c>
      <c r="G321" s="9">
        <f t="shared" si="200"/>
        <v>-0.11139999999999972</v>
      </c>
      <c r="H321" s="9">
        <f t="shared" si="201"/>
        <v>-6.1199999999999477E-2</v>
      </c>
      <c r="I321" s="9">
        <f>IF(data!M322&gt; 111.81,1,0)</f>
        <v>0</v>
      </c>
      <c r="J321" s="9">
        <f t="shared" si="202"/>
        <v>1</v>
      </c>
      <c r="K321" s="9">
        <f t="shared" si="203"/>
        <v>0</v>
      </c>
      <c r="L321" s="9">
        <f t="shared" si="204"/>
        <v>-3.1000000000005912E-2</v>
      </c>
      <c r="M321" s="9">
        <f>data!J321</f>
        <v>-28.95</v>
      </c>
      <c r="N321" s="9">
        <f>data!I321</f>
        <v>-50.8</v>
      </c>
      <c r="O321" s="9">
        <f>data!L321</f>
        <v>-42.8</v>
      </c>
      <c r="P321" s="9">
        <f>data!K321</f>
        <v>-24.5</v>
      </c>
      <c r="Q321" s="9">
        <f>data!R321</f>
        <v>-16.5</v>
      </c>
      <c r="R321" s="9">
        <f t="shared" si="205"/>
        <v>2.4999999999998579E-2</v>
      </c>
      <c r="S321" s="9">
        <f t="shared" si="206"/>
        <v>2.1999999999999993</v>
      </c>
      <c r="T321" s="9">
        <f t="shared" si="207"/>
        <v>2.75</v>
      </c>
      <c r="U321" s="9">
        <f t="shared" si="208"/>
        <v>-0.69999999999999929</v>
      </c>
      <c r="V321" s="9">
        <f t="shared" si="209"/>
        <v>1.8999999999999986</v>
      </c>
      <c r="W321" s="9">
        <f t="shared" si="210"/>
        <v>4.25</v>
      </c>
      <c r="X321" s="9">
        <f t="shared" si="211"/>
        <v>5.1999999999999993</v>
      </c>
      <c r="Y321" s="9">
        <f t="shared" si="212"/>
        <v>6.9499999999999993</v>
      </c>
      <c r="Z321" s="9">
        <f t="shared" si="213"/>
        <v>5.9499999999999993</v>
      </c>
      <c r="AA321" s="9">
        <f t="shared" si="214"/>
        <v>1.7999999999999972</v>
      </c>
      <c r="AB321" s="9">
        <f t="shared" si="215"/>
        <v>2.5499999999999972</v>
      </c>
      <c r="AC321" s="9">
        <f t="shared" si="216"/>
        <v>0.79999999999999716</v>
      </c>
      <c r="AD321" s="9">
        <f t="shared" si="217"/>
        <v>1.1749999999999972</v>
      </c>
      <c r="AE321" s="9">
        <f t="shared" si="218"/>
        <v>5.0499999999999972</v>
      </c>
      <c r="AF321" s="9">
        <f t="shared" si="219"/>
        <v>4.5</v>
      </c>
      <c r="AG321" s="9">
        <f t="shared" si="220"/>
        <v>5.7999999999999972</v>
      </c>
      <c r="AH321" s="9">
        <f t="shared" si="221"/>
        <v>4.7999999999999972</v>
      </c>
      <c r="AI321" s="9">
        <f t="shared" si="222"/>
        <v>7.2999999999999972</v>
      </c>
      <c r="AJ321" s="9">
        <f t="shared" si="223"/>
        <v>1.2999999999999972</v>
      </c>
      <c r="AK321" s="9">
        <f t="shared" si="224"/>
        <v>1.5499999999999972</v>
      </c>
      <c r="AL321" s="9">
        <f t="shared" si="225"/>
        <v>-0.45000000000000284</v>
      </c>
      <c r="AM321" s="9">
        <f t="shared" si="226"/>
        <v>1.7999999999999972</v>
      </c>
      <c r="AN321" s="9">
        <f t="shared" si="227"/>
        <v>4.0499999999999972</v>
      </c>
      <c r="AO321" s="9">
        <f t="shared" si="228"/>
        <v>2.5</v>
      </c>
      <c r="AP321" s="9">
        <f t="shared" si="229"/>
        <v>3.2999999999999972</v>
      </c>
      <c r="AQ321" s="9">
        <f t="shared" si="230"/>
        <v>2.2999999999999972</v>
      </c>
      <c r="AR321" s="9">
        <f t="shared" si="231"/>
        <v>4.0499999999999972</v>
      </c>
      <c r="AS321" s="9">
        <f t="shared" si="232"/>
        <v>0</v>
      </c>
      <c r="AT321" s="9">
        <f t="shared" si="233"/>
        <v>0.25</v>
      </c>
      <c r="AU321" s="9">
        <f t="shared" si="234"/>
        <v>-1.5</v>
      </c>
      <c r="AV321" s="9">
        <f t="shared" si="235"/>
        <v>0</v>
      </c>
      <c r="AW321" s="9">
        <f t="shared" si="236"/>
        <v>2.625</v>
      </c>
      <c r="AX321" s="9">
        <f t="shared" si="237"/>
        <v>2.1999999999999993</v>
      </c>
      <c r="AY321" s="9">
        <f t="shared" si="238"/>
        <v>2.6999999999999993</v>
      </c>
      <c r="AZ321" s="9">
        <f t="shared" si="239"/>
        <v>2.1999999999999993</v>
      </c>
      <c r="BA321" s="9">
        <f t="shared" si="240"/>
        <v>4.25</v>
      </c>
      <c r="BB321" s="9">
        <f t="shared" si="241"/>
        <v>0</v>
      </c>
      <c r="BC321" s="9">
        <f t="shared" si="242"/>
        <v>0.25</v>
      </c>
      <c r="BD321" s="9">
        <f t="shared" si="243"/>
        <v>-2</v>
      </c>
      <c r="BE321" s="9">
        <f t="shared" si="244"/>
        <v>-0.25</v>
      </c>
      <c r="BF321" s="9">
        <f t="shared" si="245"/>
        <v>2.25</v>
      </c>
      <c r="BG321" s="9">
        <f t="shared" si="246"/>
        <v>2</v>
      </c>
      <c r="BH321" s="9">
        <f t="shared" si="247"/>
        <v>2.5</v>
      </c>
      <c r="BI321" s="9">
        <f t="shared" si="248"/>
        <v>2</v>
      </c>
      <c r="BJ321" s="9">
        <f t="shared" si="249"/>
        <v>4</v>
      </c>
    </row>
    <row r="322" spans="1:62" x14ac:dyDescent="0.2">
      <c r="A322" s="9">
        <f>data!M323-data!M322</f>
        <v>-0.67659999999999343</v>
      </c>
      <c r="B322" s="9">
        <f>data!C323-data!C322</f>
        <v>-0.16000000000000014</v>
      </c>
      <c r="C322" s="9">
        <f>data!D323-data!D322</f>
        <v>-0.42500000000000071</v>
      </c>
      <c r="D322" s="10">
        <f>data!B323-data!B322</f>
        <v>-2.4999999999999911E-2</v>
      </c>
      <c r="E322" s="9">
        <f>data!E322-data!G322</f>
        <v>2.1595000000000004</v>
      </c>
      <c r="F322" s="9">
        <f>(data!E322-data!F322)-(data!G322-data!H322)</f>
        <v>1.6988000000000003</v>
      </c>
      <c r="G322" s="9">
        <f t="shared" si="200"/>
        <v>2.5500000000000078E-2</v>
      </c>
      <c r="H322" s="9">
        <f t="shared" si="201"/>
        <v>4.6499999999999986E-2</v>
      </c>
      <c r="I322" s="9">
        <f>IF(data!M323&gt; 111.81,1,0)</f>
        <v>0</v>
      </c>
      <c r="J322" s="9">
        <f t="shared" si="202"/>
        <v>1</v>
      </c>
      <c r="K322" s="9">
        <f t="shared" si="203"/>
        <v>0</v>
      </c>
      <c r="L322" s="9">
        <f t="shared" si="204"/>
        <v>-0.67659999999999343</v>
      </c>
      <c r="M322" s="9">
        <f>data!J322</f>
        <v>-28.925000000000001</v>
      </c>
      <c r="N322" s="9">
        <f>data!I322</f>
        <v>-49</v>
      </c>
      <c r="O322" s="9">
        <f>data!L322</f>
        <v>-41.5</v>
      </c>
      <c r="P322" s="9">
        <f>data!K322</f>
        <v>-24.5</v>
      </c>
      <c r="Q322" s="9">
        <f>data!R322</f>
        <v>-16.5</v>
      </c>
      <c r="R322" s="9">
        <f t="shared" si="205"/>
        <v>2.1750000000000007</v>
      </c>
      <c r="S322" s="9">
        <f t="shared" si="206"/>
        <v>2.7250000000000014</v>
      </c>
      <c r="T322" s="9">
        <f t="shared" si="207"/>
        <v>-0.72499999999999787</v>
      </c>
      <c r="U322" s="9">
        <f t="shared" si="208"/>
        <v>1.875</v>
      </c>
      <c r="V322" s="9">
        <f t="shared" si="209"/>
        <v>4.2250000000000014</v>
      </c>
      <c r="W322" s="9">
        <f t="shared" si="210"/>
        <v>5.1750000000000007</v>
      </c>
      <c r="X322" s="9">
        <f t="shared" si="211"/>
        <v>6.9250000000000007</v>
      </c>
      <c r="Y322" s="9">
        <f t="shared" si="212"/>
        <v>5.9250000000000007</v>
      </c>
      <c r="Z322" s="9">
        <f t="shared" si="213"/>
        <v>7.4000000000000021</v>
      </c>
      <c r="AA322" s="9">
        <f t="shared" si="214"/>
        <v>0.75</v>
      </c>
      <c r="AB322" s="9">
        <f t="shared" si="215"/>
        <v>-1</v>
      </c>
      <c r="AC322" s="9">
        <f t="shared" si="216"/>
        <v>-0.625</v>
      </c>
      <c r="AD322" s="9">
        <f t="shared" si="217"/>
        <v>3.25</v>
      </c>
      <c r="AE322" s="9">
        <f t="shared" si="218"/>
        <v>2.7000000000000028</v>
      </c>
      <c r="AF322" s="9">
        <f t="shared" si="219"/>
        <v>4</v>
      </c>
      <c r="AG322" s="9">
        <f t="shared" si="220"/>
        <v>3</v>
      </c>
      <c r="AH322" s="9">
        <f t="shared" si="221"/>
        <v>5.5</v>
      </c>
      <c r="AI322" s="9">
        <f t="shared" si="222"/>
        <v>6.25</v>
      </c>
      <c r="AJ322" s="9">
        <f t="shared" si="223"/>
        <v>0.25</v>
      </c>
      <c r="AK322" s="9">
        <f t="shared" si="224"/>
        <v>-1.75</v>
      </c>
      <c r="AL322" s="9">
        <f t="shared" si="225"/>
        <v>0.5</v>
      </c>
      <c r="AM322" s="9">
        <f t="shared" si="226"/>
        <v>2.75</v>
      </c>
      <c r="AN322" s="9">
        <f t="shared" si="227"/>
        <v>1.2000000000000028</v>
      </c>
      <c r="AO322" s="9">
        <f t="shared" si="228"/>
        <v>2</v>
      </c>
      <c r="AP322" s="9">
        <f t="shared" si="229"/>
        <v>1</v>
      </c>
      <c r="AQ322" s="9">
        <f t="shared" si="230"/>
        <v>2.75</v>
      </c>
      <c r="AR322" s="9">
        <f t="shared" si="231"/>
        <v>3.75</v>
      </c>
      <c r="AS322" s="9">
        <f t="shared" si="232"/>
        <v>0.25</v>
      </c>
      <c r="AT322" s="9">
        <f t="shared" si="233"/>
        <v>-1.5</v>
      </c>
      <c r="AU322" s="9">
        <f t="shared" si="234"/>
        <v>0</v>
      </c>
      <c r="AV322" s="9">
        <f t="shared" si="235"/>
        <v>2.625</v>
      </c>
      <c r="AW322" s="9">
        <f t="shared" si="236"/>
        <v>2.1999999999999993</v>
      </c>
      <c r="AX322" s="9">
        <f t="shared" si="237"/>
        <v>2.6999999999999993</v>
      </c>
      <c r="AY322" s="9">
        <f t="shared" si="238"/>
        <v>2.1999999999999993</v>
      </c>
      <c r="AZ322" s="9">
        <f t="shared" si="239"/>
        <v>4.25</v>
      </c>
      <c r="BA322" s="9">
        <f t="shared" si="240"/>
        <v>5</v>
      </c>
      <c r="BB322" s="9">
        <f t="shared" si="241"/>
        <v>0.25</v>
      </c>
      <c r="BC322" s="9">
        <f t="shared" si="242"/>
        <v>-2</v>
      </c>
      <c r="BD322" s="9">
        <f t="shared" si="243"/>
        <v>-0.25</v>
      </c>
      <c r="BE322" s="9">
        <f t="shared" si="244"/>
        <v>2.25</v>
      </c>
      <c r="BF322" s="9">
        <f t="shared" si="245"/>
        <v>2</v>
      </c>
      <c r="BG322" s="9">
        <f t="shared" si="246"/>
        <v>2.5</v>
      </c>
      <c r="BH322" s="9">
        <f t="shared" si="247"/>
        <v>2</v>
      </c>
      <c r="BI322" s="9">
        <f t="shared" si="248"/>
        <v>4</v>
      </c>
      <c r="BJ322" s="9">
        <f t="shared" si="249"/>
        <v>4.75</v>
      </c>
    </row>
    <row r="323" spans="1:62" x14ac:dyDescent="0.2">
      <c r="A323" s="9">
        <f>data!M324-data!M323</f>
        <v>0.20120000000000005</v>
      </c>
      <c r="B323" s="9">
        <f>data!C324-data!C323</f>
        <v>1.0199999999999996</v>
      </c>
      <c r="C323" s="9">
        <f>data!D324-data!D323</f>
        <v>0.32249999999999979</v>
      </c>
      <c r="D323" s="10">
        <f>data!B324-data!B323</f>
        <v>-8.2500000000000018E-2</v>
      </c>
      <c r="E323" s="9">
        <f>data!E323-data!G323</f>
        <v>2.1850000000000005</v>
      </c>
      <c r="F323" s="9">
        <f>(data!E323-data!F323)-(data!G323-data!H323)</f>
        <v>1.7453000000000003</v>
      </c>
      <c r="G323" s="9">
        <f t="shared" ref="G323:G386" si="250">E324-E323</f>
        <v>-3.7500000000000533E-2</v>
      </c>
      <c r="H323" s="9">
        <f t="shared" ref="H323:H386" si="251">F324-F323</f>
        <v>-1.5800000000000258E-2</v>
      </c>
      <c r="I323" s="9">
        <f>IF(data!M324&gt; 111.81,1,0)</f>
        <v>0</v>
      </c>
      <c r="J323" s="9">
        <f t="shared" ref="J323:J386" si="252">1-I323</f>
        <v>1</v>
      </c>
      <c r="K323" s="9">
        <f t="shared" ref="K323:K386" si="253">A323*I323</f>
        <v>0</v>
      </c>
      <c r="L323" s="9">
        <f t="shared" ref="L323:L386" si="254">A323*J323</f>
        <v>0.20120000000000005</v>
      </c>
      <c r="M323" s="9">
        <f>data!J323</f>
        <v>-26.75</v>
      </c>
      <c r="N323" s="9">
        <f>data!I323</f>
        <v>-48.25</v>
      </c>
      <c r="O323" s="9">
        <f>data!L323</f>
        <v>-41.25</v>
      </c>
      <c r="P323" s="9">
        <f>data!K323</f>
        <v>-24.25</v>
      </c>
      <c r="Q323" s="9">
        <f>data!R323</f>
        <v>-16.25</v>
      </c>
      <c r="R323" s="9">
        <f t="shared" ref="R323:R386" si="255">M324-M323</f>
        <v>0.55000000000000071</v>
      </c>
      <c r="S323" s="9">
        <f t="shared" ref="S323:S386" si="256">M325-M323</f>
        <v>-2.8999999999999986</v>
      </c>
      <c r="T323" s="9">
        <f t="shared" ref="T323:T386" si="257">M326-M323</f>
        <v>-0.30000000000000071</v>
      </c>
      <c r="U323" s="9">
        <f t="shared" ref="U323:U386" si="258">M327-M323</f>
        <v>2.0500000000000007</v>
      </c>
      <c r="V323" s="9">
        <f t="shared" ref="V323:V386" si="259">M328-M323</f>
        <v>3</v>
      </c>
      <c r="W323" s="9">
        <f t="shared" ref="W323:W386" si="260">M329-M323</f>
        <v>4.75</v>
      </c>
      <c r="X323" s="9">
        <f t="shared" ref="X323:X386" si="261">M330-M323</f>
        <v>3.75</v>
      </c>
      <c r="Y323" s="9">
        <f t="shared" ref="Y323:Y386" si="262">M331-M323</f>
        <v>5.2250000000000014</v>
      </c>
      <c r="Z323" s="9">
        <f t="shared" ref="Z323:Z386" si="263">M332-M323</f>
        <v>6.9499999999999993</v>
      </c>
      <c r="AA323" s="9">
        <f t="shared" ref="AA323:AA386" si="264">N324-N323</f>
        <v>-1.75</v>
      </c>
      <c r="AB323" s="9">
        <f t="shared" ref="AB323:AB386" si="265">N325-N323</f>
        <v>-1.375</v>
      </c>
      <c r="AC323" s="9">
        <f t="shared" ref="AC323:AC386" si="266">N326-N323</f>
        <v>2.5</v>
      </c>
      <c r="AD323" s="9">
        <f t="shared" ref="AD323:AD386" si="267">N327-N323</f>
        <v>1.9500000000000028</v>
      </c>
      <c r="AE323" s="9">
        <f t="shared" ref="AE323:AE386" si="268">N328-N323</f>
        <v>3.25</v>
      </c>
      <c r="AF323" s="9">
        <f t="shared" ref="AF323:AF386" si="269">N329-N323</f>
        <v>2.25</v>
      </c>
      <c r="AG323" s="9">
        <f t="shared" ref="AG323:AG386" si="270">N330-N323</f>
        <v>4.75</v>
      </c>
      <c r="AH323" s="9">
        <f t="shared" ref="AH323:AH386" si="271">N331-N323</f>
        <v>5.5</v>
      </c>
      <c r="AI323" s="9">
        <f t="shared" ref="AI323:AI386" si="272">N332-N323</f>
        <v>5.75</v>
      </c>
      <c r="AJ323" s="9">
        <f t="shared" ref="AJ323:AJ386" si="273">O324-O323</f>
        <v>-2</v>
      </c>
      <c r="AK323" s="9">
        <f t="shared" ref="AK323:AK386" si="274">O325-O323</f>
        <v>0.25</v>
      </c>
      <c r="AL323" s="9">
        <f t="shared" ref="AL323:AL386" si="275">O326-O323</f>
        <v>2.5</v>
      </c>
      <c r="AM323" s="9">
        <f t="shared" ref="AM323:AM386" si="276">O327-O323</f>
        <v>0.95000000000000284</v>
      </c>
      <c r="AN323" s="9">
        <f t="shared" ref="AN323:AN386" si="277">O328-O323</f>
        <v>1.75</v>
      </c>
      <c r="AO323" s="9">
        <f t="shared" ref="AO323:AO386" si="278">O329-O323</f>
        <v>0.75</v>
      </c>
      <c r="AP323" s="9">
        <f t="shared" ref="AP323:AP386" si="279">O330-O323</f>
        <v>2.5</v>
      </c>
      <c r="AQ323" s="9">
        <f t="shared" ref="AQ323:AQ386" si="280">O331-O323</f>
        <v>3.5</v>
      </c>
      <c r="AR323" s="9">
        <f t="shared" ref="AR323:AR386" si="281">O332-O323</f>
        <v>4</v>
      </c>
      <c r="AS323" s="9">
        <f t="shared" ref="AS323:AS386" si="282">P324 - P323</f>
        <v>-1.75</v>
      </c>
      <c r="AT323" s="9">
        <f t="shared" ref="AT323:AT386" si="283">P325 - P323</f>
        <v>-0.25</v>
      </c>
      <c r="AU323" s="9">
        <f t="shared" ref="AU323:AU386" si="284">P326 - P323</f>
        <v>2.375</v>
      </c>
      <c r="AV323" s="9">
        <f t="shared" ref="AV323:AV386" si="285">P327 - P323</f>
        <v>1.9499999999999993</v>
      </c>
      <c r="AW323" s="9">
        <f t="shared" ref="AW323:AW386" si="286">P328 - P323</f>
        <v>2.4499999999999993</v>
      </c>
      <c r="AX323" s="9">
        <f t="shared" ref="AX323:AX386" si="287">P329 - P323</f>
        <v>1.9499999999999993</v>
      </c>
      <c r="AY323" s="9">
        <f t="shared" ref="AY323:AY386" si="288">P330 - P323</f>
        <v>4</v>
      </c>
      <c r="AZ323" s="9">
        <f t="shared" ref="AZ323:AZ386" si="289">P331 - P323</f>
        <v>4.75</v>
      </c>
      <c r="BA323" s="9">
        <f t="shared" ref="BA323:BA386" si="290">P332 - P323</f>
        <v>5.5</v>
      </c>
      <c r="BB323" s="9">
        <f t="shared" ref="BB323:BB386" si="291">Q324 - Q323</f>
        <v>-2.25</v>
      </c>
      <c r="BC323" s="9">
        <f t="shared" ref="BC323:BC386" si="292">Q325 - Q323</f>
        <v>-0.5</v>
      </c>
      <c r="BD323" s="9">
        <f t="shared" ref="BD323:BD386" si="293">Q326 - Q323</f>
        <v>2</v>
      </c>
      <c r="BE323" s="9">
        <f t="shared" ref="BE323:BE386" si="294">Q327 - Q323</f>
        <v>1.75</v>
      </c>
      <c r="BF323" s="9">
        <f t="shared" ref="BF323:BF386" si="295">Q328 - Q323</f>
        <v>2.25</v>
      </c>
      <c r="BG323" s="9">
        <f t="shared" ref="BG323:BG386" si="296">Q329 - Q323</f>
        <v>1.75</v>
      </c>
      <c r="BH323" s="9">
        <f t="shared" ref="BH323:BH386" si="297">Q330 - Q323</f>
        <v>3.75</v>
      </c>
      <c r="BI323" s="9">
        <f t="shared" ref="BI323:BI386" si="298">Q331 - Q323</f>
        <v>4.5</v>
      </c>
      <c r="BJ323" s="9">
        <f t="shared" ref="BJ323:BJ386" si="299">Q332 - Q323</f>
        <v>5</v>
      </c>
    </row>
    <row r="324" spans="1:62" x14ac:dyDescent="0.2">
      <c r="A324" s="9">
        <f>data!M325-data!M324</f>
        <v>-0.16890000000000782</v>
      </c>
      <c r="B324" s="9">
        <f>data!C325-data!C324</f>
        <v>4.360000000000003</v>
      </c>
      <c r="C324" s="9">
        <f>data!D325-data!D324</f>
        <v>3.2375000000000007</v>
      </c>
      <c r="D324" s="10">
        <f>data!B325-data!B324</f>
        <v>-0.50749999999999984</v>
      </c>
      <c r="E324" s="9">
        <f>data!E324-data!G324</f>
        <v>2.1475</v>
      </c>
      <c r="F324" s="9">
        <f>(data!E324-data!F324)-(data!G324-data!H324)</f>
        <v>1.7295</v>
      </c>
      <c r="G324" s="9">
        <f t="shared" si="250"/>
        <v>-9.470000000000045E-2</v>
      </c>
      <c r="H324" s="9">
        <f t="shared" si="251"/>
        <v>-4.1200000000000125E-2</v>
      </c>
      <c r="I324" s="9">
        <f>IF(data!M325&gt; 111.81,1,0)</f>
        <v>0</v>
      </c>
      <c r="J324" s="9">
        <f t="shared" si="252"/>
        <v>1</v>
      </c>
      <c r="K324" s="9">
        <f t="shared" si="253"/>
        <v>0</v>
      </c>
      <c r="L324" s="9">
        <f t="shared" si="254"/>
        <v>-0.16890000000000782</v>
      </c>
      <c r="M324" s="9">
        <f>data!J324</f>
        <v>-26.2</v>
      </c>
      <c r="N324" s="9">
        <f>data!I324</f>
        <v>-50</v>
      </c>
      <c r="O324" s="9">
        <f>data!L324</f>
        <v>-43.25</v>
      </c>
      <c r="P324" s="9">
        <f>data!K324</f>
        <v>-26</v>
      </c>
      <c r="Q324" s="9">
        <f>data!R324</f>
        <v>-18.5</v>
      </c>
      <c r="R324" s="9">
        <f t="shared" si="255"/>
        <v>-3.4499999999999993</v>
      </c>
      <c r="S324" s="9">
        <f t="shared" si="256"/>
        <v>-0.85000000000000142</v>
      </c>
      <c r="T324" s="9">
        <f t="shared" si="257"/>
        <v>1.5</v>
      </c>
      <c r="U324" s="9">
        <f t="shared" si="258"/>
        <v>2.4499999999999993</v>
      </c>
      <c r="V324" s="9">
        <f t="shared" si="259"/>
        <v>4.1999999999999993</v>
      </c>
      <c r="W324" s="9">
        <f t="shared" si="260"/>
        <v>3.1999999999999993</v>
      </c>
      <c r="X324" s="9">
        <f t="shared" si="261"/>
        <v>4.6750000000000007</v>
      </c>
      <c r="Y324" s="9">
        <f t="shared" si="262"/>
        <v>6.3999999999999986</v>
      </c>
      <c r="Z324" s="9">
        <f t="shared" si="263"/>
        <v>5.5999999999999979</v>
      </c>
      <c r="AA324" s="9">
        <f t="shared" si="264"/>
        <v>0.375</v>
      </c>
      <c r="AB324" s="9">
        <f t="shared" si="265"/>
        <v>4.25</v>
      </c>
      <c r="AC324" s="9">
        <f t="shared" si="266"/>
        <v>3.7000000000000028</v>
      </c>
      <c r="AD324" s="9">
        <f t="shared" si="267"/>
        <v>5</v>
      </c>
      <c r="AE324" s="9">
        <f t="shared" si="268"/>
        <v>4</v>
      </c>
      <c r="AF324" s="9">
        <f t="shared" si="269"/>
        <v>6.5</v>
      </c>
      <c r="AG324" s="9">
        <f t="shared" si="270"/>
        <v>7.25</v>
      </c>
      <c r="AH324" s="9">
        <f t="shared" si="271"/>
        <v>7.5</v>
      </c>
      <c r="AI324" s="9">
        <f t="shared" si="272"/>
        <v>5.5</v>
      </c>
      <c r="AJ324" s="9">
        <f t="shared" si="273"/>
        <v>2.25</v>
      </c>
      <c r="AK324" s="9">
        <f t="shared" si="274"/>
        <v>4.5</v>
      </c>
      <c r="AL324" s="9">
        <f t="shared" si="275"/>
        <v>2.9500000000000028</v>
      </c>
      <c r="AM324" s="9">
        <f t="shared" si="276"/>
        <v>3.75</v>
      </c>
      <c r="AN324" s="9">
        <f t="shared" si="277"/>
        <v>2.75</v>
      </c>
      <c r="AO324" s="9">
        <f t="shared" si="278"/>
        <v>4.5</v>
      </c>
      <c r="AP324" s="9">
        <f t="shared" si="279"/>
        <v>5.5</v>
      </c>
      <c r="AQ324" s="9">
        <f t="shared" si="280"/>
        <v>6</v>
      </c>
      <c r="AR324" s="9">
        <f t="shared" si="281"/>
        <v>5.75</v>
      </c>
      <c r="AS324" s="9">
        <f t="shared" si="282"/>
        <v>1.5</v>
      </c>
      <c r="AT324" s="9">
        <f t="shared" si="283"/>
        <v>4.125</v>
      </c>
      <c r="AU324" s="9">
        <f t="shared" si="284"/>
        <v>3.6999999999999993</v>
      </c>
      <c r="AV324" s="9">
        <f t="shared" si="285"/>
        <v>4.1999999999999993</v>
      </c>
      <c r="AW324" s="9">
        <f t="shared" si="286"/>
        <v>3.6999999999999993</v>
      </c>
      <c r="AX324" s="9">
        <f t="shared" si="287"/>
        <v>5.75</v>
      </c>
      <c r="AY324" s="9">
        <f t="shared" si="288"/>
        <v>6.5</v>
      </c>
      <c r="AZ324" s="9">
        <f t="shared" si="289"/>
        <v>7.25</v>
      </c>
      <c r="BA324" s="9">
        <f t="shared" si="290"/>
        <v>8.75</v>
      </c>
      <c r="BB324" s="9">
        <f t="shared" si="291"/>
        <v>1.75</v>
      </c>
      <c r="BC324" s="9">
        <f t="shared" si="292"/>
        <v>4.25</v>
      </c>
      <c r="BD324" s="9">
        <f t="shared" si="293"/>
        <v>4</v>
      </c>
      <c r="BE324" s="9">
        <f t="shared" si="294"/>
        <v>4.5</v>
      </c>
      <c r="BF324" s="9">
        <f t="shared" si="295"/>
        <v>4</v>
      </c>
      <c r="BG324" s="9">
        <f t="shared" si="296"/>
        <v>6</v>
      </c>
      <c r="BH324" s="9">
        <f t="shared" si="297"/>
        <v>6.75</v>
      </c>
      <c r="BI324" s="9">
        <f t="shared" si="298"/>
        <v>7.25</v>
      </c>
      <c r="BJ324" s="9">
        <f t="shared" si="299"/>
        <v>9.25</v>
      </c>
    </row>
    <row r="325" spans="1:62" x14ac:dyDescent="0.2">
      <c r="A325" s="9">
        <f>data!M326-data!M325</f>
        <v>-0.3504999999999967</v>
      </c>
      <c r="B325" s="9">
        <f>data!C326-data!C325</f>
        <v>-6.5300000000000011</v>
      </c>
      <c r="C325" s="9">
        <f>data!D326-data!D325</f>
        <v>-2.5</v>
      </c>
      <c r="D325" s="10">
        <f>data!B326-data!B325</f>
        <v>0.63999999999999968</v>
      </c>
      <c r="E325" s="9">
        <f>data!E325-data!G325</f>
        <v>2.0527999999999995</v>
      </c>
      <c r="F325" s="9">
        <f>(data!E325-data!F325)-(data!G325-data!H325)</f>
        <v>1.6882999999999999</v>
      </c>
      <c r="G325" s="9">
        <f t="shared" si="250"/>
        <v>0.16100000000000048</v>
      </c>
      <c r="H325" s="9">
        <f t="shared" si="251"/>
        <v>0</v>
      </c>
      <c r="I325" s="9">
        <f>IF(data!M326&gt; 111.81,1,0)</f>
        <v>0</v>
      </c>
      <c r="J325" s="9">
        <f t="shared" si="252"/>
        <v>1</v>
      </c>
      <c r="K325" s="9">
        <f t="shared" si="253"/>
        <v>0</v>
      </c>
      <c r="L325" s="9">
        <f t="shared" si="254"/>
        <v>-0.3504999999999967</v>
      </c>
      <c r="M325" s="9">
        <f>data!J325</f>
        <v>-29.65</v>
      </c>
      <c r="N325" s="9">
        <f>data!I325</f>
        <v>-49.625</v>
      </c>
      <c r="O325" s="9">
        <f>data!L325</f>
        <v>-41</v>
      </c>
      <c r="P325" s="9">
        <f>data!K325</f>
        <v>-24.5</v>
      </c>
      <c r="Q325" s="9">
        <f>data!R325</f>
        <v>-16.75</v>
      </c>
      <c r="R325" s="9">
        <f t="shared" si="255"/>
        <v>2.5999999999999979</v>
      </c>
      <c r="S325" s="9">
        <f t="shared" si="256"/>
        <v>4.9499999999999993</v>
      </c>
      <c r="T325" s="9">
        <f t="shared" si="257"/>
        <v>5.8999999999999986</v>
      </c>
      <c r="U325" s="9">
        <f t="shared" si="258"/>
        <v>7.6499999999999986</v>
      </c>
      <c r="V325" s="9">
        <f t="shared" si="259"/>
        <v>6.6499999999999986</v>
      </c>
      <c r="W325" s="9">
        <f t="shared" si="260"/>
        <v>8.125</v>
      </c>
      <c r="X325" s="9">
        <f t="shared" si="261"/>
        <v>9.8499999999999979</v>
      </c>
      <c r="Y325" s="9">
        <f t="shared" si="262"/>
        <v>9.0499999999999972</v>
      </c>
      <c r="Z325" s="9">
        <f t="shared" si="263"/>
        <v>9.0999999999999979</v>
      </c>
      <c r="AA325" s="9">
        <f t="shared" si="264"/>
        <v>3.875</v>
      </c>
      <c r="AB325" s="9">
        <f t="shared" si="265"/>
        <v>3.3250000000000028</v>
      </c>
      <c r="AC325" s="9">
        <f t="shared" si="266"/>
        <v>4.625</v>
      </c>
      <c r="AD325" s="9">
        <f t="shared" si="267"/>
        <v>3.625</v>
      </c>
      <c r="AE325" s="9">
        <f t="shared" si="268"/>
        <v>6.125</v>
      </c>
      <c r="AF325" s="9">
        <f t="shared" si="269"/>
        <v>6.875</v>
      </c>
      <c r="AG325" s="9">
        <f t="shared" si="270"/>
        <v>7.125</v>
      </c>
      <c r="AH325" s="9">
        <f t="shared" si="271"/>
        <v>5.125</v>
      </c>
      <c r="AI325" s="9">
        <f t="shared" si="272"/>
        <v>4.125</v>
      </c>
      <c r="AJ325" s="9">
        <f t="shared" si="273"/>
        <v>2.25</v>
      </c>
      <c r="AK325" s="9">
        <f t="shared" si="274"/>
        <v>0.70000000000000284</v>
      </c>
      <c r="AL325" s="9">
        <f t="shared" si="275"/>
        <v>1.5</v>
      </c>
      <c r="AM325" s="9">
        <f t="shared" si="276"/>
        <v>0.5</v>
      </c>
      <c r="AN325" s="9">
        <f t="shared" si="277"/>
        <v>2.25</v>
      </c>
      <c r="AO325" s="9">
        <f t="shared" si="278"/>
        <v>3.25</v>
      </c>
      <c r="AP325" s="9">
        <f t="shared" si="279"/>
        <v>3.75</v>
      </c>
      <c r="AQ325" s="9">
        <f t="shared" si="280"/>
        <v>3.5</v>
      </c>
      <c r="AR325" s="9">
        <f t="shared" si="281"/>
        <v>3.25</v>
      </c>
      <c r="AS325" s="9">
        <f t="shared" si="282"/>
        <v>2.625</v>
      </c>
      <c r="AT325" s="9">
        <f t="shared" si="283"/>
        <v>2.1999999999999993</v>
      </c>
      <c r="AU325" s="9">
        <f t="shared" si="284"/>
        <v>2.6999999999999993</v>
      </c>
      <c r="AV325" s="9">
        <f t="shared" si="285"/>
        <v>2.1999999999999993</v>
      </c>
      <c r="AW325" s="9">
        <f t="shared" si="286"/>
        <v>4.25</v>
      </c>
      <c r="AX325" s="9">
        <f t="shared" si="287"/>
        <v>5</v>
      </c>
      <c r="AY325" s="9">
        <f t="shared" si="288"/>
        <v>5.75</v>
      </c>
      <c r="AZ325" s="9">
        <f t="shared" si="289"/>
        <v>7.25</v>
      </c>
      <c r="BA325" s="9">
        <f t="shared" si="290"/>
        <v>8.75</v>
      </c>
      <c r="BB325" s="9">
        <f t="shared" si="291"/>
        <v>2.5</v>
      </c>
      <c r="BC325" s="9">
        <f t="shared" si="292"/>
        <v>2.25</v>
      </c>
      <c r="BD325" s="9">
        <f t="shared" si="293"/>
        <v>2.75</v>
      </c>
      <c r="BE325" s="9">
        <f t="shared" si="294"/>
        <v>2.25</v>
      </c>
      <c r="BF325" s="9">
        <f t="shared" si="295"/>
        <v>4.25</v>
      </c>
      <c r="BG325" s="9">
        <f t="shared" si="296"/>
        <v>5</v>
      </c>
      <c r="BH325" s="9">
        <f t="shared" si="297"/>
        <v>5.5</v>
      </c>
      <c r="BI325" s="9">
        <f t="shared" si="298"/>
        <v>7.5</v>
      </c>
      <c r="BJ325" s="9">
        <f t="shared" si="299"/>
        <v>9.375</v>
      </c>
    </row>
    <row r="326" spans="1:62" x14ac:dyDescent="0.2">
      <c r="A326" s="9">
        <f>data!M327-data!M326</f>
        <v>-0.37229999999999563</v>
      </c>
      <c r="B326" s="9">
        <f>data!C327-data!C326</f>
        <v>-0.51000000000000156</v>
      </c>
      <c r="C326" s="9">
        <f>data!D327-data!D326</f>
        <v>0.50999999999999979</v>
      </c>
      <c r="D326" s="10">
        <f>data!B327-data!B326</f>
        <v>-8.4999999999999964E-2</v>
      </c>
      <c r="E326" s="9">
        <f>data!E326-data!G326</f>
        <v>2.2138</v>
      </c>
      <c r="F326" s="9">
        <f>(data!E326-data!F326)-(data!G326-data!H326)</f>
        <v>1.6882999999999999</v>
      </c>
      <c r="G326" s="9">
        <f t="shared" si="250"/>
        <v>-5.659999999999954E-2</v>
      </c>
      <c r="H326" s="9">
        <f t="shared" si="251"/>
        <v>-0.11169999999999969</v>
      </c>
      <c r="I326" s="9">
        <f>IF(data!M327&gt; 111.81,1,0)</f>
        <v>0</v>
      </c>
      <c r="J326" s="9">
        <f t="shared" si="252"/>
        <v>1</v>
      </c>
      <c r="K326" s="9">
        <f t="shared" si="253"/>
        <v>0</v>
      </c>
      <c r="L326" s="9">
        <f t="shared" si="254"/>
        <v>-0.37229999999999563</v>
      </c>
      <c r="M326" s="9">
        <f>data!J326</f>
        <v>-27.05</v>
      </c>
      <c r="N326" s="9">
        <f>data!I326</f>
        <v>-45.75</v>
      </c>
      <c r="O326" s="9">
        <f>data!L326</f>
        <v>-38.75</v>
      </c>
      <c r="P326" s="9">
        <f>data!K326</f>
        <v>-21.875</v>
      </c>
      <c r="Q326" s="9">
        <f>data!R326</f>
        <v>-14.25</v>
      </c>
      <c r="R326" s="9">
        <f t="shared" si="255"/>
        <v>2.3500000000000014</v>
      </c>
      <c r="S326" s="9">
        <f t="shared" si="256"/>
        <v>3.3000000000000007</v>
      </c>
      <c r="T326" s="9">
        <f t="shared" si="257"/>
        <v>5.0500000000000007</v>
      </c>
      <c r="U326" s="9">
        <f t="shared" si="258"/>
        <v>4.0500000000000007</v>
      </c>
      <c r="V326" s="9">
        <f t="shared" si="259"/>
        <v>5.5250000000000021</v>
      </c>
      <c r="W326" s="9">
        <f t="shared" si="260"/>
        <v>7.25</v>
      </c>
      <c r="X326" s="9">
        <f t="shared" si="261"/>
        <v>6.4499999999999993</v>
      </c>
      <c r="Y326" s="9">
        <f t="shared" si="262"/>
        <v>6.5</v>
      </c>
      <c r="Z326" s="9">
        <f t="shared" si="263"/>
        <v>5.4350000000000023</v>
      </c>
      <c r="AA326" s="9">
        <f t="shared" si="264"/>
        <v>-0.54999999999999716</v>
      </c>
      <c r="AB326" s="9">
        <f t="shared" si="265"/>
        <v>0.75</v>
      </c>
      <c r="AC326" s="9">
        <f t="shared" si="266"/>
        <v>-0.25</v>
      </c>
      <c r="AD326" s="9">
        <f t="shared" si="267"/>
        <v>2.25</v>
      </c>
      <c r="AE326" s="9">
        <f t="shared" si="268"/>
        <v>3</v>
      </c>
      <c r="AF326" s="9">
        <f t="shared" si="269"/>
        <v>3.25</v>
      </c>
      <c r="AG326" s="9">
        <f t="shared" si="270"/>
        <v>1.25</v>
      </c>
      <c r="AH326" s="9">
        <f t="shared" si="271"/>
        <v>0.25</v>
      </c>
      <c r="AI326" s="9">
        <f t="shared" si="272"/>
        <v>-2.375</v>
      </c>
      <c r="AJ326" s="9">
        <f t="shared" si="273"/>
        <v>-1.5499999999999972</v>
      </c>
      <c r="AK326" s="9">
        <f t="shared" si="274"/>
        <v>-0.75</v>
      </c>
      <c r="AL326" s="9">
        <f t="shared" si="275"/>
        <v>-1.75</v>
      </c>
      <c r="AM326" s="9">
        <f t="shared" si="276"/>
        <v>0</v>
      </c>
      <c r="AN326" s="9">
        <f t="shared" si="277"/>
        <v>1</v>
      </c>
      <c r="AO326" s="9">
        <f t="shared" si="278"/>
        <v>1.5</v>
      </c>
      <c r="AP326" s="9">
        <f t="shared" si="279"/>
        <v>1.25</v>
      </c>
      <c r="AQ326" s="9">
        <f t="shared" si="280"/>
        <v>1</v>
      </c>
      <c r="AR326" s="9">
        <f t="shared" si="281"/>
        <v>-0.625</v>
      </c>
      <c r="AS326" s="9">
        <f t="shared" si="282"/>
        <v>-0.42500000000000071</v>
      </c>
      <c r="AT326" s="9">
        <f t="shared" si="283"/>
        <v>7.4999999999999289E-2</v>
      </c>
      <c r="AU326" s="9">
        <f t="shared" si="284"/>
        <v>-0.42500000000000071</v>
      </c>
      <c r="AV326" s="9">
        <f t="shared" si="285"/>
        <v>1.625</v>
      </c>
      <c r="AW326" s="9">
        <f t="shared" si="286"/>
        <v>2.375</v>
      </c>
      <c r="AX326" s="9">
        <f t="shared" si="287"/>
        <v>3.125</v>
      </c>
      <c r="AY326" s="9">
        <f t="shared" si="288"/>
        <v>4.625</v>
      </c>
      <c r="AZ326" s="9">
        <f t="shared" si="289"/>
        <v>6.125</v>
      </c>
      <c r="BA326" s="9">
        <f t="shared" si="290"/>
        <v>3.875</v>
      </c>
      <c r="BB326" s="9">
        <f t="shared" si="291"/>
        <v>-0.25</v>
      </c>
      <c r="BC326" s="9">
        <f t="shared" si="292"/>
        <v>0.25</v>
      </c>
      <c r="BD326" s="9">
        <f t="shared" si="293"/>
        <v>-0.25</v>
      </c>
      <c r="BE326" s="9">
        <f t="shared" si="294"/>
        <v>1.75</v>
      </c>
      <c r="BF326" s="9">
        <f t="shared" si="295"/>
        <v>2.5</v>
      </c>
      <c r="BG326" s="9">
        <f t="shared" si="296"/>
        <v>3</v>
      </c>
      <c r="BH326" s="9">
        <f t="shared" si="297"/>
        <v>5</v>
      </c>
      <c r="BI326" s="9">
        <f t="shared" si="298"/>
        <v>6.875</v>
      </c>
      <c r="BJ326" s="9">
        <f t="shared" si="299"/>
        <v>4.5</v>
      </c>
    </row>
    <row r="327" spans="1:62" x14ac:dyDescent="0.2">
      <c r="A327" s="9">
        <f>data!M328-data!M327</f>
        <v>-0.65000000000000568</v>
      </c>
      <c r="B327" s="9">
        <f>data!C328-data!C327</f>
        <v>0.47000000000000242</v>
      </c>
      <c r="C327" s="9">
        <f>data!D328-data!D327</f>
        <v>0.14000000000000057</v>
      </c>
      <c r="D327" s="10">
        <f>data!B328-data!B327</f>
        <v>-0.14999999999999991</v>
      </c>
      <c r="E327" s="9">
        <f>data!E327-data!G327</f>
        <v>2.1572000000000005</v>
      </c>
      <c r="F327" s="9">
        <f>(data!E327-data!F327)-(data!G327-data!H327)</f>
        <v>1.5766000000000002</v>
      </c>
      <c r="G327" s="9">
        <f t="shared" si="250"/>
        <v>9.4999999999999751E-2</v>
      </c>
      <c r="H327" s="9">
        <f t="shared" si="251"/>
        <v>7.949999999999946E-2</v>
      </c>
      <c r="I327" s="9">
        <f>IF(data!M328&gt; 111.81,1,0)</f>
        <v>0</v>
      </c>
      <c r="J327" s="9">
        <f t="shared" si="252"/>
        <v>1</v>
      </c>
      <c r="K327" s="9">
        <f t="shared" si="253"/>
        <v>0</v>
      </c>
      <c r="L327" s="9">
        <f t="shared" si="254"/>
        <v>-0.65000000000000568</v>
      </c>
      <c r="M327" s="9">
        <f>data!J327</f>
        <v>-24.7</v>
      </c>
      <c r="N327" s="9">
        <f>data!I327</f>
        <v>-46.3</v>
      </c>
      <c r="O327" s="9">
        <f>data!L327</f>
        <v>-40.299999999999997</v>
      </c>
      <c r="P327" s="9">
        <f>data!K327</f>
        <v>-22.3</v>
      </c>
      <c r="Q327" s="9">
        <f>data!R327</f>
        <v>-14.5</v>
      </c>
      <c r="R327" s="9">
        <f t="shared" si="255"/>
        <v>0.94999999999999929</v>
      </c>
      <c r="S327" s="9">
        <f t="shared" si="256"/>
        <v>2.6999999999999993</v>
      </c>
      <c r="T327" s="9">
        <f t="shared" si="257"/>
        <v>1.6999999999999993</v>
      </c>
      <c r="U327" s="9">
        <f t="shared" si="258"/>
        <v>3.1750000000000007</v>
      </c>
      <c r="V327" s="9">
        <f t="shared" si="259"/>
        <v>4.8999999999999986</v>
      </c>
      <c r="W327" s="9">
        <f t="shared" si="260"/>
        <v>4.0999999999999979</v>
      </c>
      <c r="X327" s="9">
        <f t="shared" si="261"/>
        <v>4.1499999999999986</v>
      </c>
      <c r="Y327" s="9">
        <f t="shared" si="262"/>
        <v>3.0850000000000009</v>
      </c>
      <c r="Z327" s="9">
        <f t="shared" si="263"/>
        <v>3.8000000000000007</v>
      </c>
      <c r="AA327" s="9">
        <f t="shared" si="264"/>
        <v>1.2999999999999972</v>
      </c>
      <c r="AB327" s="9">
        <f t="shared" si="265"/>
        <v>0.29999999999999716</v>
      </c>
      <c r="AC327" s="9">
        <f t="shared" si="266"/>
        <v>2.7999999999999972</v>
      </c>
      <c r="AD327" s="9">
        <f t="shared" si="267"/>
        <v>3.5499999999999972</v>
      </c>
      <c r="AE327" s="9">
        <f t="shared" si="268"/>
        <v>3.7999999999999972</v>
      </c>
      <c r="AF327" s="9">
        <f t="shared" si="269"/>
        <v>1.7999999999999972</v>
      </c>
      <c r="AG327" s="9">
        <f t="shared" si="270"/>
        <v>0.79999999999999716</v>
      </c>
      <c r="AH327" s="9">
        <f t="shared" si="271"/>
        <v>-1.8250000000000028</v>
      </c>
      <c r="AI327" s="9">
        <f t="shared" si="272"/>
        <v>-3.2000000000000028</v>
      </c>
      <c r="AJ327" s="9">
        <f t="shared" si="273"/>
        <v>0.79999999999999716</v>
      </c>
      <c r="AK327" s="9">
        <f t="shared" si="274"/>
        <v>-0.20000000000000284</v>
      </c>
      <c r="AL327" s="9">
        <f t="shared" si="275"/>
        <v>1.5499999999999972</v>
      </c>
      <c r="AM327" s="9">
        <f t="shared" si="276"/>
        <v>2.5499999999999972</v>
      </c>
      <c r="AN327" s="9">
        <f t="shared" si="277"/>
        <v>3.0499999999999972</v>
      </c>
      <c r="AO327" s="9">
        <f t="shared" si="278"/>
        <v>2.7999999999999972</v>
      </c>
      <c r="AP327" s="9">
        <f t="shared" si="279"/>
        <v>2.5499999999999972</v>
      </c>
      <c r="AQ327" s="9">
        <f t="shared" si="280"/>
        <v>0.92499999999999716</v>
      </c>
      <c r="AR327" s="9">
        <f t="shared" si="281"/>
        <v>-1</v>
      </c>
      <c r="AS327" s="9">
        <f t="shared" si="282"/>
        <v>0.5</v>
      </c>
      <c r="AT327" s="9">
        <f t="shared" si="283"/>
        <v>0</v>
      </c>
      <c r="AU327" s="9">
        <f t="shared" si="284"/>
        <v>2.0500000000000007</v>
      </c>
      <c r="AV327" s="9">
        <f t="shared" si="285"/>
        <v>2.8000000000000007</v>
      </c>
      <c r="AW327" s="9">
        <f t="shared" si="286"/>
        <v>3.5500000000000007</v>
      </c>
      <c r="AX327" s="9">
        <f t="shared" si="287"/>
        <v>5.0500000000000007</v>
      </c>
      <c r="AY327" s="9">
        <f t="shared" si="288"/>
        <v>6.5500000000000007</v>
      </c>
      <c r="AZ327" s="9">
        <f t="shared" si="289"/>
        <v>4.3000000000000007</v>
      </c>
      <c r="BA327" s="9">
        <f t="shared" si="290"/>
        <v>2.3000000000000007</v>
      </c>
      <c r="BB327" s="9">
        <f t="shared" si="291"/>
        <v>0.5</v>
      </c>
      <c r="BC327" s="9">
        <f t="shared" si="292"/>
        <v>0</v>
      </c>
      <c r="BD327" s="9">
        <f t="shared" si="293"/>
        <v>2</v>
      </c>
      <c r="BE327" s="9">
        <f t="shared" si="294"/>
        <v>2.75</v>
      </c>
      <c r="BF327" s="9">
        <f t="shared" si="295"/>
        <v>3.25</v>
      </c>
      <c r="BG327" s="9">
        <f t="shared" si="296"/>
        <v>5.25</v>
      </c>
      <c r="BH327" s="9">
        <f t="shared" si="297"/>
        <v>7.125</v>
      </c>
      <c r="BI327" s="9">
        <f t="shared" si="298"/>
        <v>4.75</v>
      </c>
      <c r="BJ327" s="9">
        <f t="shared" si="299"/>
        <v>2.75</v>
      </c>
    </row>
    <row r="328" spans="1:62" x14ac:dyDescent="0.2">
      <c r="A328" s="9">
        <f>data!M329-data!M328</f>
        <v>-0.14430000000000121</v>
      </c>
      <c r="B328" s="9">
        <f>data!C329-data!C328</f>
        <v>-2.5500000000000007</v>
      </c>
      <c r="C328" s="9">
        <f>data!D329-data!D328</f>
        <v>6.4999999999999503E-2</v>
      </c>
      <c r="D328" s="10">
        <f>data!B329-data!B328</f>
        <v>2.0000000000000018E-2</v>
      </c>
      <c r="E328" s="9">
        <f>data!E328-data!G328</f>
        <v>2.2522000000000002</v>
      </c>
      <c r="F328" s="9">
        <f>(data!E328-data!F328)-(data!G328-data!H328)</f>
        <v>1.6560999999999997</v>
      </c>
      <c r="G328" s="9">
        <f t="shared" si="250"/>
        <v>-0.13529999999999998</v>
      </c>
      <c r="H328" s="9">
        <f t="shared" si="251"/>
        <v>-2.2599999999999509E-2</v>
      </c>
      <c r="I328" s="9">
        <f>IF(data!M329&gt; 111.81,1,0)</f>
        <v>0</v>
      </c>
      <c r="J328" s="9">
        <f t="shared" si="252"/>
        <v>1</v>
      </c>
      <c r="K328" s="9">
        <f t="shared" si="253"/>
        <v>0</v>
      </c>
      <c r="L328" s="9">
        <f t="shared" si="254"/>
        <v>-0.14430000000000121</v>
      </c>
      <c r="M328" s="9">
        <f>data!J328</f>
        <v>-23.75</v>
      </c>
      <c r="N328" s="9">
        <f>data!I328</f>
        <v>-45</v>
      </c>
      <c r="O328" s="9">
        <f>data!L328</f>
        <v>-39.5</v>
      </c>
      <c r="P328" s="9">
        <f>data!K328</f>
        <v>-21.8</v>
      </c>
      <c r="Q328" s="9">
        <f>data!R328</f>
        <v>-14</v>
      </c>
      <c r="R328" s="9">
        <f t="shared" si="255"/>
        <v>1.75</v>
      </c>
      <c r="S328" s="9">
        <f t="shared" si="256"/>
        <v>0.75</v>
      </c>
      <c r="T328" s="9">
        <f t="shared" si="257"/>
        <v>2.2250000000000014</v>
      </c>
      <c r="U328" s="9">
        <f t="shared" si="258"/>
        <v>3.9499999999999993</v>
      </c>
      <c r="V328" s="9">
        <f t="shared" si="259"/>
        <v>3.1499999999999986</v>
      </c>
      <c r="W328" s="9">
        <f t="shared" si="260"/>
        <v>3.1999999999999993</v>
      </c>
      <c r="X328" s="9">
        <f t="shared" si="261"/>
        <v>2.1350000000000016</v>
      </c>
      <c r="Y328" s="9">
        <f t="shared" si="262"/>
        <v>2.8500000000000014</v>
      </c>
      <c r="Z328" s="9">
        <f t="shared" si="263"/>
        <v>3.8500000000000014</v>
      </c>
      <c r="AA328" s="9">
        <f t="shared" si="264"/>
        <v>-1</v>
      </c>
      <c r="AB328" s="9">
        <f t="shared" si="265"/>
        <v>1.5</v>
      </c>
      <c r="AC328" s="9">
        <f t="shared" si="266"/>
        <v>2.25</v>
      </c>
      <c r="AD328" s="9">
        <f t="shared" si="267"/>
        <v>2.5</v>
      </c>
      <c r="AE328" s="9">
        <f t="shared" si="268"/>
        <v>0.5</v>
      </c>
      <c r="AF328" s="9">
        <f t="shared" si="269"/>
        <v>-0.5</v>
      </c>
      <c r="AG328" s="9">
        <f t="shared" si="270"/>
        <v>-3.125</v>
      </c>
      <c r="AH328" s="9">
        <f t="shared" si="271"/>
        <v>-4.5</v>
      </c>
      <c r="AI328" s="9">
        <f t="shared" si="272"/>
        <v>-2.5</v>
      </c>
      <c r="AJ328" s="9">
        <f t="shared" si="273"/>
        <v>-1</v>
      </c>
      <c r="AK328" s="9">
        <f t="shared" si="274"/>
        <v>0.75</v>
      </c>
      <c r="AL328" s="9">
        <f t="shared" si="275"/>
        <v>1.75</v>
      </c>
      <c r="AM328" s="9">
        <f t="shared" si="276"/>
        <v>2.25</v>
      </c>
      <c r="AN328" s="9">
        <f t="shared" si="277"/>
        <v>2</v>
      </c>
      <c r="AO328" s="9">
        <f t="shared" si="278"/>
        <v>1.75</v>
      </c>
      <c r="AP328" s="9">
        <f t="shared" si="279"/>
        <v>0.125</v>
      </c>
      <c r="AQ328" s="9">
        <f t="shared" si="280"/>
        <v>-1.7999999999999972</v>
      </c>
      <c r="AR328" s="9">
        <f t="shared" si="281"/>
        <v>0</v>
      </c>
      <c r="AS328" s="9">
        <f t="shared" si="282"/>
        <v>-0.5</v>
      </c>
      <c r="AT328" s="9">
        <f t="shared" si="283"/>
        <v>1.5500000000000007</v>
      </c>
      <c r="AU328" s="9">
        <f t="shared" si="284"/>
        <v>2.3000000000000007</v>
      </c>
      <c r="AV328" s="9">
        <f t="shared" si="285"/>
        <v>3.0500000000000007</v>
      </c>
      <c r="AW328" s="9">
        <f t="shared" si="286"/>
        <v>4.5500000000000007</v>
      </c>
      <c r="AX328" s="9">
        <f t="shared" si="287"/>
        <v>6.0500000000000007</v>
      </c>
      <c r="AY328" s="9">
        <f t="shared" si="288"/>
        <v>3.8000000000000007</v>
      </c>
      <c r="AZ328" s="9">
        <f t="shared" si="289"/>
        <v>1.8000000000000007</v>
      </c>
      <c r="BA328" s="9">
        <f t="shared" si="290"/>
        <v>2.8000000000000007</v>
      </c>
      <c r="BB328" s="9">
        <f t="shared" si="291"/>
        <v>-0.5</v>
      </c>
      <c r="BC328" s="9">
        <f t="shared" si="292"/>
        <v>1.5</v>
      </c>
      <c r="BD328" s="9">
        <f t="shared" si="293"/>
        <v>2.25</v>
      </c>
      <c r="BE328" s="9">
        <f t="shared" si="294"/>
        <v>2.75</v>
      </c>
      <c r="BF328" s="9">
        <f t="shared" si="295"/>
        <v>4.75</v>
      </c>
      <c r="BG328" s="9">
        <f t="shared" si="296"/>
        <v>6.625</v>
      </c>
      <c r="BH328" s="9">
        <f t="shared" si="297"/>
        <v>4.25</v>
      </c>
      <c r="BI328" s="9">
        <f t="shared" si="298"/>
        <v>2.25</v>
      </c>
      <c r="BJ328" s="9">
        <f t="shared" si="299"/>
        <v>3.1999999999999993</v>
      </c>
    </row>
    <row r="329" spans="1:62" x14ac:dyDescent="0.2">
      <c r="A329" s="9">
        <f>data!M330-data!M329</f>
        <v>-0.63079999999999359</v>
      </c>
      <c r="B329" s="9">
        <f>data!C330-data!C329</f>
        <v>-0.63000000000000078</v>
      </c>
      <c r="C329" s="9">
        <f>data!D330-data!D329</f>
        <v>-2.9999999999999361E-2</v>
      </c>
      <c r="D329" s="10">
        <f>data!B330-data!B329</f>
        <v>4.0000000000000036E-2</v>
      </c>
      <c r="E329" s="9">
        <f>data!E329-data!G329</f>
        <v>2.1169000000000002</v>
      </c>
      <c r="F329" s="9">
        <f>(data!E329-data!F329)-(data!G329-data!H329)</f>
        <v>1.6335000000000002</v>
      </c>
      <c r="G329" s="9">
        <f t="shared" si="250"/>
        <v>5.3799999999999848E-2</v>
      </c>
      <c r="H329" s="9">
        <f t="shared" si="251"/>
        <v>9.1199999999999504E-2</v>
      </c>
      <c r="I329" s="9">
        <f>IF(data!M330&gt; 111.81,1,0)</f>
        <v>0</v>
      </c>
      <c r="J329" s="9">
        <f t="shared" si="252"/>
        <v>1</v>
      </c>
      <c r="K329" s="9">
        <f t="shared" si="253"/>
        <v>0</v>
      </c>
      <c r="L329" s="9">
        <f t="shared" si="254"/>
        <v>-0.63079999999999359</v>
      </c>
      <c r="M329" s="9">
        <f>data!J329</f>
        <v>-22</v>
      </c>
      <c r="N329" s="9">
        <f>data!I329</f>
        <v>-46</v>
      </c>
      <c r="O329" s="9">
        <f>data!L329</f>
        <v>-40.5</v>
      </c>
      <c r="P329" s="9">
        <f>data!K329</f>
        <v>-22.3</v>
      </c>
      <c r="Q329" s="9">
        <f>data!R329</f>
        <v>-14.5</v>
      </c>
      <c r="R329" s="9">
        <f t="shared" si="255"/>
        <v>-1</v>
      </c>
      <c r="S329" s="9">
        <f t="shared" si="256"/>
        <v>0.47500000000000142</v>
      </c>
      <c r="T329" s="9">
        <f t="shared" si="257"/>
        <v>2.1999999999999993</v>
      </c>
      <c r="U329" s="9">
        <f t="shared" si="258"/>
        <v>1.3999999999999986</v>
      </c>
      <c r="V329" s="9">
        <f t="shared" si="259"/>
        <v>1.4499999999999993</v>
      </c>
      <c r="W329" s="9">
        <f t="shared" si="260"/>
        <v>0.38500000000000156</v>
      </c>
      <c r="X329" s="9">
        <f t="shared" si="261"/>
        <v>1.1000000000000014</v>
      </c>
      <c r="Y329" s="9">
        <f t="shared" si="262"/>
        <v>2.1000000000000014</v>
      </c>
      <c r="Z329" s="9">
        <f t="shared" si="263"/>
        <v>-3</v>
      </c>
      <c r="AA329" s="9">
        <f t="shared" si="264"/>
        <v>2.5</v>
      </c>
      <c r="AB329" s="9">
        <f t="shared" si="265"/>
        <v>3.25</v>
      </c>
      <c r="AC329" s="9">
        <f t="shared" si="266"/>
        <v>3.5</v>
      </c>
      <c r="AD329" s="9">
        <f t="shared" si="267"/>
        <v>1.5</v>
      </c>
      <c r="AE329" s="9">
        <f t="shared" si="268"/>
        <v>0.5</v>
      </c>
      <c r="AF329" s="9">
        <f t="shared" si="269"/>
        <v>-2.125</v>
      </c>
      <c r="AG329" s="9">
        <f t="shared" si="270"/>
        <v>-3.5</v>
      </c>
      <c r="AH329" s="9">
        <f t="shared" si="271"/>
        <v>-1.5</v>
      </c>
      <c r="AI329" s="9">
        <f t="shared" si="272"/>
        <v>-4.5</v>
      </c>
      <c r="AJ329" s="9">
        <f t="shared" si="273"/>
        <v>1.75</v>
      </c>
      <c r="AK329" s="9">
        <f t="shared" si="274"/>
        <v>2.75</v>
      </c>
      <c r="AL329" s="9">
        <f t="shared" si="275"/>
        <v>3.25</v>
      </c>
      <c r="AM329" s="9">
        <f t="shared" si="276"/>
        <v>3</v>
      </c>
      <c r="AN329" s="9">
        <f t="shared" si="277"/>
        <v>2.75</v>
      </c>
      <c r="AO329" s="9">
        <f t="shared" si="278"/>
        <v>1.125</v>
      </c>
      <c r="AP329" s="9">
        <f t="shared" si="279"/>
        <v>-0.79999999999999716</v>
      </c>
      <c r="AQ329" s="9">
        <f t="shared" si="280"/>
        <v>1</v>
      </c>
      <c r="AR329" s="9">
        <f t="shared" si="281"/>
        <v>-1</v>
      </c>
      <c r="AS329" s="9">
        <f t="shared" si="282"/>
        <v>2.0500000000000007</v>
      </c>
      <c r="AT329" s="9">
        <f t="shared" si="283"/>
        <v>2.8000000000000007</v>
      </c>
      <c r="AU329" s="9">
        <f t="shared" si="284"/>
        <v>3.5500000000000007</v>
      </c>
      <c r="AV329" s="9">
        <f t="shared" si="285"/>
        <v>5.0500000000000007</v>
      </c>
      <c r="AW329" s="9">
        <f t="shared" si="286"/>
        <v>6.5500000000000007</v>
      </c>
      <c r="AX329" s="9">
        <f t="shared" si="287"/>
        <v>4.3000000000000007</v>
      </c>
      <c r="AY329" s="9">
        <f t="shared" si="288"/>
        <v>2.3000000000000007</v>
      </c>
      <c r="AZ329" s="9">
        <f t="shared" si="289"/>
        <v>3.3000000000000007</v>
      </c>
      <c r="BA329" s="9">
        <f t="shared" si="290"/>
        <v>1.5500000000000007</v>
      </c>
      <c r="BB329" s="9">
        <f t="shared" si="291"/>
        <v>2</v>
      </c>
      <c r="BC329" s="9">
        <f t="shared" si="292"/>
        <v>2.75</v>
      </c>
      <c r="BD329" s="9">
        <f t="shared" si="293"/>
        <v>3.25</v>
      </c>
      <c r="BE329" s="9">
        <f t="shared" si="294"/>
        <v>5.25</v>
      </c>
      <c r="BF329" s="9">
        <f t="shared" si="295"/>
        <v>7.125</v>
      </c>
      <c r="BG329" s="9">
        <f t="shared" si="296"/>
        <v>4.75</v>
      </c>
      <c r="BH329" s="9">
        <f t="shared" si="297"/>
        <v>2.75</v>
      </c>
      <c r="BI329" s="9">
        <f t="shared" si="298"/>
        <v>3.6999999999999993</v>
      </c>
      <c r="BJ329" s="9">
        <f t="shared" si="299"/>
        <v>2</v>
      </c>
    </row>
    <row r="330" spans="1:62" x14ac:dyDescent="0.2">
      <c r="A330" s="9">
        <f>data!M331-data!M330</f>
        <v>-0.77429999999999666</v>
      </c>
      <c r="B330" s="9">
        <f>data!C331-data!C330</f>
        <v>6.0000000000000497E-2</v>
      </c>
      <c r="C330" s="9">
        <f>data!D331-data!D330</f>
        <v>-0.75</v>
      </c>
      <c r="D330" s="10">
        <f>data!B331-data!B330</f>
        <v>0.14500000000000002</v>
      </c>
      <c r="E330" s="9">
        <f>data!E330-data!G330</f>
        <v>2.1707000000000001</v>
      </c>
      <c r="F330" s="9">
        <f>(data!E330-data!F330)-(data!G330-data!H330)</f>
        <v>1.7246999999999997</v>
      </c>
      <c r="G330" s="9">
        <f t="shared" si="250"/>
        <v>-9.4399999999999817E-2</v>
      </c>
      <c r="H330" s="9">
        <f t="shared" si="251"/>
        <v>-4.4699999999999074E-2</v>
      </c>
      <c r="I330" s="9">
        <f>IF(data!M331&gt; 111.81,1,0)</f>
        <v>0</v>
      </c>
      <c r="J330" s="9">
        <f t="shared" si="252"/>
        <v>1</v>
      </c>
      <c r="K330" s="9">
        <f t="shared" si="253"/>
        <v>0</v>
      </c>
      <c r="L330" s="9">
        <f t="shared" si="254"/>
        <v>-0.77429999999999666</v>
      </c>
      <c r="M330" s="9">
        <f>data!J330</f>
        <v>-23</v>
      </c>
      <c r="N330" s="9">
        <f>data!I330</f>
        <v>-43.5</v>
      </c>
      <c r="O330" s="9">
        <f>data!L330</f>
        <v>-38.75</v>
      </c>
      <c r="P330" s="9">
        <f>data!K330</f>
        <v>-20.25</v>
      </c>
      <c r="Q330" s="9">
        <f>data!R330</f>
        <v>-12.5</v>
      </c>
      <c r="R330" s="9">
        <f t="shared" si="255"/>
        <v>1.4750000000000014</v>
      </c>
      <c r="S330" s="9">
        <f t="shared" si="256"/>
        <v>3.1999999999999993</v>
      </c>
      <c r="T330" s="9">
        <f t="shared" si="257"/>
        <v>2.3999999999999986</v>
      </c>
      <c r="U330" s="9">
        <f t="shared" si="258"/>
        <v>2.4499999999999993</v>
      </c>
      <c r="V330" s="9">
        <f t="shared" si="259"/>
        <v>1.3850000000000016</v>
      </c>
      <c r="W330" s="9">
        <f t="shared" si="260"/>
        <v>2.1000000000000014</v>
      </c>
      <c r="X330" s="9">
        <f t="shared" si="261"/>
        <v>3.1000000000000014</v>
      </c>
      <c r="Y330" s="9">
        <f t="shared" si="262"/>
        <v>-2</v>
      </c>
      <c r="Z330" s="9">
        <f t="shared" si="263"/>
        <v>-0.69999999999999929</v>
      </c>
      <c r="AA330" s="9">
        <f t="shared" si="264"/>
        <v>0.75</v>
      </c>
      <c r="AB330" s="9">
        <f t="shared" si="265"/>
        <v>1</v>
      </c>
      <c r="AC330" s="9">
        <f t="shared" si="266"/>
        <v>-1</v>
      </c>
      <c r="AD330" s="9">
        <f t="shared" si="267"/>
        <v>-2</v>
      </c>
      <c r="AE330" s="9">
        <f t="shared" si="268"/>
        <v>-4.625</v>
      </c>
      <c r="AF330" s="9">
        <f t="shared" si="269"/>
        <v>-6</v>
      </c>
      <c r="AG330" s="9">
        <f t="shared" si="270"/>
        <v>-4</v>
      </c>
      <c r="AH330" s="9">
        <f t="shared" si="271"/>
        <v>-7</v>
      </c>
      <c r="AI330" s="9">
        <f t="shared" si="272"/>
        <v>-4.25</v>
      </c>
      <c r="AJ330" s="9">
        <f t="shared" si="273"/>
        <v>1</v>
      </c>
      <c r="AK330" s="9">
        <f t="shared" si="274"/>
        <v>1.5</v>
      </c>
      <c r="AL330" s="9">
        <f t="shared" si="275"/>
        <v>1.25</v>
      </c>
      <c r="AM330" s="9">
        <f t="shared" si="276"/>
        <v>1</v>
      </c>
      <c r="AN330" s="9">
        <f t="shared" si="277"/>
        <v>-0.625</v>
      </c>
      <c r="AO330" s="9">
        <f t="shared" si="278"/>
        <v>-2.5499999999999972</v>
      </c>
      <c r="AP330" s="9">
        <f t="shared" si="279"/>
        <v>-0.75</v>
      </c>
      <c r="AQ330" s="9">
        <f t="shared" si="280"/>
        <v>-2.75</v>
      </c>
      <c r="AR330" s="9">
        <f t="shared" si="281"/>
        <v>-1.3999999999999986</v>
      </c>
      <c r="AS330" s="9">
        <f t="shared" si="282"/>
        <v>0.75</v>
      </c>
      <c r="AT330" s="9">
        <f t="shared" si="283"/>
        <v>1.5</v>
      </c>
      <c r="AU330" s="9">
        <f t="shared" si="284"/>
        <v>3</v>
      </c>
      <c r="AV330" s="9">
        <f t="shared" si="285"/>
        <v>4.5</v>
      </c>
      <c r="AW330" s="9">
        <f t="shared" si="286"/>
        <v>2.25</v>
      </c>
      <c r="AX330" s="9">
        <f t="shared" si="287"/>
        <v>0.25</v>
      </c>
      <c r="AY330" s="9">
        <f t="shared" si="288"/>
        <v>1.25</v>
      </c>
      <c r="AZ330" s="9">
        <f t="shared" si="289"/>
        <v>-0.5</v>
      </c>
      <c r="BA330" s="9">
        <f t="shared" si="290"/>
        <v>-5.0000000000000711E-2</v>
      </c>
      <c r="BB330" s="9">
        <f t="shared" si="291"/>
        <v>0.75</v>
      </c>
      <c r="BC330" s="9">
        <f t="shared" si="292"/>
        <v>1.25</v>
      </c>
      <c r="BD330" s="9">
        <f t="shared" si="293"/>
        <v>3.25</v>
      </c>
      <c r="BE330" s="9">
        <f t="shared" si="294"/>
        <v>5.125</v>
      </c>
      <c r="BF330" s="9">
        <f t="shared" si="295"/>
        <v>2.75</v>
      </c>
      <c r="BG330" s="9">
        <f t="shared" si="296"/>
        <v>0.75</v>
      </c>
      <c r="BH330" s="9">
        <f t="shared" si="297"/>
        <v>1.6999999999999993</v>
      </c>
      <c r="BI330" s="9">
        <f t="shared" si="298"/>
        <v>0</v>
      </c>
      <c r="BJ330" s="9">
        <f t="shared" si="299"/>
        <v>0.5</v>
      </c>
    </row>
    <row r="331" spans="1:62" x14ac:dyDescent="0.2">
      <c r="A331" s="9">
        <f>data!M332-data!M331</f>
        <v>0.85759999999999081</v>
      </c>
      <c r="B331" s="9">
        <f>data!C332-data!C331</f>
        <v>3.6499999999999986</v>
      </c>
      <c r="C331" s="9">
        <f>data!D332-data!D331</f>
        <v>0.51999999999999957</v>
      </c>
      <c r="D331" s="10">
        <f>data!B332-data!B331</f>
        <v>-0.51000000000000023</v>
      </c>
      <c r="E331" s="9">
        <f>data!E331-data!G331</f>
        <v>2.0763000000000003</v>
      </c>
      <c r="F331" s="9">
        <f>(data!E331-data!F331)-(data!G331-data!H331)</f>
        <v>1.6800000000000006</v>
      </c>
      <c r="G331" s="9">
        <f t="shared" si="250"/>
        <v>-7.6400000000000023E-2</v>
      </c>
      <c r="H331" s="9">
        <f t="shared" si="251"/>
        <v>-3.9400000000000546E-2</v>
      </c>
      <c r="I331" s="9">
        <f>IF(data!M332&gt; 111.81,1,0)</f>
        <v>0</v>
      </c>
      <c r="J331" s="9">
        <f t="shared" si="252"/>
        <v>1</v>
      </c>
      <c r="K331" s="9">
        <f t="shared" si="253"/>
        <v>0</v>
      </c>
      <c r="L331" s="9">
        <f t="shared" si="254"/>
        <v>0.85759999999999081</v>
      </c>
      <c r="M331" s="9">
        <f>data!J331</f>
        <v>-21.524999999999999</v>
      </c>
      <c r="N331" s="9">
        <f>data!I331</f>
        <v>-42.75</v>
      </c>
      <c r="O331" s="9">
        <f>data!L331</f>
        <v>-37.75</v>
      </c>
      <c r="P331" s="9">
        <f>data!K331</f>
        <v>-19.5</v>
      </c>
      <c r="Q331" s="9">
        <f>data!R331</f>
        <v>-11.75</v>
      </c>
      <c r="R331" s="9">
        <f t="shared" si="255"/>
        <v>1.7249999999999979</v>
      </c>
      <c r="S331" s="9">
        <f t="shared" si="256"/>
        <v>0.92499999999999716</v>
      </c>
      <c r="T331" s="9">
        <f t="shared" si="257"/>
        <v>0.97499999999999787</v>
      </c>
      <c r="U331" s="9">
        <f t="shared" si="258"/>
        <v>-8.9999999999999858E-2</v>
      </c>
      <c r="V331" s="9">
        <f t="shared" si="259"/>
        <v>0.625</v>
      </c>
      <c r="W331" s="9">
        <f t="shared" si="260"/>
        <v>1.625</v>
      </c>
      <c r="X331" s="9">
        <f t="shared" si="261"/>
        <v>-3.4750000000000014</v>
      </c>
      <c r="Y331" s="9">
        <f t="shared" si="262"/>
        <v>-2.1750000000000007</v>
      </c>
      <c r="Z331" s="9">
        <f t="shared" si="263"/>
        <v>-1.5750000000000028</v>
      </c>
      <c r="AA331" s="9">
        <f t="shared" si="264"/>
        <v>0.25</v>
      </c>
      <c r="AB331" s="9">
        <f t="shared" si="265"/>
        <v>-1.75</v>
      </c>
      <c r="AC331" s="9">
        <f t="shared" si="266"/>
        <v>-2.75</v>
      </c>
      <c r="AD331" s="9">
        <f t="shared" si="267"/>
        <v>-5.375</v>
      </c>
      <c r="AE331" s="9">
        <f t="shared" si="268"/>
        <v>-6.75</v>
      </c>
      <c r="AF331" s="9">
        <f t="shared" si="269"/>
        <v>-4.75</v>
      </c>
      <c r="AG331" s="9">
        <f t="shared" si="270"/>
        <v>-7.75</v>
      </c>
      <c r="AH331" s="9">
        <f t="shared" si="271"/>
        <v>-5</v>
      </c>
      <c r="AI331" s="9">
        <f t="shared" si="272"/>
        <v>-5</v>
      </c>
      <c r="AJ331" s="9">
        <f t="shared" si="273"/>
        <v>0.5</v>
      </c>
      <c r="AK331" s="9">
        <f t="shared" si="274"/>
        <v>0.25</v>
      </c>
      <c r="AL331" s="9">
        <f t="shared" si="275"/>
        <v>0</v>
      </c>
      <c r="AM331" s="9">
        <f t="shared" si="276"/>
        <v>-1.625</v>
      </c>
      <c r="AN331" s="9">
        <f t="shared" si="277"/>
        <v>-3.5499999999999972</v>
      </c>
      <c r="AO331" s="9">
        <f t="shared" si="278"/>
        <v>-1.75</v>
      </c>
      <c r="AP331" s="9">
        <f t="shared" si="279"/>
        <v>-3.75</v>
      </c>
      <c r="AQ331" s="9">
        <f t="shared" si="280"/>
        <v>-2.3999999999999986</v>
      </c>
      <c r="AR331" s="9">
        <f t="shared" si="281"/>
        <v>-1.75</v>
      </c>
      <c r="AS331" s="9">
        <f t="shared" si="282"/>
        <v>0.75</v>
      </c>
      <c r="AT331" s="9">
        <f t="shared" si="283"/>
        <v>2.25</v>
      </c>
      <c r="AU331" s="9">
        <f t="shared" si="284"/>
        <v>3.75</v>
      </c>
      <c r="AV331" s="9">
        <f t="shared" si="285"/>
        <v>1.5</v>
      </c>
      <c r="AW331" s="9">
        <f t="shared" si="286"/>
        <v>-0.5</v>
      </c>
      <c r="AX331" s="9">
        <f t="shared" si="287"/>
        <v>0.5</v>
      </c>
      <c r="AY331" s="9">
        <f t="shared" si="288"/>
        <v>-1.25</v>
      </c>
      <c r="AZ331" s="9">
        <f t="shared" si="289"/>
        <v>-0.80000000000000071</v>
      </c>
      <c r="BA331" s="9">
        <f t="shared" si="290"/>
        <v>0</v>
      </c>
      <c r="BB331" s="9">
        <f t="shared" si="291"/>
        <v>0.5</v>
      </c>
      <c r="BC331" s="9">
        <f t="shared" si="292"/>
        <v>2.5</v>
      </c>
      <c r="BD331" s="9">
        <f t="shared" si="293"/>
        <v>4.375</v>
      </c>
      <c r="BE331" s="9">
        <f t="shared" si="294"/>
        <v>2</v>
      </c>
      <c r="BF331" s="9">
        <f t="shared" si="295"/>
        <v>0</v>
      </c>
      <c r="BG331" s="9">
        <f t="shared" si="296"/>
        <v>0.94999999999999929</v>
      </c>
      <c r="BH331" s="9">
        <f t="shared" si="297"/>
        <v>-0.75</v>
      </c>
      <c r="BI331" s="9">
        <f t="shared" si="298"/>
        <v>-0.25</v>
      </c>
      <c r="BJ331" s="9">
        <f t="shared" si="299"/>
        <v>0.5</v>
      </c>
    </row>
    <row r="332" spans="1:62" x14ac:dyDescent="0.2">
      <c r="A332" s="9">
        <f>data!M333-data!M332</f>
        <v>0.96009999999999707</v>
      </c>
      <c r="B332" s="9">
        <f>data!C333-data!C332</f>
        <v>-1.3299999999999983</v>
      </c>
      <c r="C332" s="9">
        <f>data!D333-data!D332</f>
        <v>-0.39499999999999957</v>
      </c>
      <c r="D332" s="10">
        <f>data!B333-data!B332</f>
        <v>-0.18500000000000005</v>
      </c>
      <c r="E332" s="9">
        <f>data!E332-data!G332</f>
        <v>1.9999000000000002</v>
      </c>
      <c r="F332" s="9">
        <f>(data!E332-data!F332)-(data!G332-data!H332)</f>
        <v>1.6406000000000001</v>
      </c>
      <c r="G332" s="9">
        <f t="shared" si="250"/>
        <v>4.4999999999999929E-2</v>
      </c>
      <c r="H332" s="9">
        <f t="shared" si="251"/>
        <v>5.6799999999999962E-2</v>
      </c>
      <c r="I332" s="9">
        <f>IF(data!M333&gt; 111.81,1,0)</f>
        <v>0</v>
      </c>
      <c r="J332" s="9">
        <f t="shared" si="252"/>
        <v>1</v>
      </c>
      <c r="K332" s="9">
        <f t="shared" si="253"/>
        <v>0</v>
      </c>
      <c r="L332" s="9">
        <f t="shared" si="254"/>
        <v>0.96009999999999707</v>
      </c>
      <c r="M332" s="9">
        <f>data!J332</f>
        <v>-19.8</v>
      </c>
      <c r="N332" s="9">
        <f>data!I332</f>
        <v>-42.5</v>
      </c>
      <c r="O332" s="9">
        <f>data!L332</f>
        <v>-37.25</v>
      </c>
      <c r="P332" s="9">
        <f>data!K332</f>
        <v>-18.75</v>
      </c>
      <c r="Q332" s="9">
        <f>data!R332</f>
        <v>-11.25</v>
      </c>
      <c r="R332" s="9">
        <f t="shared" si="255"/>
        <v>-0.80000000000000071</v>
      </c>
      <c r="S332" s="9">
        <f t="shared" si="256"/>
        <v>-0.75</v>
      </c>
      <c r="T332" s="9">
        <f t="shared" si="257"/>
        <v>-1.8149999999999977</v>
      </c>
      <c r="U332" s="9">
        <f t="shared" si="258"/>
        <v>-1.0999999999999979</v>
      </c>
      <c r="V332" s="9">
        <f t="shared" si="259"/>
        <v>-9.9999999999997868E-2</v>
      </c>
      <c r="W332" s="9">
        <f t="shared" si="260"/>
        <v>-5.1999999999999993</v>
      </c>
      <c r="X332" s="9">
        <f t="shared" si="261"/>
        <v>-3.8999999999999986</v>
      </c>
      <c r="Y332" s="9">
        <f t="shared" si="262"/>
        <v>-3.3000000000000007</v>
      </c>
      <c r="Z332" s="9">
        <f t="shared" si="263"/>
        <v>-3.0999999999999979</v>
      </c>
      <c r="AA332" s="9">
        <f t="shared" si="264"/>
        <v>-2</v>
      </c>
      <c r="AB332" s="9">
        <f t="shared" si="265"/>
        <v>-3</v>
      </c>
      <c r="AC332" s="9">
        <f t="shared" si="266"/>
        <v>-5.625</v>
      </c>
      <c r="AD332" s="9">
        <f t="shared" si="267"/>
        <v>-7</v>
      </c>
      <c r="AE332" s="9">
        <f t="shared" si="268"/>
        <v>-5</v>
      </c>
      <c r="AF332" s="9">
        <f t="shared" si="269"/>
        <v>-8</v>
      </c>
      <c r="AG332" s="9">
        <f t="shared" si="270"/>
        <v>-5.25</v>
      </c>
      <c r="AH332" s="9">
        <f t="shared" si="271"/>
        <v>-5.25</v>
      </c>
      <c r="AI332" s="9">
        <f t="shared" si="272"/>
        <v>-5.4500000000000028</v>
      </c>
      <c r="AJ332" s="9">
        <f t="shared" si="273"/>
        <v>-0.25</v>
      </c>
      <c r="AK332" s="9">
        <f t="shared" si="274"/>
        <v>-0.5</v>
      </c>
      <c r="AL332" s="9">
        <f t="shared" si="275"/>
        <v>-2.125</v>
      </c>
      <c r="AM332" s="9">
        <f t="shared" si="276"/>
        <v>-4.0499999999999972</v>
      </c>
      <c r="AN332" s="9">
        <f t="shared" si="277"/>
        <v>-2.25</v>
      </c>
      <c r="AO332" s="9">
        <f t="shared" si="278"/>
        <v>-4.25</v>
      </c>
      <c r="AP332" s="9">
        <f t="shared" si="279"/>
        <v>-2.8999999999999986</v>
      </c>
      <c r="AQ332" s="9">
        <f t="shared" si="280"/>
        <v>-2.25</v>
      </c>
      <c r="AR332" s="9">
        <f t="shared" si="281"/>
        <v>-3.2000000000000028</v>
      </c>
      <c r="AS332" s="9">
        <f t="shared" si="282"/>
        <v>1.5</v>
      </c>
      <c r="AT332" s="9">
        <f t="shared" si="283"/>
        <v>3</v>
      </c>
      <c r="AU332" s="9">
        <f t="shared" si="284"/>
        <v>0.75</v>
      </c>
      <c r="AV332" s="9">
        <f t="shared" si="285"/>
        <v>-1.25</v>
      </c>
      <c r="AW332" s="9">
        <f t="shared" si="286"/>
        <v>-0.25</v>
      </c>
      <c r="AX332" s="9">
        <f t="shared" si="287"/>
        <v>-2</v>
      </c>
      <c r="AY332" s="9">
        <f t="shared" si="288"/>
        <v>-1.5500000000000007</v>
      </c>
      <c r="AZ332" s="9">
        <f t="shared" si="289"/>
        <v>-0.75</v>
      </c>
      <c r="BA332" s="9">
        <f t="shared" si="290"/>
        <v>-2</v>
      </c>
      <c r="BB332" s="9">
        <f t="shared" si="291"/>
        <v>2</v>
      </c>
      <c r="BC332" s="9">
        <f t="shared" si="292"/>
        <v>3.875</v>
      </c>
      <c r="BD332" s="9">
        <f t="shared" si="293"/>
        <v>1.5</v>
      </c>
      <c r="BE332" s="9">
        <f t="shared" si="294"/>
        <v>-0.5</v>
      </c>
      <c r="BF332" s="9">
        <f t="shared" si="295"/>
        <v>0.44999999999999929</v>
      </c>
      <c r="BG332" s="9">
        <f t="shared" si="296"/>
        <v>-1.25</v>
      </c>
      <c r="BH332" s="9">
        <f t="shared" si="297"/>
        <v>-0.75</v>
      </c>
      <c r="BI332" s="9">
        <f t="shared" si="298"/>
        <v>0</v>
      </c>
      <c r="BJ332" s="9">
        <f t="shared" si="299"/>
        <v>-1.25</v>
      </c>
    </row>
    <row r="333" spans="1:62" x14ac:dyDescent="0.2">
      <c r="A333" s="9">
        <f>data!M334-data!M333</f>
        <v>-0.11319999999999197</v>
      </c>
      <c r="B333" s="9">
        <f>data!C334-data!C333</f>
        <v>0.35999999999999943</v>
      </c>
      <c r="C333" s="9">
        <f>data!D334-data!D333</f>
        <v>-0.29000000000000092</v>
      </c>
      <c r="D333" s="10">
        <f>data!B334-data!B333</f>
        <v>0.14000000000000012</v>
      </c>
      <c r="E333" s="9">
        <f>data!E333-data!G333</f>
        <v>2.0449000000000002</v>
      </c>
      <c r="F333" s="9">
        <f>(data!E333-data!F333)-(data!G333-data!H333)</f>
        <v>1.6974</v>
      </c>
      <c r="G333" s="9">
        <f t="shared" si="250"/>
        <v>-2.4800000000000377E-2</v>
      </c>
      <c r="H333" s="9">
        <f t="shared" si="251"/>
        <v>-1.5700000000000269E-2</v>
      </c>
      <c r="I333" s="9">
        <f>IF(data!M334&gt; 111.81,1,0)</f>
        <v>0</v>
      </c>
      <c r="J333" s="9">
        <f t="shared" si="252"/>
        <v>1</v>
      </c>
      <c r="K333" s="9">
        <f t="shared" si="253"/>
        <v>0</v>
      </c>
      <c r="L333" s="9">
        <f t="shared" si="254"/>
        <v>-0.11319999999999197</v>
      </c>
      <c r="M333" s="9">
        <f>data!J333</f>
        <v>-20.6</v>
      </c>
      <c r="N333" s="9">
        <f>data!I333</f>
        <v>-44.5</v>
      </c>
      <c r="O333" s="9">
        <f>data!L333</f>
        <v>-37.5</v>
      </c>
      <c r="P333" s="9">
        <f>data!K333</f>
        <v>-17.25</v>
      </c>
      <c r="Q333" s="9">
        <f>data!R333</f>
        <v>-9.25</v>
      </c>
      <c r="R333" s="9">
        <f t="shared" si="255"/>
        <v>5.0000000000000711E-2</v>
      </c>
      <c r="S333" s="9">
        <f t="shared" si="256"/>
        <v>-1.014999999999997</v>
      </c>
      <c r="T333" s="9">
        <f t="shared" si="257"/>
        <v>-0.29999999999999716</v>
      </c>
      <c r="U333" s="9">
        <f t="shared" si="258"/>
        <v>0.70000000000000284</v>
      </c>
      <c r="V333" s="9">
        <f t="shared" si="259"/>
        <v>-4.3999999999999986</v>
      </c>
      <c r="W333" s="9">
        <f t="shared" si="260"/>
        <v>-3.0999999999999979</v>
      </c>
      <c r="X333" s="9">
        <f t="shared" si="261"/>
        <v>-2.5</v>
      </c>
      <c r="Y333" s="9">
        <f t="shared" si="262"/>
        <v>-2.2999999999999972</v>
      </c>
      <c r="Z333" s="9">
        <f t="shared" si="263"/>
        <v>-7.2999999999999972</v>
      </c>
      <c r="AA333" s="9">
        <f t="shared" si="264"/>
        <v>-1</v>
      </c>
      <c r="AB333" s="9">
        <f t="shared" si="265"/>
        <v>-3.625</v>
      </c>
      <c r="AC333" s="9">
        <f t="shared" si="266"/>
        <v>-5</v>
      </c>
      <c r="AD333" s="9">
        <f t="shared" si="267"/>
        <v>-3</v>
      </c>
      <c r="AE333" s="9">
        <f t="shared" si="268"/>
        <v>-6</v>
      </c>
      <c r="AF333" s="9">
        <f t="shared" si="269"/>
        <v>-3.25</v>
      </c>
      <c r="AG333" s="9">
        <f t="shared" si="270"/>
        <v>-3.25</v>
      </c>
      <c r="AH333" s="9">
        <f t="shared" si="271"/>
        <v>-3.4500000000000028</v>
      </c>
      <c r="AI333" s="9">
        <f t="shared" si="272"/>
        <v>-5.25</v>
      </c>
      <c r="AJ333" s="9">
        <f t="shared" si="273"/>
        <v>-0.25</v>
      </c>
      <c r="AK333" s="9">
        <f t="shared" si="274"/>
        <v>-1.875</v>
      </c>
      <c r="AL333" s="9">
        <f t="shared" si="275"/>
        <v>-3.7999999999999972</v>
      </c>
      <c r="AM333" s="9">
        <f t="shared" si="276"/>
        <v>-2</v>
      </c>
      <c r="AN333" s="9">
        <f t="shared" si="277"/>
        <v>-4</v>
      </c>
      <c r="AO333" s="9">
        <f t="shared" si="278"/>
        <v>-2.6499999999999986</v>
      </c>
      <c r="AP333" s="9">
        <f t="shared" si="279"/>
        <v>-2</v>
      </c>
      <c r="AQ333" s="9">
        <f t="shared" si="280"/>
        <v>-2.9500000000000028</v>
      </c>
      <c r="AR333" s="9">
        <f t="shared" si="281"/>
        <v>-3.5</v>
      </c>
      <c r="AS333" s="9">
        <f t="shared" si="282"/>
        <v>1.5</v>
      </c>
      <c r="AT333" s="9">
        <f t="shared" si="283"/>
        <v>-0.75</v>
      </c>
      <c r="AU333" s="9">
        <f t="shared" si="284"/>
        <v>-2.75</v>
      </c>
      <c r="AV333" s="9">
        <f t="shared" si="285"/>
        <v>-1.75</v>
      </c>
      <c r="AW333" s="9">
        <f t="shared" si="286"/>
        <v>-3.5</v>
      </c>
      <c r="AX333" s="9">
        <f t="shared" si="287"/>
        <v>-3.0500000000000007</v>
      </c>
      <c r="AY333" s="9">
        <f t="shared" si="288"/>
        <v>-2.25</v>
      </c>
      <c r="AZ333" s="9">
        <f t="shared" si="289"/>
        <v>-3.5</v>
      </c>
      <c r="BA333" s="9">
        <f t="shared" si="290"/>
        <v>-3.5500000000000007</v>
      </c>
      <c r="BB333" s="9">
        <f t="shared" si="291"/>
        <v>1.875</v>
      </c>
      <c r="BC333" s="9">
        <f t="shared" si="292"/>
        <v>-0.5</v>
      </c>
      <c r="BD333" s="9">
        <f t="shared" si="293"/>
        <v>-2.5</v>
      </c>
      <c r="BE333" s="9">
        <f t="shared" si="294"/>
        <v>-1.5500000000000007</v>
      </c>
      <c r="BF333" s="9">
        <f t="shared" si="295"/>
        <v>-3.25</v>
      </c>
      <c r="BG333" s="9">
        <f t="shared" si="296"/>
        <v>-2.75</v>
      </c>
      <c r="BH333" s="9">
        <f t="shared" si="297"/>
        <v>-2</v>
      </c>
      <c r="BI333" s="9">
        <f t="shared" si="298"/>
        <v>-3.25</v>
      </c>
      <c r="BJ333" s="9">
        <f t="shared" si="299"/>
        <v>-2.75</v>
      </c>
    </row>
    <row r="334" spans="1:62" x14ac:dyDescent="0.2">
      <c r="A334" s="9">
        <f>data!M335-data!M334</f>
        <v>-0.35190000000000055</v>
      </c>
      <c r="B334" s="9">
        <f>data!C335-data!C334</f>
        <v>-1.4499999999999993</v>
      </c>
      <c r="C334" s="9">
        <f>data!D335-data!D334</f>
        <v>-7.4999999999999289E-2</v>
      </c>
      <c r="D334" s="10">
        <f>data!B335-data!B334</f>
        <v>1.0000000000000231E-2</v>
      </c>
      <c r="E334" s="9">
        <f>data!E334-data!G334</f>
        <v>2.0200999999999998</v>
      </c>
      <c r="F334" s="9">
        <f>(data!E334-data!F334)-(data!G334-data!H334)</f>
        <v>1.6816999999999998</v>
      </c>
      <c r="G334" s="9">
        <f t="shared" si="250"/>
        <v>-6.9599999999999662E-2</v>
      </c>
      <c r="H334" s="9">
        <f t="shared" si="251"/>
        <v>-3.459999999999952E-2</v>
      </c>
      <c r="I334" s="9">
        <f>IF(data!M335&gt; 111.81,1,0)</f>
        <v>0</v>
      </c>
      <c r="J334" s="9">
        <f t="shared" si="252"/>
        <v>1</v>
      </c>
      <c r="K334" s="9">
        <f t="shared" si="253"/>
        <v>0</v>
      </c>
      <c r="L334" s="9">
        <f t="shared" si="254"/>
        <v>-0.35190000000000055</v>
      </c>
      <c r="M334" s="9">
        <f>data!J334</f>
        <v>-20.55</v>
      </c>
      <c r="N334" s="9">
        <f>data!I334</f>
        <v>-45.5</v>
      </c>
      <c r="O334" s="9">
        <f>data!L334</f>
        <v>-37.75</v>
      </c>
      <c r="P334" s="9">
        <f>data!K334</f>
        <v>-15.75</v>
      </c>
      <c r="Q334" s="9">
        <f>data!R334</f>
        <v>-7.375</v>
      </c>
      <c r="R334" s="9">
        <f t="shared" si="255"/>
        <v>-1.0649999999999977</v>
      </c>
      <c r="S334" s="9">
        <f t="shared" si="256"/>
        <v>-0.34999999999999787</v>
      </c>
      <c r="T334" s="9">
        <f t="shared" si="257"/>
        <v>0.65000000000000213</v>
      </c>
      <c r="U334" s="9">
        <f t="shared" si="258"/>
        <v>-4.4499999999999993</v>
      </c>
      <c r="V334" s="9">
        <f t="shared" si="259"/>
        <v>-3.1499999999999986</v>
      </c>
      <c r="W334" s="9">
        <f t="shared" si="260"/>
        <v>-2.5500000000000007</v>
      </c>
      <c r="X334" s="9">
        <f t="shared" si="261"/>
        <v>-2.3499999999999979</v>
      </c>
      <c r="Y334" s="9">
        <f t="shared" si="262"/>
        <v>-7.3499999999999979</v>
      </c>
      <c r="Z334" s="9">
        <f t="shared" si="263"/>
        <v>-4.9499999999999993</v>
      </c>
      <c r="AA334" s="9">
        <f t="shared" si="264"/>
        <v>-2.625</v>
      </c>
      <c r="AB334" s="9">
        <f t="shared" si="265"/>
        <v>-4</v>
      </c>
      <c r="AC334" s="9">
        <f t="shared" si="266"/>
        <v>-2</v>
      </c>
      <c r="AD334" s="9">
        <f t="shared" si="267"/>
        <v>-5</v>
      </c>
      <c r="AE334" s="9">
        <f t="shared" si="268"/>
        <v>-2.25</v>
      </c>
      <c r="AF334" s="9">
        <f t="shared" si="269"/>
        <v>-2.25</v>
      </c>
      <c r="AG334" s="9">
        <f t="shared" si="270"/>
        <v>-2.4500000000000028</v>
      </c>
      <c r="AH334" s="9">
        <f t="shared" si="271"/>
        <v>-4.25</v>
      </c>
      <c r="AI334" s="9">
        <f t="shared" si="272"/>
        <v>-4.5</v>
      </c>
      <c r="AJ334" s="9">
        <f t="shared" si="273"/>
        <v>-1.625</v>
      </c>
      <c r="AK334" s="9">
        <f t="shared" si="274"/>
        <v>-3.5499999999999972</v>
      </c>
      <c r="AL334" s="9">
        <f t="shared" si="275"/>
        <v>-1.75</v>
      </c>
      <c r="AM334" s="9">
        <f t="shared" si="276"/>
        <v>-3.75</v>
      </c>
      <c r="AN334" s="9">
        <f t="shared" si="277"/>
        <v>-2.3999999999999986</v>
      </c>
      <c r="AO334" s="9">
        <f t="shared" si="278"/>
        <v>-1.75</v>
      </c>
      <c r="AP334" s="9">
        <f t="shared" si="279"/>
        <v>-2.7000000000000028</v>
      </c>
      <c r="AQ334" s="9">
        <f t="shared" si="280"/>
        <v>-3.25</v>
      </c>
      <c r="AR334" s="9">
        <f t="shared" si="281"/>
        <v>-3.625</v>
      </c>
      <c r="AS334" s="9">
        <f t="shared" si="282"/>
        <v>-2.25</v>
      </c>
      <c r="AT334" s="9">
        <f t="shared" si="283"/>
        <v>-4.25</v>
      </c>
      <c r="AU334" s="9">
        <f t="shared" si="284"/>
        <v>-3.25</v>
      </c>
      <c r="AV334" s="9">
        <f t="shared" si="285"/>
        <v>-5</v>
      </c>
      <c r="AW334" s="9">
        <f t="shared" si="286"/>
        <v>-4.5500000000000007</v>
      </c>
      <c r="AX334" s="9">
        <f t="shared" si="287"/>
        <v>-3.75</v>
      </c>
      <c r="AY334" s="9">
        <f t="shared" si="288"/>
        <v>-5</v>
      </c>
      <c r="AZ334" s="9">
        <f t="shared" si="289"/>
        <v>-5.0500000000000007</v>
      </c>
      <c r="BA334" s="9">
        <f t="shared" si="290"/>
        <v>-4.75</v>
      </c>
      <c r="BB334" s="9">
        <f t="shared" si="291"/>
        <v>-2.375</v>
      </c>
      <c r="BC334" s="9">
        <f t="shared" si="292"/>
        <v>-4.375</v>
      </c>
      <c r="BD334" s="9">
        <f t="shared" si="293"/>
        <v>-3.4250000000000007</v>
      </c>
      <c r="BE334" s="9">
        <f t="shared" si="294"/>
        <v>-5.125</v>
      </c>
      <c r="BF334" s="9">
        <f t="shared" si="295"/>
        <v>-4.625</v>
      </c>
      <c r="BG334" s="9">
        <f t="shared" si="296"/>
        <v>-3.875</v>
      </c>
      <c r="BH334" s="9">
        <f t="shared" si="297"/>
        <v>-5.125</v>
      </c>
      <c r="BI334" s="9">
        <f t="shared" si="298"/>
        <v>-4.625</v>
      </c>
      <c r="BJ334" s="9">
        <f t="shared" si="299"/>
        <v>-4.5</v>
      </c>
    </row>
    <row r="335" spans="1:62" x14ac:dyDescent="0.2">
      <c r="A335" s="9">
        <f>data!M336-data!M335</f>
        <v>-0.52909999999999968</v>
      </c>
      <c r="B335" s="9">
        <f>data!C336-data!C335</f>
        <v>1.9699999999999989</v>
      </c>
      <c r="C335" s="9">
        <f>data!D336-data!D335</f>
        <v>-0.17999999999999972</v>
      </c>
      <c r="D335" s="10">
        <f>data!B336-data!B335</f>
        <v>0.27499999999999991</v>
      </c>
      <c r="E335" s="9">
        <f>data!E335-data!G335</f>
        <v>1.9505000000000001</v>
      </c>
      <c r="F335" s="9">
        <f>(data!E335-data!F335)-(data!G335-data!H335)</f>
        <v>1.6471000000000002</v>
      </c>
      <c r="G335" s="9">
        <f t="shared" si="250"/>
        <v>-9.9600000000000133E-2</v>
      </c>
      <c r="H335" s="9">
        <f t="shared" si="251"/>
        <v>-6.6000000000000059E-2</v>
      </c>
      <c r="I335" s="9">
        <f>IF(data!M336&gt; 111.81,1,0)</f>
        <v>0</v>
      </c>
      <c r="J335" s="9">
        <f t="shared" si="252"/>
        <v>1</v>
      </c>
      <c r="K335" s="9">
        <f t="shared" si="253"/>
        <v>0</v>
      </c>
      <c r="L335" s="9">
        <f t="shared" si="254"/>
        <v>-0.52909999999999968</v>
      </c>
      <c r="M335" s="9">
        <f>data!J335</f>
        <v>-21.614999999999998</v>
      </c>
      <c r="N335" s="9">
        <f>data!I335</f>
        <v>-48.125</v>
      </c>
      <c r="O335" s="9">
        <f>data!L335</f>
        <v>-39.375</v>
      </c>
      <c r="P335" s="9">
        <f>data!K335</f>
        <v>-18</v>
      </c>
      <c r="Q335" s="9">
        <f>data!R335</f>
        <v>-9.75</v>
      </c>
      <c r="R335" s="9">
        <f t="shared" si="255"/>
        <v>0.71499999999999986</v>
      </c>
      <c r="S335" s="9">
        <f t="shared" si="256"/>
        <v>1.7149999999999999</v>
      </c>
      <c r="T335" s="9">
        <f t="shared" si="257"/>
        <v>-3.3850000000000016</v>
      </c>
      <c r="U335" s="9">
        <f t="shared" si="258"/>
        <v>-2.0850000000000009</v>
      </c>
      <c r="V335" s="9">
        <f t="shared" si="259"/>
        <v>-1.485000000000003</v>
      </c>
      <c r="W335" s="9">
        <f t="shared" si="260"/>
        <v>-1.2850000000000001</v>
      </c>
      <c r="X335" s="9">
        <f t="shared" si="261"/>
        <v>-6.2850000000000001</v>
      </c>
      <c r="Y335" s="9">
        <f t="shared" si="262"/>
        <v>-3.8850000000000016</v>
      </c>
      <c r="Z335" s="9">
        <f t="shared" si="263"/>
        <v>-8.235000000000003</v>
      </c>
      <c r="AA335" s="9">
        <f t="shared" si="264"/>
        <v>-1.375</v>
      </c>
      <c r="AB335" s="9">
        <f t="shared" si="265"/>
        <v>0.625</v>
      </c>
      <c r="AC335" s="9">
        <f t="shared" si="266"/>
        <v>-2.375</v>
      </c>
      <c r="AD335" s="9">
        <f t="shared" si="267"/>
        <v>0.375</v>
      </c>
      <c r="AE335" s="9">
        <f t="shared" si="268"/>
        <v>0.375</v>
      </c>
      <c r="AF335" s="9">
        <f t="shared" si="269"/>
        <v>0.17499999999999716</v>
      </c>
      <c r="AG335" s="9">
        <f t="shared" si="270"/>
        <v>-1.625</v>
      </c>
      <c r="AH335" s="9">
        <f t="shared" si="271"/>
        <v>-1.875</v>
      </c>
      <c r="AI335" s="9">
        <f t="shared" si="272"/>
        <v>-3.375</v>
      </c>
      <c r="AJ335" s="9">
        <f t="shared" si="273"/>
        <v>-1.9249999999999972</v>
      </c>
      <c r="AK335" s="9">
        <f t="shared" si="274"/>
        <v>-0.125</v>
      </c>
      <c r="AL335" s="9">
        <f t="shared" si="275"/>
        <v>-2.125</v>
      </c>
      <c r="AM335" s="9">
        <f t="shared" si="276"/>
        <v>-0.77499999999999858</v>
      </c>
      <c r="AN335" s="9">
        <f t="shared" si="277"/>
        <v>-0.125</v>
      </c>
      <c r="AO335" s="9">
        <f t="shared" si="278"/>
        <v>-1.0750000000000028</v>
      </c>
      <c r="AP335" s="9">
        <f t="shared" si="279"/>
        <v>-1.625</v>
      </c>
      <c r="AQ335" s="9">
        <f t="shared" si="280"/>
        <v>-2</v>
      </c>
      <c r="AR335" s="9">
        <f t="shared" si="281"/>
        <v>-4.125</v>
      </c>
      <c r="AS335" s="9">
        <f t="shared" si="282"/>
        <v>-2</v>
      </c>
      <c r="AT335" s="9">
        <f t="shared" si="283"/>
        <v>-1</v>
      </c>
      <c r="AU335" s="9">
        <f t="shared" si="284"/>
        <v>-2.75</v>
      </c>
      <c r="AV335" s="9">
        <f t="shared" si="285"/>
        <v>-2.3000000000000007</v>
      </c>
      <c r="AW335" s="9">
        <f t="shared" si="286"/>
        <v>-1.5</v>
      </c>
      <c r="AX335" s="9">
        <f t="shared" si="287"/>
        <v>-2.75</v>
      </c>
      <c r="AY335" s="9">
        <f t="shared" si="288"/>
        <v>-2.8000000000000007</v>
      </c>
      <c r="AZ335" s="9">
        <f t="shared" si="289"/>
        <v>-2.5</v>
      </c>
      <c r="BA335" s="9">
        <f t="shared" si="290"/>
        <v>-3.5</v>
      </c>
      <c r="BB335" s="9">
        <f t="shared" si="291"/>
        <v>-2</v>
      </c>
      <c r="BC335" s="9">
        <f t="shared" si="292"/>
        <v>-1.0500000000000007</v>
      </c>
      <c r="BD335" s="9">
        <f t="shared" si="293"/>
        <v>-2.75</v>
      </c>
      <c r="BE335" s="9">
        <f t="shared" si="294"/>
        <v>-2.25</v>
      </c>
      <c r="BF335" s="9">
        <f t="shared" si="295"/>
        <v>-1.5</v>
      </c>
      <c r="BG335" s="9">
        <f t="shared" si="296"/>
        <v>-2.75</v>
      </c>
      <c r="BH335" s="9">
        <f t="shared" si="297"/>
        <v>-2.25</v>
      </c>
      <c r="BI335" s="9">
        <f t="shared" si="298"/>
        <v>-2.125</v>
      </c>
      <c r="BJ335" s="9">
        <f t="shared" si="299"/>
        <v>-2.5</v>
      </c>
    </row>
    <row r="336" spans="1:62" x14ac:dyDescent="0.2">
      <c r="A336" s="9">
        <f>data!M337-data!M336</f>
        <v>0.6186000000000007</v>
      </c>
      <c r="B336" s="9">
        <f>data!C337-data!C336</f>
        <v>0.91000000000000014</v>
      </c>
      <c r="C336" s="9">
        <f>data!D337-data!D336</f>
        <v>-0.38500000000000156</v>
      </c>
      <c r="D336" s="10">
        <f>data!B337-data!B336</f>
        <v>9.2499999999999805E-2</v>
      </c>
      <c r="E336" s="9">
        <f>data!E336-data!G336</f>
        <v>1.8509</v>
      </c>
      <c r="F336" s="9">
        <f>(data!E336-data!F336)-(data!G336-data!H336)</f>
        <v>1.5811000000000002</v>
      </c>
      <c r="G336" s="9">
        <f t="shared" si="250"/>
        <v>-1.6599999999999948E-2</v>
      </c>
      <c r="H336" s="9">
        <f t="shared" si="251"/>
        <v>1.5099999999999891E-2</v>
      </c>
      <c r="I336" s="9">
        <f>IF(data!M337&gt; 111.81,1,0)</f>
        <v>0</v>
      </c>
      <c r="J336" s="9">
        <f t="shared" si="252"/>
        <v>1</v>
      </c>
      <c r="K336" s="9">
        <f t="shared" si="253"/>
        <v>0</v>
      </c>
      <c r="L336" s="9">
        <f t="shared" si="254"/>
        <v>0.6186000000000007</v>
      </c>
      <c r="M336" s="9">
        <f>data!J336</f>
        <v>-20.9</v>
      </c>
      <c r="N336" s="9">
        <f>data!I336</f>
        <v>-49.5</v>
      </c>
      <c r="O336" s="9">
        <f>data!L336</f>
        <v>-41.3</v>
      </c>
      <c r="P336" s="9">
        <f>data!K336</f>
        <v>-20</v>
      </c>
      <c r="Q336" s="9">
        <f>data!R336</f>
        <v>-11.75</v>
      </c>
      <c r="R336" s="9">
        <f t="shared" si="255"/>
        <v>1</v>
      </c>
      <c r="S336" s="9">
        <f t="shared" si="256"/>
        <v>-4.1000000000000014</v>
      </c>
      <c r="T336" s="9">
        <f t="shared" si="257"/>
        <v>-2.8000000000000007</v>
      </c>
      <c r="U336" s="9">
        <f t="shared" si="258"/>
        <v>-2.2000000000000028</v>
      </c>
      <c r="V336" s="9">
        <f t="shared" si="259"/>
        <v>-2</v>
      </c>
      <c r="W336" s="9">
        <f t="shared" si="260"/>
        <v>-7</v>
      </c>
      <c r="X336" s="9">
        <f t="shared" si="261"/>
        <v>-4.6000000000000014</v>
      </c>
      <c r="Y336" s="9">
        <f t="shared" si="262"/>
        <v>-8.9500000000000028</v>
      </c>
      <c r="Z336" s="9">
        <f t="shared" si="263"/>
        <v>-16.100000000000001</v>
      </c>
      <c r="AA336" s="9">
        <f t="shared" si="264"/>
        <v>2</v>
      </c>
      <c r="AB336" s="9">
        <f t="shared" si="265"/>
        <v>-1</v>
      </c>
      <c r="AC336" s="9">
        <f t="shared" si="266"/>
        <v>1.75</v>
      </c>
      <c r="AD336" s="9">
        <f t="shared" si="267"/>
        <v>1.75</v>
      </c>
      <c r="AE336" s="9">
        <f t="shared" si="268"/>
        <v>1.5499999999999972</v>
      </c>
      <c r="AF336" s="9">
        <f t="shared" si="269"/>
        <v>-0.25</v>
      </c>
      <c r="AG336" s="9">
        <f t="shared" si="270"/>
        <v>-0.5</v>
      </c>
      <c r="AH336" s="9">
        <f t="shared" si="271"/>
        <v>-2</v>
      </c>
      <c r="AI336" s="9">
        <f t="shared" si="272"/>
        <v>-8.7999999999999972</v>
      </c>
      <c r="AJ336" s="9">
        <f t="shared" si="273"/>
        <v>1.7999999999999972</v>
      </c>
      <c r="AK336" s="9">
        <f t="shared" si="274"/>
        <v>-0.20000000000000284</v>
      </c>
      <c r="AL336" s="9">
        <f t="shared" si="275"/>
        <v>1.1499999999999986</v>
      </c>
      <c r="AM336" s="9">
        <f t="shared" si="276"/>
        <v>1.7999999999999972</v>
      </c>
      <c r="AN336" s="9">
        <f t="shared" si="277"/>
        <v>0.84999999999999432</v>
      </c>
      <c r="AO336" s="9">
        <f t="shared" si="278"/>
        <v>0.29999999999999716</v>
      </c>
      <c r="AP336" s="9">
        <f t="shared" si="279"/>
        <v>-7.5000000000002842E-2</v>
      </c>
      <c r="AQ336" s="9">
        <f t="shared" si="280"/>
        <v>-2.2000000000000028</v>
      </c>
      <c r="AR336" s="9">
        <f t="shared" si="281"/>
        <v>-5.2000000000000028</v>
      </c>
      <c r="AS336" s="9">
        <f t="shared" si="282"/>
        <v>1</v>
      </c>
      <c r="AT336" s="9">
        <f t="shared" si="283"/>
        <v>-0.75</v>
      </c>
      <c r="AU336" s="9">
        <f t="shared" si="284"/>
        <v>-0.30000000000000071</v>
      </c>
      <c r="AV336" s="9">
        <f t="shared" si="285"/>
        <v>0.5</v>
      </c>
      <c r="AW336" s="9">
        <f t="shared" si="286"/>
        <v>-0.75</v>
      </c>
      <c r="AX336" s="9">
        <f t="shared" si="287"/>
        <v>-0.80000000000000071</v>
      </c>
      <c r="AY336" s="9">
        <f t="shared" si="288"/>
        <v>-0.5</v>
      </c>
      <c r="AZ336" s="9">
        <f t="shared" si="289"/>
        <v>-1.5</v>
      </c>
      <c r="BA336" s="9">
        <f t="shared" si="290"/>
        <v>-2</v>
      </c>
      <c r="BB336" s="9">
        <f t="shared" si="291"/>
        <v>0.94999999999999929</v>
      </c>
      <c r="BC336" s="9">
        <f t="shared" si="292"/>
        <v>-0.75</v>
      </c>
      <c r="BD336" s="9">
        <f t="shared" si="293"/>
        <v>-0.25</v>
      </c>
      <c r="BE336" s="9">
        <f t="shared" si="294"/>
        <v>0.5</v>
      </c>
      <c r="BF336" s="9">
        <f t="shared" si="295"/>
        <v>-0.75</v>
      </c>
      <c r="BG336" s="9">
        <f t="shared" si="296"/>
        <v>-0.25</v>
      </c>
      <c r="BH336" s="9">
        <f t="shared" si="297"/>
        <v>-0.125</v>
      </c>
      <c r="BI336" s="9">
        <f t="shared" si="298"/>
        <v>-0.5</v>
      </c>
      <c r="BJ336" s="9">
        <f t="shared" si="299"/>
        <v>-1.25</v>
      </c>
    </row>
    <row r="337" spans="1:62" x14ac:dyDescent="0.2">
      <c r="A337" s="9">
        <f>data!M338-data!M337</f>
        <v>0.17589999999999861</v>
      </c>
      <c r="B337" s="9">
        <f>data!C338-data!C337</f>
        <v>2.990000000000002</v>
      </c>
      <c r="C337" s="9">
        <f>data!D338-data!D337</f>
        <v>0.24500000000000099</v>
      </c>
      <c r="D337" s="10">
        <f>data!B338-data!B337</f>
        <v>-0.23749999999999982</v>
      </c>
      <c r="E337" s="9">
        <f>data!E337-data!G337</f>
        <v>1.8343</v>
      </c>
      <c r="F337" s="9">
        <f>(data!E337-data!F337)-(data!G337-data!H337)</f>
        <v>1.5962000000000001</v>
      </c>
      <c r="G337" s="9">
        <f t="shared" si="250"/>
        <v>-4.7999999999999154E-3</v>
      </c>
      <c r="H337" s="9">
        <f t="shared" si="251"/>
        <v>2.6400000000000201E-2</v>
      </c>
      <c r="I337" s="9">
        <f>IF(data!M338&gt; 111.81,1,0)</f>
        <v>0</v>
      </c>
      <c r="J337" s="9">
        <f t="shared" si="252"/>
        <v>1</v>
      </c>
      <c r="K337" s="9">
        <f t="shared" si="253"/>
        <v>0</v>
      </c>
      <c r="L337" s="9">
        <f t="shared" si="254"/>
        <v>0.17589999999999861</v>
      </c>
      <c r="M337" s="9">
        <f>data!J337</f>
        <v>-19.899999999999999</v>
      </c>
      <c r="N337" s="9">
        <f>data!I337</f>
        <v>-47.5</v>
      </c>
      <c r="O337" s="9">
        <f>data!L337</f>
        <v>-39.5</v>
      </c>
      <c r="P337" s="9">
        <f>data!K337</f>
        <v>-19</v>
      </c>
      <c r="Q337" s="9">
        <f>data!R337</f>
        <v>-10.8</v>
      </c>
      <c r="R337" s="9">
        <f t="shared" si="255"/>
        <v>-5.1000000000000014</v>
      </c>
      <c r="S337" s="9">
        <f t="shared" si="256"/>
        <v>-3.8000000000000007</v>
      </c>
      <c r="T337" s="9">
        <f t="shared" si="257"/>
        <v>-3.2000000000000028</v>
      </c>
      <c r="U337" s="9">
        <f t="shared" si="258"/>
        <v>-3</v>
      </c>
      <c r="V337" s="9">
        <f t="shared" si="259"/>
        <v>-8</v>
      </c>
      <c r="W337" s="9">
        <f t="shared" si="260"/>
        <v>-5.6000000000000014</v>
      </c>
      <c r="X337" s="9">
        <f t="shared" si="261"/>
        <v>-9.9500000000000028</v>
      </c>
      <c r="Y337" s="9">
        <f t="shared" si="262"/>
        <v>-17.100000000000001</v>
      </c>
      <c r="Z337" s="9">
        <f t="shared" si="263"/>
        <v>-32.892499999999998</v>
      </c>
      <c r="AA337" s="9">
        <f t="shared" si="264"/>
        <v>-3</v>
      </c>
      <c r="AB337" s="9">
        <f t="shared" si="265"/>
        <v>-0.25</v>
      </c>
      <c r="AC337" s="9">
        <f t="shared" si="266"/>
        <v>-0.25</v>
      </c>
      <c r="AD337" s="9">
        <f t="shared" si="267"/>
        <v>-0.45000000000000284</v>
      </c>
      <c r="AE337" s="9">
        <f t="shared" si="268"/>
        <v>-2.25</v>
      </c>
      <c r="AF337" s="9">
        <f t="shared" si="269"/>
        <v>-2.5</v>
      </c>
      <c r="AG337" s="9">
        <f t="shared" si="270"/>
        <v>-4</v>
      </c>
      <c r="AH337" s="9">
        <f t="shared" si="271"/>
        <v>-10.799999999999997</v>
      </c>
      <c r="AI337" s="9">
        <f t="shared" si="272"/>
        <v>-24.375</v>
      </c>
      <c r="AJ337" s="9">
        <f t="shared" si="273"/>
        <v>-2</v>
      </c>
      <c r="AK337" s="9">
        <f t="shared" si="274"/>
        <v>-0.64999999999999858</v>
      </c>
      <c r="AL337" s="9">
        <f t="shared" si="275"/>
        <v>0</v>
      </c>
      <c r="AM337" s="9">
        <f t="shared" si="276"/>
        <v>-0.95000000000000284</v>
      </c>
      <c r="AN337" s="9">
        <f t="shared" si="277"/>
        <v>-1.5</v>
      </c>
      <c r="AO337" s="9">
        <f t="shared" si="278"/>
        <v>-1.875</v>
      </c>
      <c r="AP337" s="9">
        <f t="shared" si="279"/>
        <v>-4</v>
      </c>
      <c r="AQ337" s="9">
        <f t="shared" si="280"/>
        <v>-7</v>
      </c>
      <c r="AR337" s="9">
        <f t="shared" si="281"/>
        <v>-9.75</v>
      </c>
      <c r="AS337" s="9">
        <f t="shared" si="282"/>
        <v>-1.75</v>
      </c>
      <c r="AT337" s="9">
        <f t="shared" si="283"/>
        <v>-1.3000000000000007</v>
      </c>
      <c r="AU337" s="9">
        <f t="shared" si="284"/>
        <v>-0.5</v>
      </c>
      <c r="AV337" s="9">
        <f t="shared" si="285"/>
        <v>-1.75</v>
      </c>
      <c r="AW337" s="9">
        <f t="shared" si="286"/>
        <v>-1.8000000000000007</v>
      </c>
      <c r="AX337" s="9">
        <f t="shared" si="287"/>
        <v>-1.5</v>
      </c>
      <c r="AY337" s="9">
        <f t="shared" si="288"/>
        <v>-2.5</v>
      </c>
      <c r="AZ337" s="9">
        <f t="shared" si="289"/>
        <v>-3</v>
      </c>
      <c r="BA337" s="9">
        <f t="shared" si="290"/>
        <v>-2.125</v>
      </c>
      <c r="BB337" s="9">
        <f t="shared" si="291"/>
        <v>-1.6999999999999993</v>
      </c>
      <c r="BC337" s="9">
        <f t="shared" si="292"/>
        <v>-1.1999999999999993</v>
      </c>
      <c r="BD337" s="9">
        <f t="shared" si="293"/>
        <v>-0.44999999999999929</v>
      </c>
      <c r="BE337" s="9">
        <f t="shared" si="294"/>
        <v>-1.6999999999999993</v>
      </c>
      <c r="BF337" s="9">
        <f t="shared" si="295"/>
        <v>-1.1999999999999993</v>
      </c>
      <c r="BG337" s="9">
        <f t="shared" si="296"/>
        <v>-1.0749999999999993</v>
      </c>
      <c r="BH337" s="9">
        <f t="shared" si="297"/>
        <v>-1.4499999999999993</v>
      </c>
      <c r="BI337" s="9">
        <f t="shared" si="298"/>
        <v>-2.1999999999999993</v>
      </c>
      <c r="BJ337" s="9">
        <f t="shared" si="299"/>
        <v>-0.69999999999999929</v>
      </c>
    </row>
    <row r="338" spans="1:62" x14ac:dyDescent="0.2">
      <c r="A338" s="9">
        <f>data!M339-data!M338</f>
        <v>0.28350000000000364</v>
      </c>
      <c r="B338" s="9">
        <f>data!C339-data!C338</f>
        <v>-0.75</v>
      </c>
      <c r="C338" s="9">
        <f>data!D339-data!D338</f>
        <v>-0.4975000000000005</v>
      </c>
      <c r="D338" s="10">
        <f>data!B339-data!B338</f>
        <v>2.4999999999999911E-2</v>
      </c>
      <c r="E338" s="9">
        <f>data!E338-data!G338</f>
        <v>1.8295000000000001</v>
      </c>
      <c r="F338" s="9">
        <f>(data!E338-data!F338)-(data!G338-data!H338)</f>
        <v>1.6226000000000003</v>
      </c>
      <c r="G338" s="9">
        <f t="shared" si="250"/>
        <v>-7.0900000000000185E-2</v>
      </c>
      <c r="H338" s="9">
        <f t="shared" si="251"/>
        <v>-3.8000000000000478E-2</v>
      </c>
      <c r="I338" s="9">
        <f>IF(data!M339&gt; 111.81,1,0)</f>
        <v>0</v>
      </c>
      <c r="J338" s="9">
        <f t="shared" si="252"/>
        <v>1</v>
      </c>
      <c r="K338" s="9">
        <f t="shared" si="253"/>
        <v>0</v>
      </c>
      <c r="L338" s="9">
        <f t="shared" si="254"/>
        <v>0.28350000000000364</v>
      </c>
      <c r="M338" s="9">
        <f>data!J338</f>
        <v>-25</v>
      </c>
      <c r="N338" s="9">
        <f>data!I338</f>
        <v>-50.5</v>
      </c>
      <c r="O338" s="9">
        <f>data!L338</f>
        <v>-41.5</v>
      </c>
      <c r="P338" s="9">
        <f>data!K338</f>
        <v>-20.75</v>
      </c>
      <c r="Q338" s="9">
        <f>data!R338</f>
        <v>-12.5</v>
      </c>
      <c r="R338" s="9">
        <f t="shared" si="255"/>
        <v>1.3000000000000007</v>
      </c>
      <c r="S338" s="9">
        <f t="shared" si="256"/>
        <v>1.8999999999999986</v>
      </c>
      <c r="T338" s="9">
        <f t="shared" si="257"/>
        <v>2.1000000000000014</v>
      </c>
      <c r="U338" s="9">
        <f t="shared" si="258"/>
        <v>-2.8999999999999986</v>
      </c>
      <c r="V338" s="9">
        <f t="shared" si="259"/>
        <v>-0.5</v>
      </c>
      <c r="W338" s="9">
        <f t="shared" si="260"/>
        <v>-4.8500000000000014</v>
      </c>
      <c r="X338" s="9">
        <f t="shared" si="261"/>
        <v>-12</v>
      </c>
      <c r="Y338" s="9">
        <f t="shared" si="262"/>
        <v>-27.792499999999997</v>
      </c>
      <c r="Z338" s="9">
        <f t="shared" si="263"/>
        <v>-18.350000000000001</v>
      </c>
      <c r="AA338" s="9">
        <f t="shared" si="264"/>
        <v>2.75</v>
      </c>
      <c r="AB338" s="9">
        <f t="shared" si="265"/>
        <v>2.75</v>
      </c>
      <c r="AC338" s="9">
        <f t="shared" si="266"/>
        <v>2.5499999999999972</v>
      </c>
      <c r="AD338" s="9">
        <f t="shared" si="267"/>
        <v>0.75</v>
      </c>
      <c r="AE338" s="9">
        <f t="shared" si="268"/>
        <v>0.5</v>
      </c>
      <c r="AF338" s="9">
        <f t="shared" si="269"/>
        <v>-1</v>
      </c>
      <c r="AG338" s="9">
        <f t="shared" si="270"/>
        <v>-7.7999999999999972</v>
      </c>
      <c r="AH338" s="9">
        <f t="shared" si="271"/>
        <v>-21.375</v>
      </c>
      <c r="AI338" s="9">
        <f t="shared" si="272"/>
        <v>-11.149999999999999</v>
      </c>
      <c r="AJ338" s="9">
        <f t="shared" si="273"/>
        <v>1.3500000000000014</v>
      </c>
      <c r="AK338" s="9">
        <f t="shared" si="274"/>
        <v>2</v>
      </c>
      <c r="AL338" s="9">
        <f t="shared" si="275"/>
        <v>1.0499999999999972</v>
      </c>
      <c r="AM338" s="9">
        <f t="shared" si="276"/>
        <v>0.5</v>
      </c>
      <c r="AN338" s="9">
        <f t="shared" si="277"/>
        <v>0.125</v>
      </c>
      <c r="AO338" s="9">
        <f t="shared" si="278"/>
        <v>-2</v>
      </c>
      <c r="AP338" s="9">
        <f t="shared" si="279"/>
        <v>-5</v>
      </c>
      <c r="AQ338" s="9">
        <f t="shared" si="280"/>
        <v>-7.75</v>
      </c>
      <c r="AR338" s="9">
        <f t="shared" si="281"/>
        <v>-4.75</v>
      </c>
      <c r="AS338" s="9">
        <f t="shared" si="282"/>
        <v>0.44999999999999929</v>
      </c>
      <c r="AT338" s="9">
        <f t="shared" si="283"/>
        <v>1.25</v>
      </c>
      <c r="AU338" s="9">
        <f t="shared" si="284"/>
        <v>0</v>
      </c>
      <c r="AV338" s="9">
        <f t="shared" si="285"/>
        <v>-5.0000000000000711E-2</v>
      </c>
      <c r="AW338" s="9">
        <f t="shared" si="286"/>
        <v>0.25</v>
      </c>
      <c r="AX338" s="9">
        <f t="shared" si="287"/>
        <v>-0.75</v>
      </c>
      <c r="AY338" s="9">
        <f t="shared" si="288"/>
        <v>-1.25</v>
      </c>
      <c r="AZ338" s="9">
        <f t="shared" si="289"/>
        <v>-0.375</v>
      </c>
      <c r="BA338" s="9">
        <f t="shared" si="290"/>
        <v>0.12000000000000099</v>
      </c>
      <c r="BB338" s="9">
        <f t="shared" si="291"/>
        <v>0.5</v>
      </c>
      <c r="BC338" s="9">
        <f t="shared" si="292"/>
        <v>1.25</v>
      </c>
      <c r="BD338" s="9">
        <f t="shared" si="293"/>
        <v>0</v>
      </c>
      <c r="BE338" s="9">
        <f t="shared" si="294"/>
        <v>0.5</v>
      </c>
      <c r="BF338" s="9">
        <f t="shared" si="295"/>
        <v>0.625</v>
      </c>
      <c r="BG338" s="9">
        <f t="shared" si="296"/>
        <v>0.25</v>
      </c>
      <c r="BH338" s="9">
        <f t="shared" si="297"/>
        <v>-0.5</v>
      </c>
      <c r="BI338" s="9">
        <f t="shared" si="298"/>
        <v>1</v>
      </c>
      <c r="BJ338" s="9">
        <f t="shared" si="299"/>
        <v>1.0600000000000005</v>
      </c>
    </row>
    <row r="339" spans="1:62" x14ac:dyDescent="0.2">
      <c r="A339" s="9">
        <f>data!M340-data!M339</f>
        <v>-1.1401000000000039</v>
      </c>
      <c r="B339" s="9">
        <f>data!C340-data!C339</f>
        <v>-5.2300000000000022</v>
      </c>
      <c r="C339" s="9">
        <f>data!D340-data!D339</f>
        <v>-0.32249999999999979</v>
      </c>
      <c r="D339" s="10">
        <f>data!B340-data!B339</f>
        <v>0.18000000000000016</v>
      </c>
      <c r="E339" s="9">
        <f>data!E339-data!G339</f>
        <v>1.7585999999999999</v>
      </c>
      <c r="F339" s="9">
        <f>(data!E339-data!F339)-(data!G339-data!H339)</f>
        <v>1.5845999999999998</v>
      </c>
      <c r="G339" s="9">
        <f t="shared" si="250"/>
        <v>0.28869999999999996</v>
      </c>
      <c r="H339" s="9">
        <f t="shared" si="251"/>
        <v>0.15080000000000005</v>
      </c>
      <c r="I339" s="9">
        <f>IF(data!M340&gt; 111.81,1,0)</f>
        <v>0</v>
      </c>
      <c r="J339" s="9">
        <f t="shared" si="252"/>
        <v>1</v>
      </c>
      <c r="K339" s="9">
        <f t="shared" si="253"/>
        <v>0</v>
      </c>
      <c r="L339" s="9">
        <f t="shared" si="254"/>
        <v>-1.1401000000000039</v>
      </c>
      <c r="M339" s="9">
        <f>data!J339</f>
        <v>-23.7</v>
      </c>
      <c r="N339" s="9">
        <f>data!I339</f>
        <v>-47.75</v>
      </c>
      <c r="O339" s="9">
        <f>data!L339</f>
        <v>-40.15</v>
      </c>
      <c r="P339" s="9">
        <f>data!K339</f>
        <v>-20.3</v>
      </c>
      <c r="Q339" s="9">
        <f>data!R339</f>
        <v>-12</v>
      </c>
      <c r="R339" s="9">
        <f t="shared" si="255"/>
        <v>0.59999999999999787</v>
      </c>
      <c r="S339" s="9">
        <f t="shared" si="256"/>
        <v>0.80000000000000071</v>
      </c>
      <c r="T339" s="9">
        <f t="shared" si="257"/>
        <v>-4.1999999999999993</v>
      </c>
      <c r="U339" s="9">
        <f t="shared" si="258"/>
        <v>-1.8000000000000007</v>
      </c>
      <c r="V339" s="9">
        <f t="shared" si="259"/>
        <v>-6.1500000000000021</v>
      </c>
      <c r="W339" s="9">
        <f t="shared" si="260"/>
        <v>-13.3</v>
      </c>
      <c r="X339" s="9">
        <f t="shared" si="261"/>
        <v>-29.092499999999998</v>
      </c>
      <c r="Y339" s="9">
        <f t="shared" si="262"/>
        <v>-19.650000000000002</v>
      </c>
      <c r="Z339" s="9">
        <f t="shared" si="263"/>
        <v>-17.400000000000002</v>
      </c>
      <c r="AA339" s="9">
        <f t="shared" si="264"/>
        <v>0</v>
      </c>
      <c r="AB339" s="9">
        <f t="shared" si="265"/>
        <v>-0.20000000000000284</v>
      </c>
      <c r="AC339" s="9">
        <f t="shared" si="266"/>
        <v>-2</v>
      </c>
      <c r="AD339" s="9">
        <f t="shared" si="267"/>
        <v>-2.25</v>
      </c>
      <c r="AE339" s="9">
        <f t="shared" si="268"/>
        <v>-3.75</v>
      </c>
      <c r="AF339" s="9">
        <f t="shared" si="269"/>
        <v>-10.549999999999997</v>
      </c>
      <c r="AG339" s="9">
        <f t="shared" si="270"/>
        <v>-24.125</v>
      </c>
      <c r="AH339" s="9">
        <f t="shared" si="271"/>
        <v>-13.899999999999999</v>
      </c>
      <c r="AI339" s="9">
        <f t="shared" si="272"/>
        <v>-13.25</v>
      </c>
      <c r="AJ339" s="9">
        <f t="shared" si="273"/>
        <v>0.64999999999999858</v>
      </c>
      <c r="AK339" s="9">
        <f t="shared" si="274"/>
        <v>-0.30000000000000426</v>
      </c>
      <c r="AL339" s="9">
        <f t="shared" si="275"/>
        <v>-0.85000000000000142</v>
      </c>
      <c r="AM339" s="9">
        <f t="shared" si="276"/>
        <v>-1.2250000000000014</v>
      </c>
      <c r="AN339" s="9">
        <f t="shared" si="277"/>
        <v>-3.3500000000000014</v>
      </c>
      <c r="AO339" s="9">
        <f t="shared" si="278"/>
        <v>-6.3500000000000014</v>
      </c>
      <c r="AP339" s="9">
        <f t="shared" si="279"/>
        <v>-9.1000000000000014</v>
      </c>
      <c r="AQ339" s="9">
        <f t="shared" si="280"/>
        <v>-6.1000000000000014</v>
      </c>
      <c r="AR339" s="9">
        <f t="shared" si="281"/>
        <v>-6.730000000000004</v>
      </c>
      <c r="AS339" s="9">
        <f t="shared" si="282"/>
        <v>0.80000000000000071</v>
      </c>
      <c r="AT339" s="9">
        <f t="shared" si="283"/>
        <v>-0.44999999999999929</v>
      </c>
      <c r="AU339" s="9">
        <f t="shared" si="284"/>
        <v>-0.5</v>
      </c>
      <c r="AV339" s="9">
        <f t="shared" si="285"/>
        <v>-0.19999999999999929</v>
      </c>
      <c r="AW339" s="9">
        <f t="shared" si="286"/>
        <v>-1.1999999999999993</v>
      </c>
      <c r="AX339" s="9">
        <f t="shared" si="287"/>
        <v>-1.6999999999999993</v>
      </c>
      <c r="AY339" s="9">
        <f t="shared" si="288"/>
        <v>-0.82499999999999929</v>
      </c>
      <c r="AZ339" s="9">
        <f t="shared" si="289"/>
        <v>-0.32999999999999829</v>
      </c>
      <c r="BA339" s="9">
        <f t="shared" si="290"/>
        <v>-0.57999999999999829</v>
      </c>
      <c r="BB339" s="9">
        <f t="shared" si="291"/>
        <v>0.75</v>
      </c>
      <c r="BC339" s="9">
        <f t="shared" si="292"/>
        <v>-0.5</v>
      </c>
      <c r="BD339" s="9">
        <f t="shared" si="293"/>
        <v>0</v>
      </c>
      <c r="BE339" s="9">
        <f t="shared" si="294"/>
        <v>0.125</v>
      </c>
      <c r="BF339" s="9">
        <f t="shared" si="295"/>
        <v>-0.25</v>
      </c>
      <c r="BG339" s="9">
        <f t="shared" si="296"/>
        <v>-1</v>
      </c>
      <c r="BH339" s="9">
        <f t="shared" si="297"/>
        <v>0.5</v>
      </c>
      <c r="BI339" s="9">
        <f t="shared" si="298"/>
        <v>0.5600000000000005</v>
      </c>
      <c r="BJ339" s="9">
        <f t="shared" si="299"/>
        <v>0.25</v>
      </c>
    </row>
    <row r="340" spans="1:62" x14ac:dyDescent="0.2">
      <c r="A340" s="9">
        <f>data!M341-data!M340</f>
        <v>0.25369999999999493</v>
      </c>
      <c r="B340" s="9">
        <f>data!C341-data!C340</f>
        <v>8.0000000000000071E-2</v>
      </c>
      <c r="C340" s="9">
        <f>data!D341-data!D340</f>
        <v>-0.4350000000000005</v>
      </c>
      <c r="D340" s="10">
        <f>data!B341-data!B340</f>
        <v>8.9999999999999858E-2</v>
      </c>
      <c r="E340" s="9">
        <f>data!E340-data!G340</f>
        <v>2.0472999999999999</v>
      </c>
      <c r="F340" s="9">
        <f>(data!E340-data!F340)-(data!G340-data!H340)</f>
        <v>1.7353999999999998</v>
      </c>
      <c r="G340" s="9">
        <f t="shared" si="250"/>
        <v>-0.19349999999999978</v>
      </c>
      <c r="H340" s="9">
        <f t="shared" si="251"/>
        <v>-0.1104999999999996</v>
      </c>
      <c r="I340" s="9">
        <f>IF(data!M341&gt; 111.81,1,0)</f>
        <v>0</v>
      </c>
      <c r="J340" s="9">
        <f t="shared" si="252"/>
        <v>1</v>
      </c>
      <c r="K340" s="9">
        <f t="shared" si="253"/>
        <v>0</v>
      </c>
      <c r="L340" s="9">
        <f t="shared" si="254"/>
        <v>0.25369999999999493</v>
      </c>
      <c r="M340" s="9">
        <f>data!J340</f>
        <v>-23.1</v>
      </c>
      <c r="N340" s="9">
        <f>data!I340</f>
        <v>-47.75</v>
      </c>
      <c r="O340" s="9">
        <f>data!L340</f>
        <v>-39.5</v>
      </c>
      <c r="P340" s="9">
        <f>data!K340</f>
        <v>-19.5</v>
      </c>
      <c r="Q340" s="9">
        <f>data!R340</f>
        <v>-11.25</v>
      </c>
      <c r="R340" s="9">
        <f t="shared" si="255"/>
        <v>0.20000000000000284</v>
      </c>
      <c r="S340" s="9">
        <f t="shared" si="256"/>
        <v>-4.7999999999999972</v>
      </c>
      <c r="T340" s="9">
        <f t="shared" si="257"/>
        <v>-2.3999999999999986</v>
      </c>
      <c r="U340" s="9">
        <f t="shared" si="258"/>
        <v>-6.75</v>
      </c>
      <c r="V340" s="9">
        <f t="shared" si="259"/>
        <v>-13.899999999999999</v>
      </c>
      <c r="W340" s="9">
        <f t="shared" si="260"/>
        <v>-29.692499999999995</v>
      </c>
      <c r="X340" s="9">
        <f t="shared" si="261"/>
        <v>-20.25</v>
      </c>
      <c r="Y340" s="9">
        <f t="shared" si="262"/>
        <v>-18</v>
      </c>
      <c r="Z340" s="9">
        <f t="shared" si="263"/>
        <v>-10.774999999999999</v>
      </c>
      <c r="AA340" s="9">
        <f t="shared" si="264"/>
        <v>-0.20000000000000284</v>
      </c>
      <c r="AB340" s="9">
        <f t="shared" si="265"/>
        <v>-2</v>
      </c>
      <c r="AC340" s="9">
        <f t="shared" si="266"/>
        <v>-2.25</v>
      </c>
      <c r="AD340" s="9">
        <f t="shared" si="267"/>
        <v>-3.75</v>
      </c>
      <c r="AE340" s="9">
        <f t="shared" si="268"/>
        <v>-10.549999999999997</v>
      </c>
      <c r="AF340" s="9">
        <f t="shared" si="269"/>
        <v>-24.125</v>
      </c>
      <c r="AG340" s="9">
        <f t="shared" si="270"/>
        <v>-13.899999999999999</v>
      </c>
      <c r="AH340" s="9">
        <f t="shared" si="271"/>
        <v>-13.25</v>
      </c>
      <c r="AI340" s="9">
        <f t="shared" si="272"/>
        <v>-15.25</v>
      </c>
      <c r="AJ340" s="9">
        <f t="shared" si="273"/>
        <v>-0.95000000000000284</v>
      </c>
      <c r="AK340" s="9">
        <f t="shared" si="274"/>
        <v>-1.5</v>
      </c>
      <c r="AL340" s="9">
        <f t="shared" si="275"/>
        <v>-1.875</v>
      </c>
      <c r="AM340" s="9">
        <f t="shared" si="276"/>
        <v>-4</v>
      </c>
      <c r="AN340" s="9">
        <f t="shared" si="277"/>
        <v>-7</v>
      </c>
      <c r="AO340" s="9">
        <f t="shared" si="278"/>
        <v>-9.75</v>
      </c>
      <c r="AP340" s="9">
        <f t="shared" si="279"/>
        <v>-6.75</v>
      </c>
      <c r="AQ340" s="9">
        <f t="shared" si="280"/>
        <v>-7.3800000000000026</v>
      </c>
      <c r="AR340" s="9">
        <f t="shared" si="281"/>
        <v>-9</v>
      </c>
      <c r="AS340" s="9">
        <f t="shared" si="282"/>
        <v>-1.25</v>
      </c>
      <c r="AT340" s="9">
        <f t="shared" si="283"/>
        <v>-1.3000000000000007</v>
      </c>
      <c r="AU340" s="9">
        <f t="shared" si="284"/>
        <v>-1</v>
      </c>
      <c r="AV340" s="9">
        <f t="shared" si="285"/>
        <v>-2</v>
      </c>
      <c r="AW340" s="9">
        <f t="shared" si="286"/>
        <v>-2.5</v>
      </c>
      <c r="AX340" s="9">
        <f t="shared" si="287"/>
        <v>-1.625</v>
      </c>
      <c r="AY340" s="9">
        <f t="shared" si="288"/>
        <v>-1.129999999999999</v>
      </c>
      <c r="AZ340" s="9">
        <f t="shared" si="289"/>
        <v>-1.379999999999999</v>
      </c>
      <c r="BA340" s="9">
        <f t="shared" si="290"/>
        <v>-2.25</v>
      </c>
      <c r="BB340" s="9">
        <f t="shared" si="291"/>
        <v>-1.25</v>
      </c>
      <c r="BC340" s="9">
        <f t="shared" si="292"/>
        <v>-0.75</v>
      </c>
      <c r="BD340" s="9">
        <f t="shared" si="293"/>
        <v>-0.625</v>
      </c>
      <c r="BE340" s="9">
        <f t="shared" si="294"/>
        <v>-1</v>
      </c>
      <c r="BF340" s="9">
        <f t="shared" si="295"/>
        <v>-1.75</v>
      </c>
      <c r="BG340" s="9">
        <f t="shared" si="296"/>
        <v>-0.25</v>
      </c>
      <c r="BH340" s="9">
        <f t="shared" si="297"/>
        <v>-0.1899999999999995</v>
      </c>
      <c r="BI340" s="9">
        <f t="shared" si="298"/>
        <v>-0.5</v>
      </c>
      <c r="BJ340" s="9">
        <f t="shared" si="299"/>
        <v>-1.25</v>
      </c>
    </row>
    <row r="341" spans="1:62" x14ac:dyDescent="0.2">
      <c r="A341" s="9">
        <f>data!M342-data!M341</f>
        <v>-9.8099999999988086E-2</v>
      </c>
      <c r="B341" s="9">
        <f>data!C342-data!C341</f>
        <v>3.5800000000000018</v>
      </c>
      <c r="C341" s="9">
        <f>data!D342-data!D341</f>
        <v>1.2000000000000011</v>
      </c>
      <c r="D341" s="10">
        <f>data!B342-data!B341</f>
        <v>-0.50999999999999979</v>
      </c>
      <c r="E341" s="9">
        <f>data!E341-data!G341</f>
        <v>1.8538000000000001</v>
      </c>
      <c r="F341" s="9">
        <f>(data!E341-data!F341)-(data!G341-data!H341)</f>
        <v>1.6249000000000002</v>
      </c>
      <c r="G341" s="9">
        <f t="shared" si="250"/>
        <v>-3.499999999999992E-2</v>
      </c>
      <c r="H341" s="9">
        <f t="shared" si="251"/>
        <v>-1.2999999999999901E-2</v>
      </c>
      <c r="I341" s="9">
        <f>IF(data!M342&gt; 111.81,1,0)</f>
        <v>0</v>
      </c>
      <c r="J341" s="9">
        <f t="shared" si="252"/>
        <v>1</v>
      </c>
      <c r="K341" s="9">
        <f t="shared" si="253"/>
        <v>0</v>
      </c>
      <c r="L341" s="9">
        <f t="shared" si="254"/>
        <v>-9.8099999999988086E-2</v>
      </c>
      <c r="M341" s="9">
        <f>data!J341</f>
        <v>-22.9</v>
      </c>
      <c r="N341" s="9">
        <f>data!I341</f>
        <v>-47.95</v>
      </c>
      <c r="O341" s="9">
        <f>data!L341</f>
        <v>-40.450000000000003</v>
      </c>
      <c r="P341" s="9">
        <f>data!K341</f>
        <v>-20.75</v>
      </c>
      <c r="Q341" s="9">
        <f>data!R341</f>
        <v>-12.5</v>
      </c>
      <c r="R341" s="9">
        <f t="shared" si="255"/>
        <v>-5</v>
      </c>
      <c r="S341" s="9">
        <f t="shared" si="256"/>
        <v>-2.6000000000000014</v>
      </c>
      <c r="T341" s="9">
        <f t="shared" si="257"/>
        <v>-6.9500000000000028</v>
      </c>
      <c r="U341" s="9">
        <f t="shared" si="258"/>
        <v>-14.100000000000001</v>
      </c>
      <c r="V341" s="9">
        <f t="shared" si="259"/>
        <v>-29.892499999999998</v>
      </c>
      <c r="W341" s="9">
        <f t="shared" si="260"/>
        <v>-20.450000000000003</v>
      </c>
      <c r="X341" s="9">
        <f t="shared" si="261"/>
        <v>-18.200000000000003</v>
      </c>
      <c r="Y341" s="9">
        <f t="shared" si="262"/>
        <v>-10.975000000000001</v>
      </c>
      <c r="Z341" s="9">
        <f t="shared" si="263"/>
        <v>-13.850000000000001</v>
      </c>
      <c r="AA341" s="9">
        <f t="shared" si="264"/>
        <v>-1.7999999999999972</v>
      </c>
      <c r="AB341" s="9">
        <f t="shared" si="265"/>
        <v>-2.0499999999999972</v>
      </c>
      <c r="AC341" s="9">
        <f t="shared" si="266"/>
        <v>-3.5499999999999972</v>
      </c>
      <c r="AD341" s="9">
        <f t="shared" si="267"/>
        <v>-10.349999999999994</v>
      </c>
      <c r="AE341" s="9">
        <f t="shared" si="268"/>
        <v>-23.924999999999997</v>
      </c>
      <c r="AF341" s="9">
        <f t="shared" si="269"/>
        <v>-13.699999999999996</v>
      </c>
      <c r="AG341" s="9">
        <f t="shared" si="270"/>
        <v>-13.049999999999997</v>
      </c>
      <c r="AH341" s="9">
        <f t="shared" si="271"/>
        <v>-15.049999999999997</v>
      </c>
      <c r="AI341" s="9">
        <f t="shared" si="272"/>
        <v>-17.079999999999998</v>
      </c>
      <c r="AJ341" s="9">
        <f t="shared" si="273"/>
        <v>-0.54999999999999716</v>
      </c>
      <c r="AK341" s="9">
        <f t="shared" si="274"/>
        <v>-0.92499999999999716</v>
      </c>
      <c r="AL341" s="9">
        <f t="shared" si="275"/>
        <v>-3.0499999999999972</v>
      </c>
      <c r="AM341" s="9">
        <f t="shared" si="276"/>
        <v>-6.0499999999999972</v>
      </c>
      <c r="AN341" s="9">
        <f t="shared" si="277"/>
        <v>-8.7999999999999972</v>
      </c>
      <c r="AO341" s="9">
        <f t="shared" si="278"/>
        <v>-5.7999999999999972</v>
      </c>
      <c r="AP341" s="9">
        <f t="shared" si="279"/>
        <v>-6.43</v>
      </c>
      <c r="AQ341" s="9">
        <f t="shared" si="280"/>
        <v>-8.0499999999999972</v>
      </c>
      <c r="AR341" s="9">
        <f t="shared" si="281"/>
        <v>-9.2049999999999983</v>
      </c>
      <c r="AS341" s="9">
        <f t="shared" si="282"/>
        <v>-5.0000000000000711E-2</v>
      </c>
      <c r="AT341" s="9">
        <f t="shared" si="283"/>
        <v>0.25</v>
      </c>
      <c r="AU341" s="9">
        <f t="shared" si="284"/>
        <v>-0.75</v>
      </c>
      <c r="AV341" s="9">
        <f t="shared" si="285"/>
        <v>-1.25</v>
      </c>
      <c r="AW341" s="9">
        <f t="shared" si="286"/>
        <v>-0.375</v>
      </c>
      <c r="AX341" s="9">
        <f t="shared" si="287"/>
        <v>0.12000000000000099</v>
      </c>
      <c r="AY341" s="9">
        <f t="shared" si="288"/>
        <v>-0.12999999999999901</v>
      </c>
      <c r="AZ341" s="9">
        <f t="shared" si="289"/>
        <v>-1</v>
      </c>
      <c r="BA341" s="9">
        <f t="shared" si="290"/>
        <v>-1.375</v>
      </c>
      <c r="BB341" s="9">
        <f t="shared" si="291"/>
        <v>0.5</v>
      </c>
      <c r="BC341" s="9">
        <f t="shared" si="292"/>
        <v>0.625</v>
      </c>
      <c r="BD341" s="9">
        <f t="shared" si="293"/>
        <v>0.25</v>
      </c>
      <c r="BE341" s="9">
        <f t="shared" si="294"/>
        <v>-0.5</v>
      </c>
      <c r="BF341" s="9">
        <f t="shared" si="295"/>
        <v>1</v>
      </c>
      <c r="BG341" s="9">
        <f t="shared" si="296"/>
        <v>1.0600000000000005</v>
      </c>
      <c r="BH341" s="9">
        <f t="shared" si="297"/>
        <v>0.75</v>
      </c>
      <c r="BI341" s="9">
        <f t="shared" si="298"/>
        <v>0</v>
      </c>
      <c r="BJ341" s="9">
        <f t="shared" si="299"/>
        <v>-0.15499999999999936</v>
      </c>
    </row>
    <row r="342" spans="1:62" x14ac:dyDescent="0.2">
      <c r="A342" s="9">
        <f>data!M343-data!M342</f>
        <v>-0.65460000000000207</v>
      </c>
      <c r="B342" s="9">
        <f>data!C343-data!C342</f>
        <v>-2.0100000000000016</v>
      </c>
      <c r="C342" s="9">
        <f>data!D343-data!D342</f>
        <v>-0.41750000000000043</v>
      </c>
      <c r="D342" s="10">
        <f>data!B343-data!B342</f>
        <v>0.25499999999999989</v>
      </c>
      <c r="E342" s="9">
        <f>data!E342-data!G342</f>
        <v>1.8188000000000002</v>
      </c>
      <c r="F342" s="9">
        <f>(data!E342-data!F342)-(data!G342-data!H342)</f>
        <v>1.6119000000000003</v>
      </c>
      <c r="G342" s="9">
        <f t="shared" si="250"/>
        <v>4.4299999999999784E-2</v>
      </c>
      <c r="H342" s="9">
        <f t="shared" si="251"/>
        <v>1.8999999999999684E-2</v>
      </c>
      <c r="I342" s="9">
        <f>IF(data!M343&gt; 111.81,1,0)</f>
        <v>0</v>
      </c>
      <c r="J342" s="9">
        <f t="shared" si="252"/>
        <v>1</v>
      </c>
      <c r="K342" s="9">
        <f t="shared" si="253"/>
        <v>0</v>
      </c>
      <c r="L342" s="9">
        <f t="shared" si="254"/>
        <v>-0.65460000000000207</v>
      </c>
      <c r="M342" s="9">
        <f>data!J342</f>
        <v>-27.9</v>
      </c>
      <c r="N342" s="9">
        <f>data!I342</f>
        <v>-49.75</v>
      </c>
      <c r="O342" s="9">
        <f>data!L342</f>
        <v>-41</v>
      </c>
      <c r="P342" s="9">
        <f>data!K342</f>
        <v>-20.8</v>
      </c>
      <c r="Q342" s="9">
        <f>data!R342</f>
        <v>-12</v>
      </c>
      <c r="R342" s="9">
        <f t="shared" si="255"/>
        <v>2.3999999999999986</v>
      </c>
      <c r="S342" s="9">
        <f t="shared" si="256"/>
        <v>-1.9500000000000028</v>
      </c>
      <c r="T342" s="9">
        <f t="shared" si="257"/>
        <v>-9.1000000000000014</v>
      </c>
      <c r="U342" s="9">
        <f t="shared" si="258"/>
        <v>-24.892499999999998</v>
      </c>
      <c r="V342" s="9">
        <f t="shared" si="259"/>
        <v>-15.450000000000003</v>
      </c>
      <c r="W342" s="9">
        <f t="shared" si="260"/>
        <v>-13.200000000000003</v>
      </c>
      <c r="X342" s="9">
        <f t="shared" si="261"/>
        <v>-5.9750000000000014</v>
      </c>
      <c r="Y342" s="9">
        <f t="shared" si="262"/>
        <v>-8.8500000000000014</v>
      </c>
      <c r="Z342" s="9">
        <f t="shared" si="263"/>
        <v>-4.7000000000000028</v>
      </c>
      <c r="AA342" s="9">
        <f t="shared" si="264"/>
        <v>-0.25</v>
      </c>
      <c r="AB342" s="9">
        <f t="shared" si="265"/>
        <v>-1.75</v>
      </c>
      <c r="AC342" s="9">
        <f t="shared" si="266"/>
        <v>-8.5499999999999972</v>
      </c>
      <c r="AD342" s="9">
        <f t="shared" si="267"/>
        <v>-22.125</v>
      </c>
      <c r="AE342" s="9">
        <f t="shared" si="268"/>
        <v>-11.899999999999999</v>
      </c>
      <c r="AF342" s="9">
        <f t="shared" si="269"/>
        <v>-11.25</v>
      </c>
      <c r="AG342" s="9">
        <f t="shared" si="270"/>
        <v>-13.25</v>
      </c>
      <c r="AH342" s="9">
        <f t="shared" si="271"/>
        <v>-15.280000000000001</v>
      </c>
      <c r="AI342" s="9">
        <f t="shared" si="272"/>
        <v>-14.879999999999995</v>
      </c>
      <c r="AJ342" s="9">
        <f t="shared" si="273"/>
        <v>-0.375</v>
      </c>
      <c r="AK342" s="9">
        <f t="shared" si="274"/>
        <v>-2.5</v>
      </c>
      <c r="AL342" s="9">
        <f t="shared" si="275"/>
        <v>-5.5</v>
      </c>
      <c r="AM342" s="9">
        <f t="shared" si="276"/>
        <v>-8.25</v>
      </c>
      <c r="AN342" s="9">
        <f t="shared" si="277"/>
        <v>-5.25</v>
      </c>
      <c r="AO342" s="9">
        <f t="shared" si="278"/>
        <v>-5.8800000000000026</v>
      </c>
      <c r="AP342" s="9">
        <f t="shared" si="279"/>
        <v>-7.5</v>
      </c>
      <c r="AQ342" s="9">
        <f t="shared" si="280"/>
        <v>-8.6550000000000011</v>
      </c>
      <c r="AR342" s="9">
        <f t="shared" si="281"/>
        <v>-7.75</v>
      </c>
      <c r="AS342" s="9">
        <f t="shared" si="282"/>
        <v>0.30000000000000071</v>
      </c>
      <c r="AT342" s="9">
        <f t="shared" si="283"/>
        <v>-0.69999999999999929</v>
      </c>
      <c r="AU342" s="9">
        <f t="shared" si="284"/>
        <v>-1.1999999999999993</v>
      </c>
      <c r="AV342" s="9">
        <f t="shared" si="285"/>
        <v>-0.32499999999999929</v>
      </c>
      <c r="AW342" s="9">
        <f t="shared" si="286"/>
        <v>0.17000000000000171</v>
      </c>
      <c r="AX342" s="9">
        <f t="shared" si="287"/>
        <v>-7.9999999999998295E-2</v>
      </c>
      <c r="AY342" s="9">
        <f t="shared" si="288"/>
        <v>-0.94999999999999929</v>
      </c>
      <c r="AZ342" s="9">
        <f t="shared" si="289"/>
        <v>-1.3249999999999993</v>
      </c>
      <c r="BA342" s="9">
        <f t="shared" si="290"/>
        <v>-0.69999999999999929</v>
      </c>
      <c r="BB342" s="9">
        <f t="shared" si="291"/>
        <v>0.125</v>
      </c>
      <c r="BC342" s="9">
        <f t="shared" si="292"/>
        <v>-0.25</v>
      </c>
      <c r="BD342" s="9">
        <f t="shared" si="293"/>
        <v>-1</v>
      </c>
      <c r="BE342" s="9">
        <f t="shared" si="294"/>
        <v>0.5</v>
      </c>
      <c r="BF342" s="9">
        <f t="shared" si="295"/>
        <v>0.5600000000000005</v>
      </c>
      <c r="BG342" s="9">
        <f t="shared" si="296"/>
        <v>0.25</v>
      </c>
      <c r="BH342" s="9">
        <f t="shared" si="297"/>
        <v>-0.5</v>
      </c>
      <c r="BI342" s="9">
        <f t="shared" si="298"/>
        <v>-0.65499999999999936</v>
      </c>
      <c r="BJ342" s="9">
        <f t="shared" si="299"/>
        <v>0.19999999999999929</v>
      </c>
    </row>
    <row r="343" spans="1:62" x14ac:dyDescent="0.2">
      <c r="A343" s="9">
        <f>data!M344-data!M343</f>
        <v>-0.13410000000000366</v>
      </c>
      <c r="B343" s="9">
        <f>data!C344-data!C343</f>
        <v>7.73</v>
      </c>
      <c r="C343" s="9">
        <f>data!D344-data!D343</f>
        <v>1.4975000000000005</v>
      </c>
      <c r="D343" s="10">
        <f>data!B344-data!B343</f>
        <v>0.33000000000000007</v>
      </c>
      <c r="E343" s="9">
        <f>data!E343-data!G343</f>
        <v>1.8631</v>
      </c>
      <c r="F343" s="9">
        <f>(data!E343-data!F343)-(data!G343-data!H343)</f>
        <v>1.6309</v>
      </c>
      <c r="G343" s="9">
        <f t="shared" si="250"/>
        <v>-0.14399999999999991</v>
      </c>
      <c r="H343" s="9">
        <f t="shared" si="251"/>
        <v>-0.11719999999999997</v>
      </c>
      <c r="I343" s="9">
        <f>IF(data!M344&gt; 111.81,1,0)</f>
        <v>0</v>
      </c>
      <c r="J343" s="9">
        <f t="shared" si="252"/>
        <v>1</v>
      </c>
      <c r="K343" s="9">
        <f t="shared" si="253"/>
        <v>0</v>
      </c>
      <c r="L343" s="9">
        <f t="shared" si="254"/>
        <v>-0.13410000000000366</v>
      </c>
      <c r="M343" s="9">
        <f>data!J343</f>
        <v>-25.5</v>
      </c>
      <c r="N343" s="9">
        <f>data!I343</f>
        <v>-50</v>
      </c>
      <c r="O343" s="9">
        <f>data!L343</f>
        <v>-41.375</v>
      </c>
      <c r="P343" s="9">
        <f>data!K343</f>
        <v>-20.5</v>
      </c>
      <c r="Q343" s="9">
        <f>data!R343</f>
        <v>-11.875</v>
      </c>
      <c r="R343" s="9">
        <f t="shared" si="255"/>
        <v>-4.3500000000000014</v>
      </c>
      <c r="S343" s="9">
        <f t="shared" si="256"/>
        <v>-11.5</v>
      </c>
      <c r="T343" s="9">
        <f t="shared" si="257"/>
        <v>-27.292499999999997</v>
      </c>
      <c r="U343" s="9">
        <f t="shared" si="258"/>
        <v>-17.850000000000001</v>
      </c>
      <c r="V343" s="9">
        <f t="shared" si="259"/>
        <v>-15.600000000000001</v>
      </c>
      <c r="W343" s="9">
        <f t="shared" si="260"/>
        <v>-8.375</v>
      </c>
      <c r="X343" s="9">
        <f t="shared" si="261"/>
        <v>-11.25</v>
      </c>
      <c r="Y343" s="9">
        <f t="shared" si="262"/>
        <v>-7.1000000000000014</v>
      </c>
      <c r="Z343" s="9">
        <f t="shared" si="263"/>
        <v>-9.3500000000000014</v>
      </c>
      <c r="AA343" s="9">
        <f t="shared" si="264"/>
        <v>-1.5</v>
      </c>
      <c r="AB343" s="9">
        <f t="shared" si="265"/>
        <v>-8.2999999999999972</v>
      </c>
      <c r="AC343" s="9">
        <f t="shared" si="266"/>
        <v>-21.875</v>
      </c>
      <c r="AD343" s="9">
        <f t="shared" si="267"/>
        <v>-11.649999999999999</v>
      </c>
      <c r="AE343" s="9">
        <f t="shared" si="268"/>
        <v>-11</v>
      </c>
      <c r="AF343" s="9">
        <f t="shared" si="269"/>
        <v>-13</v>
      </c>
      <c r="AG343" s="9">
        <f t="shared" si="270"/>
        <v>-15.030000000000001</v>
      </c>
      <c r="AH343" s="9">
        <f t="shared" si="271"/>
        <v>-14.629999999999995</v>
      </c>
      <c r="AI343" s="9">
        <f t="shared" si="272"/>
        <v>-15.5</v>
      </c>
      <c r="AJ343" s="9">
        <f t="shared" si="273"/>
        <v>-2.125</v>
      </c>
      <c r="AK343" s="9">
        <f t="shared" si="274"/>
        <v>-5.125</v>
      </c>
      <c r="AL343" s="9">
        <f t="shared" si="275"/>
        <v>-7.875</v>
      </c>
      <c r="AM343" s="9">
        <f t="shared" si="276"/>
        <v>-4.875</v>
      </c>
      <c r="AN343" s="9">
        <f t="shared" si="277"/>
        <v>-5.5050000000000026</v>
      </c>
      <c r="AO343" s="9">
        <f t="shared" si="278"/>
        <v>-7.125</v>
      </c>
      <c r="AP343" s="9">
        <f t="shared" si="279"/>
        <v>-8.2800000000000011</v>
      </c>
      <c r="AQ343" s="9">
        <f t="shared" si="280"/>
        <v>-7.375</v>
      </c>
      <c r="AR343" s="9">
        <f t="shared" si="281"/>
        <v>-8.4249999999999972</v>
      </c>
      <c r="AS343" s="9">
        <f t="shared" si="282"/>
        <v>-1</v>
      </c>
      <c r="AT343" s="9">
        <f t="shared" si="283"/>
        <v>-1.5</v>
      </c>
      <c r="AU343" s="9">
        <f t="shared" si="284"/>
        <v>-0.625</v>
      </c>
      <c r="AV343" s="9">
        <f t="shared" si="285"/>
        <v>-0.12999999999999901</v>
      </c>
      <c r="AW343" s="9">
        <f t="shared" si="286"/>
        <v>-0.37999999999999901</v>
      </c>
      <c r="AX343" s="9">
        <f t="shared" si="287"/>
        <v>-1.25</v>
      </c>
      <c r="AY343" s="9">
        <f t="shared" si="288"/>
        <v>-1.625</v>
      </c>
      <c r="AZ343" s="9">
        <f t="shared" si="289"/>
        <v>-1</v>
      </c>
      <c r="BA343" s="9">
        <f t="shared" si="290"/>
        <v>-2</v>
      </c>
      <c r="BB343" s="9">
        <f t="shared" si="291"/>
        <v>-0.375</v>
      </c>
      <c r="BC343" s="9">
        <f t="shared" si="292"/>
        <v>-1.125</v>
      </c>
      <c r="BD343" s="9">
        <f t="shared" si="293"/>
        <v>0.375</v>
      </c>
      <c r="BE343" s="9">
        <f t="shared" si="294"/>
        <v>0.4350000000000005</v>
      </c>
      <c r="BF343" s="9">
        <f t="shared" si="295"/>
        <v>0.125</v>
      </c>
      <c r="BG343" s="9">
        <f t="shared" si="296"/>
        <v>-0.625</v>
      </c>
      <c r="BH343" s="9">
        <f t="shared" si="297"/>
        <v>-0.77999999999999936</v>
      </c>
      <c r="BI343" s="9">
        <f t="shared" si="298"/>
        <v>7.4999999999999289E-2</v>
      </c>
      <c r="BJ343" s="9">
        <f t="shared" si="299"/>
        <v>-0.625</v>
      </c>
    </row>
    <row r="344" spans="1:62" x14ac:dyDescent="0.2">
      <c r="A344" s="9">
        <f>data!M345-data!M344</f>
        <v>1.3802000000000021</v>
      </c>
      <c r="B344" s="9">
        <f>data!C345-data!C344</f>
        <v>6.75</v>
      </c>
      <c r="C344" s="9">
        <f>data!D345-data!D344</f>
        <v>-0.41000000000000014</v>
      </c>
      <c r="D344" s="10">
        <f>data!B345-data!B344</f>
        <v>-0.91500000000000004</v>
      </c>
      <c r="E344" s="9">
        <f>data!E344-data!G344</f>
        <v>1.7191000000000001</v>
      </c>
      <c r="F344" s="9">
        <f>(data!E344-data!F344)-(data!G344-data!H344)</f>
        <v>1.5137</v>
      </c>
      <c r="G344" s="9">
        <f t="shared" si="250"/>
        <v>-0.16260000000000008</v>
      </c>
      <c r="H344" s="9">
        <f t="shared" si="251"/>
        <v>-0.10799999999999987</v>
      </c>
      <c r="I344" s="9">
        <f>IF(data!M345&gt; 111.81,1,0)</f>
        <v>0</v>
      </c>
      <c r="J344" s="9">
        <f t="shared" si="252"/>
        <v>1</v>
      </c>
      <c r="K344" s="9">
        <f t="shared" si="253"/>
        <v>0</v>
      </c>
      <c r="L344" s="9">
        <f t="shared" si="254"/>
        <v>1.3802000000000021</v>
      </c>
      <c r="M344" s="9">
        <f>data!J344</f>
        <v>-29.85</v>
      </c>
      <c r="N344" s="9">
        <f>data!I344</f>
        <v>-51.5</v>
      </c>
      <c r="O344" s="9">
        <f>data!L344</f>
        <v>-43.5</v>
      </c>
      <c r="P344" s="9">
        <f>data!K344</f>
        <v>-21.5</v>
      </c>
      <c r="Q344" s="9">
        <f>data!R344</f>
        <v>-12.25</v>
      </c>
      <c r="R344" s="9">
        <f t="shared" si="255"/>
        <v>-7.1499999999999986</v>
      </c>
      <c r="S344" s="9">
        <f t="shared" si="256"/>
        <v>-22.942499999999995</v>
      </c>
      <c r="T344" s="9">
        <f t="shared" si="257"/>
        <v>-13.5</v>
      </c>
      <c r="U344" s="9">
        <f t="shared" si="258"/>
        <v>-11.25</v>
      </c>
      <c r="V344" s="9">
        <f t="shared" si="259"/>
        <v>-4.0249999999999986</v>
      </c>
      <c r="W344" s="9">
        <f t="shared" si="260"/>
        <v>-6.8999999999999986</v>
      </c>
      <c r="X344" s="9">
        <f t="shared" si="261"/>
        <v>-2.75</v>
      </c>
      <c r="Y344" s="9">
        <f t="shared" si="262"/>
        <v>-5</v>
      </c>
      <c r="Z344" s="9">
        <f t="shared" si="263"/>
        <v>-6.4499999999999957</v>
      </c>
      <c r="AA344" s="9">
        <f t="shared" si="264"/>
        <v>-6.7999999999999972</v>
      </c>
      <c r="AB344" s="9">
        <f t="shared" si="265"/>
        <v>-20.375</v>
      </c>
      <c r="AC344" s="9">
        <f t="shared" si="266"/>
        <v>-10.149999999999999</v>
      </c>
      <c r="AD344" s="9">
        <f t="shared" si="267"/>
        <v>-9.5</v>
      </c>
      <c r="AE344" s="9">
        <f t="shared" si="268"/>
        <v>-11.5</v>
      </c>
      <c r="AF344" s="9">
        <f t="shared" si="269"/>
        <v>-13.530000000000001</v>
      </c>
      <c r="AG344" s="9">
        <f t="shared" si="270"/>
        <v>-13.129999999999995</v>
      </c>
      <c r="AH344" s="9">
        <f t="shared" si="271"/>
        <v>-14</v>
      </c>
      <c r="AI344" s="9">
        <f t="shared" si="272"/>
        <v>-14</v>
      </c>
      <c r="AJ344" s="9">
        <f t="shared" si="273"/>
        <v>-3</v>
      </c>
      <c r="AK344" s="9">
        <f t="shared" si="274"/>
        <v>-5.75</v>
      </c>
      <c r="AL344" s="9">
        <f t="shared" si="275"/>
        <v>-2.75</v>
      </c>
      <c r="AM344" s="9">
        <f t="shared" si="276"/>
        <v>-3.3800000000000026</v>
      </c>
      <c r="AN344" s="9">
        <f t="shared" si="277"/>
        <v>-5</v>
      </c>
      <c r="AO344" s="9">
        <f t="shared" si="278"/>
        <v>-6.1550000000000011</v>
      </c>
      <c r="AP344" s="9">
        <f t="shared" si="279"/>
        <v>-5.25</v>
      </c>
      <c r="AQ344" s="9">
        <f t="shared" si="280"/>
        <v>-6.2999999999999972</v>
      </c>
      <c r="AR344" s="9">
        <f t="shared" si="281"/>
        <v>-6.0600000000000023</v>
      </c>
      <c r="AS344" s="9">
        <f t="shared" si="282"/>
        <v>-0.5</v>
      </c>
      <c r="AT344" s="9">
        <f t="shared" si="283"/>
        <v>0.375</v>
      </c>
      <c r="AU344" s="9">
        <f t="shared" si="284"/>
        <v>0.87000000000000099</v>
      </c>
      <c r="AV344" s="9">
        <f t="shared" si="285"/>
        <v>0.62000000000000099</v>
      </c>
      <c r="AW344" s="9">
        <f t="shared" si="286"/>
        <v>-0.25</v>
      </c>
      <c r="AX344" s="9">
        <f t="shared" si="287"/>
        <v>-0.625</v>
      </c>
      <c r="AY344" s="9">
        <f t="shared" si="288"/>
        <v>0</v>
      </c>
      <c r="AZ344" s="9">
        <f t="shared" si="289"/>
        <v>-1</v>
      </c>
      <c r="BA344" s="9">
        <f t="shared" si="290"/>
        <v>-0.37999999999999901</v>
      </c>
      <c r="BB344" s="9">
        <f t="shared" si="291"/>
        <v>-0.75</v>
      </c>
      <c r="BC344" s="9">
        <f t="shared" si="292"/>
        <v>0.75</v>
      </c>
      <c r="BD344" s="9">
        <f t="shared" si="293"/>
        <v>0.8100000000000005</v>
      </c>
      <c r="BE344" s="9">
        <f t="shared" si="294"/>
        <v>0.5</v>
      </c>
      <c r="BF344" s="9">
        <f t="shared" si="295"/>
        <v>-0.25</v>
      </c>
      <c r="BG344" s="9">
        <f t="shared" si="296"/>
        <v>-0.40499999999999936</v>
      </c>
      <c r="BH344" s="9">
        <f t="shared" si="297"/>
        <v>0.44999999999999929</v>
      </c>
      <c r="BI344" s="9">
        <f t="shared" si="298"/>
        <v>-0.25</v>
      </c>
      <c r="BJ344" s="9">
        <f t="shared" si="299"/>
        <v>0.44999999999999929</v>
      </c>
    </row>
    <row r="345" spans="1:62" x14ac:dyDescent="0.2">
      <c r="A345" s="9">
        <f>data!M346-data!M345</f>
        <v>6.8600000000003547E-2</v>
      </c>
      <c r="B345" s="9">
        <f>data!C346-data!C345</f>
        <v>4.3599999999999994</v>
      </c>
      <c r="C345" s="9">
        <f>data!D346-data!D345</f>
        <v>1.75</v>
      </c>
      <c r="D345" s="10">
        <f>data!B346-data!B345</f>
        <v>-1.7400000000000002</v>
      </c>
      <c r="E345" s="9">
        <f>data!E345-data!G345</f>
        <v>1.5565</v>
      </c>
      <c r="F345" s="9">
        <f>(data!E345-data!F345)-(data!G345-data!H345)</f>
        <v>1.4057000000000002</v>
      </c>
      <c r="G345" s="9">
        <f t="shared" si="250"/>
        <v>-0.34570000000000012</v>
      </c>
      <c r="H345" s="9">
        <f t="shared" si="251"/>
        <v>-0.23710000000000009</v>
      </c>
      <c r="I345" s="9">
        <f>IF(data!M346&gt; 111.81,1,0)</f>
        <v>0</v>
      </c>
      <c r="J345" s="9">
        <f t="shared" si="252"/>
        <v>1</v>
      </c>
      <c r="K345" s="9">
        <f t="shared" si="253"/>
        <v>0</v>
      </c>
      <c r="L345" s="9">
        <f t="shared" si="254"/>
        <v>6.8600000000003547E-2</v>
      </c>
      <c r="M345" s="9">
        <f>data!J345</f>
        <v>-37</v>
      </c>
      <c r="N345" s="9">
        <f>data!I345</f>
        <v>-58.3</v>
      </c>
      <c r="O345" s="9">
        <f>data!L345</f>
        <v>-46.5</v>
      </c>
      <c r="P345" s="9">
        <f>data!K345</f>
        <v>-22</v>
      </c>
      <c r="Q345" s="9">
        <f>data!R345</f>
        <v>-13</v>
      </c>
      <c r="R345" s="9">
        <f t="shared" si="255"/>
        <v>-15.792499999999997</v>
      </c>
      <c r="S345" s="9">
        <f t="shared" si="256"/>
        <v>-6.3500000000000014</v>
      </c>
      <c r="T345" s="9">
        <f t="shared" si="257"/>
        <v>-4.1000000000000014</v>
      </c>
      <c r="U345" s="9">
        <f t="shared" si="258"/>
        <v>3.125</v>
      </c>
      <c r="V345" s="9">
        <f t="shared" si="259"/>
        <v>0.25</v>
      </c>
      <c r="W345" s="9">
        <f t="shared" si="260"/>
        <v>4.3999999999999986</v>
      </c>
      <c r="X345" s="9">
        <f t="shared" si="261"/>
        <v>2.1499999999999986</v>
      </c>
      <c r="Y345" s="9">
        <f t="shared" si="262"/>
        <v>0.70000000000000284</v>
      </c>
      <c r="Z345" s="9">
        <f t="shared" si="263"/>
        <v>-2.3500000000000014</v>
      </c>
      <c r="AA345" s="9">
        <f t="shared" si="264"/>
        <v>-13.575000000000003</v>
      </c>
      <c r="AB345" s="9">
        <f t="shared" si="265"/>
        <v>-3.3500000000000014</v>
      </c>
      <c r="AC345" s="9">
        <f t="shared" si="266"/>
        <v>-2.7000000000000028</v>
      </c>
      <c r="AD345" s="9">
        <f t="shared" si="267"/>
        <v>-4.7000000000000028</v>
      </c>
      <c r="AE345" s="9">
        <f t="shared" si="268"/>
        <v>-6.730000000000004</v>
      </c>
      <c r="AF345" s="9">
        <f t="shared" si="269"/>
        <v>-6.3299999999999983</v>
      </c>
      <c r="AG345" s="9">
        <f t="shared" si="270"/>
        <v>-7.2000000000000028</v>
      </c>
      <c r="AH345" s="9">
        <f t="shared" si="271"/>
        <v>-7.2000000000000028</v>
      </c>
      <c r="AI345" s="9">
        <f t="shared" si="272"/>
        <v>-8.6500000000000057</v>
      </c>
      <c r="AJ345" s="9">
        <f t="shared" si="273"/>
        <v>-2.75</v>
      </c>
      <c r="AK345" s="9">
        <f t="shared" si="274"/>
        <v>0.25</v>
      </c>
      <c r="AL345" s="9">
        <f t="shared" si="275"/>
        <v>-0.38000000000000256</v>
      </c>
      <c r="AM345" s="9">
        <f t="shared" si="276"/>
        <v>-2</v>
      </c>
      <c r="AN345" s="9">
        <f t="shared" si="277"/>
        <v>-3.1550000000000011</v>
      </c>
      <c r="AO345" s="9">
        <f t="shared" si="278"/>
        <v>-2.25</v>
      </c>
      <c r="AP345" s="9">
        <f t="shared" si="279"/>
        <v>-3.2999999999999972</v>
      </c>
      <c r="AQ345" s="9">
        <f t="shared" si="280"/>
        <v>-3.0600000000000023</v>
      </c>
      <c r="AR345" s="9">
        <f t="shared" si="281"/>
        <v>-3.9500000000000028</v>
      </c>
      <c r="AS345" s="9">
        <f t="shared" si="282"/>
        <v>0.875</v>
      </c>
      <c r="AT345" s="9">
        <f t="shared" si="283"/>
        <v>1.370000000000001</v>
      </c>
      <c r="AU345" s="9">
        <f t="shared" si="284"/>
        <v>1.120000000000001</v>
      </c>
      <c r="AV345" s="9">
        <f t="shared" si="285"/>
        <v>0.25</v>
      </c>
      <c r="AW345" s="9">
        <f t="shared" si="286"/>
        <v>-0.125</v>
      </c>
      <c r="AX345" s="9">
        <f t="shared" si="287"/>
        <v>0.5</v>
      </c>
      <c r="AY345" s="9">
        <f t="shared" si="288"/>
        <v>-0.5</v>
      </c>
      <c r="AZ345" s="9">
        <f t="shared" si="289"/>
        <v>0.12000000000000099</v>
      </c>
      <c r="BA345" s="9">
        <f t="shared" si="290"/>
        <v>-0.62999999999999901</v>
      </c>
      <c r="BB345" s="9">
        <f t="shared" si="291"/>
        <v>1.5</v>
      </c>
      <c r="BC345" s="9">
        <f t="shared" si="292"/>
        <v>1.5600000000000005</v>
      </c>
      <c r="BD345" s="9">
        <f t="shared" si="293"/>
        <v>1.25</v>
      </c>
      <c r="BE345" s="9">
        <f t="shared" si="294"/>
        <v>0.5</v>
      </c>
      <c r="BF345" s="9">
        <f t="shared" si="295"/>
        <v>0.34500000000000064</v>
      </c>
      <c r="BG345" s="9">
        <f t="shared" si="296"/>
        <v>1.1999999999999993</v>
      </c>
      <c r="BH345" s="9">
        <f t="shared" si="297"/>
        <v>0.5</v>
      </c>
      <c r="BI345" s="9">
        <f t="shared" si="298"/>
        <v>1.1999999999999993</v>
      </c>
      <c r="BJ345" s="9">
        <f t="shared" si="299"/>
        <v>0.36999999999999922</v>
      </c>
    </row>
    <row r="346" spans="1:62" x14ac:dyDescent="0.2">
      <c r="A346" s="9">
        <f>data!M347-data!M346</f>
        <v>-0.34840000000001226</v>
      </c>
      <c r="B346" s="9">
        <f>data!C347-data!C346</f>
        <v>6.6899999999999977</v>
      </c>
      <c r="C346" s="9">
        <f>data!D347-data!D346</f>
        <v>-0.78500000000000014</v>
      </c>
      <c r="D346" s="10">
        <f>data!B347-data!B346</f>
        <v>0.36749999999999972</v>
      </c>
      <c r="E346" s="9">
        <f>data!E346-data!G346</f>
        <v>1.2107999999999999</v>
      </c>
      <c r="F346" s="9">
        <f>(data!E346-data!F346)-(data!G346-data!H346)</f>
        <v>1.1686000000000001</v>
      </c>
      <c r="G346" s="9">
        <f t="shared" si="250"/>
        <v>-0.13349999999999973</v>
      </c>
      <c r="H346" s="9">
        <f t="shared" si="251"/>
        <v>-0.14460000000000006</v>
      </c>
      <c r="I346" s="9">
        <f>IF(data!M347&gt; 111.81,1,0)</f>
        <v>0</v>
      </c>
      <c r="J346" s="9">
        <f t="shared" si="252"/>
        <v>1</v>
      </c>
      <c r="K346" s="9">
        <f t="shared" si="253"/>
        <v>0</v>
      </c>
      <c r="L346" s="9">
        <f t="shared" si="254"/>
        <v>-0.34840000000001226</v>
      </c>
      <c r="M346" s="9">
        <f>data!J346</f>
        <v>-52.792499999999997</v>
      </c>
      <c r="N346" s="9">
        <f>data!I346</f>
        <v>-71.875</v>
      </c>
      <c r="O346" s="9">
        <f>data!L346</f>
        <v>-49.25</v>
      </c>
      <c r="P346" s="9">
        <f>data!K346</f>
        <v>-21.125</v>
      </c>
      <c r="Q346" s="9">
        <f>data!R346</f>
        <v>-11.5</v>
      </c>
      <c r="R346" s="9">
        <f t="shared" si="255"/>
        <v>9.4424999999999955</v>
      </c>
      <c r="S346" s="9">
        <f t="shared" si="256"/>
        <v>11.692499999999995</v>
      </c>
      <c r="T346" s="9">
        <f t="shared" si="257"/>
        <v>18.917499999999997</v>
      </c>
      <c r="U346" s="9">
        <f t="shared" si="258"/>
        <v>16.042499999999997</v>
      </c>
      <c r="V346" s="9">
        <f t="shared" si="259"/>
        <v>20.192499999999995</v>
      </c>
      <c r="W346" s="9">
        <f t="shared" si="260"/>
        <v>17.942499999999995</v>
      </c>
      <c r="X346" s="9">
        <f t="shared" si="261"/>
        <v>16.4925</v>
      </c>
      <c r="Y346" s="9">
        <f t="shared" si="262"/>
        <v>13.442499999999995</v>
      </c>
      <c r="Z346" s="9">
        <f t="shared" si="263"/>
        <v>11.342499999999994</v>
      </c>
      <c r="AA346" s="9">
        <f t="shared" si="264"/>
        <v>10.225000000000001</v>
      </c>
      <c r="AB346" s="9">
        <f t="shared" si="265"/>
        <v>10.875</v>
      </c>
      <c r="AC346" s="9">
        <f t="shared" si="266"/>
        <v>8.875</v>
      </c>
      <c r="AD346" s="9">
        <f t="shared" si="267"/>
        <v>6.8449999999999989</v>
      </c>
      <c r="AE346" s="9">
        <f t="shared" si="268"/>
        <v>7.2450000000000045</v>
      </c>
      <c r="AF346" s="9">
        <f t="shared" si="269"/>
        <v>6.375</v>
      </c>
      <c r="AG346" s="9">
        <f t="shared" si="270"/>
        <v>6.375</v>
      </c>
      <c r="AH346" s="9">
        <f t="shared" si="271"/>
        <v>4.9249999999999972</v>
      </c>
      <c r="AI346" s="9">
        <f t="shared" si="272"/>
        <v>2.7450000000000045</v>
      </c>
      <c r="AJ346" s="9">
        <f t="shared" si="273"/>
        <v>3</v>
      </c>
      <c r="AK346" s="9">
        <f t="shared" si="274"/>
        <v>2.3699999999999974</v>
      </c>
      <c r="AL346" s="9">
        <f t="shared" si="275"/>
        <v>0.75</v>
      </c>
      <c r="AM346" s="9">
        <f t="shared" si="276"/>
        <v>-0.40500000000000114</v>
      </c>
      <c r="AN346" s="9">
        <f t="shared" si="277"/>
        <v>0.5</v>
      </c>
      <c r="AO346" s="9">
        <f t="shared" si="278"/>
        <v>-0.54999999999999716</v>
      </c>
      <c r="AP346" s="9">
        <f t="shared" si="279"/>
        <v>-0.31000000000000227</v>
      </c>
      <c r="AQ346" s="9">
        <f t="shared" si="280"/>
        <v>-1.2000000000000028</v>
      </c>
      <c r="AR346" s="9">
        <f t="shared" si="281"/>
        <v>-3.3800000000000026</v>
      </c>
      <c r="AS346" s="9">
        <f t="shared" si="282"/>
        <v>0.49500000000000099</v>
      </c>
      <c r="AT346" s="9">
        <f t="shared" si="283"/>
        <v>0.24500000000000099</v>
      </c>
      <c r="AU346" s="9">
        <f t="shared" si="284"/>
        <v>-0.625</v>
      </c>
      <c r="AV346" s="9">
        <f t="shared" si="285"/>
        <v>-1</v>
      </c>
      <c r="AW346" s="9">
        <f t="shared" si="286"/>
        <v>-0.375</v>
      </c>
      <c r="AX346" s="9">
        <f t="shared" si="287"/>
        <v>-1.375</v>
      </c>
      <c r="AY346" s="9">
        <f t="shared" si="288"/>
        <v>-0.75499999999999901</v>
      </c>
      <c r="AZ346" s="9">
        <f t="shared" si="289"/>
        <v>-1.504999999999999</v>
      </c>
      <c r="BA346" s="9">
        <f t="shared" si="290"/>
        <v>-3.125</v>
      </c>
      <c r="BB346" s="9">
        <f t="shared" si="291"/>
        <v>6.0000000000000497E-2</v>
      </c>
      <c r="BC346" s="9">
        <f t="shared" si="292"/>
        <v>-0.25</v>
      </c>
      <c r="BD346" s="9">
        <f t="shared" si="293"/>
        <v>-1</v>
      </c>
      <c r="BE346" s="9">
        <f t="shared" si="294"/>
        <v>-1.1549999999999994</v>
      </c>
      <c r="BF346" s="9">
        <f t="shared" si="295"/>
        <v>-0.30000000000000071</v>
      </c>
      <c r="BG346" s="9">
        <f t="shared" si="296"/>
        <v>-1</v>
      </c>
      <c r="BH346" s="9">
        <f t="shared" si="297"/>
        <v>-0.30000000000000071</v>
      </c>
      <c r="BI346" s="9">
        <f t="shared" si="298"/>
        <v>-1.1300000000000008</v>
      </c>
      <c r="BJ346" s="9">
        <f t="shared" si="299"/>
        <v>-2.75</v>
      </c>
    </row>
    <row r="347" spans="1:62" x14ac:dyDescent="0.2">
      <c r="A347" s="9">
        <f>data!M348-data!M347</f>
        <v>0.24650000000001171</v>
      </c>
      <c r="B347" s="9">
        <f>data!C348-data!C347</f>
        <v>-7.4599999999999937</v>
      </c>
      <c r="C347" s="9">
        <f>data!D348-data!D347</f>
        <v>-0.63499999999999979</v>
      </c>
      <c r="D347" s="10">
        <f>data!B348-data!B347</f>
        <v>-0.27249999999999996</v>
      </c>
      <c r="E347" s="9">
        <f>data!E347-data!G347</f>
        <v>1.0773000000000001</v>
      </c>
      <c r="F347" s="9">
        <f>(data!E347-data!F347)-(data!G347-data!H347)</f>
        <v>1.024</v>
      </c>
      <c r="G347" s="9">
        <f t="shared" si="250"/>
        <v>7.46E-2</v>
      </c>
      <c r="H347" s="9">
        <f t="shared" si="251"/>
        <v>6.8299999999999805E-2</v>
      </c>
      <c r="I347" s="9">
        <f>IF(data!M348&gt; 111.81,1,0)</f>
        <v>0</v>
      </c>
      <c r="J347" s="9">
        <f t="shared" si="252"/>
        <v>1</v>
      </c>
      <c r="K347" s="9">
        <f t="shared" si="253"/>
        <v>0</v>
      </c>
      <c r="L347" s="9">
        <f t="shared" si="254"/>
        <v>0.24650000000001171</v>
      </c>
      <c r="M347" s="9">
        <f>data!J347</f>
        <v>-43.35</v>
      </c>
      <c r="N347" s="9">
        <f>data!I347</f>
        <v>-61.65</v>
      </c>
      <c r="O347" s="9">
        <f>data!L347</f>
        <v>-46.25</v>
      </c>
      <c r="P347" s="9">
        <f>data!K347</f>
        <v>-20.63</v>
      </c>
      <c r="Q347" s="9">
        <f>data!R347</f>
        <v>-11.44</v>
      </c>
      <c r="R347" s="9">
        <f t="shared" si="255"/>
        <v>2.25</v>
      </c>
      <c r="S347" s="9">
        <f t="shared" si="256"/>
        <v>9.4750000000000014</v>
      </c>
      <c r="T347" s="9">
        <f t="shared" si="257"/>
        <v>6.6000000000000014</v>
      </c>
      <c r="U347" s="9">
        <f t="shared" si="258"/>
        <v>10.75</v>
      </c>
      <c r="V347" s="9">
        <f t="shared" si="259"/>
        <v>8.5</v>
      </c>
      <c r="W347" s="9">
        <f t="shared" si="260"/>
        <v>7.0500000000000043</v>
      </c>
      <c r="X347" s="9">
        <f t="shared" si="261"/>
        <v>4</v>
      </c>
      <c r="Y347" s="9">
        <f t="shared" si="262"/>
        <v>1.8999999999999986</v>
      </c>
      <c r="Z347" s="9">
        <f t="shared" si="263"/>
        <v>2.1000000000000014</v>
      </c>
      <c r="AA347" s="9">
        <f t="shared" si="264"/>
        <v>0.64999999999999858</v>
      </c>
      <c r="AB347" s="9">
        <f t="shared" si="265"/>
        <v>-1.3500000000000014</v>
      </c>
      <c r="AC347" s="9">
        <f t="shared" si="266"/>
        <v>-3.3800000000000026</v>
      </c>
      <c r="AD347" s="9">
        <f t="shared" si="267"/>
        <v>-2.9799999999999969</v>
      </c>
      <c r="AE347" s="9">
        <f t="shared" si="268"/>
        <v>-3.8500000000000014</v>
      </c>
      <c r="AF347" s="9">
        <f t="shared" si="269"/>
        <v>-3.8500000000000014</v>
      </c>
      <c r="AG347" s="9">
        <f t="shared" si="270"/>
        <v>-5.3000000000000043</v>
      </c>
      <c r="AH347" s="9">
        <f t="shared" si="271"/>
        <v>-7.4799999999999969</v>
      </c>
      <c r="AI347" s="9">
        <f t="shared" si="272"/>
        <v>-9.1499999999999986</v>
      </c>
      <c r="AJ347" s="9">
        <f t="shared" si="273"/>
        <v>-0.63000000000000256</v>
      </c>
      <c r="AK347" s="9">
        <f t="shared" si="274"/>
        <v>-2.25</v>
      </c>
      <c r="AL347" s="9">
        <f t="shared" si="275"/>
        <v>-3.4050000000000011</v>
      </c>
      <c r="AM347" s="9">
        <f t="shared" si="276"/>
        <v>-2.5</v>
      </c>
      <c r="AN347" s="9">
        <f t="shared" si="277"/>
        <v>-3.5499999999999972</v>
      </c>
      <c r="AO347" s="9">
        <f t="shared" si="278"/>
        <v>-3.3100000000000023</v>
      </c>
      <c r="AP347" s="9">
        <f t="shared" si="279"/>
        <v>-4.2000000000000028</v>
      </c>
      <c r="AQ347" s="9">
        <f t="shared" si="280"/>
        <v>-6.3800000000000026</v>
      </c>
      <c r="AR347" s="9">
        <f t="shared" si="281"/>
        <v>-8.0499999999999972</v>
      </c>
      <c r="AS347" s="9">
        <f t="shared" si="282"/>
        <v>-0.25</v>
      </c>
      <c r="AT347" s="9">
        <f t="shared" si="283"/>
        <v>-1.120000000000001</v>
      </c>
      <c r="AU347" s="9">
        <f t="shared" si="284"/>
        <v>-1.495000000000001</v>
      </c>
      <c r="AV347" s="9">
        <f t="shared" si="285"/>
        <v>-0.87000000000000099</v>
      </c>
      <c r="AW347" s="9">
        <f t="shared" si="286"/>
        <v>-1.870000000000001</v>
      </c>
      <c r="AX347" s="9">
        <f t="shared" si="287"/>
        <v>-1.25</v>
      </c>
      <c r="AY347" s="9">
        <f t="shared" si="288"/>
        <v>-2</v>
      </c>
      <c r="AZ347" s="9">
        <f t="shared" si="289"/>
        <v>-3.620000000000001</v>
      </c>
      <c r="BA347" s="9">
        <f t="shared" si="290"/>
        <v>-4.870000000000001</v>
      </c>
      <c r="BB347" s="9">
        <f t="shared" si="291"/>
        <v>-0.3100000000000005</v>
      </c>
      <c r="BC347" s="9">
        <f t="shared" si="292"/>
        <v>-1.0600000000000005</v>
      </c>
      <c r="BD347" s="9">
        <f t="shared" si="293"/>
        <v>-1.2149999999999999</v>
      </c>
      <c r="BE347" s="9">
        <f t="shared" si="294"/>
        <v>-0.36000000000000121</v>
      </c>
      <c r="BF347" s="9">
        <f t="shared" si="295"/>
        <v>-1.0600000000000005</v>
      </c>
      <c r="BG347" s="9">
        <f t="shared" si="296"/>
        <v>-0.36000000000000121</v>
      </c>
      <c r="BH347" s="9">
        <f t="shared" si="297"/>
        <v>-1.1900000000000013</v>
      </c>
      <c r="BI347" s="9">
        <f t="shared" si="298"/>
        <v>-2.8100000000000005</v>
      </c>
      <c r="BJ347" s="9">
        <f t="shared" si="299"/>
        <v>-3.8600000000000012</v>
      </c>
    </row>
    <row r="348" spans="1:62" x14ac:dyDescent="0.2">
      <c r="A348" s="9">
        <f>data!M349-data!M348</f>
        <v>0.1045999999999907</v>
      </c>
      <c r="B348" s="9">
        <f>data!C349-data!C348</f>
        <v>-1.6700000000000017</v>
      </c>
      <c r="C348" s="9">
        <f>data!D349-data!D348</f>
        <v>-0.38000000000000078</v>
      </c>
      <c r="D348" s="10">
        <f>data!B349-data!B348</f>
        <v>-4.9999999999998934E-3</v>
      </c>
      <c r="E348" s="9">
        <f>data!E348-data!G348</f>
        <v>1.1519000000000001</v>
      </c>
      <c r="F348" s="9">
        <f>(data!E348-data!F348)-(data!G348-data!H348)</f>
        <v>1.0922999999999998</v>
      </c>
      <c r="G348" s="9">
        <f t="shared" si="250"/>
        <v>-0.19220000000000015</v>
      </c>
      <c r="H348" s="9">
        <f t="shared" si="251"/>
        <v>-0.18869999999999976</v>
      </c>
      <c r="I348" s="9">
        <f>IF(data!M349&gt; 111.81,1,0)</f>
        <v>0</v>
      </c>
      <c r="J348" s="9">
        <f t="shared" si="252"/>
        <v>1</v>
      </c>
      <c r="K348" s="9">
        <f t="shared" si="253"/>
        <v>0</v>
      </c>
      <c r="L348" s="9">
        <f t="shared" si="254"/>
        <v>0.1045999999999907</v>
      </c>
      <c r="M348" s="9">
        <f>data!J348</f>
        <v>-41.1</v>
      </c>
      <c r="N348" s="9">
        <f>data!I348</f>
        <v>-61</v>
      </c>
      <c r="O348" s="9">
        <f>data!L348</f>
        <v>-46.88</v>
      </c>
      <c r="P348" s="9">
        <f>data!K348</f>
        <v>-20.88</v>
      </c>
      <c r="Q348" s="9">
        <f>data!R348</f>
        <v>-11.75</v>
      </c>
      <c r="R348" s="9">
        <f t="shared" si="255"/>
        <v>7.2250000000000014</v>
      </c>
      <c r="S348" s="9">
        <f t="shared" si="256"/>
        <v>4.3500000000000014</v>
      </c>
      <c r="T348" s="9">
        <f t="shared" si="257"/>
        <v>8.5</v>
      </c>
      <c r="U348" s="9">
        <f t="shared" si="258"/>
        <v>6.25</v>
      </c>
      <c r="V348" s="9">
        <f t="shared" si="259"/>
        <v>4.8000000000000043</v>
      </c>
      <c r="W348" s="9">
        <f t="shared" si="260"/>
        <v>1.75</v>
      </c>
      <c r="X348" s="9">
        <f t="shared" si="261"/>
        <v>-0.35000000000000142</v>
      </c>
      <c r="Y348" s="9">
        <f t="shared" si="262"/>
        <v>-0.14999999999999858</v>
      </c>
      <c r="Z348" s="9">
        <f t="shared" si="263"/>
        <v>-1.0249999999999986</v>
      </c>
      <c r="AA348" s="9">
        <f t="shared" si="264"/>
        <v>-2</v>
      </c>
      <c r="AB348" s="9">
        <f t="shared" si="265"/>
        <v>-4.0300000000000011</v>
      </c>
      <c r="AC348" s="9">
        <f t="shared" si="266"/>
        <v>-3.6299999999999955</v>
      </c>
      <c r="AD348" s="9">
        <f t="shared" si="267"/>
        <v>-4.5</v>
      </c>
      <c r="AE348" s="9">
        <f t="shared" si="268"/>
        <v>-4.5</v>
      </c>
      <c r="AF348" s="9">
        <f t="shared" si="269"/>
        <v>-5.9500000000000028</v>
      </c>
      <c r="AG348" s="9">
        <f t="shared" si="270"/>
        <v>-8.1299999999999955</v>
      </c>
      <c r="AH348" s="9">
        <f t="shared" si="271"/>
        <v>-9.7999999999999972</v>
      </c>
      <c r="AI348" s="9">
        <f t="shared" si="272"/>
        <v>-8.7125000000000057</v>
      </c>
      <c r="AJ348" s="9">
        <f t="shared" si="273"/>
        <v>-1.6199999999999974</v>
      </c>
      <c r="AK348" s="9">
        <f t="shared" si="274"/>
        <v>-2.7749999999999986</v>
      </c>
      <c r="AL348" s="9">
        <f t="shared" si="275"/>
        <v>-1.8699999999999974</v>
      </c>
      <c r="AM348" s="9">
        <f t="shared" si="276"/>
        <v>-2.9199999999999946</v>
      </c>
      <c r="AN348" s="9">
        <f t="shared" si="277"/>
        <v>-2.6799999999999997</v>
      </c>
      <c r="AO348" s="9">
        <f t="shared" si="278"/>
        <v>-3.5700000000000003</v>
      </c>
      <c r="AP348" s="9">
        <f t="shared" si="279"/>
        <v>-5.75</v>
      </c>
      <c r="AQ348" s="9">
        <f t="shared" si="280"/>
        <v>-7.4199999999999946</v>
      </c>
      <c r="AR348" s="9">
        <f t="shared" si="281"/>
        <v>-8.457499999999996</v>
      </c>
      <c r="AS348" s="9">
        <f t="shared" si="282"/>
        <v>-0.87000000000000099</v>
      </c>
      <c r="AT348" s="9">
        <f t="shared" si="283"/>
        <v>-1.245000000000001</v>
      </c>
      <c r="AU348" s="9">
        <f t="shared" si="284"/>
        <v>-0.62000000000000099</v>
      </c>
      <c r="AV348" s="9">
        <f t="shared" si="285"/>
        <v>-1.620000000000001</v>
      </c>
      <c r="AW348" s="9">
        <f t="shared" si="286"/>
        <v>-1</v>
      </c>
      <c r="AX348" s="9">
        <f t="shared" si="287"/>
        <v>-1.75</v>
      </c>
      <c r="AY348" s="9">
        <f t="shared" si="288"/>
        <v>-3.370000000000001</v>
      </c>
      <c r="AZ348" s="9">
        <f t="shared" si="289"/>
        <v>-4.620000000000001</v>
      </c>
      <c r="BA348" s="9">
        <f t="shared" si="290"/>
        <v>-5.5824999999999996</v>
      </c>
      <c r="BB348" s="9">
        <f t="shared" si="291"/>
        <v>-0.75</v>
      </c>
      <c r="BC348" s="9">
        <f t="shared" si="292"/>
        <v>-0.90499999999999936</v>
      </c>
      <c r="BD348" s="9">
        <f t="shared" si="293"/>
        <v>-5.0000000000000711E-2</v>
      </c>
      <c r="BE348" s="9">
        <f t="shared" si="294"/>
        <v>-0.75</v>
      </c>
      <c r="BF348" s="9">
        <f t="shared" si="295"/>
        <v>-5.0000000000000711E-2</v>
      </c>
      <c r="BG348" s="9">
        <f t="shared" si="296"/>
        <v>-0.88000000000000078</v>
      </c>
      <c r="BH348" s="9">
        <f t="shared" si="297"/>
        <v>-2.5</v>
      </c>
      <c r="BI348" s="9">
        <f t="shared" si="298"/>
        <v>-3.5500000000000007</v>
      </c>
      <c r="BJ348" s="9">
        <f t="shared" si="299"/>
        <v>-4.5874999999999986</v>
      </c>
    </row>
    <row r="349" spans="1:62" x14ac:dyDescent="0.2">
      <c r="A349" s="9">
        <f>data!M350-data!M349</f>
        <v>1.7717000000000098</v>
      </c>
      <c r="B349" s="9">
        <f>data!C350-data!C349</f>
        <v>4.6000000000000014</v>
      </c>
      <c r="C349" s="9">
        <f>data!D350-data!D349</f>
        <v>0.26500000000000057</v>
      </c>
      <c r="D349" s="10">
        <f>data!B350-data!B349</f>
        <v>-0.62999999999999989</v>
      </c>
      <c r="E349" s="9">
        <f>data!E349-data!G349</f>
        <v>0.9597</v>
      </c>
      <c r="F349" s="9">
        <f>(data!E349-data!F349)-(data!G349-data!H349)</f>
        <v>0.90360000000000007</v>
      </c>
      <c r="G349" s="9">
        <f t="shared" si="250"/>
        <v>-4.0400000000000102E-2</v>
      </c>
      <c r="H349" s="9">
        <f t="shared" si="251"/>
        <v>-1.7100000000000226E-2</v>
      </c>
      <c r="I349" s="9">
        <f>IF(data!M350&gt; 111.81,1,0)</f>
        <v>0</v>
      </c>
      <c r="J349" s="9">
        <f t="shared" si="252"/>
        <v>1</v>
      </c>
      <c r="K349" s="9">
        <f t="shared" si="253"/>
        <v>0</v>
      </c>
      <c r="L349" s="9">
        <f t="shared" si="254"/>
        <v>1.7717000000000098</v>
      </c>
      <c r="M349" s="9">
        <f>data!J349</f>
        <v>-33.875</v>
      </c>
      <c r="N349" s="9">
        <f>data!I349</f>
        <v>-63</v>
      </c>
      <c r="O349" s="9">
        <f>data!L349</f>
        <v>-48.5</v>
      </c>
      <c r="P349" s="9">
        <f>data!K349</f>
        <v>-21.75</v>
      </c>
      <c r="Q349" s="9">
        <f>data!R349</f>
        <v>-12.5</v>
      </c>
      <c r="R349" s="9">
        <f t="shared" si="255"/>
        <v>-2.875</v>
      </c>
      <c r="S349" s="9">
        <f t="shared" si="256"/>
        <v>1.2749999999999986</v>
      </c>
      <c r="T349" s="9">
        <f t="shared" si="257"/>
        <v>-0.97500000000000142</v>
      </c>
      <c r="U349" s="9">
        <f t="shared" si="258"/>
        <v>-2.4249999999999972</v>
      </c>
      <c r="V349" s="9">
        <f t="shared" si="259"/>
        <v>-5.4750000000000014</v>
      </c>
      <c r="W349" s="9">
        <f t="shared" si="260"/>
        <v>-7.5750000000000028</v>
      </c>
      <c r="X349" s="9">
        <f t="shared" si="261"/>
        <v>-7.375</v>
      </c>
      <c r="Y349" s="9">
        <f t="shared" si="262"/>
        <v>-8.25</v>
      </c>
      <c r="Z349" s="9">
        <f t="shared" si="263"/>
        <v>-11.284999999999997</v>
      </c>
      <c r="AA349" s="9">
        <f t="shared" si="264"/>
        <v>-2.0300000000000011</v>
      </c>
      <c r="AB349" s="9">
        <f t="shared" si="265"/>
        <v>-1.6299999999999955</v>
      </c>
      <c r="AC349" s="9">
        <f t="shared" si="266"/>
        <v>-2.5</v>
      </c>
      <c r="AD349" s="9">
        <f t="shared" si="267"/>
        <v>-2.5</v>
      </c>
      <c r="AE349" s="9">
        <f t="shared" si="268"/>
        <v>-3.9500000000000028</v>
      </c>
      <c r="AF349" s="9">
        <f t="shared" si="269"/>
        <v>-6.1299999999999955</v>
      </c>
      <c r="AG349" s="9">
        <f t="shared" si="270"/>
        <v>-7.7999999999999972</v>
      </c>
      <c r="AH349" s="9">
        <f t="shared" si="271"/>
        <v>-6.7125000000000057</v>
      </c>
      <c r="AI349" s="9">
        <f t="shared" si="272"/>
        <v>-8.3799999999999955</v>
      </c>
      <c r="AJ349" s="9">
        <f t="shared" si="273"/>
        <v>-1.1550000000000011</v>
      </c>
      <c r="AK349" s="9">
        <f t="shared" si="274"/>
        <v>-0.25</v>
      </c>
      <c r="AL349" s="9">
        <f t="shared" si="275"/>
        <v>-1.2999999999999972</v>
      </c>
      <c r="AM349" s="9">
        <f t="shared" si="276"/>
        <v>-1.0600000000000023</v>
      </c>
      <c r="AN349" s="9">
        <f t="shared" si="277"/>
        <v>-1.9500000000000028</v>
      </c>
      <c r="AO349" s="9">
        <f t="shared" si="278"/>
        <v>-4.1300000000000026</v>
      </c>
      <c r="AP349" s="9">
        <f t="shared" si="279"/>
        <v>-5.7999999999999972</v>
      </c>
      <c r="AQ349" s="9">
        <f t="shared" si="280"/>
        <v>-6.8374999999999986</v>
      </c>
      <c r="AR349" s="9">
        <f t="shared" si="281"/>
        <v>-7.1300000000000026</v>
      </c>
      <c r="AS349" s="9">
        <f t="shared" si="282"/>
        <v>-0.375</v>
      </c>
      <c r="AT349" s="9">
        <f t="shared" si="283"/>
        <v>0.25</v>
      </c>
      <c r="AU349" s="9">
        <f t="shared" si="284"/>
        <v>-0.75</v>
      </c>
      <c r="AV349" s="9">
        <f t="shared" si="285"/>
        <v>-0.12999999999999901</v>
      </c>
      <c r="AW349" s="9">
        <f t="shared" si="286"/>
        <v>-0.87999999999999901</v>
      </c>
      <c r="AX349" s="9">
        <f t="shared" si="287"/>
        <v>-2.5</v>
      </c>
      <c r="AY349" s="9">
        <f t="shared" si="288"/>
        <v>-3.75</v>
      </c>
      <c r="AZ349" s="9">
        <f t="shared" si="289"/>
        <v>-4.7124999999999986</v>
      </c>
      <c r="BA349" s="9">
        <f t="shared" si="290"/>
        <v>-3.75</v>
      </c>
      <c r="BB349" s="9">
        <f t="shared" si="291"/>
        <v>-0.15499999999999936</v>
      </c>
      <c r="BC349" s="9">
        <f t="shared" si="292"/>
        <v>0.69999999999999929</v>
      </c>
      <c r="BD349" s="9">
        <f t="shared" si="293"/>
        <v>0</v>
      </c>
      <c r="BE349" s="9">
        <f t="shared" si="294"/>
        <v>0.69999999999999929</v>
      </c>
      <c r="BF349" s="9">
        <f t="shared" si="295"/>
        <v>-0.13000000000000078</v>
      </c>
      <c r="BG349" s="9">
        <f t="shared" si="296"/>
        <v>-1.75</v>
      </c>
      <c r="BH349" s="9">
        <f t="shared" si="297"/>
        <v>-2.8000000000000007</v>
      </c>
      <c r="BI349" s="9">
        <f t="shared" si="298"/>
        <v>-3.8374999999999986</v>
      </c>
      <c r="BJ349" s="9">
        <f t="shared" si="299"/>
        <v>-2.75</v>
      </c>
    </row>
    <row r="350" spans="1:62" x14ac:dyDescent="0.2">
      <c r="A350" s="9">
        <f>data!M351-data!M350</f>
        <v>0.15939999999999088</v>
      </c>
      <c r="B350" s="9">
        <f>data!C351-data!C350</f>
        <v>-7.5400000000000027</v>
      </c>
      <c r="C350" s="9">
        <f>data!D351-data!D350</f>
        <v>-0.3725000000000005</v>
      </c>
      <c r="D350" s="10">
        <f>data!B351-data!B350</f>
        <v>-0.22250000000000014</v>
      </c>
      <c r="E350" s="9">
        <f>data!E350-data!G350</f>
        <v>0.9192999999999999</v>
      </c>
      <c r="F350" s="9">
        <f>(data!E350-data!F350)-(data!G350-data!H350)</f>
        <v>0.88649999999999984</v>
      </c>
      <c r="G350" s="9">
        <f t="shared" si="250"/>
        <v>0.12160000000000004</v>
      </c>
      <c r="H350" s="9">
        <f t="shared" si="251"/>
        <v>0.12420000000000009</v>
      </c>
      <c r="I350" s="9">
        <f>IF(data!M351&gt; 111.81,1,0)</f>
        <v>0</v>
      </c>
      <c r="J350" s="9">
        <f t="shared" si="252"/>
        <v>1</v>
      </c>
      <c r="K350" s="9">
        <f t="shared" si="253"/>
        <v>0</v>
      </c>
      <c r="L350" s="9">
        <f t="shared" si="254"/>
        <v>0.15939999999999088</v>
      </c>
      <c r="M350" s="9">
        <f>data!J350</f>
        <v>-36.75</v>
      </c>
      <c r="N350" s="9">
        <f>data!I350</f>
        <v>-65.03</v>
      </c>
      <c r="O350" s="9">
        <f>data!L350</f>
        <v>-49.655000000000001</v>
      </c>
      <c r="P350" s="9">
        <f>data!K350</f>
        <v>-22.125</v>
      </c>
      <c r="Q350" s="9">
        <f>data!R350</f>
        <v>-12.654999999999999</v>
      </c>
      <c r="R350" s="9">
        <f t="shared" si="255"/>
        <v>4.1499999999999986</v>
      </c>
      <c r="S350" s="9">
        <f t="shared" si="256"/>
        <v>1.8999999999999986</v>
      </c>
      <c r="T350" s="9">
        <f t="shared" si="257"/>
        <v>0.45000000000000284</v>
      </c>
      <c r="U350" s="9">
        <f t="shared" si="258"/>
        <v>-2.6000000000000014</v>
      </c>
      <c r="V350" s="9">
        <f t="shared" si="259"/>
        <v>-4.7000000000000028</v>
      </c>
      <c r="W350" s="9">
        <f t="shared" si="260"/>
        <v>-4.5</v>
      </c>
      <c r="X350" s="9">
        <f t="shared" si="261"/>
        <v>-5.375</v>
      </c>
      <c r="Y350" s="9">
        <f t="shared" si="262"/>
        <v>-8.4099999999999966</v>
      </c>
      <c r="Z350" s="9">
        <f t="shared" si="263"/>
        <v>-14.5</v>
      </c>
      <c r="AA350" s="9">
        <f t="shared" si="264"/>
        <v>0.40000000000000568</v>
      </c>
      <c r="AB350" s="9">
        <f t="shared" si="265"/>
        <v>-0.46999999999999886</v>
      </c>
      <c r="AC350" s="9">
        <f t="shared" si="266"/>
        <v>-0.46999999999999886</v>
      </c>
      <c r="AD350" s="9">
        <f t="shared" si="267"/>
        <v>-1.9200000000000017</v>
      </c>
      <c r="AE350" s="9">
        <f t="shared" si="268"/>
        <v>-4.0999999999999943</v>
      </c>
      <c r="AF350" s="9">
        <f t="shared" si="269"/>
        <v>-5.769999999999996</v>
      </c>
      <c r="AG350" s="9">
        <f t="shared" si="270"/>
        <v>-4.6825000000000045</v>
      </c>
      <c r="AH350" s="9">
        <f t="shared" si="271"/>
        <v>-6.3499999999999943</v>
      </c>
      <c r="AI350" s="9">
        <f t="shared" si="272"/>
        <v>-9.4699999999999989</v>
      </c>
      <c r="AJ350" s="9">
        <f t="shared" si="273"/>
        <v>0.90500000000000114</v>
      </c>
      <c r="AK350" s="9">
        <f t="shared" si="274"/>
        <v>-0.14499999999999602</v>
      </c>
      <c r="AL350" s="9">
        <f t="shared" si="275"/>
        <v>9.4999999999998863E-2</v>
      </c>
      <c r="AM350" s="9">
        <f t="shared" si="276"/>
        <v>-0.79500000000000171</v>
      </c>
      <c r="AN350" s="9">
        <f t="shared" si="277"/>
        <v>-2.9750000000000014</v>
      </c>
      <c r="AO350" s="9">
        <f t="shared" si="278"/>
        <v>-4.644999999999996</v>
      </c>
      <c r="AP350" s="9">
        <f t="shared" si="279"/>
        <v>-5.6824999999999974</v>
      </c>
      <c r="AQ350" s="9">
        <f t="shared" si="280"/>
        <v>-5.9750000000000014</v>
      </c>
      <c r="AR350" s="9">
        <f t="shared" si="281"/>
        <v>-6.3449999999999989</v>
      </c>
      <c r="AS350" s="9">
        <f t="shared" si="282"/>
        <v>0.625</v>
      </c>
      <c r="AT350" s="9">
        <f t="shared" si="283"/>
        <v>-0.375</v>
      </c>
      <c r="AU350" s="9">
        <f t="shared" si="284"/>
        <v>0.24500000000000099</v>
      </c>
      <c r="AV350" s="9">
        <f t="shared" si="285"/>
        <v>-0.50499999999999901</v>
      </c>
      <c r="AW350" s="9">
        <f t="shared" si="286"/>
        <v>-2.125</v>
      </c>
      <c r="AX350" s="9">
        <f t="shared" si="287"/>
        <v>-3.375</v>
      </c>
      <c r="AY350" s="9">
        <f t="shared" si="288"/>
        <v>-4.3374999999999986</v>
      </c>
      <c r="AZ350" s="9">
        <f t="shared" si="289"/>
        <v>-3.375</v>
      </c>
      <c r="BA350" s="9">
        <f t="shared" si="290"/>
        <v>-2.875</v>
      </c>
      <c r="BB350" s="9">
        <f t="shared" si="291"/>
        <v>0.85499999999999865</v>
      </c>
      <c r="BC350" s="9">
        <f t="shared" si="292"/>
        <v>0.15499999999999936</v>
      </c>
      <c r="BD350" s="9">
        <f t="shared" si="293"/>
        <v>0.85499999999999865</v>
      </c>
      <c r="BE350" s="9">
        <f t="shared" si="294"/>
        <v>2.4999999999998579E-2</v>
      </c>
      <c r="BF350" s="9">
        <f t="shared" si="295"/>
        <v>-1.5950000000000006</v>
      </c>
      <c r="BG350" s="9">
        <f t="shared" si="296"/>
        <v>-2.6450000000000014</v>
      </c>
      <c r="BH350" s="9">
        <f t="shared" si="297"/>
        <v>-3.6824999999999992</v>
      </c>
      <c r="BI350" s="9">
        <f t="shared" si="298"/>
        <v>-2.5950000000000006</v>
      </c>
      <c r="BJ350" s="9">
        <f t="shared" si="299"/>
        <v>-1.6450000000000014</v>
      </c>
    </row>
    <row r="351" spans="1:62" x14ac:dyDescent="0.2">
      <c r="A351" s="9">
        <f>data!M352-data!M351</f>
        <v>2.5795999999999992</v>
      </c>
      <c r="B351" s="9">
        <f>data!C352-data!C351</f>
        <v>10.27</v>
      </c>
      <c r="C351" s="9">
        <f>data!D352-data!D351</f>
        <v>1.4649999999999999</v>
      </c>
      <c r="D351" s="10">
        <f>data!B352-data!B351</f>
        <v>-1.5049999999999999</v>
      </c>
      <c r="E351" s="9">
        <f>data!E351-data!G351</f>
        <v>1.0408999999999999</v>
      </c>
      <c r="F351" s="9">
        <f>(data!E351-data!F351)-(data!G351-data!H351)</f>
        <v>1.0106999999999999</v>
      </c>
      <c r="G351" s="9">
        <f t="shared" si="250"/>
        <v>-0.1895</v>
      </c>
      <c r="H351" s="9">
        <f t="shared" si="251"/>
        <v>-0.24669999999999992</v>
      </c>
      <c r="I351" s="9">
        <f>IF(data!M352&gt; 111.81,1,0)</f>
        <v>0</v>
      </c>
      <c r="J351" s="9">
        <f t="shared" si="252"/>
        <v>1</v>
      </c>
      <c r="K351" s="9">
        <f t="shared" si="253"/>
        <v>0</v>
      </c>
      <c r="L351" s="9">
        <f t="shared" si="254"/>
        <v>2.5795999999999992</v>
      </c>
      <c r="M351" s="9">
        <f>data!J351</f>
        <v>-32.6</v>
      </c>
      <c r="N351" s="9">
        <f>data!I351</f>
        <v>-64.63</v>
      </c>
      <c r="O351" s="9">
        <f>data!L351</f>
        <v>-48.75</v>
      </c>
      <c r="P351" s="9">
        <f>data!K351</f>
        <v>-21.5</v>
      </c>
      <c r="Q351" s="9">
        <f>data!R351</f>
        <v>-11.8</v>
      </c>
      <c r="R351" s="9">
        <f t="shared" si="255"/>
        <v>-2.25</v>
      </c>
      <c r="S351" s="9">
        <f t="shared" si="256"/>
        <v>-3.6999999999999957</v>
      </c>
      <c r="T351" s="9">
        <f t="shared" si="257"/>
        <v>-6.75</v>
      </c>
      <c r="U351" s="9">
        <f t="shared" si="258"/>
        <v>-8.8500000000000014</v>
      </c>
      <c r="V351" s="9">
        <f t="shared" si="259"/>
        <v>-8.6499999999999986</v>
      </c>
      <c r="W351" s="9">
        <f t="shared" si="260"/>
        <v>-9.5249999999999986</v>
      </c>
      <c r="X351" s="9">
        <f t="shared" si="261"/>
        <v>-12.559999999999995</v>
      </c>
      <c r="Y351" s="9">
        <f t="shared" si="262"/>
        <v>-18.649999999999999</v>
      </c>
      <c r="Z351" s="9">
        <f t="shared" si="263"/>
        <v>-35.869999999999997</v>
      </c>
      <c r="AA351" s="9">
        <f t="shared" si="264"/>
        <v>-0.87000000000000455</v>
      </c>
      <c r="AB351" s="9">
        <f t="shared" si="265"/>
        <v>-0.87000000000000455</v>
      </c>
      <c r="AC351" s="9">
        <f t="shared" si="266"/>
        <v>-2.3200000000000074</v>
      </c>
      <c r="AD351" s="9">
        <f t="shared" si="267"/>
        <v>-4.5</v>
      </c>
      <c r="AE351" s="9">
        <f t="shared" si="268"/>
        <v>-6.1700000000000017</v>
      </c>
      <c r="AF351" s="9">
        <f t="shared" si="269"/>
        <v>-5.0825000000000102</v>
      </c>
      <c r="AG351" s="9">
        <f t="shared" si="270"/>
        <v>-6.75</v>
      </c>
      <c r="AH351" s="9">
        <f t="shared" si="271"/>
        <v>-9.8700000000000045</v>
      </c>
      <c r="AI351" s="9">
        <f t="shared" si="272"/>
        <v>-26.870000000000005</v>
      </c>
      <c r="AJ351" s="9">
        <f t="shared" si="273"/>
        <v>-1.0499999999999972</v>
      </c>
      <c r="AK351" s="9">
        <f t="shared" si="274"/>
        <v>-0.81000000000000227</v>
      </c>
      <c r="AL351" s="9">
        <f t="shared" si="275"/>
        <v>-1.7000000000000028</v>
      </c>
      <c r="AM351" s="9">
        <f t="shared" si="276"/>
        <v>-3.8800000000000026</v>
      </c>
      <c r="AN351" s="9">
        <f t="shared" si="277"/>
        <v>-5.5499999999999972</v>
      </c>
      <c r="AO351" s="9">
        <f t="shared" si="278"/>
        <v>-6.5874999999999986</v>
      </c>
      <c r="AP351" s="9">
        <f t="shared" si="279"/>
        <v>-6.8800000000000026</v>
      </c>
      <c r="AQ351" s="9">
        <f t="shared" si="280"/>
        <v>-7.25</v>
      </c>
      <c r="AR351" s="9">
        <f t="shared" si="281"/>
        <v>-13.630000000000003</v>
      </c>
      <c r="AS351" s="9">
        <f t="shared" si="282"/>
        <v>-1</v>
      </c>
      <c r="AT351" s="9">
        <f t="shared" si="283"/>
        <v>-0.37999999999999901</v>
      </c>
      <c r="AU351" s="9">
        <f t="shared" si="284"/>
        <v>-1.129999999999999</v>
      </c>
      <c r="AV351" s="9">
        <f t="shared" si="285"/>
        <v>-2.75</v>
      </c>
      <c r="AW351" s="9">
        <f t="shared" si="286"/>
        <v>-4</v>
      </c>
      <c r="AX351" s="9">
        <f t="shared" si="287"/>
        <v>-4.9624999999999986</v>
      </c>
      <c r="AY351" s="9">
        <f t="shared" si="288"/>
        <v>-4</v>
      </c>
      <c r="AZ351" s="9">
        <f t="shared" si="289"/>
        <v>-3.5</v>
      </c>
      <c r="BA351" s="9">
        <f t="shared" si="290"/>
        <v>-4.879999999999999</v>
      </c>
      <c r="BB351" s="9">
        <f t="shared" si="291"/>
        <v>-0.69999999999999929</v>
      </c>
      <c r="BC351" s="9">
        <f t="shared" si="292"/>
        <v>0</v>
      </c>
      <c r="BD351" s="9">
        <f t="shared" si="293"/>
        <v>-0.83000000000000007</v>
      </c>
      <c r="BE351" s="9">
        <f t="shared" si="294"/>
        <v>-2.4499999999999993</v>
      </c>
      <c r="BF351" s="9">
        <f t="shared" si="295"/>
        <v>-3.5</v>
      </c>
      <c r="BG351" s="9">
        <f t="shared" si="296"/>
        <v>-4.5374999999999979</v>
      </c>
      <c r="BH351" s="9">
        <f t="shared" si="297"/>
        <v>-3.4499999999999993</v>
      </c>
      <c r="BI351" s="9">
        <f t="shared" si="298"/>
        <v>-2.5</v>
      </c>
      <c r="BJ351" s="9">
        <f t="shared" si="299"/>
        <v>-2.1999999999999993</v>
      </c>
    </row>
    <row r="352" spans="1:62" x14ac:dyDescent="0.2">
      <c r="A352" s="9">
        <f>data!M353-data!M352</f>
        <v>0.30939999999999657</v>
      </c>
      <c r="B352" s="9">
        <f>data!C353-data!C352</f>
        <v>1.7100000000000009</v>
      </c>
      <c r="C352" s="9">
        <f>data!D353-data!D352</f>
        <v>-1.1274999999999995</v>
      </c>
      <c r="D352" s="10">
        <f>data!B353-data!B352</f>
        <v>0.6175000000000006</v>
      </c>
      <c r="E352" s="9">
        <f>data!E352-data!G352</f>
        <v>0.85139999999999993</v>
      </c>
      <c r="F352" s="9">
        <f>(data!E352-data!F352)-(data!G352-data!H352)</f>
        <v>0.76400000000000001</v>
      </c>
      <c r="G352" s="9">
        <f t="shared" si="250"/>
        <v>3.7000000000000144E-2</v>
      </c>
      <c r="H352" s="9">
        <f t="shared" si="251"/>
        <v>2.3400000000000198E-2</v>
      </c>
      <c r="I352" s="9">
        <f>IF(data!M353&gt; 111.81,1,0)</f>
        <v>0</v>
      </c>
      <c r="J352" s="9">
        <f t="shared" si="252"/>
        <v>1</v>
      </c>
      <c r="K352" s="9">
        <f t="shared" si="253"/>
        <v>0</v>
      </c>
      <c r="L352" s="9">
        <f t="shared" si="254"/>
        <v>0.30939999999999657</v>
      </c>
      <c r="M352" s="9">
        <f>data!J352</f>
        <v>-34.85</v>
      </c>
      <c r="N352" s="9">
        <f>data!I352</f>
        <v>-65.5</v>
      </c>
      <c r="O352" s="9">
        <f>data!L352</f>
        <v>-49.8</v>
      </c>
      <c r="P352" s="9">
        <f>data!K352</f>
        <v>-22.5</v>
      </c>
      <c r="Q352" s="9">
        <f>data!R352</f>
        <v>-12.5</v>
      </c>
      <c r="R352" s="9">
        <f t="shared" si="255"/>
        <v>-1.4499999999999957</v>
      </c>
      <c r="S352" s="9">
        <f t="shared" si="256"/>
        <v>-4.5</v>
      </c>
      <c r="T352" s="9">
        <f t="shared" si="257"/>
        <v>-6.6000000000000014</v>
      </c>
      <c r="U352" s="9">
        <f t="shared" si="258"/>
        <v>-6.3999999999999986</v>
      </c>
      <c r="V352" s="9">
        <f t="shared" si="259"/>
        <v>-7.2749999999999986</v>
      </c>
      <c r="W352" s="9">
        <f t="shared" si="260"/>
        <v>-10.309999999999995</v>
      </c>
      <c r="X352" s="9">
        <f t="shared" si="261"/>
        <v>-16.399999999999999</v>
      </c>
      <c r="Y352" s="9">
        <f t="shared" si="262"/>
        <v>-33.619999999999997</v>
      </c>
      <c r="Z352" s="9">
        <f t="shared" si="263"/>
        <v>-36.15</v>
      </c>
      <c r="AA352" s="9">
        <f t="shared" si="264"/>
        <v>0</v>
      </c>
      <c r="AB352" s="9">
        <f t="shared" si="265"/>
        <v>-1.4500000000000028</v>
      </c>
      <c r="AC352" s="9">
        <f t="shared" si="266"/>
        <v>-3.6299999999999955</v>
      </c>
      <c r="AD352" s="9">
        <f t="shared" si="267"/>
        <v>-5.2999999999999972</v>
      </c>
      <c r="AE352" s="9">
        <f t="shared" si="268"/>
        <v>-4.2125000000000057</v>
      </c>
      <c r="AF352" s="9">
        <f t="shared" si="269"/>
        <v>-5.8799999999999955</v>
      </c>
      <c r="AG352" s="9">
        <f t="shared" si="270"/>
        <v>-9</v>
      </c>
      <c r="AH352" s="9">
        <f t="shared" si="271"/>
        <v>-26</v>
      </c>
      <c r="AI352" s="9">
        <f t="shared" si="272"/>
        <v>-30.5</v>
      </c>
      <c r="AJ352" s="9">
        <f t="shared" si="273"/>
        <v>0.23999999999999488</v>
      </c>
      <c r="AK352" s="9">
        <f t="shared" si="274"/>
        <v>-0.65000000000000568</v>
      </c>
      <c r="AL352" s="9">
        <f t="shared" si="275"/>
        <v>-2.8300000000000054</v>
      </c>
      <c r="AM352" s="9">
        <f t="shared" si="276"/>
        <v>-4.5</v>
      </c>
      <c r="AN352" s="9">
        <f t="shared" si="277"/>
        <v>-5.5375000000000014</v>
      </c>
      <c r="AO352" s="9">
        <f t="shared" si="278"/>
        <v>-5.8300000000000054</v>
      </c>
      <c r="AP352" s="9">
        <f t="shared" si="279"/>
        <v>-6.2000000000000028</v>
      </c>
      <c r="AQ352" s="9">
        <f t="shared" si="280"/>
        <v>-12.580000000000005</v>
      </c>
      <c r="AR352" s="9">
        <f t="shared" si="281"/>
        <v>-15.575000000000003</v>
      </c>
      <c r="AS352" s="9">
        <f t="shared" si="282"/>
        <v>0.62000000000000099</v>
      </c>
      <c r="AT352" s="9">
        <f t="shared" si="283"/>
        <v>-0.12999999999999901</v>
      </c>
      <c r="AU352" s="9">
        <f t="shared" si="284"/>
        <v>-1.75</v>
      </c>
      <c r="AV352" s="9">
        <f t="shared" si="285"/>
        <v>-3</v>
      </c>
      <c r="AW352" s="9">
        <f t="shared" si="286"/>
        <v>-3.9624999999999986</v>
      </c>
      <c r="AX352" s="9">
        <f t="shared" si="287"/>
        <v>-3</v>
      </c>
      <c r="AY352" s="9">
        <f t="shared" si="288"/>
        <v>-2.5</v>
      </c>
      <c r="AZ352" s="9">
        <f t="shared" si="289"/>
        <v>-3.879999999999999</v>
      </c>
      <c r="BA352" s="9">
        <f t="shared" si="290"/>
        <v>-6.125</v>
      </c>
      <c r="BB352" s="9">
        <f t="shared" si="291"/>
        <v>0.69999999999999929</v>
      </c>
      <c r="BC352" s="9">
        <f t="shared" si="292"/>
        <v>-0.13000000000000078</v>
      </c>
      <c r="BD352" s="9">
        <f t="shared" si="293"/>
        <v>-1.75</v>
      </c>
      <c r="BE352" s="9">
        <f t="shared" si="294"/>
        <v>-2.8000000000000007</v>
      </c>
      <c r="BF352" s="9">
        <f t="shared" si="295"/>
        <v>-3.8374999999999986</v>
      </c>
      <c r="BG352" s="9">
        <f t="shared" si="296"/>
        <v>-2.75</v>
      </c>
      <c r="BH352" s="9">
        <f t="shared" si="297"/>
        <v>-1.8000000000000007</v>
      </c>
      <c r="BI352" s="9">
        <f t="shared" si="298"/>
        <v>-1.5</v>
      </c>
      <c r="BJ352" s="9">
        <f t="shared" si="299"/>
        <v>-3.375</v>
      </c>
    </row>
    <row r="353" spans="1:62" x14ac:dyDescent="0.2">
      <c r="A353" s="9">
        <f>data!M354-data!M353</f>
        <v>-0.75289999999999679</v>
      </c>
      <c r="B353" s="9">
        <f>data!C354-data!C353</f>
        <v>-6.759999999999998</v>
      </c>
      <c r="C353" s="9">
        <f>data!D354-data!D353</f>
        <v>-1.1449999999999996</v>
      </c>
      <c r="D353" s="10">
        <f>data!B354-data!B353</f>
        <v>1.6499999999999995</v>
      </c>
      <c r="E353" s="9">
        <f>data!E353-data!G353</f>
        <v>0.88840000000000008</v>
      </c>
      <c r="F353" s="9">
        <f>(data!E353-data!F353)-(data!G353-data!H353)</f>
        <v>0.78740000000000021</v>
      </c>
      <c r="G353" s="9">
        <f t="shared" si="250"/>
        <v>0.20499999999999985</v>
      </c>
      <c r="H353" s="9">
        <f t="shared" si="251"/>
        <v>0.15579999999999983</v>
      </c>
      <c r="I353" s="9">
        <f>IF(data!M354&gt; 111.81,1,0)</f>
        <v>0</v>
      </c>
      <c r="J353" s="9">
        <f t="shared" si="252"/>
        <v>1</v>
      </c>
      <c r="K353" s="9">
        <f t="shared" si="253"/>
        <v>0</v>
      </c>
      <c r="L353" s="9">
        <f t="shared" si="254"/>
        <v>-0.75289999999999679</v>
      </c>
      <c r="M353" s="9">
        <f>data!J353</f>
        <v>-36.299999999999997</v>
      </c>
      <c r="N353" s="9">
        <f>data!I353</f>
        <v>-65.5</v>
      </c>
      <c r="O353" s="9">
        <f>data!L353</f>
        <v>-49.56</v>
      </c>
      <c r="P353" s="9">
        <f>data!K353</f>
        <v>-21.88</v>
      </c>
      <c r="Q353" s="9">
        <f>data!R353</f>
        <v>-11.8</v>
      </c>
      <c r="R353" s="9">
        <f t="shared" si="255"/>
        <v>-3.0500000000000043</v>
      </c>
      <c r="S353" s="9">
        <f t="shared" si="256"/>
        <v>-5.1500000000000057</v>
      </c>
      <c r="T353" s="9">
        <f t="shared" si="257"/>
        <v>-4.9500000000000028</v>
      </c>
      <c r="U353" s="9">
        <f t="shared" si="258"/>
        <v>-5.8250000000000028</v>
      </c>
      <c r="V353" s="9">
        <f t="shared" si="259"/>
        <v>-8.86</v>
      </c>
      <c r="W353" s="9">
        <f t="shared" si="260"/>
        <v>-14.950000000000003</v>
      </c>
      <c r="X353" s="9">
        <f t="shared" si="261"/>
        <v>-32.17</v>
      </c>
      <c r="Y353" s="9">
        <f t="shared" si="262"/>
        <v>-34.700000000000003</v>
      </c>
      <c r="Z353" s="9">
        <f t="shared" si="263"/>
        <v>-16.600000000000001</v>
      </c>
      <c r="AA353" s="9">
        <f t="shared" si="264"/>
        <v>-1.4500000000000028</v>
      </c>
      <c r="AB353" s="9">
        <f t="shared" si="265"/>
        <v>-3.6299999999999955</v>
      </c>
      <c r="AC353" s="9">
        <f t="shared" si="266"/>
        <v>-5.2999999999999972</v>
      </c>
      <c r="AD353" s="9">
        <f t="shared" si="267"/>
        <v>-4.2125000000000057</v>
      </c>
      <c r="AE353" s="9">
        <f t="shared" si="268"/>
        <v>-5.8799999999999955</v>
      </c>
      <c r="AF353" s="9">
        <f t="shared" si="269"/>
        <v>-9</v>
      </c>
      <c r="AG353" s="9">
        <f t="shared" si="270"/>
        <v>-26</v>
      </c>
      <c r="AH353" s="9">
        <f t="shared" si="271"/>
        <v>-30.5</v>
      </c>
      <c r="AI353" s="9">
        <f t="shared" si="272"/>
        <v>-22</v>
      </c>
      <c r="AJ353" s="9">
        <f t="shared" si="273"/>
        <v>-0.89000000000000057</v>
      </c>
      <c r="AK353" s="9">
        <f t="shared" si="274"/>
        <v>-3.0700000000000003</v>
      </c>
      <c r="AL353" s="9">
        <f t="shared" si="275"/>
        <v>-4.7399999999999949</v>
      </c>
      <c r="AM353" s="9">
        <f t="shared" si="276"/>
        <v>-5.7774999999999963</v>
      </c>
      <c r="AN353" s="9">
        <f t="shared" si="277"/>
        <v>-6.07</v>
      </c>
      <c r="AO353" s="9">
        <f t="shared" si="278"/>
        <v>-6.4399999999999977</v>
      </c>
      <c r="AP353" s="9">
        <f t="shared" si="279"/>
        <v>-12.82</v>
      </c>
      <c r="AQ353" s="9">
        <f t="shared" si="280"/>
        <v>-15.814999999999998</v>
      </c>
      <c r="AR353" s="9">
        <f t="shared" si="281"/>
        <v>-15.439999999999998</v>
      </c>
      <c r="AS353" s="9">
        <f t="shared" si="282"/>
        <v>-0.75</v>
      </c>
      <c r="AT353" s="9">
        <f t="shared" si="283"/>
        <v>-2.370000000000001</v>
      </c>
      <c r="AU353" s="9">
        <f t="shared" si="284"/>
        <v>-3.620000000000001</v>
      </c>
      <c r="AV353" s="9">
        <f t="shared" si="285"/>
        <v>-4.5824999999999996</v>
      </c>
      <c r="AW353" s="9">
        <f t="shared" si="286"/>
        <v>-3.620000000000001</v>
      </c>
      <c r="AX353" s="9">
        <f t="shared" si="287"/>
        <v>-3.120000000000001</v>
      </c>
      <c r="AY353" s="9">
        <f t="shared" si="288"/>
        <v>-4.5</v>
      </c>
      <c r="AZ353" s="9">
        <f t="shared" si="289"/>
        <v>-6.745000000000001</v>
      </c>
      <c r="BA353" s="9">
        <f t="shared" si="290"/>
        <v>-5.620000000000001</v>
      </c>
      <c r="BB353" s="9">
        <f t="shared" si="291"/>
        <v>-0.83000000000000007</v>
      </c>
      <c r="BC353" s="9">
        <f t="shared" si="292"/>
        <v>-2.4499999999999993</v>
      </c>
      <c r="BD353" s="9">
        <f t="shared" si="293"/>
        <v>-3.5</v>
      </c>
      <c r="BE353" s="9">
        <f t="shared" si="294"/>
        <v>-4.5374999999999979</v>
      </c>
      <c r="BF353" s="9">
        <f t="shared" si="295"/>
        <v>-3.4499999999999993</v>
      </c>
      <c r="BG353" s="9">
        <f t="shared" si="296"/>
        <v>-2.5</v>
      </c>
      <c r="BH353" s="9">
        <f t="shared" si="297"/>
        <v>-2.1999999999999993</v>
      </c>
      <c r="BI353" s="9">
        <f t="shared" si="298"/>
        <v>-4.0749999999999993</v>
      </c>
      <c r="BJ353" s="9">
        <f t="shared" si="299"/>
        <v>-2.5</v>
      </c>
    </row>
    <row r="354" spans="1:62" x14ac:dyDescent="0.2">
      <c r="A354" s="9">
        <f>data!M355-data!M354</f>
        <v>-1.0352999999999923</v>
      </c>
      <c r="B354" s="9">
        <f>data!C355-data!C354</f>
        <v>-7.9600000000000044</v>
      </c>
      <c r="C354" s="9">
        <f>data!D355-data!D354</f>
        <v>-0.32500000000000107</v>
      </c>
      <c r="D354" s="10">
        <f>data!B355-data!B354</f>
        <v>-9.4999999999999751E-2</v>
      </c>
      <c r="E354" s="9">
        <f>data!E354-data!G354</f>
        <v>1.0933999999999999</v>
      </c>
      <c r="F354" s="9">
        <f>(data!E354-data!F354)-(data!G354-data!H354)</f>
        <v>0.94320000000000004</v>
      </c>
      <c r="G354" s="9">
        <f t="shared" si="250"/>
        <v>0.14030000000000009</v>
      </c>
      <c r="H354" s="9">
        <f t="shared" si="251"/>
        <v>0.16310000000000002</v>
      </c>
      <c r="I354" s="9">
        <f>IF(data!M355&gt; 111.81,1,0)</f>
        <v>0</v>
      </c>
      <c r="J354" s="9">
        <f t="shared" si="252"/>
        <v>1</v>
      </c>
      <c r="K354" s="9">
        <f t="shared" si="253"/>
        <v>0</v>
      </c>
      <c r="L354" s="9">
        <f t="shared" si="254"/>
        <v>-1.0352999999999923</v>
      </c>
      <c r="M354" s="9">
        <f>data!J354</f>
        <v>-39.35</v>
      </c>
      <c r="N354" s="9">
        <f>data!I354</f>
        <v>-66.95</v>
      </c>
      <c r="O354" s="9">
        <f>data!L354</f>
        <v>-50.45</v>
      </c>
      <c r="P354" s="9">
        <f>data!K354</f>
        <v>-22.63</v>
      </c>
      <c r="Q354" s="9">
        <f>data!R354</f>
        <v>-12.63</v>
      </c>
      <c r="R354" s="9">
        <f t="shared" si="255"/>
        <v>-2.1000000000000014</v>
      </c>
      <c r="S354" s="9">
        <f t="shared" si="256"/>
        <v>-1.8999999999999986</v>
      </c>
      <c r="T354" s="9">
        <f t="shared" si="257"/>
        <v>-2.7749999999999986</v>
      </c>
      <c r="U354" s="9">
        <f t="shared" si="258"/>
        <v>-5.8099999999999952</v>
      </c>
      <c r="V354" s="9">
        <f t="shared" si="259"/>
        <v>-11.899999999999999</v>
      </c>
      <c r="W354" s="9">
        <f t="shared" si="260"/>
        <v>-29.119999999999997</v>
      </c>
      <c r="X354" s="9">
        <f t="shared" si="261"/>
        <v>-31.65</v>
      </c>
      <c r="Y354" s="9">
        <f t="shared" si="262"/>
        <v>-13.549999999999997</v>
      </c>
      <c r="Z354" s="9">
        <f t="shared" si="263"/>
        <v>-11.799999999999997</v>
      </c>
      <c r="AA354" s="9">
        <f t="shared" si="264"/>
        <v>-2.1799999999999926</v>
      </c>
      <c r="AB354" s="9">
        <f t="shared" si="265"/>
        <v>-3.8499999999999943</v>
      </c>
      <c r="AC354" s="9">
        <f t="shared" si="266"/>
        <v>-2.7625000000000028</v>
      </c>
      <c r="AD354" s="9">
        <f t="shared" si="267"/>
        <v>-4.4299999999999926</v>
      </c>
      <c r="AE354" s="9">
        <f t="shared" si="268"/>
        <v>-7.5499999999999972</v>
      </c>
      <c r="AF354" s="9">
        <f t="shared" si="269"/>
        <v>-24.549999999999997</v>
      </c>
      <c r="AG354" s="9">
        <f t="shared" si="270"/>
        <v>-29.049999999999997</v>
      </c>
      <c r="AH354" s="9">
        <f t="shared" si="271"/>
        <v>-20.549999999999997</v>
      </c>
      <c r="AI354" s="9">
        <f t="shared" si="272"/>
        <v>-22.049999999999997</v>
      </c>
      <c r="AJ354" s="9">
        <f t="shared" si="273"/>
        <v>-2.1799999999999997</v>
      </c>
      <c r="AK354" s="9">
        <f t="shared" si="274"/>
        <v>-3.8499999999999943</v>
      </c>
      <c r="AL354" s="9">
        <f t="shared" si="275"/>
        <v>-4.8874999999999957</v>
      </c>
      <c r="AM354" s="9">
        <f t="shared" si="276"/>
        <v>-5.18</v>
      </c>
      <c r="AN354" s="9">
        <f t="shared" si="277"/>
        <v>-5.5499999999999972</v>
      </c>
      <c r="AO354" s="9">
        <f t="shared" si="278"/>
        <v>-11.93</v>
      </c>
      <c r="AP354" s="9">
        <f t="shared" si="279"/>
        <v>-14.924999999999997</v>
      </c>
      <c r="AQ354" s="9">
        <f t="shared" si="280"/>
        <v>-14.549999999999997</v>
      </c>
      <c r="AR354" s="9">
        <f t="shared" si="281"/>
        <v>-18.679999999999993</v>
      </c>
      <c r="AS354" s="9">
        <f t="shared" si="282"/>
        <v>-1.620000000000001</v>
      </c>
      <c r="AT354" s="9">
        <f t="shared" si="283"/>
        <v>-2.870000000000001</v>
      </c>
      <c r="AU354" s="9">
        <f t="shared" si="284"/>
        <v>-3.8324999999999996</v>
      </c>
      <c r="AV354" s="9">
        <f t="shared" si="285"/>
        <v>-2.870000000000001</v>
      </c>
      <c r="AW354" s="9">
        <f t="shared" si="286"/>
        <v>-2.370000000000001</v>
      </c>
      <c r="AX354" s="9">
        <f t="shared" si="287"/>
        <v>-3.75</v>
      </c>
      <c r="AY354" s="9">
        <f t="shared" si="288"/>
        <v>-5.995000000000001</v>
      </c>
      <c r="AZ354" s="9">
        <f t="shared" si="289"/>
        <v>-4.870000000000001</v>
      </c>
      <c r="BA354" s="9">
        <f t="shared" si="290"/>
        <v>-8</v>
      </c>
      <c r="BB354" s="9">
        <f t="shared" si="291"/>
        <v>-1.6199999999999992</v>
      </c>
      <c r="BC354" s="9">
        <f t="shared" si="292"/>
        <v>-2.67</v>
      </c>
      <c r="BD354" s="9">
        <f t="shared" si="293"/>
        <v>-3.7074999999999978</v>
      </c>
      <c r="BE354" s="9">
        <f t="shared" si="294"/>
        <v>-2.6199999999999992</v>
      </c>
      <c r="BF354" s="9">
        <f t="shared" si="295"/>
        <v>-1.67</v>
      </c>
      <c r="BG354" s="9">
        <f t="shared" si="296"/>
        <v>-1.3699999999999992</v>
      </c>
      <c r="BH354" s="9">
        <f t="shared" si="297"/>
        <v>-3.2449999999999992</v>
      </c>
      <c r="BI354" s="9">
        <f t="shared" si="298"/>
        <v>-1.67</v>
      </c>
      <c r="BJ354" s="9">
        <f t="shared" si="299"/>
        <v>-3.1199999999999992</v>
      </c>
    </row>
    <row r="355" spans="1:62" x14ac:dyDescent="0.2">
      <c r="A355" s="9">
        <f>data!M356-data!M355</f>
        <v>6.7399999999992133E-2</v>
      </c>
      <c r="B355" s="9">
        <f>data!C356-data!C355</f>
        <v>3.0800000000000018</v>
      </c>
      <c r="C355" s="9">
        <f>data!D356-data!D355</f>
        <v>0.55499999999999972</v>
      </c>
      <c r="D355" s="10">
        <f>data!B356-data!B355</f>
        <v>-0.92499999999999982</v>
      </c>
      <c r="E355" s="9">
        <f>data!E355-data!G355</f>
        <v>1.2337</v>
      </c>
      <c r="F355" s="9">
        <f>(data!E355-data!F355)-(data!G355-data!H355)</f>
        <v>1.1063000000000001</v>
      </c>
      <c r="G355" s="9">
        <f t="shared" si="250"/>
        <v>-1.9500000000000073E-2</v>
      </c>
      <c r="H355" s="9">
        <f t="shared" si="251"/>
        <v>-1.3900000000000023E-2</v>
      </c>
      <c r="I355" s="9">
        <f>IF(data!M356&gt; 111.81,1,0)</f>
        <v>0</v>
      </c>
      <c r="J355" s="9">
        <f t="shared" si="252"/>
        <v>1</v>
      </c>
      <c r="K355" s="9">
        <f t="shared" si="253"/>
        <v>0</v>
      </c>
      <c r="L355" s="9">
        <f t="shared" si="254"/>
        <v>6.7399999999992133E-2</v>
      </c>
      <c r="M355" s="9">
        <f>data!J355</f>
        <v>-41.45</v>
      </c>
      <c r="N355" s="9">
        <f>data!I355</f>
        <v>-69.13</v>
      </c>
      <c r="O355" s="9">
        <f>data!L355</f>
        <v>-52.63</v>
      </c>
      <c r="P355" s="9">
        <f>data!K355</f>
        <v>-24.25</v>
      </c>
      <c r="Q355" s="9">
        <f>data!R355</f>
        <v>-14.25</v>
      </c>
      <c r="R355" s="9">
        <f t="shared" si="255"/>
        <v>0.20000000000000284</v>
      </c>
      <c r="S355" s="9">
        <f t="shared" si="256"/>
        <v>-0.67499999999999716</v>
      </c>
      <c r="T355" s="9">
        <f t="shared" si="257"/>
        <v>-3.7099999999999937</v>
      </c>
      <c r="U355" s="9">
        <f t="shared" si="258"/>
        <v>-9.7999999999999972</v>
      </c>
      <c r="V355" s="9">
        <f t="shared" si="259"/>
        <v>-27.019999999999996</v>
      </c>
      <c r="W355" s="9">
        <f t="shared" si="260"/>
        <v>-29.549999999999997</v>
      </c>
      <c r="X355" s="9">
        <f t="shared" si="261"/>
        <v>-11.449999999999996</v>
      </c>
      <c r="Y355" s="9">
        <f t="shared" si="262"/>
        <v>-9.6999999999999957</v>
      </c>
      <c r="Z355" s="9">
        <f t="shared" si="263"/>
        <v>-10.75</v>
      </c>
      <c r="AA355" s="9">
        <f t="shared" si="264"/>
        <v>-1.6700000000000017</v>
      </c>
      <c r="AB355" s="9">
        <f t="shared" si="265"/>
        <v>-0.58250000000001023</v>
      </c>
      <c r="AC355" s="9">
        <f t="shared" si="266"/>
        <v>-2.25</v>
      </c>
      <c r="AD355" s="9">
        <f t="shared" si="267"/>
        <v>-5.3700000000000045</v>
      </c>
      <c r="AE355" s="9">
        <f t="shared" si="268"/>
        <v>-22.370000000000005</v>
      </c>
      <c r="AF355" s="9">
        <f t="shared" si="269"/>
        <v>-26.870000000000005</v>
      </c>
      <c r="AG355" s="9">
        <f t="shared" si="270"/>
        <v>-18.370000000000005</v>
      </c>
      <c r="AH355" s="9">
        <f t="shared" si="271"/>
        <v>-19.870000000000005</v>
      </c>
      <c r="AI355" s="9">
        <f t="shared" si="272"/>
        <v>-28.25</v>
      </c>
      <c r="AJ355" s="9">
        <f t="shared" si="273"/>
        <v>-1.6699999999999946</v>
      </c>
      <c r="AK355" s="9">
        <f t="shared" si="274"/>
        <v>-2.707499999999996</v>
      </c>
      <c r="AL355" s="9">
        <f t="shared" si="275"/>
        <v>-3</v>
      </c>
      <c r="AM355" s="9">
        <f t="shared" si="276"/>
        <v>-3.3699999999999974</v>
      </c>
      <c r="AN355" s="9">
        <f t="shared" si="277"/>
        <v>-9.75</v>
      </c>
      <c r="AO355" s="9">
        <f t="shared" si="278"/>
        <v>-12.744999999999997</v>
      </c>
      <c r="AP355" s="9">
        <f t="shared" si="279"/>
        <v>-12.369999999999997</v>
      </c>
      <c r="AQ355" s="9">
        <f t="shared" si="280"/>
        <v>-16.499999999999993</v>
      </c>
      <c r="AR355" s="9">
        <f t="shared" si="281"/>
        <v>-23.369999999999997</v>
      </c>
      <c r="AS355" s="9">
        <f t="shared" si="282"/>
        <v>-1.25</v>
      </c>
      <c r="AT355" s="9">
        <f t="shared" si="283"/>
        <v>-2.2124999999999986</v>
      </c>
      <c r="AU355" s="9">
        <f t="shared" si="284"/>
        <v>-1.25</v>
      </c>
      <c r="AV355" s="9">
        <f t="shared" si="285"/>
        <v>-0.75</v>
      </c>
      <c r="AW355" s="9">
        <f t="shared" si="286"/>
        <v>-2.129999999999999</v>
      </c>
      <c r="AX355" s="9">
        <f t="shared" si="287"/>
        <v>-4.375</v>
      </c>
      <c r="AY355" s="9">
        <f t="shared" si="288"/>
        <v>-3.25</v>
      </c>
      <c r="AZ355" s="9">
        <f t="shared" si="289"/>
        <v>-6.379999999999999</v>
      </c>
      <c r="BA355" s="9">
        <f t="shared" si="290"/>
        <v>-8.4500000000000028</v>
      </c>
      <c r="BB355" s="9">
        <f t="shared" si="291"/>
        <v>-1.0500000000000007</v>
      </c>
      <c r="BC355" s="9">
        <f t="shared" si="292"/>
        <v>-2.0874999999999986</v>
      </c>
      <c r="BD355" s="9">
        <f t="shared" si="293"/>
        <v>-1</v>
      </c>
      <c r="BE355" s="9">
        <f t="shared" si="294"/>
        <v>-5.0000000000000711E-2</v>
      </c>
      <c r="BF355" s="9">
        <f t="shared" si="295"/>
        <v>0.25</v>
      </c>
      <c r="BG355" s="9">
        <f t="shared" si="296"/>
        <v>-1.625</v>
      </c>
      <c r="BH355" s="9">
        <f t="shared" si="297"/>
        <v>-5.0000000000000711E-2</v>
      </c>
      <c r="BI355" s="9">
        <f t="shared" si="298"/>
        <v>-1.5</v>
      </c>
      <c r="BJ355" s="9">
        <f t="shared" si="299"/>
        <v>-0.15000000000000036</v>
      </c>
    </row>
    <row r="356" spans="1:62" x14ac:dyDescent="0.2">
      <c r="A356" s="9">
        <f>data!M357-data!M356</f>
        <v>-1.6407999999999987</v>
      </c>
      <c r="B356" s="9">
        <f>data!C357-data!C356</f>
        <v>-6.7899999999999991</v>
      </c>
      <c r="C356" s="9">
        <f>data!D357-data!D356</f>
        <v>-2.9999999999999361E-2</v>
      </c>
      <c r="D356" s="10">
        <f>data!B357-data!B356</f>
        <v>0.92499999999999982</v>
      </c>
      <c r="E356" s="9">
        <f>data!E356-data!G356</f>
        <v>1.2141999999999999</v>
      </c>
      <c r="F356" s="9">
        <f>(data!E356-data!F356)-(data!G356-data!H356)</f>
        <v>1.0924</v>
      </c>
      <c r="G356" s="9">
        <f t="shared" si="250"/>
        <v>6.3500000000000112E-2</v>
      </c>
      <c r="H356" s="9">
        <f t="shared" si="251"/>
        <v>3.4100000000000019E-2</v>
      </c>
      <c r="I356" s="9">
        <f>IF(data!M357&gt; 111.81,1,0)</f>
        <v>0</v>
      </c>
      <c r="J356" s="9">
        <f t="shared" si="252"/>
        <v>1</v>
      </c>
      <c r="K356" s="9">
        <f t="shared" si="253"/>
        <v>0</v>
      </c>
      <c r="L356" s="9">
        <f t="shared" si="254"/>
        <v>-1.6407999999999987</v>
      </c>
      <c r="M356" s="9">
        <f>data!J356</f>
        <v>-41.25</v>
      </c>
      <c r="N356" s="9">
        <f>data!I356</f>
        <v>-70.8</v>
      </c>
      <c r="O356" s="9">
        <f>data!L356</f>
        <v>-54.3</v>
      </c>
      <c r="P356" s="9">
        <f>data!K356</f>
        <v>-25.5</v>
      </c>
      <c r="Q356" s="9">
        <f>data!R356</f>
        <v>-15.3</v>
      </c>
      <c r="R356" s="9">
        <f t="shared" si="255"/>
        <v>-0.875</v>
      </c>
      <c r="S356" s="9">
        <f t="shared" si="256"/>
        <v>-3.9099999999999966</v>
      </c>
      <c r="T356" s="9">
        <f t="shared" si="257"/>
        <v>-10</v>
      </c>
      <c r="U356" s="9">
        <f t="shared" si="258"/>
        <v>-27.22</v>
      </c>
      <c r="V356" s="9">
        <f t="shared" si="259"/>
        <v>-29.75</v>
      </c>
      <c r="W356" s="9">
        <f t="shared" si="260"/>
        <v>-11.649999999999999</v>
      </c>
      <c r="X356" s="9">
        <f t="shared" si="261"/>
        <v>-9.8999999999999986</v>
      </c>
      <c r="Y356" s="9">
        <f t="shared" si="262"/>
        <v>-10.950000000000003</v>
      </c>
      <c r="Z356" s="9">
        <f t="shared" si="263"/>
        <v>-8.5</v>
      </c>
      <c r="AA356" s="9">
        <f t="shared" si="264"/>
        <v>1.0874999999999915</v>
      </c>
      <c r="AB356" s="9">
        <f t="shared" si="265"/>
        <v>-0.57999999999999829</v>
      </c>
      <c r="AC356" s="9">
        <f t="shared" si="266"/>
        <v>-3.7000000000000028</v>
      </c>
      <c r="AD356" s="9">
        <f t="shared" si="267"/>
        <v>-20.700000000000003</v>
      </c>
      <c r="AE356" s="9">
        <f t="shared" si="268"/>
        <v>-25.200000000000003</v>
      </c>
      <c r="AF356" s="9">
        <f t="shared" si="269"/>
        <v>-16.700000000000003</v>
      </c>
      <c r="AG356" s="9">
        <f t="shared" si="270"/>
        <v>-18.200000000000003</v>
      </c>
      <c r="AH356" s="9">
        <f t="shared" si="271"/>
        <v>-26.58</v>
      </c>
      <c r="AI356" s="9">
        <f t="shared" si="272"/>
        <v>-23.200000000000003</v>
      </c>
      <c r="AJ356" s="9">
        <f t="shared" si="273"/>
        <v>-1.0375000000000014</v>
      </c>
      <c r="AK356" s="9">
        <f t="shared" si="274"/>
        <v>-1.3300000000000054</v>
      </c>
      <c r="AL356" s="9">
        <f t="shared" si="275"/>
        <v>-1.7000000000000028</v>
      </c>
      <c r="AM356" s="9">
        <f t="shared" si="276"/>
        <v>-8.0800000000000054</v>
      </c>
      <c r="AN356" s="9">
        <f t="shared" si="277"/>
        <v>-11.075000000000003</v>
      </c>
      <c r="AO356" s="9">
        <f t="shared" si="278"/>
        <v>-10.700000000000003</v>
      </c>
      <c r="AP356" s="9">
        <f t="shared" si="279"/>
        <v>-14.829999999999998</v>
      </c>
      <c r="AQ356" s="9">
        <f t="shared" si="280"/>
        <v>-21.700000000000003</v>
      </c>
      <c r="AR356" s="9">
        <f t="shared" si="281"/>
        <v>-20.5</v>
      </c>
      <c r="AS356" s="9">
        <f t="shared" si="282"/>
        <v>-0.96249999999999858</v>
      </c>
      <c r="AT356" s="9">
        <f t="shared" si="283"/>
        <v>0</v>
      </c>
      <c r="AU356" s="9">
        <f t="shared" si="284"/>
        <v>0.5</v>
      </c>
      <c r="AV356" s="9">
        <f t="shared" si="285"/>
        <v>-0.87999999999999901</v>
      </c>
      <c r="AW356" s="9">
        <f t="shared" si="286"/>
        <v>-3.125</v>
      </c>
      <c r="AX356" s="9">
        <f t="shared" si="287"/>
        <v>-2</v>
      </c>
      <c r="AY356" s="9">
        <f t="shared" si="288"/>
        <v>-5.129999999999999</v>
      </c>
      <c r="AZ356" s="9">
        <f t="shared" si="289"/>
        <v>-7.2000000000000028</v>
      </c>
      <c r="BA356" s="9">
        <f t="shared" si="290"/>
        <v>-7</v>
      </c>
      <c r="BB356" s="9">
        <f t="shared" si="291"/>
        <v>-1.0374999999999979</v>
      </c>
      <c r="BC356" s="9">
        <f t="shared" si="292"/>
        <v>5.0000000000000711E-2</v>
      </c>
      <c r="BD356" s="9">
        <f t="shared" si="293"/>
        <v>1</v>
      </c>
      <c r="BE356" s="9">
        <f t="shared" si="294"/>
        <v>1.3000000000000007</v>
      </c>
      <c r="BF356" s="9">
        <f t="shared" si="295"/>
        <v>-0.57499999999999929</v>
      </c>
      <c r="BG356" s="9">
        <f t="shared" si="296"/>
        <v>1</v>
      </c>
      <c r="BH356" s="9">
        <f t="shared" si="297"/>
        <v>-0.44999999999999929</v>
      </c>
      <c r="BI356" s="9">
        <f t="shared" si="298"/>
        <v>0.90000000000000036</v>
      </c>
      <c r="BJ356" s="9">
        <f t="shared" si="299"/>
        <v>1</v>
      </c>
    </row>
    <row r="357" spans="1:62" x14ac:dyDescent="0.2">
      <c r="A357" s="9">
        <f>data!M358-data!M357</f>
        <v>1.6771999999999991</v>
      </c>
      <c r="B357" s="9">
        <f>data!C358-data!C357</f>
        <v>5.629999999999999</v>
      </c>
      <c r="C357" s="9">
        <f>data!D358-data!D357</f>
        <v>-0.40499999999999936</v>
      </c>
      <c r="D357" s="10">
        <f>data!B358-data!B357</f>
        <v>-0.90500000000000025</v>
      </c>
      <c r="E357" s="9">
        <f>data!E357-data!G357</f>
        <v>1.2777000000000001</v>
      </c>
      <c r="F357" s="9">
        <f>(data!E357-data!F357)-(data!G357-data!H357)</f>
        <v>1.1265000000000001</v>
      </c>
      <c r="G357" s="9">
        <f t="shared" si="250"/>
        <v>-0.23299999999999987</v>
      </c>
      <c r="H357" s="9">
        <f t="shared" si="251"/>
        <v>-0.16219999999999979</v>
      </c>
      <c r="I357" s="9">
        <f>IF(data!M358&gt; 111.81,1,0)</f>
        <v>0</v>
      </c>
      <c r="J357" s="9">
        <f t="shared" si="252"/>
        <v>1</v>
      </c>
      <c r="K357" s="9">
        <f t="shared" si="253"/>
        <v>0</v>
      </c>
      <c r="L357" s="9">
        <f t="shared" si="254"/>
        <v>1.6771999999999991</v>
      </c>
      <c r="M357" s="9">
        <f>data!J357</f>
        <v>-42.125</v>
      </c>
      <c r="N357" s="9">
        <f>data!I357</f>
        <v>-69.712500000000006</v>
      </c>
      <c r="O357" s="9">
        <f>data!L357</f>
        <v>-55.337499999999999</v>
      </c>
      <c r="P357" s="9">
        <f>data!K357</f>
        <v>-26.462499999999999</v>
      </c>
      <c r="Q357" s="9">
        <f>data!R357</f>
        <v>-16.337499999999999</v>
      </c>
      <c r="R357" s="9">
        <f t="shared" si="255"/>
        <v>-3.0349999999999966</v>
      </c>
      <c r="S357" s="9">
        <f t="shared" si="256"/>
        <v>-9.125</v>
      </c>
      <c r="T357" s="9">
        <f t="shared" si="257"/>
        <v>-26.344999999999999</v>
      </c>
      <c r="U357" s="9">
        <f t="shared" si="258"/>
        <v>-28.875</v>
      </c>
      <c r="V357" s="9">
        <f t="shared" si="259"/>
        <v>-10.774999999999999</v>
      </c>
      <c r="W357" s="9">
        <f t="shared" si="260"/>
        <v>-9.0249999999999986</v>
      </c>
      <c r="X357" s="9">
        <f t="shared" si="261"/>
        <v>-10.075000000000003</v>
      </c>
      <c r="Y357" s="9">
        <f t="shared" si="262"/>
        <v>-7.625</v>
      </c>
      <c r="Z357" s="9">
        <f t="shared" si="263"/>
        <v>-5.875</v>
      </c>
      <c r="AA357" s="9">
        <f t="shared" si="264"/>
        <v>-1.6674999999999898</v>
      </c>
      <c r="AB357" s="9">
        <f t="shared" si="265"/>
        <v>-4.7874999999999943</v>
      </c>
      <c r="AC357" s="9">
        <f t="shared" si="266"/>
        <v>-21.787499999999994</v>
      </c>
      <c r="AD357" s="9">
        <f t="shared" si="267"/>
        <v>-26.287499999999994</v>
      </c>
      <c r="AE357" s="9">
        <f t="shared" si="268"/>
        <v>-17.787499999999994</v>
      </c>
      <c r="AF357" s="9">
        <f t="shared" si="269"/>
        <v>-19.287499999999994</v>
      </c>
      <c r="AG357" s="9">
        <f t="shared" si="270"/>
        <v>-27.66749999999999</v>
      </c>
      <c r="AH357" s="9">
        <f t="shared" si="271"/>
        <v>-24.287499999999994</v>
      </c>
      <c r="AI357" s="9">
        <f t="shared" si="272"/>
        <v>-24.412499999999994</v>
      </c>
      <c r="AJ357" s="9">
        <f t="shared" si="273"/>
        <v>-0.29250000000000398</v>
      </c>
      <c r="AK357" s="9">
        <f t="shared" si="274"/>
        <v>-0.66250000000000142</v>
      </c>
      <c r="AL357" s="9">
        <f t="shared" si="275"/>
        <v>-7.042500000000004</v>
      </c>
      <c r="AM357" s="9">
        <f t="shared" si="276"/>
        <v>-10.037500000000001</v>
      </c>
      <c r="AN357" s="9">
        <f t="shared" si="277"/>
        <v>-9.6625000000000014</v>
      </c>
      <c r="AO357" s="9">
        <f t="shared" si="278"/>
        <v>-13.792499999999997</v>
      </c>
      <c r="AP357" s="9">
        <f t="shared" si="279"/>
        <v>-20.662500000000001</v>
      </c>
      <c r="AQ357" s="9">
        <f t="shared" si="280"/>
        <v>-19.462499999999999</v>
      </c>
      <c r="AR357" s="9">
        <f t="shared" si="281"/>
        <v>-22.162500000000001</v>
      </c>
      <c r="AS357" s="9">
        <f t="shared" si="282"/>
        <v>0.96249999999999858</v>
      </c>
      <c r="AT357" s="9">
        <f t="shared" si="283"/>
        <v>1.4624999999999986</v>
      </c>
      <c r="AU357" s="9">
        <f t="shared" si="284"/>
        <v>8.2499999999999574E-2</v>
      </c>
      <c r="AV357" s="9">
        <f t="shared" si="285"/>
        <v>-2.1625000000000014</v>
      </c>
      <c r="AW357" s="9">
        <f t="shared" si="286"/>
        <v>-1.0375000000000014</v>
      </c>
      <c r="AX357" s="9">
        <f t="shared" si="287"/>
        <v>-4.1675000000000004</v>
      </c>
      <c r="AY357" s="9">
        <f t="shared" si="288"/>
        <v>-6.2375000000000043</v>
      </c>
      <c r="AZ357" s="9">
        <f t="shared" si="289"/>
        <v>-6.0375000000000014</v>
      </c>
      <c r="BA357" s="9">
        <f t="shared" si="290"/>
        <v>-11.037500000000001</v>
      </c>
      <c r="BB357" s="9">
        <f t="shared" si="291"/>
        <v>1.0874999999999986</v>
      </c>
      <c r="BC357" s="9">
        <f t="shared" si="292"/>
        <v>2.0374999999999979</v>
      </c>
      <c r="BD357" s="9">
        <f t="shared" si="293"/>
        <v>2.3374999999999986</v>
      </c>
      <c r="BE357" s="9">
        <f t="shared" si="294"/>
        <v>0.46249999999999858</v>
      </c>
      <c r="BF357" s="9">
        <f t="shared" si="295"/>
        <v>2.0374999999999979</v>
      </c>
      <c r="BG357" s="9">
        <f t="shared" si="296"/>
        <v>0.58749999999999858</v>
      </c>
      <c r="BH357" s="9">
        <f t="shared" si="297"/>
        <v>1.9374999999999982</v>
      </c>
      <c r="BI357" s="9">
        <f t="shared" si="298"/>
        <v>2.0374999999999979</v>
      </c>
      <c r="BJ357" s="9">
        <f t="shared" si="299"/>
        <v>-1.4125000000000014</v>
      </c>
    </row>
    <row r="358" spans="1:62" x14ac:dyDescent="0.2">
      <c r="A358" s="9">
        <f>data!M359-data!M358</f>
        <v>0.54340000000000543</v>
      </c>
      <c r="B358" s="9">
        <f>data!C359-data!C358</f>
        <v>-0.12000000000000099</v>
      </c>
      <c r="C358" s="9">
        <f>data!D359-data!D358</f>
        <v>0.20500000000000007</v>
      </c>
      <c r="D358" s="10">
        <f>data!B359-data!B358</f>
        <v>-1.499999999999968E-2</v>
      </c>
      <c r="E358" s="9">
        <f>data!E358-data!G358</f>
        <v>1.0447000000000002</v>
      </c>
      <c r="F358" s="9">
        <f>(data!E358-data!F358)-(data!G358-data!H358)</f>
        <v>0.96430000000000027</v>
      </c>
      <c r="G358" s="9">
        <f t="shared" si="250"/>
        <v>4.5699999999999852E-2</v>
      </c>
      <c r="H358" s="9">
        <f t="shared" si="251"/>
        <v>2.2099999999999786E-2</v>
      </c>
      <c r="I358" s="9">
        <f>IF(data!M359&gt; 111.81,1,0)</f>
        <v>0</v>
      </c>
      <c r="J358" s="9">
        <f t="shared" si="252"/>
        <v>1</v>
      </c>
      <c r="K358" s="9">
        <f t="shared" si="253"/>
        <v>0</v>
      </c>
      <c r="L358" s="9">
        <f t="shared" si="254"/>
        <v>0.54340000000000543</v>
      </c>
      <c r="M358" s="9">
        <f>data!J358</f>
        <v>-45.16</v>
      </c>
      <c r="N358" s="9">
        <f>data!I358</f>
        <v>-71.38</v>
      </c>
      <c r="O358" s="9">
        <f>data!L358</f>
        <v>-55.63</v>
      </c>
      <c r="P358" s="9">
        <f>data!K358</f>
        <v>-25.5</v>
      </c>
      <c r="Q358" s="9">
        <f>data!R358</f>
        <v>-15.25</v>
      </c>
      <c r="R358" s="9">
        <f t="shared" si="255"/>
        <v>-6.0900000000000034</v>
      </c>
      <c r="S358" s="9">
        <f t="shared" si="256"/>
        <v>-23.310000000000002</v>
      </c>
      <c r="T358" s="9">
        <f t="shared" si="257"/>
        <v>-25.840000000000003</v>
      </c>
      <c r="U358" s="9">
        <f t="shared" si="258"/>
        <v>-7.740000000000002</v>
      </c>
      <c r="V358" s="9">
        <f t="shared" si="259"/>
        <v>-5.990000000000002</v>
      </c>
      <c r="W358" s="9">
        <f t="shared" si="260"/>
        <v>-7.0400000000000063</v>
      </c>
      <c r="X358" s="9">
        <f t="shared" si="261"/>
        <v>-4.5900000000000034</v>
      </c>
      <c r="Y358" s="9">
        <f t="shared" si="262"/>
        <v>-2.8400000000000034</v>
      </c>
      <c r="Z358" s="9">
        <f t="shared" si="263"/>
        <v>3.8099999999999952</v>
      </c>
      <c r="AA358" s="9">
        <f t="shared" si="264"/>
        <v>-3.1200000000000045</v>
      </c>
      <c r="AB358" s="9">
        <f t="shared" si="265"/>
        <v>-20.120000000000005</v>
      </c>
      <c r="AC358" s="9">
        <f t="shared" si="266"/>
        <v>-24.620000000000005</v>
      </c>
      <c r="AD358" s="9">
        <f t="shared" si="267"/>
        <v>-16.120000000000005</v>
      </c>
      <c r="AE358" s="9">
        <f t="shared" si="268"/>
        <v>-17.620000000000005</v>
      </c>
      <c r="AF358" s="9">
        <f t="shared" si="269"/>
        <v>-26</v>
      </c>
      <c r="AG358" s="9">
        <f t="shared" si="270"/>
        <v>-22.620000000000005</v>
      </c>
      <c r="AH358" s="9">
        <f t="shared" si="271"/>
        <v>-22.745000000000005</v>
      </c>
      <c r="AI358" s="9">
        <f t="shared" si="272"/>
        <v>-16.620000000000005</v>
      </c>
      <c r="AJ358" s="9">
        <f t="shared" si="273"/>
        <v>-0.36999999999999744</v>
      </c>
      <c r="AK358" s="9">
        <f t="shared" si="274"/>
        <v>-6.75</v>
      </c>
      <c r="AL358" s="9">
        <f t="shared" si="275"/>
        <v>-9.7449999999999974</v>
      </c>
      <c r="AM358" s="9">
        <f t="shared" si="276"/>
        <v>-9.3699999999999974</v>
      </c>
      <c r="AN358" s="9">
        <f t="shared" si="277"/>
        <v>-13.499999999999993</v>
      </c>
      <c r="AO358" s="9">
        <f t="shared" si="278"/>
        <v>-20.369999999999997</v>
      </c>
      <c r="AP358" s="9">
        <f t="shared" si="279"/>
        <v>-19.169999999999995</v>
      </c>
      <c r="AQ358" s="9">
        <f t="shared" si="280"/>
        <v>-21.869999999999997</v>
      </c>
      <c r="AR358" s="9">
        <f t="shared" si="281"/>
        <v>-17.374999999999993</v>
      </c>
      <c r="AS358" s="9">
        <f t="shared" si="282"/>
        <v>0.5</v>
      </c>
      <c r="AT358" s="9">
        <f t="shared" si="283"/>
        <v>-0.87999999999999901</v>
      </c>
      <c r="AU358" s="9">
        <f t="shared" si="284"/>
        <v>-3.125</v>
      </c>
      <c r="AV358" s="9">
        <f t="shared" si="285"/>
        <v>-2</v>
      </c>
      <c r="AW358" s="9">
        <f t="shared" si="286"/>
        <v>-5.129999999999999</v>
      </c>
      <c r="AX358" s="9">
        <f t="shared" si="287"/>
        <v>-7.2000000000000028</v>
      </c>
      <c r="AY358" s="9">
        <f t="shared" si="288"/>
        <v>-7</v>
      </c>
      <c r="AZ358" s="9">
        <f t="shared" si="289"/>
        <v>-12</v>
      </c>
      <c r="BA358" s="9">
        <f t="shared" si="290"/>
        <v>-8.3800000000000026</v>
      </c>
      <c r="BB358" s="9">
        <f t="shared" si="291"/>
        <v>0.94999999999999929</v>
      </c>
      <c r="BC358" s="9">
        <f t="shared" si="292"/>
        <v>1.25</v>
      </c>
      <c r="BD358" s="9">
        <f t="shared" si="293"/>
        <v>-0.625</v>
      </c>
      <c r="BE358" s="9">
        <f t="shared" si="294"/>
        <v>0.94999999999999929</v>
      </c>
      <c r="BF358" s="9">
        <f t="shared" si="295"/>
        <v>-0.5</v>
      </c>
      <c r="BG358" s="9">
        <f t="shared" si="296"/>
        <v>0.84999999999999964</v>
      </c>
      <c r="BH358" s="9">
        <f t="shared" si="297"/>
        <v>0.94999999999999929</v>
      </c>
      <c r="BI358" s="9">
        <f t="shared" si="298"/>
        <v>-2.5</v>
      </c>
      <c r="BJ358" s="9">
        <f t="shared" si="299"/>
        <v>0.5600000000000005</v>
      </c>
    </row>
    <row r="359" spans="1:62" x14ac:dyDescent="0.2">
      <c r="A359" s="9">
        <f>data!M360-data!M359</f>
        <v>0.5087999999999937</v>
      </c>
      <c r="B359" s="9">
        <f>data!C360-data!C359</f>
        <v>1.9600000000000009</v>
      </c>
      <c r="C359" s="9">
        <f>data!D360-data!D359</f>
        <v>-0.36750000000000149</v>
      </c>
      <c r="D359" s="10">
        <f>data!B360-data!B359</f>
        <v>0.42999999999999972</v>
      </c>
      <c r="E359" s="9">
        <f>data!E359-data!G359</f>
        <v>1.0904</v>
      </c>
      <c r="F359" s="9">
        <f>(data!E359-data!F359)-(data!G359-data!H359)</f>
        <v>0.98640000000000005</v>
      </c>
      <c r="G359" s="9">
        <f t="shared" si="250"/>
        <v>-2.1999999999999797E-2</v>
      </c>
      <c r="H359" s="9">
        <f t="shared" si="251"/>
        <v>-8.1199999999999828E-2</v>
      </c>
      <c r="I359" s="9">
        <f>IF(data!M360&gt; 111.81,1,0)</f>
        <v>0</v>
      </c>
      <c r="J359" s="9">
        <f t="shared" si="252"/>
        <v>1</v>
      </c>
      <c r="K359" s="9">
        <f t="shared" si="253"/>
        <v>0</v>
      </c>
      <c r="L359" s="9">
        <f t="shared" si="254"/>
        <v>0.5087999999999937</v>
      </c>
      <c r="M359" s="9">
        <f>data!J359</f>
        <v>-51.25</v>
      </c>
      <c r="N359" s="9">
        <f>data!I359</f>
        <v>-74.5</v>
      </c>
      <c r="O359" s="9">
        <f>data!L359</f>
        <v>-56</v>
      </c>
      <c r="P359" s="9">
        <f>data!K359</f>
        <v>-25</v>
      </c>
      <c r="Q359" s="9">
        <f>data!R359</f>
        <v>-14.3</v>
      </c>
      <c r="R359" s="9">
        <f t="shared" si="255"/>
        <v>-17.22</v>
      </c>
      <c r="S359" s="9">
        <f t="shared" si="256"/>
        <v>-19.75</v>
      </c>
      <c r="T359" s="9">
        <f t="shared" si="257"/>
        <v>-1.6499999999999986</v>
      </c>
      <c r="U359" s="9">
        <f t="shared" si="258"/>
        <v>0.10000000000000142</v>
      </c>
      <c r="V359" s="9">
        <f t="shared" si="259"/>
        <v>-0.95000000000000284</v>
      </c>
      <c r="W359" s="9">
        <f t="shared" si="260"/>
        <v>1.5</v>
      </c>
      <c r="X359" s="9">
        <f t="shared" si="261"/>
        <v>3.25</v>
      </c>
      <c r="Y359" s="9">
        <f t="shared" si="262"/>
        <v>9.8999999999999986</v>
      </c>
      <c r="Z359" s="9">
        <f t="shared" si="263"/>
        <v>19.25</v>
      </c>
      <c r="AA359" s="9">
        <f t="shared" si="264"/>
        <v>-17</v>
      </c>
      <c r="AB359" s="9">
        <f t="shared" si="265"/>
        <v>-21.5</v>
      </c>
      <c r="AC359" s="9">
        <f t="shared" si="266"/>
        <v>-13</v>
      </c>
      <c r="AD359" s="9">
        <f t="shared" si="267"/>
        <v>-14.5</v>
      </c>
      <c r="AE359" s="9">
        <f t="shared" si="268"/>
        <v>-22.879999999999995</v>
      </c>
      <c r="AF359" s="9">
        <f t="shared" si="269"/>
        <v>-19.5</v>
      </c>
      <c r="AG359" s="9">
        <f t="shared" si="270"/>
        <v>-19.625</v>
      </c>
      <c r="AH359" s="9">
        <f t="shared" si="271"/>
        <v>-13.5</v>
      </c>
      <c r="AI359" s="9">
        <f t="shared" si="272"/>
        <v>-7.6299999999999955</v>
      </c>
      <c r="AJ359" s="9">
        <f t="shared" si="273"/>
        <v>-6.3800000000000026</v>
      </c>
      <c r="AK359" s="9">
        <f t="shared" si="274"/>
        <v>-9.375</v>
      </c>
      <c r="AL359" s="9">
        <f t="shared" si="275"/>
        <v>-9</v>
      </c>
      <c r="AM359" s="9">
        <f t="shared" si="276"/>
        <v>-13.129999999999995</v>
      </c>
      <c r="AN359" s="9">
        <f t="shared" si="277"/>
        <v>-20</v>
      </c>
      <c r="AO359" s="9">
        <f t="shared" si="278"/>
        <v>-18.799999999999997</v>
      </c>
      <c r="AP359" s="9">
        <f t="shared" si="279"/>
        <v>-21.5</v>
      </c>
      <c r="AQ359" s="9">
        <f t="shared" si="280"/>
        <v>-17.004999999999995</v>
      </c>
      <c r="AR359" s="9">
        <f t="shared" si="281"/>
        <v>-12.439999999999998</v>
      </c>
      <c r="AS359" s="9">
        <f t="shared" si="282"/>
        <v>-1.379999999999999</v>
      </c>
      <c r="AT359" s="9">
        <f t="shared" si="283"/>
        <v>-3.625</v>
      </c>
      <c r="AU359" s="9">
        <f t="shared" si="284"/>
        <v>-2.5</v>
      </c>
      <c r="AV359" s="9">
        <f t="shared" si="285"/>
        <v>-5.629999999999999</v>
      </c>
      <c r="AW359" s="9">
        <f t="shared" si="286"/>
        <v>-7.7000000000000028</v>
      </c>
      <c r="AX359" s="9">
        <f t="shared" si="287"/>
        <v>-7.5</v>
      </c>
      <c r="AY359" s="9">
        <f t="shared" si="288"/>
        <v>-12.5</v>
      </c>
      <c r="AZ359" s="9">
        <f t="shared" si="289"/>
        <v>-8.8800000000000026</v>
      </c>
      <c r="BA359" s="9">
        <f t="shared" si="290"/>
        <v>-5.3150000000000013</v>
      </c>
      <c r="BB359" s="9">
        <f t="shared" si="291"/>
        <v>0.30000000000000071</v>
      </c>
      <c r="BC359" s="9">
        <f t="shared" si="292"/>
        <v>-1.5749999999999993</v>
      </c>
      <c r="BD359" s="9">
        <f t="shared" si="293"/>
        <v>0</v>
      </c>
      <c r="BE359" s="9">
        <f t="shared" si="294"/>
        <v>-1.4499999999999993</v>
      </c>
      <c r="BF359" s="9">
        <f t="shared" si="295"/>
        <v>-9.9999999999999645E-2</v>
      </c>
      <c r="BG359" s="9">
        <f t="shared" si="296"/>
        <v>0</v>
      </c>
      <c r="BH359" s="9">
        <f t="shared" si="297"/>
        <v>-3.4499999999999993</v>
      </c>
      <c r="BI359" s="9">
        <f t="shared" si="298"/>
        <v>-0.38999999999999879</v>
      </c>
      <c r="BJ359" s="9">
        <f t="shared" si="299"/>
        <v>2.9850000000000012</v>
      </c>
    </row>
    <row r="360" spans="1:62" x14ac:dyDescent="0.2">
      <c r="A360" s="9">
        <f>data!M361-data!M360</f>
        <v>1.7779000000000025</v>
      </c>
      <c r="B360" s="9">
        <f>data!C361-data!C360</f>
        <v>2.4699999999999989</v>
      </c>
      <c r="C360" s="9">
        <f>data!D361-data!D360</f>
        <v>0.53250000000000064</v>
      </c>
      <c r="D360" s="10">
        <f>data!B361-data!B360</f>
        <v>0.29000000000000004</v>
      </c>
      <c r="E360" s="9">
        <f>data!E360-data!G360</f>
        <v>1.0684000000000002</v>
      </c>
      <c r="F360" s="9">
        <f>(data!E360-data!F360)-(data!G360-data!H360)</f>
        <v>0.90520000000000023</v>
      </c>
      <c r="G360" s="9">
        <f t="shared" si="250"/>
        <v>-0.12790000000000012</v>
      </c>
      <c r="H360" s="9">
        <f t="shared" si="251"/>
        <v>-0.10020000000000018</v>
      </c>
      <c r="I360" s="9">
        <f>IF(data!M361&gt; 111.81,1,0)</f>
        <v>0</v>
      </c>
      <c r="J360" s="9">
        <f t="shared" si="252"/>
        <v>1</v>
      </c>
      <c r="K360" s="9">
        <f t="shared" si="253"/>
        <v>0</v>
      </c>
      <c r="L360" s="9">
        <f t="shared" si="254"/>
        <v>1.7779000000000025</v>
      </c>
      <c r="M360" s="9">
        <f>data!J360</f>
        <v>-68.47</v>
      </c>
      <c r="N360" s="9">
        <f>data!I360</f>
        <v>-91.5</v>
      </c>
      <c r="O360" s="9">
        <f>data!L360</f>
        <v>-62.38</v>
      </c>
      <c r="P360" s="9">
        <f>data!K360</f>
        <v>-26.38</v>
      </c>
      <c r="Q360" s="9">
        <f>data!R360</f>
        <v>-14</v>
      </c>
      <c r="R360" s="9">
        <f t="shared" si="255"/>
        <v>-2.5300000000000011</v>
      </c>
      <c r="S360" s="9">
        <f t="shared" si="256"/>
        <v>15.57</v>
      </c>
      <c r="T360" s="9">
        <f t="shared" si="257"/>
        <v>17.32</v>
      </c>
      <c r="U360" s="9">
        <f t="shared" si="258"/>
        <v>16.269999999999996</v>
      </c>
      <c r="V360" s="9">
        <f t="shared" si="259"/>
        <v>18.72</v>
      </c>
      <c r="W360" s="9">
        <f t="shared" si="260"/>
        <v>20.47</v>
      </c>
      <c r="X360" s="9">
        <f t="shared" si="261"/>
        <v>27.119999999999997</v>
      </c>
      <c r="Y360" s="9">
        <f t="shared" si="262"/>
        <v>36.47</v>
      </c>
      <c r="Z360" s="9">
        <f t="shared" si="263"/>
        <v>37.72</v>
      </c>
      <c r="AA360" s="9">
        <f t="shared" si="264"/>
        <v>-4.5</v>
      </c>
      <c r="AB360" s="9">
        <f t="shared" si="265"/>
        <v>4</v>
      </c>
      <c r="AC360" s="9">
        <f t="shared" si="266"/>
        <v>2.5</v>
      </c>
      <c r="AD360" s="9">
        <f t="shared" si="267"/>
        <v>-5.8799999999999955</v>
      </c>
      <c r="AE360" s="9">
        <f t="shared" si="268"/>
        <v>-2.5</v>
      </c>
      <c r="AF360" s="9">
        <f t="shared" si="269"/>
        <v>-2.625</v>
      </c>
      <c r="AG360" s="9">
        <f t="shared" si="270"/>
        <v>3.5</v>
      </c>
      <c r="AH360" s="9">
        <f t="shared" si="271"/>
        <v>9.3700000000000045</v>
      </c>
      <c r="AI360" s="9">
        <f t="shared" si="272"/>
        <v>14</v>
      </c>
      <c r="AJ360" s="9">
        <f t="shared" si="273"/>
        <v>-2.9949999999999974</v>
      </c>
      <c r="AK360" s="9">
        <f t="shared" si="274"/>
        <v>-2.6199999999999974</v>
      </c>
      <c r="AL360" s="9">
        <f t="shared" si="275"/>
        <v>-6.7499999999999929</v>
      </c>
      <c r="AM360" s="9">
        <f t="shared" si="276"/>
        <v>-13.619999999999997</v>
      </c>
      <c r="AN360" s="9">
        <f t="shared" si="277"/>
        <v>-12.419999999999995</v>
      </c>
      <c r="AO360" s="9">
        <f t="shared" si="278"/>
        <v>-15.119999999999997</v>
      </c>
      <c r="AP360" s="9">
        <f t="shared" si="279"/>
        <v>-10.624999999999993</v>
      </c>
      <c r="AQ360" s="9">
        <f t="shared" si="280"/>
        <v>-6.0599999999999952</v>
      </c>
      <c r="AR360" s="9">
        <f t="shared" si="281"/>
        <v>-3.0574999999999974</v>
      </c>
      <c r="AS360" s="9">
        <f t="shared" si="282"/>
        <v>-2.245000000000001</v>
      </c>
      <c r="AT360" s="9">
        <f t="shared" si="283"/>
        <v>-1.120000000000001</v>
      </c>
      <c r="AU360" s="9">
        <f t="shared" si="284"/>
        <v>-4.25</v>
      </c>
      <c r="AV360" s="9">
        <f t="shared" si="285"/>
        <v>-6.3200000000000038</v>
      </c>
      <c r="AW360" s="9">
        <f t="shared" si="286"/>
        <v>-6.120000000000001</v>
      </c>
      <c r="AX360" s="9">
        <f t="shared" si="287"/>
        <v>-11.120000000000001</v>
      </c>
      <c r="AY360" s="9">
        <f t="shared" si="288"/>
        <v>-7.5000000000000036</v>
      </c>
      <c r="AZ360" s="9">
        <f t="shared" si="289"/>
        <v>-3.9350000000000023</v>
      </c>
      <c r="BA360" s="9">
        <f t="shared" si="290"/>
        <v>-2.8200000000000003</v>
      </c>
      <c r="BB360" s="9">
        <f t="shared" si="291"/>
        <v>-1.875</v>
      </c>
      <c r="BC360" s="9">
        <f t="shared" si="292"/>
        <v>-0.30000000000000071</v>
      </c>
      <c r="BD360" s="9">
        <f t="shared" si="293"/>
        <v>-1.75</v>
      </c>
      <c r="BE360" s="9">
        <f t="shared" si="294"/>
        <v>-0.40000000000000036</v>
      </c>
      <c r="BF360" s="9">
        <f t="shared" si="295"/>
        <v>-0.30000000000000071</v>
      </c>
      <c r="BG360" s="9">
        <f t="shared" si="296"/>
        <v>-3.75</v>
      </c>
      <c r="BH360" s="9">
        <f t="shared" si="297"/>
        <v>-0.6899999999999995</v>
      </c>
      <c r="BI360" s="9">
        <f t="shared" si="298"/>
        <v>2.6850000000000005</v>
      </c>
      <c r="BJ360" s="9">
        <f t="shared" si="299"/>
        <v>3.0999999999999996</v>
      </c>
    </row>
    <row r="361" spans="1:62" x14ac:dyDescent="0.2">
      <c r="A361" s="9">
        <f>data!M362-data!M361</f>
        <v>-1.7922999999999973</v>
      </c>
      <c r="B361" s="9">
        <f>data!C362-data!C361</f>
        <v>-6.9499999999999993</v>
      </c>
      <c r="C361" s="9">
        <f>data!D362-data!D361</f>
        <v>-0.35999999999999943</v>
      </c>
      <c r="D361" s="10">
        <f>data!B362-data!B361</f>
        <v>0.85500000000000043</v>
      </c>
      <c r="E361" s="9">
        <f>data!E361-data!G361</f>
        <v>0.94050000000000011</v>
      </c>
      <c r="F361" s="9">
        <f>(data!E361-data!F361)-(data!G361-data!H361)</f>
        <v>0.80500000000000005</v>
      </c>
      <c r="G361" s="9">
        <f t="shared" si="250"/>
        <v>2.7600000000000069E-2</v>
      </c>
      <c r="H361" s="9">
        <f t="shared" si="251"/>
        <v>4.510000000000014E-2</v>
      </c>
      <c r="I361" s="9">
        <f>IF(data!M362&gt; 111.81,1,0)</f>
        <v>0</v>
      </c>
      <c r="J361" s="9">
        <f t="shared" si="252"/>
        <v>1</v>
      </c>
      <c r="K361" s="9">
        <f t="shared" si="253"/>
        <v>0</v>
      </c>
      <c r="L361" s="9">
        <f t="shared" si="254"/>
        <v>-1.7922999999999973</v>
      </c>
      <c r="M361" s="9">
        <f>data!J361</f>
        <v>-71</v>
      </c>
      <c r="N361" s="9">
        <f>data!I361</f>
        <v>-96</v>
      </c>
      <c r="O361" s="9">
        <f>data!L361</f>
        <v>-65.375</v>
      </c>
      <c r="P361" s="9">
        <f>data!K361</f>
        <v>-28.625</v>
      </c>
      <c r="Q361" s="9">
        <f>data!R361</f>
        <v>-15.875</v>
      </c>
      <c r="R361" s="9">
        <f t="shared" si="255"/>
        <v>18.100000000000001</v>
      </c>
      <c r="S361" s="9">
        <f t="shared" si="256"/>
        <v>19.850000000000001</v>
      </c>
      <c r="T361" s="9">
        <f t="shared" si="257"/>
        <v>18.799999999999997</v>
      </c>
      <c r="U361" s="9">
        <f t="shared" si="258"/>
        <v>21.25</v>
      </c>
      <c r="V361" s="9">
        <f t="shared" si="259"/>
        <v>23</v>
      </c>
      <c r="W361" s="9">
        <f t="shared" si="260"/>
        <v>29.65</v>
      </c>
      <c r="X361" s="9">
        <f t="shared" si="261"/>
        <v>39</v>
      </c>
      <c r="Y361" s="9">
        <f t="shared" si="262"/>
        <v>40.25</v>
      </c>
      <c r="Z361" s="9">
        <f t="shared" si="263"/>
        <v>44</v>
      </c>
      <c r="AA361" s="9">
        <f t="shared" si="264"/>
        <v>8.5</v>
      </c>
      <c r="AB361" s="9">
        <f t="shared" si="265"/>
        <v>7</v>
      </c>
      <c r="AC361" s="9">
        <f t="shared" si="266"/>
        <v>-1.3799999999999955</v>
      </c>
      <c r="AD361" s="9">
        <f t="shared" si="267"/>
        <v>2</v>
      </c>
      <c r="AE361" s="9">
        <f t="shared" si="268"/>
        <v>1.875</v>
      </c>
      <c r="AF361" s="9">
        <f t="shared" si="269"/>
        <v>8</v>
      </c>
      <c r="AG361" s="9">
        <f t="shared" si="270"/>
        <v>13.870000000000005</v>
      </c>
      <c r="AH361" s="9">
        <f t="shared" si="271"/>
        <v>18.5</v>
      </c>
      <c r="AI361" s="9">
        <f t="shared" si="272"/>
        <v>21.5</v>
      </c>
      <c r="AJ361" s="9">
        <f t="shared" si="273"/>
        <v>0.375</v>
      </c>
      <c r="AK361" s="9">
        <f t="shared" si="274"/>
        <v>-3.7549999999999955</v>
      </c>
      <c r="AL361" s="9">
        <f t="shared" si="275"/>
        <v>-10.625</v>
      </c>
      <c r="AM361" s="9">
        <f t="shared" si="276"/>
        <v>-9.4249999999999972</v>
      </c>
      <c r="AN361" s="9">
        <f t="shared" si="277"/>
        <v>-12.125</v>
      </c>
      <c r="AO361" s="9">
        <f t="shared" si="278"/>
        <v>-7.6299999999999955</v>
      </c>
      <c r="AP361" s="9">
        <f t="shared" si="279"/>
        <v>-3.0649999999999977</v>
      </c>
      <c r="AQ361" s="9">
        <f t="shared" si="280"/>
        <v>-6.25E-2</v>
      </c>
      <c r="AR361" s="9">
        <f t="shared" si="281"/>
        <v>0.375</v>
      </c>
      <c r="AS361" s="9">
        <f t="shared" si="282"/>
        <v>1.125</v>
      </c>
      <c r="AT361" s="9">
        <f t="shared" si="283"/>
        <v>-2.004999999999999</v>
      </c>
      <c r="AU361" s="9">
        <f t="shared" si="284"/>
        <v>-4.0750000000000028</v>
      </c>
      <c r="AV361" s="9">
        <f t="shared" si="285"/>
        <v>-3.875</v>
      </c>
      <c r="AW361" s="9">
        <f t="shared" si="286"/>
        <v>-8.875</v>
      </c>
      <c r="AX361" s="9">
        <f t="shared" si="287"/>
        <v>-5.2550000000000026</v>
      </c>
      <c r="AY361" s="9">
        <f t="shared" si="288"/>
        <v>-1.6900000000000013</v>
      </c>
      <c r="AZ361" s="9">
        <f t="shared" si="289"/>
        <v>-0.57499999999999929</v>
      </c>
      <c r="BA361" s="9">
        <f t="shared" si="290"/>
        <v>-1.875</v>
      </c>
      <c r="BB361" s="9">
        <f t="shared" si="291"/>
        <v>1.5749999999999993</v>
      </c>
      <c r="BC361" s="9">
        <f t="shared" si="292"/>
        <v>0.125</v>
      </c>
      <c r="BD361" s="9">
        <f t="shared" si="293"/>
        <v>1.4749999999999996</v>
      </c>
      <c r="BE361" s="9">
        <f t="shared" si="294"/>
        <v>1.5749999999999993</v>
      </c>
      <c r="BF361" s="9">
        <f t="shared" si="295"/>
        <v>-1.875</v>
      </c>
      <c r="BG361" s="9">
        <f t="shared" si="296"/>
        <v>1.1850000000000005</v>
      </c>
      <c r="BH361" s="9">
        <f t="shared" si="297"/>
        <v>4.5600000000000005</v>
      </c>
      <c r="BI361" s="9">
        <f t="shared" si="298"/>
        <v>4.9749999999999996</v>
      </c>
      <c r="BJ361" s="9">
        <f t="shared" si="299"/>
        <v>3.875</v>
      </c>
    </row>
    <row r="362" spans="1:62" x14ac:dyDescent="0.2">
      <c r="A362" s="9">
        <f>data!M363-data!M362</f>
        <v>0.25900000000000034</v>
      </c>
      <c r="B362" s="9">
        <f>data!C363-data!C362</f>
        <v>-1.1400000000000006</v>
      </c>
      <c r="C362" s="9">
        <f>data!D363-data!D362</f>
        <v>-0.12000000000000099</v>
      </c>
      <c r="D362" s="10">
        <f>data!B363-data!B362</f>
        <v>-0.4300000000000006</v>
      </c>
      <c r="E362" s="9">
        <f>data!E362-data!G362</f>
        <v>0.96810000000000018</v>
      </c>
      <c r="F362" s="9">
        <f>(data!E362-data!F362)-(data!G362-data!H362)</f>
        <v>0.85010000000000019</v>
      </c>
      <c r="G362" s="9">
        <f t="shared" si="250"/>
        <v>7.6999999999999957E-2</v>
      </c>
      <c r="H362" s="9">
        <f t="shared" si="251"/>
        <v>0.10289999999999999</v>
      </c>
      <c r="I362" s="9">
        <f>IF(data!M363&gt; 111.81,1,0)</f>
        <v>0</v>
      </c>
      <c r="J362" s="9">
        <f t="shared" si="252"/>
        <v>1</v>
      </c>
      <c r="K362" s="9">
        <f t="shared" si="253"/>
        <v>0</v>
      </c>
      <c r="L362" s="9">
        <f t="shared" si="254"/>
        <v>0.25900000000000034</v>
      </c>
      <c r="M362" s="9">
        <f>data!J362</f>
        <v>-52.9</v>
      </c>
      <c r="N362" s="9">
        <f>data!I362</f>
        <v>-87.5</v>
      </c>
      <c r="O362" s="9">
        <f>data!L362</f>
        <v>-65</v>
      </c>
      <c r="P362" s="9">
        <f>data!K362</f>
        <v>-27.5</v>
      </c>
      <c r="Q362" s="9">
        <f>data!R362</f>
        <v>-14.3</v>
      </c>
      <c r="R362" s="9">
        <f t="shared" si="255"/>
        <v>1.75</v>
      </c>
      <c r="S362" s="9">
        <f t="shared" si="256"/>
        <v>0.69999999999999574</v>
      </c>
      <c r="T362" s="9">
        <f t="shared" si="257"/>
        <v>3.1499999999999986</v>
      </c>
      <c r="U362" s="9">
        <f t="shared" si="258"/>
        <v>4.8999999999999986</v>
      </c>
      <c r="V362" s="9">
        <f t="shared" si="259"/>
        <v>11.549999999999997</v>
      </c>
      <c r="W362" s="9">
        <f t="shared" si="260"/>
        <v>20.9</v>
      </c>
      <c r="X362" s="9">
        <f t="shared" si="261"/>
        <v>22.15</v>
      </c>
      <c r="Y362" s="9">
        <f t="shared" si="262"/>
        <v>25.9</v>
      </c>
      <c r="Z362" s="9">
        <f t="shared" si="263"/>
        <v>23.849999999999998</v>
      </c>
      <c r="AA362" s="9">
        <f t="shared" si="264"/>
        <v>-1.5</v>
      </c>
      <c r="AB362" s="9">
        <f t="shared" si="265"/>
        <v>-9.8799999999999955</v>
      </c>
      <c r="AC362" s="9">
        <f t="shared" si="266"/>
        <v>-6.5</v>
      </c>
      <c r="AD362" s="9">
        <f t="shared" si="267"/>
        <v>-6.625</v>
      </c>
      <c r="AE362" s="9">
        <f t="shared" si="268"/>
        <v>-0.5</v>
      </c>
      <c r="AF362" s="9">
        <f t="shared" si="269"/>
        <v>5.3700000000000045</v>
      </c>
      <c r="AG362" s="9">
        <f t="shared" si="270"/>
        <v>10</v>
      </c>
      <c r="AH362" s="9">
        <f t="shared" si="271"/>
        <v>13</v>
      </c>
      <c r="AI362" s="9">
        <f t="shared" si="272"/>
        <v>12.75</v>
      </c>
      <c r="AJ362" s="9">
        <f t="shared" si="273"/>
        <v>-4.1299999999999955</v>
      </c>
      <c r="AK362" s="9">
        <f t="shared" si="274"/>
        <v>-11</v>
      </c>
      <c r="AL362" s="9">
        <f t="shared" si="275"/>
        <v>-9.7999999999999972</v>
      </c>
      <c r="AM362" s="9">
        <f t="shared" si="276"/>
        <v>-12.5</v>
      </c>
      <c r="AN362" s="9">
        <f t="shared" si="277"/>
        <v>-8.0049999999999955</v>
      </c>
      <c r="AO362" s="9">
        <f t="shared" si="278"/>
        <v>-3.4399999999999977</v>
      </c>
      <c r="AP362" s="9">
        <f t="shared" si="279"/>
        <v>-0.4375</v>
      </c>
      <c r="AQ362" s="9">
        <f t="shared" si="280"/>
        <v>0</v>
      </c>
      <c r="AR362" s="9">
        <f t="shared" si="281"/>
        <v>0</v>
      </c>
      <c r="AS362" s="9">
        <f t="shared" si="282"/>
        <v>-3.129999999999999</v>
      </c>
      <c r="AT362" s="9">
        <f t="shared" si="283"/>
        <v>-5.2000000000000028</v>
      </c>
      <c r="AU362" s="9">
        <f t="shared" si="284"/>
        <v>-5</v>
      </c>
      <c r="AV362" s="9">
        <f t="shared" si="285"/>
        <v>-10</v>
      </c>
      <c r="AW362" s="9">
        <f t="shared" si="286"/>
        <v>-6.3800000000000026</v>
      </c>
      <c r="AX362" s="9">
        <f t="shared" si="287"/>
        <v>-2.8150000000000013</v>
      </c>
      <c r="AY362" s="9">
        <f t="shared" si="288"/>
        <v>-1.6999999999999993</v>
      </c>
      <c r="AZ362" s="9">
        <f t="shared" si="289"/>
        <v>-3</v>
      </c>
      <c r="BA362" s="9">
        <f t="shared" si="290"/>
        <v>-3.625</v>
      </c>
      <c r="BB362" s="9">
        <f t="shared" si="291"/>
        <v>-1.4499999999999993</v>
      </c>
      <c r="BC362" s="9">
        <f t="shared" si="292"/>
        <v>-9.9999999999999645E-2</v>
      </c>
      <c r="BD362" s="9">
        <f t="shared" si="293"/>
        <v>0</v>
      </c>
      <c r="BE362" s="9">
        <f t="shared" si="294"/>
        <v>-3.4499999999999993</v>
      </c>
      <c r="BF362" s="9">
        <f t="shared" si="295"/>
        <v>-0.38999999999999879</v>
      </c>
      <c r="BG362" s="9">
        <f t="shared" si="296"/>
        <v>2.9850000000000012</v>
      </c>
      <c r="BH362" s="9">
        <f t="shared" si="297"/>
        <v>3.4000000000000004</v>
      </c>
      <c r="BI362" s="9">
        <f t="shared" si="298"/>
        <v>2.3000000000000007</v>
      </c>
      <c r="BJ362" s="9">
        <f t="shared" si="299"/>
        <v>1.1750000000000007</v>
      </c>
    </row>
    <row r="363" spans="1:62" x14ac:dyDescent="0.2">
      <c r="A363" s="9">
        <f>data!M364-data!M363</f>
        <v>1.2129999999999939</v>
      </c>
      <c r="B363" s="9">
        <f>data!C364-data!C363</f>
        <v>-2.09</v>
      </c>
      <c r="C363" s="9">
        <f>data!D364-data!D363</f>
        <v>-0.85999999999999943</v>
      </c>
      <c r="D363" s="10">
        <f>data!B364-data!B363</f>
        <v>0.47000000000000064</v>
      </c>
      <c r="E363" s="9">
        <f>data!E363-data!G363</f>
        <v>1.0451000000000001</v>
      </c>
      <c r="F363" s="9">
        <f>(data!E363-data!F363)-(data!G363-data!H363)</f>
        <v>0.95300000000000018</v>
      </c>
      <c r="G363" s="9">
        <f t="shared" si="250"/>
        <v>-0.17870000000000019</v>
      </c>
      <c r="H363" s="9">
        <f t="shared" si="251"/>
        <v>-0.17840000000000023</v>
      </c>
      <c r="I363" s="9">
        <f>IF(data!M364&gt; 111.81,1,0)</f>
        <v>0</v>
      </c>
      <c r="J363" s="9">
        <f t="shared" si="252"/>
        <v>1</v>
      </c>
      <c r="K363" s="9">
        <f t="shared" si="253"/>
        <v>0</v>
      </c>
      <c r="L363" s="9">
        <f t="shared" si="254"/>
        <v>1.2129999999999939</v>
      </c>
      <c r="M363" s="9">
        <f>data!J363</f>
        <v>-51.15</v>
      </c>
      <c r="N363" s="9">
        <f>data!I363</f>
        <v>-89</v>
      </c>
      <c r="O363" s="9">
        <f>data!L363</f>
        <v>-69.13</v>
      </c>
      <c r="P363" s="9">
        <f>data!K363</f>
        <v>-30.63</v>
      </c>
      <c r="Q363" s="9">
        <f>data!R363</f>
        <v>-15.75</v>
      </c>
      <c r="R363" s="9">
        <f t="shared" si="255"/>
        <v>-1.0500000000000043</v>
      </c>
      <c r="S363" s="9">
        <f t="shared" si="256"/>
        <v>1.3999999999999986</v>
      </c>
      <c r="T363" s="9">
        <f t="shared" si="257"/>
        <v>3.1499999999999986</v>
      </c>
      <c r="U363" s="9">
        <f t="shared" si="258"/>
        <v>9.7999999999999972</v>
      </c>
      <c r="V363" s="9">
        <f t="shared" si="259"/>
        <v>19.149999999999999</v>
      </c>
      <c r="W363" s="9">
        <f t="shared" si="260"/>
        <v>20.399999999999999</v>
      </c>
      <c r="X363" s="9">
        <f t="shared" si="261"/>
        <v>24.15</v>
      </c>
      <c r="Y363" s="9">
        <f t="shared" si="262"/>
        <v>22.099999999999998</v>
      </c>
      <c r="Z363" s="9">
        <f t="shared" si="263"/>
        <v>20.149999999999999</v>
      </c>
      <c r="AA363" s="9">
        <f t="shared" si="264"/>
        <v>-8.3799999999999955</v>
      </c>
      <c r="AB363" s="9">
        <f t="shared" si="265"/>
        <v>-5</v>
      </c>
      <c r="AC363" s="9">
        <f t="shared" si="266"/>
        <v>-5.125</v>
      </c>
      <c r="AD363" s="9">
        <f t="shared" si="267"/>
        <v>1</v>
      </c>
      <c r="AE363" s="9">
        <f t="shared" si="268"/>
        <v>6.8700000000000045</v>
      </c>
      <c r="AF363" s="9">
        <f t="shared" si="269"/>
        <v>11.5</v>
      </c>
      <c r="AG363" s="9">
        <f t="shared" si="270"/>
        <v>14.5</v>
      </c>
      <c r="AH363" s="9">
        <f t="shared" si="271"/>
        <v>14.25</v>
      </c>
      <c r="AI363" s="9">
        <f t="shared" si="272"/>
        <v>14.5</v>
      </c>
      <c r="AJ363" s="9">
        <f t="shared" si="273"/>
        <v>-6.8700000000000045</v>
      </c>
      <c r="AK363" s="9">
        <f t="shared" si="274"/>
        <v>-5.6700000000000017</v>
      </c>
      <c r="AL363" s="9">
        <f t="shared" si="275"/>
        <v>-8.3700000000000045</v>
      </c>
      <c r="AM363" s="9">
        <f t="shared" si="276"/>
        <v>-3.875</v>
      </c>
      <c r="AN363" s="9">
        <f t="shared" si="277"/>
        <v>0.68999999999999773</v>
      </c>
      <c r="AO363" s="9">
        <f t="shared" si="278"/>
        <v>3.6924999999999955</v>
      </c>
      <c r="AP363" s="9">
        <f t="shared" si="279"/>
        <v>4.1299999999999955</v>
      </c>
      <c r="AQ363" s="9">
        <f t="shared" si="280"/>
        <v>4.1299999999999955</v>
      </c>
      <c r="AR363" s="9">
        <f t="shared" si="281"/>
        <v>3.5049999999999955</v>
      </c>
      <c r="AS363" s="9">
        <f t="shared" si="282"/>
        <v>-2.0700000000000038</v>
      </c>
      <c r="AT363" s="9">
        <f t="shared" si="283"/>
        <v>-1.870000000000001</v>
      </c>
      <c r="AU363" s="9">
        <f t="shared" si="284"/>
        <v>-6.870000000000001</v>
      </c>
      <c r="AV363" s="9">
        <f t="shared" si="285"/>
        <v>-3.2500000000000036</v>
      </c>
      <c r="AW363" s="9">
        <f t="shared" si="286"/>
        <v>0.31499999999999773</v>
      </c>
      <c r="AX363" s="9">
        <f t="shared" si="287"/>
        <v>1.4299999999999997</v>
      </c>
      <c r="AY363" s="9">
        <f t="shared" si="288"/>
        <v>0.12999999999999901</v>
      </c>
      <c r="AZ363" s="9">
        <f t="shared" si="289"/>
        <v>-0.49500000000000099</v>
      </c>
      <c r="BA363" s="9">
        <f t="shared" si="290"/>
        <v>-1.995000000000001</v>
      </c>
      <c r="BB363" s="9">
        <f t="shared" si="291"/>
        <v>1.3499999999999996</v>
      </c>
      <c r="BC363" s="9">
        <f t="shared" si="292"/>
        <v>1.4499999999999993</v>
      </c>
      <c r="BD363" s="9">
        <f t="shared" si="293"/>
        <v>-2</v>
      </c>
      <c r="BE363" s="9">
        <f t="shared" si="294"/>
        <v>1.0600000000000005</v>
      </c>
      <c r="BF363" s="9">
        <f t="shared" si="295"/>
        <v>4.4350000000000005</v>
      </c>
      <c r="BG363" s="9">
        <f t="shared" si="296"/>
        <v>4.8499999999999996</v>
      </c>
      <c r="BH363" s="9">
        <f t="shared" si="297"/>
        <v>3.75</v>
      </c>
      <c r="BI363" s="9">
        <f t="shared" si="298"/>
        <v>2.625</v>
      </c>
      <c r="BJ363" s="9">
        <f t="shared" si="299"/>
        <v>1</v>
      </c>
    </row>
    <row r="364" spans="1:62" x14ac:dyDescent="0.2">
      <c r="A364" s="9">
        <f>data!M365-data!M364</f>
        <v>-0.43549999999999045</v>
      </c>
      <c r="B364" s="9">
        <f>data!C365-data!C364</f>
        <v>-3.5599999999999987</v>
      </c>
      <c r="C364" s="9">
        <f>data!D365-data!D364</f>
        <v>0.22000000000000064</v>
      </c>
      <c r="D364" s="10">
        <f>data!B365-data!B364</f>
        <v>1.0199999999999996</v>
      </c>
      <c r="E364" s="9">
        <f>data!E364-data!G364</f>
        <v>0.86639999999999995</v>
      </c>
      <c r="F364" s="9">
        <f>(data!E364-data!F364)-(data!G364-data!H364)</f>
        <v>0.77459999999999996</v>
      </c>
      <c r="G364" s="9">
        <f t="shared" si="250"/>
        <v>0.18500000000000016</v>
      </c>
      <c r="H364" s="9">
        <f t="shared" si="251"/>
        <v>0.12340000000000007</v>
      </c>
      <c r="I364" s="9">
        <f>IF(data!M365&gt; 111.81,1,0)</f>
        <v>0</v>
      </c>
      <c r="J364" s="9">
        <f t="shared" si="252"/>
        <v>1</v>
      </c>
      <c r="K364" s="9">
        <f t="shared" si="253"/>
        <v>0</v>
      </c>
      <c r="L364" s="9">
        <f t="shared" si="254"/>
        <v>-0.43549999999999045</v>
      </c>
      <c r="M364" s="9">
        <f>data!J364</f>
        <v>-52.2</v>
      </c>
      <c r="N364" s="9">
        <f>data!I364</f>
        <v>-97.38</v>
      </c>
      <c r="O364" s="9">
        <f>data!L364</f>
        <v>-76</v>
      </c>
      <c r="P364" s="9">
        <f>data!K364</f>
        <v>-32.700000000000003</v>
      </c>
      <c r="Q364" s="9">
        <f>data!R364</f>
        <v>-14.4</v>
      </c>
      <c r="R364" s="9">
        <f t="shared" si="255"/>
        <v>2.4500000000000028</v>
      </c>
      <c r="S364" s="9">
        <f t="shared" si="256"/>
        <v>4.2000000000000028</v>
      </c>
      <c r="T364" s="9">
        <f t="shared" si="257"/>
        <v>10.850000000000001</v>
      </c>
      <c r="U364" s="9">
        <f t="shared" si="258"/>
        <v>20.200000000000003</v>
      </c>
      <c r="V364" s="9">
        <f t="shared" si="259"/>
        <v>21.450000000000003</v>
      </c>
      <c r="W364" s="9">
        <f t="shared" si="260"/>
        <v>25.200000000000003</v>
      </c>
      <c r="X364" s="9">
        <f t="shared" si="261"/>
        <v>23.150000000000002</v>
      </c>
      <c r="Y364" s="9">
        <f t="shared" si="262"/>
        <v>21.200000000000003</v>
      </c>
      <c r="Z364" s="9">
        <f t="shared" si="263"/>
        <v>25.200000000000003</v>
      </c>
      <c r="AA364" s="9">
        <f t="shared" si="264"/>
        <v>3.3799999999999955</v>
      </c>
      <c r="AB364" s="9">
        <f t="shared" si="265"/>
        <v>3.2549999999999955</v>
      </c>
      <c r="AC364" s="9">
        <f t="shared" si="266"/>
        <v>9.3799999999999955</v>
      </c>
      <c r="AD364" s="9">
        <f t="shared" si="267"/>
        <v>15.25</v>
      </c>
      <c r="AE364" s="9">
        <f t="shared" si="268"/>
        <v>19.879999999999995</v>
      </c>
      <c r="AF364" s="9">
        <f t="shared" si="269"/>
        <v>22.879999999999995</v>
      </c>
      <c r="AG364" s="9">
        <f t="shared" si="270"/>
        <v>22.629999999999995</v>
      </c>
      <c r="AH364" s="9">
        <f t="shared" si="271"/>
        <v>22.879999999999995</v>
      </c>
      <c r="AI364" s="9">
        <f t="shared" si="272"/>
        <v>24.379999999999995</v>
      </c>
      <c r="AJ364" s="9">
        <f t="shared" si="273"/>
        <v>1.2000000000000028</v>
      </c>
      <c r="AK364" s="9">
        <f t="shared" si="274"/>
        <v>-1.5</v>
      </c>
      <c r="AL364" s="9">
        <f t="shared" si="275"/>
        <v>2.9950000000000045</v>
      </c>
      <c r="AM364" s="9">
        <f t="shared" si="276"/>
        <v>7.5600000000000023</v>
      </c>
      <c r="AN364" s="9">
        <f t="shared" si="277"/>
        <v>10.5625</v>
      </c>
      <c r="AO364" s="9">
        <f t="shared" si="278"/>
        <v>11</v>
      </c>
      <c r="AP364" s="9">
        <f t="shared" si="279"/>
        <v>11</v>
      </c>
      <c r="AQ364" s="9">
        <f t="shared" si="280"/>
        <v>10.375</v>
      </c>
      <c r="AR364" s="9">
        <f t="shared" si="281"/>
        <v>13.5</v>
      </c>
      <c r="AS364" s="9">
        <f t="shared" si="282"/>
        <v>0.20000000000000284</v>
      </c>
      <c r="AT364" s="9">
        <f t="shared" si="283"/>
        <v>-4.7999999999999972</v>
      </c>
      <c r="AU364" s="9">
        <f t="shared" si="284"/>
        <v>-1.1799999999999997</v>
      </c>
      <c r="AV364" s="9">
        <f t="shared" si="285"/>
        <v>2.3850000000000016</v>
      </c>
      <c r="AW364" s="9">
        <f t="shared" si="286"/>
        <v>3.5000000000000036</v>
      </c>
      <c r="AX364" s="9">
        <f t="shared" si="287"/>
        <v>2.2000000000000028</v>
      </c>
      <c r="AY364" s="9">
        <f t="shared" si="288"/>
        <v>1.5750000000000028</v>
      </c>
      <c r="AZ364" s="9">
        <f t="shared" si="289"/>
        <v>7.5000000000002842E-2</v>
      </c>
      <c r="BA364" s="9">
        <f t="shared" si="290"/>
        <v>4.2000000000000028</v>
      </c>
      <c r="BB364" s="9">
        <f t="shared" si="291"/>
        <v>9.9999999999999645E-2</v>
      </c>
      <c r="BC364" s="9">
        <f t="shared" si="292"/>
        <v>-3.3499999999999996</v>
      </c>
      <c r="BD364" s="9">
        <f t="shared" si="293"/>
        <v>-0.28999999999999915</v>
      </c>
      <c r="BE364" s="9">
        <f t="shared" si="294"/>
        <v>3.0850000000000009</v>
      </c>
      <c r="BF364" s="9">
        <f t="shared" si="295"/>
        <v>3.5</v>
      </c>
      <c r="BG364" s="9">
        <f t="shared" si="296"/>
        <v>2.4000000000000004</v>
      </c>
      <c r="BH364" s="9">
        <f t="shared" si="297"/>
        <v>1.2750000000000004</v>
      </c>
      <c r="BI364" s="9">
        <f t="shared" si="298"/>
        <v>-0.34999999999999964</v>
      </c>
      <c r="BJ364" s="9">
        <f t="shared" si="299"/>
        <v>3.9000000000000004</v>
      </c>
    </row>
    <row r="365" spans="1:62" x14ac:dyDescent="0.2">
      <c r="A365" s="9">
        <f>data!M366-data!M365</f>
        <v>3.6499999999989541E-2</v>
      </c>
      <c r="B365" s="9">
        <f>data!C366-data!C365</f>
        <v>2.6699999999999982</v>
      </c>
      <c r="C365" s="9">
        <f>data!D366-data!D365</f>
        <v>0.16249999999999964</v>
      </c>
      <c r="D365" s="10">
        <f>data!B366-data!B365</f>
        <v>-0.27249999999999996</v>
      </c>
      <c r="E365" s="9">
        <f>data!E365-data!G365</f>
        <v>1.0514000000000001</v>
      </c>
      <c r="F365" s="9">
        <f>(data!E365-data!F365)-(data!G365-data!H365)</f>
        <v>0.89800000000000002</v>
      </c>
      <c r="G365" s="9">
        <f t="shared" si="250"/>
        <v>-0.15820000000000001</v>
      </c>
      <c r="H365" s="9">
        <f t="shared" si="251"/>
        <v>-0.1129</v>
      </c>
      <c r="I365" s="9">
        <f>IF(data!M366&gt; 111.81,1,0)</f>
        <v>0</v>
      </c>
      <c r="J365" s="9">
        <f t="shared" si="252"/>
        <v>1</v>
      </c>
      <c r="K365" s="9">
        <f t="shared" si="253"/>
        <v>0</v>
      </c>
      <c r="L365" s="9">
        <f t="shared" si="254"/>
        <v>3.6499999999989541E-2</v>
      </c>
      <c r="M365" s="9">
        <f>data!J365</f>
        <v>-49.75</v>
      </c>
      <c r="N365" s="9">
        <f>data!I365</f>
        <v>-94</v>
      </c>
      <c r="O365" s="9">
        <f>data!L365</f>
        <v>-74.8</v>
      </c>
      <c r="P365" s="9">
        <f>data!K365</f>
        <v>-32.5</v>
      </c>
      <c r="Q365" s="9">
        <f>data!R365</f>
        <v>-14.3</v>
      </c>
      <c r="R365" s="9">
        <f t="shared" si="255"/>
        <v>1.75</v>
      </c>
      <c r="S365" s="9">
        <f t="shared" si="256"/>
        <v>8.3999999999999986</v>
      </c>
      <c r="T365" s="9">
        <f t="shared" si="257"/>
        <v>17.75</v>
      </c>
      <c r="U365" s="9">
        <f t="shared" si="258"/>
        <v>19</v>
      </c>
      <c r="V365" s="9">
        <f t="shared" si="259"/>
        <v>22.75</v>
      </c>
      <c r="W365" s="9">
        <f t="shared" si="260"/>
        <v>20.7</v>
      </c>
      <c r="X365" s="9">
        <f t="shared" si="261"/>
        <v>18.75</v>
      </c>
      <c r="Y365" s="9">
        <f t="shared" si="262"/>
        <v>22.75</v>
      </c>
      <c r="Z365" s="9">
        <f t="shared" si="263"/>
        <v>21.5</v>
      </c>
      <c r="AA365" s="9">
        <f t="shared" si="264"/>
        <v>-0.125</v>
      </c>
      <c r="AB365" s="9">
        <f t="shared" si="265"/>
        <v>6</v>
      </c>
      <c r="AC365" s="9">
        <f t="shared" si="266"/>
        <v>11.870000000000005</v>
      </c>
      <c r="AD365" s="9">
        <f t="shared" si="267"/>
        <v>16.5</v>
      </c>
      <c r="AE365" s="9">
        <f t="shared" si="268"/>
        <v>19.5</v>
      </c>
      <c r="AF365" s="9">
        <f t="shared" si="269"/>
        <v>19.25</v>
      </c>
      <c r="AG365" s="9">
        <f t="shared" si="270"/>
        <v>19.5</v>
      </c>
      <c r="AH365" s="9">
        <f t="shared" si="271"/>
        <v>21</v>
      </c>
      <c r="AI365" s="9">
        <f t="shared" si="272"/>
        <v>22</v>
      </c>
      <c r="AJ365" s="9">
        <f t="shared" si="273"/>
        <v>-2.7000000000000028</v>
      </c>
      <c r="AK365" s="9">
        <f t="shared" si="274"/>
        <v>1.7950000000000017</v>
      </c>
      <c r="AL365" s="9">
        <f t="shared" si="275"/>
        <v>6.3599999999999994</v>
      </c>
      <c r="AM365" s="9">
        <f t="shared" si="276"/>
        <v>9.3624999999999972</v>
      </c>
      <c r="AN365" s="9">
        <f t="shared" si="277"/>
        <v>9.7999999999999972</v>
      </c>
      <c r="AO365" s="9">
        <f t="shared" si="278"/>
        <v>9.7999999999999972</v>
      </c>
      <c r="AP365" s="9">
        <f t="shared" si="279"/>
        <v>9.1749999999999972</v>
      </c>
      <c r="AQ365" s="9">
        <f t="shared" si="280"/>
        <v>12.299999999999997</v>
      </c>
      <c r="AR365" s="9">
        <f t="shared" si="281"/>
        <v>13.299999999999997</v>
      </c>
      <c r="AS365" s="9">
        <f t="shared" si="282"/>
        <v>-5</v>
      </c>
      <c r="AT365" s="9">
        <f t="shared" si="283"/>
        <v>-1.3800000000000026</v>
      </c>
      <c r="AU365" s="9">
        <f t="shared" si="284"/>
        <v>2.1849999999999987</v>
      </c>
      <c r="AV365" s="9">
        <f t="shared" si="285"/>
        <v>3.3000000000000007</v>
      </c>
      <c r="AW365" s="9">
        <f t="shared" si="286"/>
        <v>2</v>
      </c>
      <c r="AX365" s="9">
        <f t="shared" si="287"/>
        <v>1.375</v>
      </c>
      <c r="AY365" s="9">
        <f t="shared" si="288"/>
        <v>-0.125</v>
      </c>
      <c r="AZ365" s="9">
        <f t="shared" si="289"/>
        <v>4</v>
      </c>
      <c r="BA365" s="9">
        <f t="shared" si="290"/>
        <v>4.1000000000000014</v>
      </c>
      <c r="BB365" s="9">
        <f t="shared" si="291"/>
        <v>-3.4499999999999993</v>
      </c>
      <c r="BC365" s="9">
        <f t="shared" si="292"/>
        <v>-0.38999999999999879</v>
      </c>
      <c r="BD365" s="9">
        <f t="shared" si="293"/>
        <v>2.9850000000000012</v>
      </c>
      <c r="BE365" s="9">
        <f t="shared" si="294"/>
        <v>3.4000000000000004</v>
      </c>
      <c r="BF365" s="9">
        <f t="shared" si="295"/>
        <v>2.3000000000000007</v>
      </c>
      <c r="BG365" s="9">
        <f t="shared" si="296"/>
        <v>1.1750000000000007</v>
      </c>
      <c r="BH365" s="9">
        <f t="shared" si="297"/>
        <v>-0.44999999999999929</v>
      </c>
      <c r="BI365" s="9">
        <f t="shared" si="298"/>
        <v>3.8000000000000007</v>
      </c>
      <c r="BJ365" s="9">
        <f t="shared" si="299"/>
        <v>4</v>
      </c>
    </row>
    <row r="366" spans="1:62" x14ac:dyDescent="0.2">
      <c r="A366" s="9">
        <f>data!M367-data!M366</f>
        <v>0.29210000000000491</v>
      </c>
      <c r="B366" s="9">
        <f>data!C367-data!C366</f>
        <v>-2.7699999999999996</v>
      </c>
      <c r="C366" s="9">
        <f>data!D367-data!D366</f>
        <v>-0.53250000000000064</v>
      </c>
      <c r="D366" s="10">
        <f>data!B367-data!B366</f>
        <v>-0.19249999999999989</v>
      </c>
      <c r="E366" s="9">
        <f>data!E366-data!G366</f>
        <v>0.8932000000000001</v>
      </c>
      <c r="F366" s="9">
        <f>(data!E366-data!F366)-(data!G366-data!H366)</f>
        <v>0.78510000000000002</v>
      </c>
      <c r="G366" s="9">
        <f t="shared" si="250"/>
        <v>8.8599999999999901E-2</v>
      </c>
      <c r="H366" s="9">
        <f t="shared" si="251"/>
        <v>6.9799999999999973E-2</v>
      </c>
      <c r="I366" s="9">
        <f>IF(data!M367&gt; 111.81,1,0)</f>
        <v>0</v>
      </c>
      <c r="J366" s="9">
        <f t="shared" si="252"/>
        <v>1</v>
      </c>
      <c r="K366" s="9">
        <f t="shared" si="253"/>
        <v>0</v>
      </c>
      <c r="L366" s="9">
        <f t="shared" si="254"/>
        <v>0.29210000000000491</v>
      </c>
      <c r="M366" s="9">
        <f>data!J366</f>
        <v>-48</v>
      </c>
      <c r="N366" s="9">
        <f>data!I366</f>
        <v>-94.125</v>
      </c>
      <c r="O366" s="9">
        <f>data!L366</f>
        <v>-77.5</v>
      </c>
      <c r="P366" s="9">
        <f>data!K366</f>
        <v>-37.5</v>
      </c>
      <c r="Q366" s="9">
        <f>data!R366</f>
        <v>-17.75</v>
      </c>
      <c r="R366" s="9">
        <f t="shared" si="255"/>
        <v>6.6499999999999986</v>
      </c>
      <c r="S366" s="9">
        <f t="shared" si="256"/>
        <v>16</v>
      </c>
      <c r="T366" s="9">
        <f t="shared" si="257"/>
        <v>17.25</v>
      </c>
      <c r="U366" s="9">
        <f t="shared" si="258"/>
        <v>21</v>
      </c>
      <c r="V366" s="9">
        <f t="shared" si="259"/>
        <v>18.95</v>
      </c>
      <c r="W366" s="9">
        <f t="shared" si="260"/>
        <v>17</v>
      </c>
      <c r="X366" s="9">
        <f t="shared" si="261"/>
        <v>21</v>
      </c>
      <c r="Y366" s="9">
        <f t="shared" si="262"/>
        <v>19.75</v>
      </c>
      <c r="Z366" s="9">
        <f t="shared" si="263"/>
        <v>20.75</v>
      </c>
      <c r="AA366" s="9">
        <f t="shared" si="264"/>
        <v>6.125</v>
      </c>
      <c r="AB366" s="9">
        <f t="shared" si="265"/>
        <v>11.995000000000005</v>
      </c>
      <c r="AC366" s="9">
        <f t="shared" si="266"/>
        <v>16.625</v>
      </c>
      <c r="AD366" s="9">
        <f t="shared" si="267"/>
        <v>19.625</v>
      </c>
      <c r="AE366" s="9">
        <f t="shared" si="268"/>
        <v>19.375</v>
      </c>
      <c r="AF366" s="9">
        <f t="shared" si="269"/>
        <v>19.625</v>
      </c>
      <c r="AG366" s="9">
        <f t="shared" si="270"/>
        <v>21.125</v>
      </c>
      <c r="AH366" s="9">
        <f t="shared" si="271"/>
        <v>22.125</v>
      </c>
      <c r="AI366" s="9">
        <f t="shared" si="272"/>
        <v>20.825000000000003</v>
      </c>
      <c r="AJ366" s="9">
        <f t="shared" si="273"/>
        <v>4.4950000000000045</v>
      </c>
      <c r="AK366" s="9">
        <f t="shared" si="274"/>
        <v>9.0600000000000023</v>
      </c>
      <c r="AL366" s="9">
        <f t="shared" si="275"/>
        <v>12.0625</v>
      </c>
      <c r="AM366" s="9">
        <f t="shared" si="276"/>
        <v>12.5</v>
      </c>
      <c r="AN366" s="9">
        <f t="shared" si="277"/>
        <v>12.5</v>
      </c>
      <c r="AO366" s="9">
        <f t="shared" si="278"/>
        <v>11.875</v>
      </c>
      <c r="AP366" s="9">
        <f t="shared" si="279"/>
        <v>15</v>
      </c>
      <c r="AQ366" s="9">
        <f t="shared" si="280"/>
        <v>16</v>
      </c>
      <c r="AR366" s="9">
        <f t="shared" si="281"/>
        <v>15.200000000000003</v>
      </c>
      <c r="AS366" s="9">
        <f t="shared" si="282"/>
        <v>3.6199999999999974</v>
      </c>
      <c r="AT366" s="9">
        <f t="shared" si="283"/>
        <v>7.1849999999999987</v>
      </c>
      <c r="AU366" s="9">
        <f t="shared" si="284"/>
        <v>8.3000000000000007</v>
      </c>
      <c r="AV366" s="9">
        <f t="shared" si="285"/>
        <v>7</v>
      </c>
      <c r="AW366" s="9">
        <f t="shared" si="286"/>
        <v>6.375</v>
      </c>
      <c r="AX366" s="9">
        <f t="shared" si="287"/>
        <v>4.875</v>
      </c>
      <c r="AY366" s="9">
        <f t="shared" si="288"/>
        <v>9</v>
      </c>
      <c r="AZ366" s="9">
        <f t="shared" si="289"/>
        <v>9.1000000000000014</v>
      </c>
      <c r="BA366" s="9">
        <f t="shared" si="290"/>
        <v>9.1999999999999993</v>
      </c>
      <c r="BB366" s="9">
        <f t="shared" si="291"/>
        <v>3.0600000000000005</v>
      </c>
      <c r="BC366" s="9">
        <f t="shared" si="292"/>
        <v>6.4350000000000005</v>
      </c>
      <c r="BD366" s="9">
        <f t="shared" si="293"/>
        <v>6.85</v>
      </c>
      <c r="BE366" s="9">
        <f t="shared" si="294"/>
        <v>5.75</v>
      </c>
      <c r="BF366" s="9">
        <f t="shared" si="295"/>
        <v>4.625</v>
      </c>
      <c r="BG366" s="9">
        <f t="shared" si="296"/>
        <v>3</v>
      </c>
      <c r="BH366" s="9">
        <f t="shared" si="297"/>
        <v>7.25</v>
      </c>
      <c r="BI366" s="9">
        <f t="shared" si="298"/>
        <v>7.4499999999999993</v>
      </c>
      <c r="BJ366" s="9">
        <f t="shared" si="299"/>
        <v>7.5</v>
      </c>
    </row>
    <row r="367" spans="1:62" x14ac:dyDescent="0.2">
      <c r="A367" s="9">
        <f>data!M368-data!M367</f>
        <v>-0.17980000000000018</v>
      </c>
      <c r="B367" s="9">
        <f>data!C368-data!C367</f>
        <v>0.28000000000000114</v>
      </c>
      <c r="C367" s="9">
        <f>data!D368-data!D367</f>
        <v>-0.625</v>
      </c>
      <c r="D367" s="10">
        <f>data!B368-data!B367</f>
        <v>0.79</v>
      </c>
      <c r="E367" s="9">
        <f>data!E367-data!G367</f>
        <v>0.98180000000000001</v>
      </c>
      <c r="F367" s="9">
        <f>(data!E367-data!F367)-(data!G367-data!H367)</f>
        <v>0.85489999999999999</v>
      </c>
      <c r="G367" s="9">
        <f t="shared" si="250"/>
        <v>-6.0200000000000031E-2</v>
      </c>
      <c r="H367" s="9">
        <f t="shared" si="251"/>
        <v>-2.6600000000000068E-2</v>
      </c>
      <c r="I367" s="9">
        <f>IF(data!M368&gt; 111.81,1,0)</f>
        <v>0</v>
      </c>
      <c r="J367" s="9">
        <f t="shared" si="252"/>
        <v>1</v>
      </c>
      <c r="K367" s="9">
        <f t="shared" si="253"/>
        <v>0</v>
      </c>
      <c r="L367" s="9">
        <f t="shared" si="254"/>
        <v>-0.17980000000000018</v>
      </c>
      <c r="M367" s="9">
        <f>data!J367</f>
        <v>-41.35</v>
      </c>
      <c r="N367" s="9">
        <f>data!I367</f>
        <v>-88</v>
      </c>
      <c r="O367" s="9">
        <f>data!L367</f>
        <v>-73.004999999999995</v>
      </c>
      <c r="P367" s="9">
        <f>data!K367</f>
        <v>-33.880000000000003</v>
      </c>
      <c r="Q367" s="9">
        <f>data!R367</f>
        <v>-14.69</v>
      </c>
      <c r="R367" s="9">
        <f t="shared" si="255"/>
        <v>9.3500000000000014</v>
      </c>
      <c r="S367" s="9">
        <f t="shared" si="256"/>
        <v>10.600000000000001</v>
      </c>
      <c r="T367" s="9">
        <f t="shared" si="257"/>
        <v>14.350000000000001</v>
      </c>
      <c r="U367" s="9">
        <f t="shared" si="258"/>
        <v>12.3</v>
      </c>
      <c r="V367" s="9">
        <f t="shared" si="259"/>
        <v>10.350000000000001</v>
      </c>
      <c r="W367" s="9">
        <f t="shared" si="260"/>
        <v>14.350000000000001</v>
      </c>
      <c r="X367" s="9">
        <f t="shared" si="261"/>
        <v>13.100000000000001</v>
      </c>
      <c r="Y367" s="9">
        <f t="shared" si="262"/>
        <v>14.100000000000001</v>
      </c>
      <c r="Z367" s="9">
        <f t="shared" si="263"/>
        <v>14.150000000000002</v>
      </c>
      <c r="AA367" s="9">
        <f t="shared" si="264"/>
        <v>5.8700000000000045</v>
      </c>
      <c r="AB367" s="9">
        <f t="shared" si="265"/>
        <v>10.5</v>
      </c>
      <c r="AC367" s="9">
        <f t="shared" si="266"/>
        <v>13.5</v>
      </c>
      <c r="AD367" s="9">
        <f t="shared" si="267"/>
        <v>13.25</v>
      </c>
      <c r="AE367" s="9">
        <f t="shared" si="268"/>
        <v>13.5</v>
      </c>
      <c r="AF367" s="9">
        <f t="shared" si="269"/>
        <v>15</v>
      </c>
      <c r="AG367" s="9">
        <f t="shared" si="270"/>
        <v>16</v>
      </c>
      <c r="AH367" s="9">
        <f t="shared" si="271"/>
        <v>14.700000000000003</v>
      </c>
      <c r="AI367" s="9">
        <f t="shared" si="272"/>
        <v>15</v>
      </c>
      <c r="AJ367" s="9">
        <f t="shared" si="273"/>
        <v>4.5649999999999977</v>
      </c>
      <c r="AK367" s="9">
        <f t="shared" si="274"/>
        <v>7.5674999999999955</v>
      </c>
      <c r="AL367" s="9">
        <f t="shared" si="275"/>
        <v>8.0049999999999955</v>
      </c>
      <c r="AM367" s="9">
        <f t="shared" si="276"/>
        <v>8.0049999999999955</v>
      </c>
      <c r="AN367" s="9">
        <f t="shared" si="277"/>
        <v>7.3799999999999955</v>
      </c>
      <c r="AO367" s="9">
        <f t="shared" si="278"/>
        <v>10.504999999999995</v>
      </c>
      <c r="AP367" s="9">
        <f t="shared" si="279"/>
        <v>11.504999999999995</v>
      </c>
      <c r="AQ367" s="9">
        <f t="shared" si="280"/>
        <v>10.704999999999998</v>
      </c>
      <c r="AR367" s="9">
        <f t="shared" si="281"/>
        <v>11.379999999999995</v>
      </c>
      <c r="AS367" s="9">
        <f t="shared" si="282"/>
        <v>3.5650000000000013</v>
      </c>
      <c r="AT367" s="9">
        <f t="shared" si="283"/>
        <v>4.6800000000000033</v>
      </c>
      <c r="AU367" s="9">
        <f t="shared" si="284"/>
        <v>3.3800000000000026</v>
      </c>
      <c r="AV367" s="9">
        <f t="shared" si="285"/>
        <v>2.7550000000000026</v>
      </c>
      <c r="AW367" s="9">
        <f t="shared" si="286"/>
        <v>1.2550000000000026</v>
      </c>
      <c r="AX367" s="9">
        <f t="shared" si="287"/>
        <v>5.3800000000000026</v>
      </c>
      <c r="AY367" s="9">
        <f t="shared" si="288"/>
        <v>5.480000000000004</v>
      </c>
      <c r="AZ367" s="9">
        <f t="shared" si="289"/>
        <v>5.5800000000000018</v>
      </c>
      <c r="BA367" s="9">
        <f t="shared" si="290"/>
        <v>6.1300000000000026</v>
      </c>
      <c r="BB367" s="9">
        <f t="shared" si="291"/>
        <v>3.375</v>
      </c>
      <c r="BC367" s="9">
        <f t="shared" si="292"/>
        <v>3.7899999999999991</v>
      </c>
      <c r="BD367" s="9">
        <f t="shared" si="293"/>
        <v>2.6899999999999995</v>
      </c>
      <c r="BE367" s="9">
        <f t="shared" si="294"/>
        <v>1.5649999999999995</v>
      </c>
      <c r="BF367" s="9">
        <f t="shared" si="295"/>
        <v>-6.0000000000000497E-2</v>
      </c>
      <c r="BG367" s="9">
        <f t="shared" si="296"/>
        <v>4.1899999999999995</v>
      </c>
      <c r="BH367" s="9">
        <f t="shared" si="297"/>
        <v>4.3899999999999988</v>
      </c>
      <c r="BI367" s="9">
        <f t="shared" si="298"/>
        <v>4.4399999999999995</v>
      </c>
      <c r="BJ367" s="9">
        <f t="shared" si="299"/>
        <v>5.0649999999999995</v>
      </c>
    </row>
    <row r="368" spans="1:62" x14ac:dyDescent="0.2">
      <c r="A368" s="9">
        <f>data!M369-data!M368</f>
        <v>-1.1723999999999961</v>
      </c>
      <c r="B368" s="9">
        <f>data!C369-data!C368</f>
        <v>-2.629999999999999</v>
      </c>
      <c r="C368" s="9">
        <f>data!D369-data!D368</f>
        <v>-0.12249999999999961</v>
      </c>
      <c r="D368" s="10">
        <f>data!B369-data!B368</f>
        <v>-1.2500000000000178E-2</v>
      </c>
      <c r="E368" s="9">
        <f>data!E368-data!G368</f>
        <v>0.92159999999999997</v>
      </c>
      <c r="F368" s="9">
        <f>(data!E368-data!F368)-(data!G368-data!H368)</f>
        <v>0.82829999999999993</v>
      </c>
      <c r="G368" s="9">
        <f t="shared" si="250"/>
        <v>0.123</v>
      </c>
      <c r="H368" s="9">
        <f t="shared" si="251"/>
        <v>0.10200000000000009</v>
      </c>
      <c r="I368" s="9">
        <f>IF(data!M369&gt; 111.81,1,0)</f>
        <v>0</v>
      </c>
      <c r="J368" s="9">
        <f t="shared" si="252"/>
        <v>1</v>
      </c>
      <c r="K368" s="9">
        <f t="shared" si="253"/>
        <v>0</v>
      </c>
      <c r="L368" s="9">
        <f t="shared" si="254"/>
        <v>-1.1723999999999961</v>
      </c>
      <c r="M368" s="9">
        <f>data!J368</f>
        <v>-32</v>
      </c>
      <c r="N368" s="9">
        <f>data!I368</f>
        <v>-82.13</v>
      </c>
      <c r="O368" s="9">
        <f>data!L368</f>
        <v>-68.44</v>
      </c>
      <c r="P368" s="9">
        <f>data!K368</f>
        <v>-30.315000000000001</v>
      </c>
      <c r="Q368" s="9">
        <f>data!R368</f>
        <v>-11.315</v>
      </c>
      <c r="R368" s="9">
        <f t="shared" si="255"/>
        <v>1.25</v>
      </c>
      <c r="S368" s="9">
        <f t="shared" si="256"/>
        <v>5</v>
      </c>
      <c r="T368" s="9">
        <f t="shared" si="257"/>
        <v>2.9499999999999993</v>
      </c>
      <c r="U368" s="9">
        <f t="shared" si="258"/>
        <v>1</v>
      </c>
      <c r="V368" s="9">
        <f t="shared" si="259"/>
        <v>5</v>
      </c>
      <c r="W368" s="9">
        <f t="shared" si="260"/>
        <v>3.75</v>
      </c>
      <c r="X368" s="9">
        <f t="shared" si="261"/>
        <v>4.75</v>
      </c>
      <c r="Y368" s="9">
        <f t="shared" si="262"/>
        <v>4.8000000000000007</v>
      </c>
      <c r="Z368" s="9">
        <f t="shared" si="263"/>
        <v>8.5</v>
      </c>
      <c r="AA368" s="9">
        <f t="shared" si="264"/>
        <v>4.6299999999999955</v>
      </c>
      <c r="AB368" s="9">
        <f t="shared" si="265"/>
        <v>7.6299999999999955</v>
      </c>
      <c r="AC368" s="9">
        <f t="shared" si="266"/>
        <v>7.3799999999999955</v>
      </c>
      <c r="AD368" s="9">
        <f t="shared" si="267"/>
        <v>7.6299999999999955</v>
      </c>
      <c r="AE368" s="9">
        <f t="shared" si="268"/>
        <v>9.1299999999999955</v>
      </c>
      <c r="AF368" s="9">
        <f t="shared" si="269"/>
        <v>10.129999999999995</v>
      </c>
      <c r="AG368" s="9">
        <f t="shared" si="270"/>
        <v>8.8299999999999983</v>
      </c>
      <c r="AH368" s="9">
        <f t="shared" si="271"/>
        <v>9.1299999999999955</v>
      </c>
      <c r="AI368" s="9">
        <f t="shared" si="272"/>
        <v>13.629999999999995</v>
      </c>
      <c r="AJ368" s="9">
        <f t="shared" si="273"/>
        <v>3.0024999999999977</v>
      </c>
      <c r="AK368" s="9">
        <f t="shared" si="274"/>
        <v>3.4399999999999977</v>
      </c>
      <c r="AL368" s="9">
        <f t="shared" si="275"/>
        <v>3.4399999999999977</v>
      </c>
      <c r="AM368" s="9">
        <f t="shared" si="276"/>
        <v>2.8149999999999977</v>
      </c>
      <c r="AN368" s="9">
        <f t="shared" si="277"/>
        <v>5.9399999999999977</v>
      </c>
      <c r="AO368" s="9">
        <f t="shared" si="278"/>
        <v>6.9399999999999977</v>
      </c>
      <c r="AP368" s="9">
        <f t="shared" si="279"/>
        <v>6.1400000000000006</v>
      </c>
      <c r="AQ368" s="9">
        <f t="shared" si="280"/>
        <v>6.8149999999999977</v>
      </c>
      <c r="AR368" s="9">
        <f t="shared" si="281"/>
        <v>10.689999999999998</v>
      </c>
      <c r="AS368" s="9">
        <f t="shared" si="282"/>
        <v>1.115000000000002</v>
      </c>
      <c r="AT368" s="9">
        <f t="shared" si="283"/>
        <v>-0.18499999999999872</v>
      </c>
      <c r="AU368" s="9">
        <f t="shared" si="284"/>
        <v>-0.80999999999999872</v>
      </c>
      <c r="AV368" s="9">
        <f t="shared" si="285"/>
        <v>-2.3099999999999987</v>
      </c>
      <c r="AW368" s="9">
        <f t="shared" si="286"/>
        <v>1.8150000000000013</v>
      </c>
      <c r="AX368" s="9">
        <f t="shared" si="287"/>
        <v>1.9150000000000027</v>
      </c>
      <c r="AY368" s="9">
        <f t="shared" si="288"/>
        <v>2.0150000000000006</v>
      </c>
      <c r="AZ368" s="9">
        <f t="shared" si="289"/>
        <v>2.5650000000000013</v>
      </c>
      <c r="BA368" s="9">
        <f t="shared" si="290"/>
        <v>5.1900000000000013</v>
      </c>
      <c r="BB368" s="9">
        <f t="shared" si="291"/>
        <v>0.41499999999999915</v>
      </c>
      <c r="BC368" s="9">
        <f t="shared" si="292"/>
        <v>-0.6850000000000005</v>
      </c>
      <c r="BD368" s="9">
        <f t="shared" si="293"/>
        <v>-1.8100000000000005</v>
      </c>
      <c r="BE368" s="9">
        <f t="shared" si="294"/>
        <v>-3.4350000000000005</v>
      </c>
      <c r="BF368" s="9">
        <f t="shared" si="295"/>
        <v>0.8149999999999995</v>
      </c>
      <c r="BG368" s="9">
        <f t="shared" si="296"/>
        <v>1.0149999999999988</v>
      </c>
      <c r="BH368" s="9">
        <f t="shared" si="297"/>
        <v>1.0649999999999995</v>
      </c>
      <c r="BI368" s="9">
        <f t="shared" si="298"/>
        <v>1.6899999999999995</v>
      </c>
      <c r="BJ368" s="9">
        <f t="shared" si="299"/>
        <v>3.6899999999999995</v>
      </c>
    </row>
    <row r="369" spans="1:62" x14ac:dyDescent="0.2">
      <c r="A369" s="9">
        <f>data!M370-data!M369</f>
        <v>-1.1102000000000061</v>
      </c>
      <c r="B369" s="9">
        <f>data!C370-data!C369</f>
        <v>0.25</v>
      </c>
      <c r="C369" s="9">
        <f>data!D370-data!D369</f>
        <v>0.22750000000000004</v>
      </c>
      <c r="D369" s="10">
        <f>data!B370-data!B369</f>
        <v>7.4999999999998401E-3</v>
      </c>
      <c r="E369" s="9">
        <f>data!E369-data!G369</f>
        <v>1.0446</v>
      </c>
      <c r="F369" s="9">
        <f>(data!E369-data!F369)-(data!G369-data!H369)</f>
        <v>0.93030000000000002</v>
      </c>
      <c r="G369" s="9">
        <f t="shared" si="250"/>
        <v>-0.11859999999999993</v>
      </c>
      <c r="H369" s="9">
        <f t="shared" si="251"/>
        <v>-8.9099999999999846E-2</v>
      </c>
      <c r="I369" s="9">
        <f>IF(data!M370&gt; 111.81,1,0)</f>
        <v>0</v>
      </c>
      <c r="J369" s="9">
        <f t="shared" si="252"/>
        <v>1</v>
      </c>
      <c r="K369" s="9">
        <f t="shared" si="253"/>
        <v>0</v>
      </c>
      <c r="L369" s="9">
        <f t="shared" si="254"/>
        <v>-1.1102000000000061</v>
      </c>
      <c r="M369" s="9">
        <f>data!J369</f>
        <v>-30.75</v>
      </c>
      <c r="N369" s="9">
        <f>data!I369</f>
        <v>-77.5</v>
      </c>
      <c r="O369" s="9">
        <f>data!L369</f>
        <v>-65.4375</v>
      </c>
      <c r="P369" s="9">
        <f>data!K369</f>
        <v>-29.2</v>
      </c>
      <c r="Q369" s="9">
        <f>data!R369</f>
        <v>-10.9</v>
      </c>
      <c r="R369" s="9">
        <f t="shared" si="255"/>
        <v>3.75</v>
      </c>
      <c r="S369" s="9">
        <f t="shared" si="256"/>
        <v>1.6999999999999993</v>
      </c>
      <c r="T369" s="9">
        <f t="shared" si="257"/>
        <v>-0.25</v>
      </c>
      <c r="U369" s="9">
        <f t="shared" si="258"/>
        <v>3.75</v>
      </c>
      <c r="V369" s="9">
        <f t="shared" si="259"/>
        <v>2.5</v>
      </c>
      <c r="W369" s="9">
        <f t="shared" si="260"/>
        <v>3.5</v>
      </c>
      <c r="X369" s="9">
        <f t="shared" si="261"/>
        <v>3.5500000000000007</v>
      </c>
      <c r="Y369" s="9">
        <f t="shared" si="262"/>
        <v>7.25</v>
      </c>
      <c r="Z369" s="9">
        <f t="shared" si="263"/>
        <v>6.3500000000000014</v>
      </c>
      <c r="AA369" s="9">
        <f t="shared" si="264"/>
        <v>3</v>
      </c>
      <c r="AB369" s="9">
        <f t="shared" si="265"/>
        <v>2.75</v>
      </c>
      <c r="AC369" s="9">
        <f t="shared" si="266"/>
        <v>3</v>
      </c>
      <c r="AD369" s="9">
        <f t="shared" si="267"/>
        <v>4.5</v>
      </c>
      <c r="AE369" s="9">
        <f t="shared" si="268"/>
        <v>5.5</v>
      </c>
      <c r="AF369" s="9">
        <f t="shared" si="269"/>
        <v>4.2000000000000028</v>
      </c>
      <c r="AG369" s="9">
        <f t="shared" si="270"/>
        <v>4.5</v>
      </c>
      <c r="AH369" s="9">
        <f t="shared" si="271"/>
        <v>9</v>
      </c>
      <c r="AI369" s="9">
        <f t="shared" si="272"/>
        <v>9.0625</v>
      </c>
      <c r="AJ369" s="9">
        <f t="shared" si="273"/>
        <v>0.4375</v>
      </c>
      <c r="AK369" s="9">
        <f t="shared" si="274"/>
        <v>0.4375</v>
      </c>
      <c r="AL369" s="9">
        <f t="shared" si="275"/>
        <v>-0.1875</v>
      </c>
      <c r="AM369" s="9">
        <f t="shared" si="276"/>
        <v>2.9375</v>
      </c>
      <c r="AN369" s="9">
        <f t="shared" si="277"/>
        <v>3.9375</v>
      </c>
      <c r="AO369" s="9">
        <f t="shared" si="278"/>
        <v>3.1375000000000028</v>
      </c>
      <c r="AP369" s="9">
        <f t="shared" si="279"/>
        <v>3.8125</v>
      </c>
      <c r="AQ369" s="9">
        <f t="shared" si="280"/>
        <v>7.6875</v>
      </c>
      <c r="AR369" s="9">
        <f t="shared" si="281"/>
        <v>7.2250000000000014</v>
      </c>
      <c r="AS369" s="9">
        <f t="shared" si="282"/>
        <v>-1.3000000000000007</v>
      </c>
      <c r="AT369" s="9">
        <f t="shared" si="283"/>
        <v>-1.9250000000000007</v>
      </c>
      <c r="AU369" s="9">
        <f t="shared" si="284"/>
        <v>-3.4250000000000007</v>
      </c>
      <c r="AV369" s="9">
        <f t="shared" si="285"/>
        <v>0.69999999999999929</v>
      </c>
      <c r="AW369" s="9">
        <f t="shared" si="286"/>
        <v>0.80000000000000071</v>
      </c>
      <c r="AX369" s="9">
        <f t="shared" si="287"/>
        <v>0.89999999999999858</v>
      </c>
      <c r="AY369" s="9">
        <f t="shared" si="288"/>
        <v>1.4499999999999993</v>
      </c>
      <c r="AZ369" s="9">
        <f t="shared" si="289"/>
        <v>4.0749999999999993</v>
      </c>
      <c r="BA369" s="9">
        <f t="shared" si="290"/>
        <v>2.9499999999999993</v>
      </c>
      <c r="BB369" s="9">
        <f t="shared" si="291"/>
        <v>-1.0999999999999996</v>
      </c>
      <c r="BC369" s="9">
        <f t="shared" si="292"/>
        <v>-2.2249999999999996</v>
      </c>
      <c r="BD369" s="9">
        <f t="shared" si="293"/>
        <v>-3.8499999999999996</v>
      </c>
      <c r="BE369" s="9">
        <f t="shared" si="294"/>
        <v>0.40000000000000036</v>
      </c>
      <c r="BF369" s="9">
        <f t="shared" si="295"/>
        <v>0.59999999999999964</v>
      </c>
      <c r="BG369" s="9">
        <f t="shared" si="296"/>
        <v>0.65000000000000036</v>
      </c>
      <c r="BH369" s="9">
        <f t="shared" si="297"/>
        <v>1.2750000000000004</v>
      </c>
      <c r="BI369" s="9">
        <f t="shared" si="298"/>
        <v>3.2750000000000004</v>
      </c>
      <c r="BJ369" s="9">
        <f t="shared" si="299"/>
        <v>2.3125</v>
      </c>
    </row>
    <row r="370" spans="1:62" x14ac:dyDescent="0.2">
      <c r="A370" s="9">
        <f>data!M371-data!M370</f>
        <v>-0.40679999999998984</v>
      </c>
      <c r="B370" s="9">
        <f>data!C371-data!C370</f>
        <v>-1.4299999999999997</v>
      </c>
      <c r="C370" s="9">
        <f>data!D371-data!D370</f>
        <v>0.17249999999999943</v>
      </c>
      <c r="D370" s="10">
        <f>data!B371-data!B370</f>
        <v>5.0000000000003375E-3</v>
      </c>
      <c r="E370" s="9">
        <f>data!E370-data!G370</f>
        <v>0.92600000000000005</v>
      </c>
      <c r="F370" s="9">
        <f>(data!E370-data!F370)-(data!G370-data!H370)</f>
        <v>0.84120000000000017</v>
      </c>
      <c r="G370" s="9">
        <f t="shared" si="250"/>
        <v>5.2400000000000113E-2</v>
      </c>
      <c r="H370" s="9">
        <f t="shared" si="251"/>
        <v>3.7000000000000033E-2</v>
      </c>
      <c r="I370" s="9">
        <f>IF(data!M371&gt; 111.81,1,0)</f>
        <v>0</v>
      </c>
      <c r="J370" s="9">
        <f t="shared" si="252"/>
        <v>1</v>
      </c>
      <c r="K370" s="9">
        <f t="shared" si="253"/>
        <v>0</v>
      </c>
      <c r="L370" s="9">
        <f t="shared" si="254"/>
        <v>-0.40679999999998984</v>
      </c>
      <c r="M370" s="9">
        <f>data!J370</f>
        <v>-27</v>
      </c>
      <c r="N370" s="9">
        <f>data!I370</f>
        <v>-74.5</v>
      </c>
      <c r="O370" s="9">
        <f>data!L370</f>
        <v>-65</v>
      </c>
      <c r="P370" s="9">
        <f>data!K370</f>
        <v>-30.5</v>
      </c>
      <c r="Q370" s="9">
        <f>data!R370</f>
        <v>-12</v>
      </c>
      <c r="R370" s="9">
        <f t="shared" si="255"/>
        <v>-2.0500000000000007</v>
      </c>
      <c r="S370" s="9">
        <f t="shared" si="256"/>
        <v>-4</v>
      </c>
      <c r="T370" s="9">
        <f t="shared" si="257"/>
        <v>0</v>
      </c>
      <c r="U370" s="9">
        <f t="shared" si="258"/>
        <v>-1.25</v>
      </c>
      <c r="V370" s="9">
        <f t="shared" si="259"/>
        <v>-0.25</v>
      </c>
      <c r="W370" s="9">
        <f t="shared" si="260"/>
        <v>-0.19999999999999929</v>
      </c>
      <c r="X370" s="9">
        <f t="shared" si="261"/>
        <v>3.5</v>
      </c>
      <c r="Y370" s="9">
        <f t="shared" si="262"/>
        <v>2.6000000000000014</v>
      </c>
      <c r="Z370" s="9">
        <f t="shared" si="263"/>
        <v>3.4499999999999993</v>
      </c>
      <c r="AA370" s="9">
        <f t="shared" si="264"/>
        <v>-0.25</v>
      </c>
      <c r="AB370" s="9">
        <f t="shared" si="265"/>
        <v>0</v>
      </c>
      <c r="AC370" s="9">
        <f t="shared" si="266"/>
        <v>1.5</v>
      </c>
      <c r="AD370" s="9">
        <f t="shared" si="267"/>
        <v>2.5</v>
      </c>
      <c r="AE370" s="9">
        <f t="shared" si="268"/>
        <v>1.2000000000000028</v>
      </c>
      <c r="AF370" s="9">
        <f t="shared" si="269"/>
        <v>1.5</v>
      </c>
      <c r="AG370" s="9">
        <f t="shared" si="270"/>
        <v>6</v>
      </c>
      <c r="AH370" s="9">
        <f t="shared" si="271"/>
        <v>6.0625</v>
      </c>
      <c r="AI370" s="9">
        <f t="shared" si="272"/>
        <v>7</v>
      </c>
      <c r="AJ370" s="9">
        <f t="shared" si="273"/>
        <v>0</v>
      </c>
      <c r="AK370" s="9">
        <f t="shared" si="274"/>
        <v>-0.625</v>
      </c>
      <c r="AL370" s="9">
        <f t="shared" si="275"/>
        <v>2.5</v>
      </c>
      <c r="AM370" s="9">
        <f t="shared" si="276"/>
        <v>3.5</v>
      </c>
      <c r="AN370" s="9">
        <f t="shared" si="277"/>
        <v>2.7000000000000028</v>
      </c>
      <c r="AO370" s="9">
        <f t="shared" si="278"/>
        <v>3.375</v>
      </c>
      <c r="AP370" s="9">
        <f t="shared" si="279"/>
        <v>7.25</v>
      </c>
      <c r="AQ370" s="9">
        <f t="shared" si="280"/>
        <v>6.7875000000000014</v>
      </c>
      <c r="AR370" s="9">
        <f t="shared" si="281"/>
        <v>5.625</v>
      </c>
      <c r="AS370" s="9">
        <f t="shared" si="282"/>
        <v>-0.625</v>
      </c>
      <c r="AT370" s="9">
        <f t="shared" si="283"/>
        <v>-2.125</v>
      </c>
      <c r="AU370" s="9">
        <f t="shared" si="284"/>
        <v>2</v>
      </c>
      <c r="AV370" s="9">
        <f t="shared" si="285"/>
        <v>2.1000000000000014</v>
      </c>
      <c r="AW370" s="9">
        <f t="shared" si="286"/>
        <v>2.1999999999999993</v>
      </c>
      <c r="AX370" s="9">
        <f t="shared" si="287"/>
        <v>2.75</v>
      </c>
      <c r="AY370" s="9">
        <f t="shared" si="288"/>
        <v>5.375</v>
      </c>
      <c r="AZ370" s="9">
        <f t="shared" si="289"/>
        <v>4.25</v>
      </c>
      <c r="BA370" s="9">
        <f t="shared" si="290"/>
        <v>2.375</v>
      </c>
      <c r="BB370" s="9">
        <f t="shared" si="291"/>
        <v>-1.125</v>
      </c>
      <c r="BC370" s="9">
        <f t="shared" si="292"/>
        <v>-2.75</v>
      </c>
      <c r="BD370" s="9">
        <f t="shared" si="293"/>
        <v>1.5</v>
      </c>
      <c r="BE370" s="9">
        <f t="shared" si="294"/>
        <v>1.6999999999999993</v>
      </c>
      <c r="BF370" s="9">
        <f t="shared" si="295"/>
        <v>1.75</v>
      </c>
      <c r="BG370" s="9">
        <f t="shared" si="296"/>
        <v>2.375</v>
      </c>
      <c r="BH370" s="9">
        <f t="shared" si="297"/>
        <v>4.375</v>
      </c>
      <c r="BI370" s="9">
        <f t="shared" si="298"/>
        <v>3.4124999999999996</v>
      </c>
      <c r="BJ370" s="9">
        <f t="shared" si="299"/>
        <v>1.25</v>
      </c>
    </row>
    <row r="371" spans="1:62" x14ac:dyDescent="0.2">
      <c r="A371" s="9">
        <f>data!M372-data!M371</f>
        <v>0.25329999999999586</v>
      </c>
      <c r="B371" s="9">
        <f>data!C372-data!C371</f>
        <v>3.6899999999999977</v>
      </c>
      <c r="C371" s="9">
        <f>data!D372-data!D371</f>
        <v>0.2475000000000005</v>
      </c>
      <c r="D371" s="10">
        <f>data!B372-data!B371</f>
        <v>0.20249999999999968</v>
      </c>
      <c r="E371" s="9">
        <f>data!E371-data!G371</f>
        <v>0.97840000000000016</v>
      </c>
      <c r="F371" s="9">
        <f>(data!E371-data!F371)-(data!G371-data!H371)</f>
        <v>0.8782000000000002</v>
      </c>
      <c r="G371" s="9">
        <f t="shared" si="250"/>
        <v>3.379999999999983E-2</v>
      </c>
      <c r="H371" s="9">
        <f t="shared" si="251"/>
        <v>-1.9900000000000251E-2</v>
      </c>
      <c r="I371" s="9">
        <f>IF(data!M372&gt; 111.81,1,0)</f>
        <v>0</v>
      </c>
      <c r="J371" s="9">
        <f t="shared" si="252"/>
        <v>1</v>
      </c>
      <c r="K371" s="9">
        <f t="shared" si="253"/>
        <v>0</v>
      </c>
      <c r="L371" s="9">
        <f t="shared" si="254"/>
        <v>0.25329999999999586</v>
      </c>
      <c r="M371" s="9">
        <f>data!J371</f>
        <v>-29.05</v>
      </c>
      <c r="N371" s="9">
        <f>data!I371</f>
        <v>-74.75</v>
      </c>
      <c r="O371" s="9">
        <f>data!L371</f>
        <v>-65</v>
      </c>
      <c r="P371" s="9">
        <f>data!K371</f>
        <v>-31.125</v>
      </c>
      <c r="Q371" s="9">
        <f>data!R371</f>
        <v>-13.125</v>
      </c>
      <c r="R371" s="9">
        <f t="shared" si="255"/>
        <v>-1.9499999999999993</v>
      </c>
      <c r="S371" s="9">
        <f t="shared" si="256"/>
        <v>2.0500000000000007</v>
      </c>
      <c r="T371" s="9">
        <f t="shared" si="257"/>
        <v>0.80000000000000071</v>
      </c>
      <c r="U371" s="9">
        <f t="shared" si="258"/>
        <v>1.8000000000000007</v>
      </c>
      <c r="V371" s="9">
        <f t="shared" si="259"/>
        <v>1.8500000000000014</v>
      </c>
      <c r="W371" s="9">
        <f t="shared" si="260"/>
        <v>5.5500000000000007</v>
      </c>
      <c r="X371" s="9">
        <f t="shared" si="261"/>
        <v>4.6500000000000021</v>
      </c>
      <c r="Y371" s="9">
        <f t="shared" si="262"/>
        <v>5.5</v>
      </c>
      <c r="Z371" s="9">
        <f t="shared" si="263"/>
        <v>1.25</v>
      </c>
      <c r="AA371" s="9">
        <f t="shared" si="264"/>
        <v>0.25</v>
      </c>
      <c r="AB371" s="9">
        <f t="shared" si="265"/>
        <v>1.75</v>
      </c>
      <c r="AC371" s="9">
        <f t="shared" si="266"/>
        <v>2.75</v>
      </c>
      <c r="AD371" s="9">
        <f t="shared" si="267"/>
        <v>1.4500000000000028</v>
      </c>
      <c r="AE371" s="9">
        <f t="shared" si="268"/>
        <v>1.75</v>
      </c>
      <c r="AF371" s="9">
        <f t="shared" si="269"/>
        <v>6.25</v>
      </c>
      <c r="AG371" s="9">
        <f t="shared" si="270"/>
        <v>6.3125</v>
      </c>
      <c r="AH371" s="9">
        <f t="shared" si="271"/>
        <v>7.25</v>
      </c>
      <c r="AI371" s="9">
        <f t="shared" si="272"/>
        <v>5.9500000000000028</v>
      </c>
      <c r="AJ371" s="9">
        <f t="shared" si="273"/>
        <v>-0.625</v>
      </c>
      <c r="AK371" s="9">
        <f t="shared" si="274"/>
        <v>2.5</v>
      </c>
      <c r="AL371" s="9">
        <f t="shared" si="275"/>
        <v>3.5</v>
      </c>
      <c r="AM371" s="9">
        <f t="shared" si="276"/>
        <v>2.7000000000000028</v>
      </c>
      <c r="AN371" s="9">
        <f t="shared" si="277"/>
        <v>3.375</v>
      </c>
      <c r="AO371" s="9">
        <f t="shared" si="278"/>
        <v>7.25</v>
      </c>
      <c r="AP371" s="9">
        <f t="shared" si="279"/>
        <v>6.7875000000000014</v>
      </c>
      <c r="AQ371" s="9">
        <f t="shared" si="280"/>
        <v>5.625</v>
      </c>
      <c r="AR371" s="9">
        <f t="shared" si="281"/>
        <v>4.7000000000000028</v>
      </c>
      <c r="AS371" s="9">
        <f t="shared" si="282"/>
        <v>-1.5</v>
      </c>
      <c r="AT371" s="9">
        <f t="shared" si="283"/>
        <v>2.625</v>
      </c>
      <c r="AU371" s="9">
        <f t="shared" si="284"/>
        <v>2.7250000000000014</v>
      </c>
      <c r="AV371" s="9">
        <f t="shared" si="285"/>
        <v>2.8249999999999993</v>
      </c>
      <c r="AW371" s="9">
        <f t="shared" si="286"/>
        <v>3.375</v>
      </c>
      <c r="AX371" s="9">
        <f t="shared" si="287"/>
        <v>6</v>
      </c>
      <c r="AY371" s="9">
        <f t="shared" si="288"/>
        <v>4.875</v>
      </c>
      <c r="AZ371" s="9">
        <f t="shared" si="289"/>
        <v>3</v>
      </c>
      <c r="BA371" s="9">
        <f t="shared" si="290"/>
        <v>2.3249999999999993</v>
      </c>
      <c r="BB371" s="9">
        <f t="shared" si="291"/>
        <v>-1.625</v>
      </c>
      <c r="BC371" s="9">
        <f t="shared" si="292"/>
        <v>2.625</v>
      </c>
      <c r="BD371" s="9">
        <f t="shared" si="293"/>
        <v>2.8249999999999993</v>
      </c>
      <c r="BE371" s="9">
        <f t="shared" si="294"/>
        <v>2.875</v>
      </c>
      <c r="BF371" s="9">
        <f t="shared" si="295"/>
        <v>3.5</v>
      </c>
      <c r="BG371" s="9">
        <f t="shared" si="296"/>
        <v>5.5</v>
      </c>
      <c r="BH371" s="9">
        <f t="shared" si="297"/>
        <v>4.5374999999999996</v>
      </c>
      <c r="BI371" s="9">
        <f t="shared" si="298"/>
        <v>2.375</v>
      </c>
      <c r="BJ371" s="9">
        <f t="shared" si="299"/>
        <v>2.7249999999999996</v>
      </c>
    </row>
    <row r="372" spans="1:62" x14ac:dyDescent="0.2">
      <c r="A372" s="9">
        <f>data!M373-data!M372</f>
        <v>0.12760000000000105</v>
      </c>
      <c r="B372" s="9">
        <f>data!C373-data!C372</f>
        <v>-3.009999999999998</v>
      </c>
      <c r="C372" s="9">
        <f>data!D373-data!D372</f>
        <v>0.73249999999999993</v>
      </c>
      <c r="D372" s="10">
        <f>data!B373-data!B372</f>
        <v>-0.26750000000000007</v>
      </c>
      <c r="E372" s="9">
        <f>data!E372-data!G372</f>
        <v>1.0122</v>
      </c>
      <c r="F372" s="9">
        <f>(data!E372-data!F372)-(data!G372-data!H372)</f>
        <v>0.85829999999999995</v>
      </c>
      <c r="G372" s="9">
        <f t="shared" si="250"/>
        <v>4.5500000000000096E-2</v>
      </c>
      <c r="H372" s="9">
        <f t="shared" si="251"/>
        <v>1.3000000000000123E-2</v>
      </c>
      <c r="I372" s="9">
        <f>IF(data!M373&gt; 111.81,1,0)</f>
        <v>0</v>
      </c>
      <c r="J372" s="9">
        <f t="shared" si="252"/>
        <v>1</v>
      </c>
      <c r="K372" s="9">
        <f t="shared" si="253"/>
        <v>0</v>
      </c>
      <c r="L372" s="9">
        <f t="shared" si="254"/>
        <v>0.12760000000000105</v>
      </c>
      <c r="M372" s="9">
        <f>data!J372</f>
        <v>-31</v>
      </c>
      <c r="N372" s="9">
        <f>data!I372</f>
        <v>-74.5</v>
      </c>
      <c r="O372" s="9">
        <f>data!L372</f>
        <v>-65.625</v>
      </c>
      <c r="P372" s="9">
        <f>data!K372</f>
        <v>-32.625</v>
      </c>
      <c r="Q372" s="9">
        <f>data!R372</f>
        <v>-14.75</v>
      </c>
      <c r="R372" s="9">
        <f t="shared" si="255"/>
        <v>4</v>
      </c>
      <c r="S372" s="9">
        <f t="shared" si="256"/>
        <v>2.75</v>
      </c>
      <c r="T372" s="9">
        <f t="shared" si="257"/>
        <v>3.75</v>
      </c>
      <c r="U372" s="9">
        <f t="shared" si="258"/>
        <v>3.8000000000000007</v>
      </c>
      <c r="V372" s="9">
        <f t="shared" si="259"/>
        <v>7.5</v>
      </c>
      <c r="W372" s="9">
        <f t="shared" si="260"/>
        <v>6.6000000000000014</v>
      </c>
      <c r="X372" s="9">
        <f t="shared" si="261"/>
        <v>7.4499999999999993</v>
      </c>
      <c r="Y372" s="9">
        <f t="shared" si="262"/>
        <v>3.1999999999999993</v>
      </c>
      <c r="Z372" s="9">
        <f t="shared" si="263"/>
        <v>-0.5</v>
      </c>
      <c r="AA372" s="9">
        <f t="shared" si="264"/>
        <v>1.5</v>
      </c>
      <c r="AB372" s="9">
        <f t="shared" si="265"/>
        <v>2.5</v>
      </c>
      <c r="AC372" s="9">
        <f t="shared" si="266"/>
        <v>1.2000000000000028</v>
      </c>
      <c r="AD372" s="9">
        <f t="shared" si="267"/>
        <v>1.5</v>
      </c>
      <c r="AE372" s="9">
        <f t="shared" si="268"/>
        <v>6</v>
      </c>
      <c r="AF372" s="9">
        <f t="shared" si="269"/>
        <v>6.0625</v>
      </c>
      <c r="AG372" s="9">
        <f t="shared" si="270"/>
        <v>7</v>
      </c>
      <c r="AH372" s="9">
        <f t="shared" si="271"/>
        <v>5.7000000000000028</v>
      </c>
      <c r="AI372" s="9">
        <f t="shared" si="272"/>
        <v>2.75</v>
      </c>
      <c r="AJ372" s="9">
        <f t="shared" si="273"/>
        <v>3.125</v>
      </c>
      <c r="AK372" s="9">
        <f t="shared" si="274"/>
        <v>4.125</v>
      </c>
      <c r="AL372" s="9">
        <f t="shared" si="275"/>
        <v>3.3250000000000028</v>
      </c>
      <c r="AM372" s="9">
        <f t="shared" si="276"/>
        <v>4</v>
      </c>
      <c r="AN372" s="9">
        <f t="shared" si="277"/>
        <v>7.875</v>
      </c>
      <c r="AO372" s="9">
        <f t="shared" si="278"/>
        <v>7.4125000000000014</v>
      </c>
      <c r="AP372" s="9">
        <f t="shared" si="279"/>
        <v>6.25</v>
      </c>
      <c r="AQ372" s="9">
        <f t="shared" si="280"/>
        <v>5.3250000000000028</v>
      </c>
      <c r="AR372" s="9">
        <f t="shared" si="281"/>
        <v>3.125</v>
      </c>
      <c r="AS372" s="9">
        <f t="shared" si="282"/>
        <v>4.125</v>
      </c>
      <c r="AT372" s="9">
        <f t="shared" si="283"/>
        <v>4.2250000000000014</v>
      </c>
      <c r="AU372" s="9">
        <f t="shared" si="284"/>
        <v>4.3249999999999993</v>
      </c>
      <c r="AV372" s="9">
        <f t="shared" si="285"/>
        <v>4.875</v>
      </c>
      <c r="AW372" s="9">
        <f t="shared" si="286"/>
        <v>7.5</v>
      </c>
      <c r="AX372" s="9">
        <f t="shared" si="287"/>
        <v>6.375</v>
      </c>
      <c r="AY372" s="9">
        <f t="shared" si="288"/>
        <v>4.5</v>
      </c>
      <c r="AZ372" s="9">
        <f t="shared" si="289"/>
        <v>3.8249999999999993</v>
      </c>
      <c r="BA372" s="9">
        <f t="shared" si="290"/>
        <v>2.125</v>
      </c>
      <c r="BB372" s="9">
        <f t="shared" si="291"/>
        <v>4.25</v>
      </c>
      <c r="BC372" s="9">
        <f t="shared" si="292"/>
        <v>4.4499999999999993</v>
      </c>
      <c r="BD372" s="9">
        <f t="shared" si="293"/>
        <v>4.5</v>
      </c>
      <c r="BE372" s="9">
        <f t="shared" si="294"/>
        <v>5.125</v>
      </c>
      <c r="BF372" s="9">
        <f t="shared" si="295"/>
        <v>7.125</v>
      </c>
      <c r="BG372" s="9">
        <f t="shared" si="296"/>
        <v>6.1624999999999996</v>
      </c>
      <c r="BH372" s="9">
        <f t="shared" si="297"/>
        <v>4</v>
      </c>
      <c r="BI372" s="9">
        <f t="shared" si="298"/>
        <v>4.3499999999999996</v>
      </c>
      <c r="BJ372" s="9">
        <f t="shared" si="299"/>
        <v>2</v>
      </c>
    </row>
    <row r="373" spans="1:62" x14ac:dyDescent="0.2">
      <c r="A373" s="9">
        <f>data!M374-data!M373</f>
        <v>-0.31960000000000832</v>
      </c>
      <c r="B373" s="9">
        <f>data!C374-data!C373</f>
        <v>-0.47000000000000242</v>
      </c>
      <c r="C373" s="9">
        <f>data!D374-data!D373</f>
        <v>0.27250000000000085</v>
      </c>
      <c r="D373" s="10">
        <f>data!B374-data!B373</f>
        <v>0.35250000000000004</v>
      </c>
      <c r="E373" s="9">
        <f>data!E373-data!G373</f>
        <v>1.0577000000000001</v>
      </c>
      <c r="F373" s="9">
        <f>(data!E373-data!F373)-(data!G373-data!H373)</f>
        <v>0.87130000000000007</v>
      </c>
      <c r="G373" s="9">
        <f t="shared" si="250"/>
        <v>-5.500000000000016E-2</v>
      </c>
      <c r="H373" s="9">
        <f t="shared" si="251"/>
        <v>-6.6500000000000004E-2</v>
      </c>
      <c r="I373" s="9">
        <f>IF(data!M374&gt; 111.81,1,0)</f>
        <v>0</v>
      </c>
      <c r="J373" s="9">
        <f t="shared" si="252"/>
        <v>1</v>
      </c>
      <c r="K373" s="9">
        <f t="shared" si="253"/>
        <v>0</v>
      </c>
      <c r="L373" s="9">
        <f t="shared" si="254"/>
        <v>-0.31960000000000832</v>
      </c>
      <c r="M373" s="9">
        <f>data!J373</f>
        <v>-27</v>
      </c>
      <c r="N373" s="9">
        <f>data!I373</f>
        <v>-73</v>
      </c>
      <c r="O373" s="9">
        <f>data!L373</f>
        <v>-62.5</v>
      </c>
      <c r="P373" s="9">
        <f>data!K373</f>
        <v>-28.5</v>
      </c>
      <c r="Q373" s="9">
        <f>data!R373</f>
        <v>-10.5</v>
      </c>
      <c r="R373" s="9">
        <f t="shared" si="255"/>
        <v>-1.25</v>
      </c>
      <c r="S373" s="9">
        <f t="shared" si="256"/>
        <v>-0.25</v>
      </c>
      <c r="T373" s="9">
        <f t="shared" si="257"/>
        <v>-0.19999999999999929</v>
      </c>
      <c r="U373" s="9">
        <f t="shared" si="258"/>
        <v>3.5</v>
      </c>
      <c r="V373" s="9">
        <f t="shared" si="259"/>
        <v>2.6000000000000014</v>
      </c>
      <c r="W373" s="9">
        <f t="shared" si="260"/>
        <v>3.4499999999999993</v>
      </c>
      <c r="X373" s="9">
        <f t="shared" si="261"/>
        <v>-0.80000000000000071</v>
      </c>
      <c r="Y373" s="9">
        <f t="shared" si="262"/>
        <v>-4.5</v>
      </c>
      <c r="Z373" s="9">
        <f t="shared" si="263"/>
        <v>-3.3500000000000014</v>
      </c>
      <c r="AA373" s="9">
        <f t="shared" si="264"/>
        <v>1</v>
      </c>
      <c r="AB373" s="9">
        <f t="shared" si="265"/>
        <v>-0.29999999999999716</v>
      </c>
      <c r="AC373" s="9">
        <f t="shared" si="266"/>
        <v>0</v>
      </c>
      <c r="AD373" s="9">
        <f t="shared" si="267"/>
        <v>4.5</v>
      </c>
      <c r="AE373" s="9">
        <f t="shared" si="268"/>
        <v>4.5625</v>
      </c>
      <c r="AF373" s="9">
        <f t="shared" si="269"/>
        <v>5.5</v>
      </c>
      <c r="AG373" s="9">
        <f t="shared" si="270"/>
        <v>4.2000000000000028</v>
      </c>
      <c r="AH373" s="9">
        <f t="shared" si="271"/>
        <v>1.25</v>
      </c>
      <c r="AI373" s="9">
        <f t="shared" si="272"/>
        <v>-0.125</v>
      </c>
      <c r="AJ373" s="9">
        <f t="shared" si="273"/>
        <v>1</v>
      </c>
      <c r="AK373" s="9">
        <f t="shared" si="274"/>
        <v>0.20000000000000284</v>
      </c>
      <c r="AL373" s="9">
        <f t="shared" si="275"/>
        <v>0.875</v>
      </c>
      <c r="AM373" s="9">
        <f t="shared" si="276"/>
        <v>4.75</v>
      </c>
      <c r="AN373" s="9">
        <f t="shared" si="277"/>
        <v>4.2875000000000014</v>
      </c>
      <c r="AO373" s="9">
        <f t="shared" si="278"/>
        <v>3.125</v>
      </c>
      <c r="AP373" s="9">
        <f t="shared" si="279"/>
        <v>2.2000000000000028</v>
      </c>
      <c r="AQ373" s="9">
        <f t="shared" si="280"/>
        <v>0</v>
      </c>
      <c r="AR373" s="9">
        <f t="shared" si="281"/>
        <v>-2.375</v>
      </c>
      <c r="AS373" s="9">
        <f t="shared" si="282"/>
        <v>0.10000000000000142</v>
      </c>
      <c r="AT373" s="9">
        <f t="shared" si="283"/>
        <v>0.19999999999999929</v>
      </c>
      <c r="AU373" s="9">
        <f t="shared" si="284"/>
        <v>0.75</v>
      </c>
      <c r="AV373" s="9">
        <f t="shared" si="285"/>
        <v>3.375</v>
      </c>
      <c r="AW373" s="9">
        <f t="shared" si="286"/>
        <v>2.25</v>
      </c>
      <c r="AX373" s="9">
        <f t="shared" si="287"/>
        <v>0.375</v>
      </c>
      <c r="AY373" s="9">
        <f t="shared" si="288"/>
        <v>-0.30000000000000071</v>
      </c>
      <c r="AZ373" s="9">
        <f t="shared" si="289"/>
        <v>-2</v>
      </c>
      <c r="BA373" s="9">
        <f t="shared" si="290"/>
        <v>-3</v>
      </c>
      <c r="BB373" s="9">
        <f t="shared" si="291"/>
        <v>0.19999999999999929</v>
      </c>
      <c r="BC373" s="9">
        <f t="shared" si="292"/>
        <v>0.25</v>
      </c>
      <c r="BD373" s="9">
        <f t="shared" si="293"/>
        <v>0.875</v>
      </c>
      <c r="BE373" s="9">
        <f t="shared" si="294"/>
        <v>2.875</v>
      </c>
      <c r="BF373" s="9">
        <f t="shared" si="295"/>
        <v>1.9124999999999996</v>
      </c>
      <c r="BG373" s="9">
        <f t="shared" si="296"/>
        <v>-0.25</v>
      </c>
      <c r="BH373" s="9">
        <f t="shared" si="297"/>
        <v>9.9999999999999645E-2</v>
      </c>
      <c r="BI373" s="9">
        <f t="shared" si="298"/>
        <v>-2.25</v>
      </c>
      <c r="BJ373" s="9">
        <f t="shared" si="299"/>
        <v>-3</v>
      </c>
    </row>
    <row r="374" spans="1:62" x14ac:dyDescent="0.2">
      <c r="A374" s="9">
        <f>data!M375-data!M374</f>
        <v>0.22460000000000946</v>
      </c>
      <c r="B374" s="9">
        <f>data!C375-data!C374</f>
        <v>-1.9999999999999574E-2</v>
      </c>
      <c r="C374" s="9">
        <f>data!D375-data!D374</f>
        <v>0.26999999999999957</v>
      </c>
      <c r="D374" s="10">
        <f>data!B375-data!B374</f>
        <v>3.5000000000000142E-2</v>
      </c>
      <c r="E374" s="9">
        <f>data!E374-data!G374</f>
        <v>1.0026999999999999</v>
      </c>
      <c r="F374" s="9">
        <f>(data!E374-data!F374)-(data!G374-data!H374)</f>
        <v>0.80480000000000007</v>
      </c>
      <c r="G374" s="9">
        <f t="shared" si="250"/>
        <v>7.2000000000000952E-3</v>
      </c>
      <c r="H374" s="9">
        <f t="shared" si="251"/>
        <v>4.039999999999988E-2</v>
      </c>
      <c r="I374" s="9">
        <f>IF(data!M375&gt; 111.81,1,0)</f>
        <v>0</v>
      </c>
      <c r="J374" s="9">
        <f t="shared" si="252"/>
        <v>1</v>
      </c>
      <c r="K374" s="9">
        <f t="shared" si="253"/>
        <v>0</v>
      </c>
      <c r="L374" s="9">
        <f t="shared" si="254"/>
        <v>0.22460000000000946</v>
      </c>
      <c r="M374" s="9">
        <f>data!J374</f>
        <v>-28.25</v>
      </c>
      <c r="N374" s="9">
        <f>data!I374</f>
        <v>-72</v>
      </c>
      <c r="O374" s="9">
        <f>data!L374</f>
        <v>-61.5</v>
      </c>
      <c r="P374" s="9">
        <f>data!K374</f>
        <v>-28.4</v>
      </c>
      <c r="Q374" s="9">
        <f>data!R374</f>
        <v>-10.3</v>
      </c>
      <c r="R374" s="9">
        <f t="shared" si="255"/>
        <v>1</v>
      </c>
      <c r="S374" s="9">
        <f t="shared" si="256"/>
        <v>1.0500000000000007</v>
      </c>
      <c r="T374" s="9">
        <f t="shared" si="257"/>
        <v>4.75</v>
      </c>
      <c r="U374" s="9">
        <f t="shared" si="258"/>
        <v>3.8500000000000014</v>
      </c>
      <c r="V374" s="9">
        <f t="shared" si="259"/>
        <v>4.6999999999999993</v>
      </c>
      <c r="W374" s="9">
        <f t="shared" si="260"/>
        <v>0.44999999999999929</v>
      </c>
      <c r="X374" s="9">
        <f t="shared" si="261"/>
        <v>-3.25</v>
      </c>
      <c r="Y374" s="9">
        <f t="shared" si="262"/>
        <v>-2.1000000000000014</v>
      </c>
      <c r="Z374" s="9">
        <f t="shared" si="263"/>
        <v>-2.5500000000000007</v>
      </c>
      <c r="AA374" s="9">
        <f t="shared" si="264"/>
        <v>-1.2999999999999972</v>
      </c>
      <c r="AB374" s="9">
        <f t="shared" si="265"/>
        <v>-1</v>
      </c>
      <c r="AC374" s="9">
        <f t="shared" si="266"/>
        <v>3.5</v>
      </c>
      <c r="AD374" s="9">
        <f t="shared" si="267"/>
        <v>3.5625</v>
      </c>
      <c r="AE374" s="9">
        <f t="shared" si="268"/>
        <v>4.5</v>
      </c>
      <c r="AF374" s="9">
        <f t="shared" si="269"/>
        <v>3.2000000000000028</v>
      </c>
      <c r="AG374" s="9">
        <f t="shared" si="270"/>
        <v>0.25</v>
      </c>
      <c r="AH374" s="9">
        <f t="shared" si="271"/>
        <v>-1.125</v>
      </c>
      <c r="AI374" s="9">
        <f t="shared" si="272"/>
        <v>-1.625</v>
      </c>
      <c r="AJ374" s="9">
        <f t="shared" si="273"/>
        <v>-0.79999999999999716</v>
      </c>
      <c r="AK374" s="9">
        <f t="shared" si="274"/>
        <v>-0.125</v>
      </c>
      <c r="AL374" s="9">
        <f t="shared" si="275"/>
        <v>3.75</v>
      </c>
      <c r="AM374" s="9">
        <f t="shared" si="276"/>
        <v>3.2875000000000014</v>
      </c>
      <c r="AN374" s="9">
        <f t="shared" si="277"/>
        <v>2.125</v>
      </c>
      <c r="AO374" s="9">
        <f t="shared" si="278"/>
        <v>1.2000000000000028</v>
      </c>
      <c r="AP374" s="9">
        <f t="shared" si="279"/>
        <v>-1</v>
      </c>
      <c r="AQ374" s="9">
        <f t="shared" si="280"/>
        <v>-3.375</v>
      </c>
      <c r="AR374" s="9">
        <f t="shared" si="281"/>
        <v>-4.75</v>
      </c>
      <c r="AS374" s="9">
        <f t="shared" si="282"/>
        <v>9.9999999999997868E-2</v>
      </c>
      <c r="AT374" s="9">
        <f t="shared" si="283"/>
        <v>0.64999999999999858</v>
      </c>
      <c r="AU374" s="9">
        <f t="shared" si="284"/>
        <v>3.2749999999999986</v>
      </c>
      <c r="AV374" s="9">
        <f t="shared" si="285"/>
        <v>2.1499999999999986</v>
      </c>
      <c r="AW374" s="9">
        <f t="shared" si="286"/>
        <v>0.27499999999999858</v>
      </c>
      <c r="AX374" s="9">
        <f t="shared" si="287"/>
        <v>-0.40000000000000213</v>
      </c>
      <c r="AY374" s="9">
        <f t="shared" si="288"/>
        <v>-2.1000000000000014</v>
      </c>
      <c r="AZ374" s="9">
        <f t="shared" si="289"/>
        <v>-3.1000000000000014</v>
      </c>
      <c r="BA374" s="9">
        <f t="shared" si="290"/>
        <v>-3.9750000000000014</v>
      </c>
      <c r="BB374" s="9">
        <f t="shared" si="291"/>
        <v>5.0000000000000711E-2</v>
      </c>
      <c r="BC374" s="9">
        <f t="shared" si="292"/>
        <v>0.67500000000000071</v>
      </c>
      <c r="BD374" s="9">
        <f t="shared" si="293"/>
        <v>2.6750000000000007</v>
      </c>
      <c r="BE374" s="9">
        <f t="shared" si="294"/>
        <v>1.7125000000000004</v>
      </c>
      <c r="BF374" s="9">
        <f t="shared" si="295"/>
        <v>-0.44999999999999929</v>
      </c>
      <c r="BG374" s="9">
        <f t="shared" si="296"/>
        <v>-9.9999999999999645E-2</v>
      </c>
      <c r="BH374" s="9">
        <f t="shared" si="297"/>
        <v>-2.4499999999999993</v>
      </c>
      <c r="BI374" s="9">
        <f t="shared" si="298"/>
        <v>-3.1999999999999993</v>
      </c>
      <c r="BJ374" s="9">
        <f t="shared" si="299"/>
        <v>-3.9499999999999993</v>
      </c>
    </row>
    <row r="375" spans="1:62" x14ac:dyDescent="0.2">
      <c r="A375" s="9">
        <f>data!M376-data!M375</f>
        <v>0.2990999999999957</v>
      </c>
      <c r="B375" s="9">
        <f>data!C376-data!C375</f>
        <v>-0.17999999999999972</v>
      </c>
      <c r="C375" s="9">
        <f>data!D376-data!D375</f>
        <v>0.99000000000000021</v>
      </c>
      <c r="D375" s="10">
        <f>data!B376-data!B375</f>
        <v>-0.19249999999999989</v>
      </c>
      <c r="E375" s="9">
        <f>data!E375-data!G375</f>
        <v>1.0099</v>
      </c>
      <c r="F375" s="9">
        <f>(data!E375-data!F375)-(data!G375-data!H375)</f>
        <v>0.84519999999999995</v>
      </c>
      <c r="G375" s="9">
        <f t="shared" si="250"/>
        <v>3.1999999999999806E-2</v>
      </c>
      <c r="H375" s="9">
        <f t="shared" si="251"/>
        <v>-1.1100000000000221E-2</v>
      </c>
      <c r="I375" s="9">
        <f>IF(data!M376&gt; 111.81,1,0)</f>
        <v>0</v>
      </c>
      <c r="J375" s="9">
        <f t="shared" si="252"/>
        <v>1</v>
      </c>
      <c r="K375" s="9">
        <f t="shared" si="253"/>
        <v>0</v>
      </c>
      <c r="L375" s="9">
        <f t="shared" si="254"/>
        <v>0.2990999999999957</v>
      </c>
      <c r="M375" s="9">
        <f>data!J375</f>
        <v>-27.25</v>
      </c>
      <c r="N375" s="9">
        <f>data!I375</f>
        <v>-73.3</v>
      </c>
      <c r="O375" s="9">
        <f>data!L375</f>
        <v>-62.3</v>
      </c>
      <c r="P375" s="9">
        <f>data!K375</f>
        <v>-28.3</v>
      </c>
      <c r="Q375" s="9">
        <f>data!R375</f>
        <v>-10.25</v>
      </c>
      <c r="R375" s="9">
        <f t="shared" si="255"/>
        <v>5.0000000000000711E-2</v>
      </c>
      <c r="S375" s="9">
        <f t="shared" si="256"/>
        <v>3.75</v>
      </c>
      <c r="T375" s="9">
        <f t="shared" si="257"/>
        <v>2.8500000000000014</v>
      </c>
      <c r="U375" s="9">
        <f t="shared" si="258"/>
        <v>3.6999999999999993</v>
      </c>
      <c r="V375" s="9">
        <f t="shared" si="259"/>
        <v>-0.55000000000000071</v>
      </c>
      <c r="W375" s="9">
        <f t="shared" si="260"/>
        <v>-4.25</v>
      </c>
      <c r="X375" s="9">
        <f t="shared" si="261"/>
        <v>-3.1000000000000014</v>
      </c>
      <c r="Y375" s="9">
        <f t="shared" si="262"/>
        <v>-3.5500000000000007</v>
      </c>
      <c r="Z375" s="9">
        <f t="shared" si="263"/>
        <v>-1.8999999999999986</v>
      </c>
      <c r="AA375" s="9">
        <f t="shared" si="264"/>
        <v>0.29999999999999716</v>
      </c>
      <c r="AB375" s="9">
        <f t="shared" si="265"/>
        <v>4.7999999999999972</v>
      </c>
      <c r="AC375" s="9">
        <f t="shared" si="266"/>
        <v>4.8624999999999972</v>
      </c>
      <c r="AD375" s="9">
        <f t="shared" si="267"/>
        <v>5.7999999999999972</v>
      </c>
      <c r="AE375" s="9">
        <f t="shared" si="268"/>
        <v>4.5</v>
      </c>
      <c r="AF375" s="9">
        <f t="shared" si="269"/>
        <v>1.5499999999999972</v>
      </c>
      <c r="AG375" s="9">
        <f t="shared" si="270"/>
        <v>0.17499999999999716</v>
      </c>
      <c r="AH375" s="9">
        <f t="shared" si="271"/>
        <v>-0.32500000000000284</v>
      </c>
      <c r="AI375" s="9">
        <f t="shared" si="272"/>
        <v>1.2999999999999972</v>
      </c>
      <c r="AJ375" s="9">
        <f t="shared" si="273"/>
        <v>0.67499999999999716</v>
      </c>
      <c r="AK375" s="9">
        <f t="shared" si="274"/>
        <v>4.5499999999999972</v>
      </c>
      <c r="AL375" s="9">
        <f t="shared" si="275"/>
        <v>4.0874999999999986</v>
      </c>
      <c r="AM375" s="9">
        <f t="shared" si="276"/>
        <v>2.9249999999999972</v>
      </c>
      <c r="AN375" s="9">
        <f t="shared" si="277"/>
        <v>2</v>
      </c>
      <c r="AO375" s="9">
        <f t="shared" si="278"/>
        <v>-0.20000000000000284</v>
      </c>
      <c r="AP375" s="9">
        <f t="shared" si="279"/>
        <v>-2.5750000000000028</v>
      </c>
      <c r="AQ375" s="9">
        <f t="shared" si="280"/>
        <v>-3.9500000000000028</v>
      </c>
      <c r="AR375" s="9">
        <f t="shared" si="281"/>
        <v>-3.5</v>
      </c>
      <c r="AS375" s="9">
        <f t="shared" si="282"/>
        <v>0.55000000000000071</v>
      </c>
      <c r="AT375" s="9">
        <f t="shared" si="283"/>
        <v>3.1750000000000007</v>
      </c>
      <c r="AU375" s="9">
        <f t="shared" si="284"/>
        <v>2.0500000000000007</v>
      </c>
      <c r="AV375" s="9">
        <f t="shared" si="285"/>
        <v>0.17500000000000071</v>
      </c>
      <c r="AW375" s="9">
        <f t="shared" si="286"/>
        <v>-0.5</v>
      </c>
      <c r="AX375" s="9">
        <f t="shared" si="287"/>
        <v>-2.1999999999999993</v>
      </c>
      <c r="AY375" s="9">
        <f t="shared" si="288"/>
        <v>-3.1999999999999993</v>
      </c>
      <c r="AZ375" s="9">
        <f t="shared" si="289"/>
        <v>-4.0749999999999993</v>
      </c>
      <c r="BA375" s="9">
        <f t="shared" si="290"/>
        <v>-3.6999999999999993</v>
      </c>
      <c r="BB375" s="9">
        <f t="shared" si="291"/>
        <v>0.625</v>
      </c>
      <c r="BC375" s="9">
        <f t="shared" si="292"/>
        <v>2.625</v>
      </c>
      <c r="BD375" s="9">
        <f t="shared" si="293"/>
        <v>1.6624999999999996</v>
      </c>
      <c r="BE375" s="9">
        <f t="shared" si="294"/>
        <v>-0.5</v>
      </c>
      <c r="BF375" s="9">
        <f t="shared" si="295"/>
        <v>-0.15000000000000036</v>
      </c>
      <c r="BG375" s="9">
        <f t="shared" si="296"/>
        <v>-2.5</v>
      </c>
      <c r="BH375" s="9">
        <f t="shared" si="297"/>
        <v>-3.25</v>
      </c>
      <c r="BI375" s="9">
        <f t="shared" si="298"/>
        <v>-4</v>
      </c>
      <c r="BJ375" s="9">
        <f t="shared" si="299"/>
        <v>-3.75</v>
      </c>
    </row>
    <row r="376" spans="1:62" x14ac:dyDescent="0.2">
      <c r="A376" s="9">
        <f>data!M377-data!M376</f>
        <v>9.0400000000002478E-2</v>
      </c>
      <c r="B376" s="9">
        <f>data!C377-data!C376</f>
        <v>-2.6399999999999988</v>
      </c>
      <c r="C376" s="9">
        <f>data!D377-data!D376</f>
        <v>-4.7500000000001208E-2</v>
      </c>
      <c r="D376" s="10">
        <f>data!B377-data!B376</f>
        <v>0.13249999999999984</v>
      </c>
      <c r="E376" s="9">
        <f>data!E376-data!G376</f>
        <v>1.0418999999999998</v>
      </c>
      <c r="F376" s="9">
        <f>(data!E376-data!F376)-(data!G376-data!H376)</f>
        <v>0.83409999999999973</v>
      </c>
      <c r="G376" s="9">
        <f t="shared" si="250"/>
        <v>0.20910000000000029</v>
      </c>
      <c r="H376" s="9">
        <f t="shared" si="251"/>
        <v>0.16920000000000035</v>
      </c>
      <c r="I376" s="9">
        <f>IF(data!M377&gt; 111.81,1,0)</f>
        <v>0</v>
      </c>
      <c r="J376" s="9">
        <f t="shared" si="252"/>
        <v>1</v>
      </c>
      <c r="K376" s="9">
        <f t="shared" si="253"/>
        <v>0</v>
      </c>
      <c r="L376" s="9">
        <f t="shared" si="254"/>
        <v>9.0400000000002478E-2</v>
      </c>
      <c r="M376" s="9">
        <f>data!J376</f>
        <v>-27.2</v>
      </c>
      <c r="N376" s="9">
        <f>data!I376</f>
        <v>-73</v>
      </c>
      <c r="O376" s="9">
        <f>data!L376</f>
        <v>-61.625</v>
      </c>
      <c r="P376" s="9">
        <f>data!K376</f>
        <v>-27.75</v>
      </c>
      <c r="Q376" s="9">
        <f>data!R376</f>
        <v>-9.625</v>
      </c>
      <c r="R376" s="9">
        <f t="shared" si="255"/>
        <v>3.6999999999999993</v>
      </c>
      <c r="S376" s="9">
        <f t="shared" si="256"/>
        <v>2.8000000000000007</v>
      </c>
      <c r="T376" s="9">
        <f t="shared" si="257"/>
        <v>3.6499999999999986</v>
      </c>
      <c r="U376" s="9">
        <f t="shared" si="258"/>
        <v>-0.60000000000000142</v>
      </c>
      <c r="V376" s="9">
        <f t="shared" si="259"/>
        <v>-4.3000000000000007</v>
      </c>
      <c r="W376" s="9">
        <f t="shared" si="260"/>
        <v>-3.1500000000000021</v>
      </c>
      <c r="X376" s="9">
        <f t="shared" si="261"/>
        <v>-3.6000000000000014</v>
      </c>
      <c r="Y376" s="9">
        <f t="shared" si="262"/>
        <v>-1.9499999999999993</v>
      </c>
      <c r="Z376" s="9">
        <f t="shared" si="263"/>
        <v>-3.1000000000000014</v>
      </c>
      <c r="AA376" s="9">
        <f t="shared" si="264"/>
        <v>4.5</v>
      </c>
      <c r="AB376" s="9">
        <f t="shared" si="265"/>
        <v>4.5625</v>
      </c>
      <c r="AC376" s="9">
        <f t="shared" si="266"/>
        <v>5.5</v>
      </c>
      <c r="AD376" s="9">
        <f t="shared" si="267"/>
        <v>4.2000000000000028</v>
      </c>
      <c r="AE376" s="9">
        <f t="shared" si="268"/>
        <v>1.25</v>
      </c>
      <c r="AF376" s="9">
        <f t="shared" si="269"/>
        <v>-0.125</v>
      </c>
      <c r="AG376" s="9">
        <f t="shared" si="270"/>
        <v>-0.625</v>
      </c>
      <c r="AH376" s="9">
        <f t="shared" si="271"/>
        <v>1</v>
      </c>
      <c r="AI376" s="9">
        <f t="shared" si="272"/>
        <v>-4.75</v>
      </c>
      <c r="AJ376" s="9">
        <f t="shared" si="273"/>
        <v>3.875</v>
      </c>
      <c r="AK376" s="9">
        <f t="shared" si="274"/>
        <v>3.4125000000000014</v>
      </c>
      <c r="AL376" s="9">
        <f t="shared" si="275"/>
        <v>2.25</v>
      </c>
      <c r="AM376" s="9">
        <f t="shared" si="276"/>
        <v>1.3250000000000028</v>
      </c>
      <c r="AN376" s="9">
        <f t="shared" si="277"/>
        <v>-0.875</v>
      </c>
      <c r="AO376" s="9">
        <f t="shared" si="278"/>
        <v>-3.25</v>
      </c>
      <c r="AP376" s="9">
        <f t="shared" si="279"/>
        <v>-4.625</v>
      </c>
      <c r="AQ376" s="9">
        <f t="shared" si="280"/>
        <v>-4.1749999999999972</v>
      </c>
      <c r="AR376" s="9">
        <f t="shared" si="281"/>
        <v>-9.375</v>
      </c>
      <c r="AS376" s="9">
        <f t="shared" si="282"/>
        <v>2.625</v>
      </c>
      <c r="AT376" s="9">
        <f t="shared" si="283"/>
        <v>1.5</v>
      </c>
      <c r="AU376" s="9">
        <f t="shared" si="284"/>
        <v>-0.375</v>
      </c>
      <c r="AV376" s="9">
        <f t="shared" si="285"/>
        <v>-1.0500000000000007</v>
      </c>
      <c r="AW376" s="9">
        <f t="shared" si="286"/>
        <v>-2.75</v>
      </c>
      <c r="AX376" s="9">
        <f t="shared" si="287"/>
        <v>-3.75</v>
      </c>
      <c r="AY376" s="9">
        <f t="shared" si="288"/>
        <v>-4.625</v>
      </c>
      <c r="AZ376" s="9">
        <f t="shared" si="289"/>
        <v>-4.25</v>
      </c>
      <c r="BA376" s="9">
        <f t="shared" si="290"/>
        <v>-8</v>
      </c>
      <c r="BB376" s="9">
        <f t="shared" si="291"/>
        <v>2</v>
      </c>
      <c r="BC376" s="9">
        <f t="shared" si="292"/>
        <v>1.0374999999999996</v>
      </c>
      <c r="BD376" s="9">
        <f t="shared" si="293"/>
        <v>-1.125</v>
      </c>
      <c r="BE376" s="9">
        <f t="shared" si="294"/>
        <v>-0.77500000000000036</v>
      </c>
      <c r="BF376" s="9">
        <f t="shared" si="295"/>
        <v>-3.125</v>
      </c>
      <c r="BG376" s="9">
        <f t="shared" si="296"/>
        <v>-3.875</v>
      </c>
      <c r="BH376" s="9">
        <f t="shared" si="297"/>
        <v>-4.625</v>
      </c>
      <c r="BI376" s="9">
        <f t="shared" si="298"/>
        <v>-4.375</v>
      </c>
      <c r="BJ376" s="9">
        <f t="shared" si="299"/>
        <v>-7.625</v>
      </c>
    </row>
    <row r="377" spans="1:62" x14ac:dyDescent="0.2">
      <c r="A377" s="9">
        <f>data!M378-data!M377</f>
        <v>9.1099999999997294E-2</v>
      </c>
      <c r="B377" s="9">
        <f>data!C378-data!C377</f>
        <v>0.34999999999999964</v>
      </c>
      <c r="C377" s="9">
        <f>data!D378-data!D377</f>
        <v>2.7499999999999858E-2</v>
      </c>
      <c r="D377" s="10">
        <f>data!B378-data!B377</f>
        <v>-0.11249999999999982</v>
      </c>
      <c r="E377" s="9">
        <f>data!E377-data!G377</f>
        <v>1.2510000000000001</v>
      </c>
      <c r="F377" s="9">
        <f>(data!E377-data!F377)-(data!G377-data!H377)</f>
        <v>1.0033000000000001</v>
      </c>
      <c r="G377" s="9">
        <f t="shared" si="250"/>
        <v>-4.2300000000000004E-2</v>
      </c>
      <c r="H377" s="9">
        <f t="shared" si="251"/>
        <v>-3.7300000000000111E-2</v>
      </c>
      <c r="I377" s="9">
        <f>IF(data!M378&gt; 111.81,1,0)</f>
        <v>0</v>
      </c>
      <c r="J377" s="9">
        <f t="shared" si="252"/>
        <v>1</v>
      </c>
      <c r="K377" s="9">
        <f t="shared" si="253"/>
        <v>0</v>
      </c>
      <c r="L377" s="9">
        <f t="shared" si="254"/>
        <v>9.1099999999997294E-2</v>
      </c>
      <c r="M377" s="9">
        <f>data!J377</f>
        <v>-23.5</v>
      </c>
      <c r="N377" s="9">
        <f>data!I377</f>
        <v>-68.5</v>
      </c>
      <c r="O377" s="9">
        <f>data!L377</f>
        <v>-57.75</v>
      </c>
      <c r="P377" s="9">
        <f>data!K377</f>
        <v>-25.125</v>
      </c>
      <c r="Q377" s="9">
        <f>data!R377</f>
        <v>-7.625</v>
      </c>
      <c r="R377" s="9">
        <f t="shared" si="255"/>
        <v>-0.89999999999999858</v>
      </c>
      <c r="S377" s="9">
        <f t="shared" si="256"/>
        <v>-5.0000000000000711E-2</v>
      </c>
      <c r="T377" s="9">
        <f t="shared" si="257"/>
        <v>-4.3000000000000007</v>
      </c>
      <c r="U377" s="9">
        <f t="shared" si="258"/>
        <v>-8</v>
      </c>
      <c r="V377" s="9">
        <f t="shared" si="259"/>
        <v>-6.8500000000000014</v>
      </c>
      <c r="W377" s="9">
        <f t="shared" si="260"/>
        <v>-7.3000000000000007</v>
      </c>
      <c r="X377" s="9">
        <f t="shared" si="261"/>
        <v>-5.6499999999999986</v>
      </c>
      <c r="Y377" s="9">
        <f t="shared" si="262"/>
        <v>-6.8000000000000007</v>
      </c>
      <c r="Z377" s="9">
        <f t="shared" si="263"/>
        <v>-14.350000000000001</v>
      </c>
      <c r="AA377" s="9">
        <f t="shared" si="264"/>
        <v>6.25E-2</v>
      </c>
      <c r="AB377" s="9">
        <f t="shared" si="265"/>
        <v>1</v>
      </c>
      <c r="AC377" s="9">
        <f t="shared" si="266"/>
        <v>-0.29999999999999716</v>
      </c>
      <c r="AD377" s="9">
        <f t="shared" si="267"/>
        <v>-3.25</v>
      </c>
      <c r="AE377" s="9">
        <f t="shared" si="268"/>
        <v>-4.625</v>
      </c>
      <c r="AF377" s="9">
        <f t="shared" si="269"/>
        <v>-5.125</v>
      </c>
      <c r="AG377" s="9">
        <f t="shared" si="270"/>
        <v>-3.5</v>
      </c>
      <c r="AH377" s="9">
        <f t="shared" si="271"/>
        <v>-9.25</v>
      </c>
      <c r="AI377" s="9">
        <f t="shared" si="272"/>
        <v>-21.099999999999994</v>
      </c>
      <c r="AJ377" s="9">
        <f t="shared" si="273"/>
        <v>-0.46249999999999858</v>
      </c>
      <c r="AK377" s="9">
        <f t="shared" si="274"/>
        <v>-1.625</v>
      </c>
      <c r="AL377" s="9">
        <f t="shared" si="275"/>
        <v>-2.5499999999999972</v>
      </c>
      <c r="AM377" s="9">
        <f t="shared" si="276"/>
        <v>-4.75</v>
      </c>
      <c r="AN377" s="9">
        <f t="shared" si="277"/>
        <v>-7.125</v>
      </c>
      <c r="AO377" s="9">
        <f t="shared" si="278"/>
        <v>-8.5</v>
      </c>
      <c r="AP377" s="9">
        <f t="shared" si="279"/>
        <v>-8.0499999999999972</v>
      </c>
      <c r="AQ377" s="9">
        <f t="shared" si="280"/>
        <v>-13.25</v>
      </c>
      <c r="AR377" s="9">
        <f t="shared" si="281"/>
        <v>-21</v>
      </c>
      <c r="AS377" s="9">
        <f t="shared" si="282"/>
        <v>-1.125</v>
      </c>
      <c r="AT377" s="9">
        <f t="shared" si="283"/>
        <v>-3</v>
      </c>
      <c r="AU377" s="9">
        <f t="shared" si="284"/>
        <v>-3.6750000000000007</v>
      </c>
      <c r="AV377" s="9">
        <f t="shared" si="285"/>
        <v>-5.375</v>
      </c>
      <c r="AW377" s="9">
        <f t="shared" si="286"/>
        <v>-6.375</v>
      </c>
      <c r="AX377" s="9">
        <f t="shared" si="287"/>
        <v>-7.25</v>
      </c>
      <c r="AY377" s="9">
        <f t="shared" si="288"/>
        <v>-6.875</v>
      </c>
      <c r="AZ377" s="9">
        <f t="shared" si="289"/>
        <v>-10.625</v>
      </c>
      <c r="BA377" s="9">
        <f t="shared" si="290"/>
        <v>-15.625</v>
      </c>
      <c r="BB377" s="9">
        <f t="shared" si="291"/>
        <v>-0.96250000000000036</v>
      </c>
      <c r="BC377" s="9">
        <f t="shared" si="292"/>
        <v>-3.125</v>
      </c>
      <c r="BD377" s="9">
        <f t="shared" si="293"/>
        <v>-2.7750000000000004</v>
      </c>
      <c r="BE377" s="9">
        <f t="shared" si="294"/>
        <v>-5.125</v>
      </c>
      <c r="BF377" s="9">
        <f t="shared" si="295"/>
        <v>-5.875</v>
      </c>
      <c r="BG377" s="9">
        <f t="shared" si="296"/>
        <v>-6.625</v>
      </c>
      <c r="BH377" s="9">
        <f t="shared" si="297"/>
        <v>-6.375</v>
      </c>
      <c r="BI377" s="9">
        <f t="shared" si="298"/>
        <v>-9.625</v>
      </c>
      <c r="BJ377" s="9">
        <f t="shared" si="299"/>
        <v>-14.625</v>
      </c>
    </row>
    <row r="378" spans="1:62" x14ac:dyDescent="0.2">
      <c r="A378" s="9">
        <f>data!M379-data!M378</f>
        <v>-0.15630000000000166</v>
      </c>
      <c r="B378" s="9">
        <f>data!C379-data!C378</f>
        <v>0.67999999999999972</v>
      </c>
      <c r="C378" s="9">
        <f>data!D379-data!D378</f>
        <v>-0.16999999999999993</v>
      </c>
      <c r="D378" s="10">
        <f>data!B379-data!B378</f>
        <v>-0.22750000000000004</v>
      </c>
      <c r="E378" s="9">
        <f>data!E378-data!G378</f>
        <v>1.2087000000000001</v>
      </c>
      <c r="F378" s="9">
        <f>(data!E378-data!F378)-(data!G378-data!H378)</f>
        <v>0.96599999999999997</v>
      </c>
      <c r="G378" s="9">
        <f t="shared" si="250"/>
        <v>1.6100000000000003E-2</v>
      </c>
      <c r="H378" s="9">
        <f t="shared" si="251"/>
        <v>4.3100000000000138E-2</v>
      </c>
      <c r="I378" s="9">
        <f>IF(data!M379&gt; 111.81,1,0)</f>
        <v>0</v>
      </c>
      <c r="J378" s="9">
        <f t="shared" si="252"/>
        <v>1</v>
      </c>
      <c r="K378" s="9">
        <f t="shared" si="253"/>
        <v>0</v>
      </c>
      <c r="L378" s="9">
        <f t="shared" si="254"/>
        <v>-0.15630000000000166</v>
      </c>
      <c r="M378" s="9">
        <f>data!J378</f>
        <v>-24.4</v>
      </c>
      <c r="N378" s="9">
        <f>data!I378</f>
        <v>-68.4375</v>
      </c>
      <c r="O378" s="9">
        <f>data!L378</f>
        <v>-58.212499999999999</v>
      </c>
      <c r="P378" s="9">
        <f>data!K378</f>
        <v>-26.25</v>
      </c>
      <c r="Q378" s="9">
        <f>data!R378</f>
        <v>-8.5875000000000004</v>
      </c>
      <c r="R378" s="9">
        <f t="shared" si="255"/>
        <v>0.84999999999999787</v>
      </c>
      <c r="S378" s="9">
        <f t="shared" si="256"/>
        <v>-3.4000000000000021</v>
      </c>
      <c r="T378" s="9">
        <f t="shared" si="257"/>
        <v>-7.1000000000000014</v>
      </c>
      <c r="U378" s="9">
        <f t="shared" si="258"/>
        <v>-5.9500000000000028</v>
      </c>
      <c r="V378" s="9">
        <f t="shared" si="259"/>
        <v>-6.4000000000000021</v>
      </c>
      <c r="W378" s="9">
        <f t="shared" si="260"/>
        <v>-4.75</v>
      </c>
      <c r="X378" s="9">
        <f t="shared" si="261"/>
        <v>-5.9000000000000021</v>
      </c>
      <c r="Y378" s="9">
        <f t="shared" si="262"/>
        <v>-13.450000000000003</v>
      </c>
      <c r="Z378" s="9">
        <f t="shared" si="263"/>
        <v>-12.350000000000001</v>
      </c>
      <c r="AA378" s="9">
        <f t="shared" si="264"/>
        <v>0.9375</v>
      </c>
      <c r="AB378" s="9">
        <f t="shared" si="265"/>
        <v>-0.36249999999999716</v>
      </c>
      <c r="AC378" s="9">
        <f t="shared" si="266"/>
        <v>-3.3125</v>
      </c>
      <c r="AD378" s="9">
        <f t="shared" si="267"/>
        <v>-4.6875</v>
      </c>
      <c r="AE378" s="9">
        <f t="shared" si="268"/>
        <v>-5.1875</v>
      </c>
      <c r="AF378" s="9">
        <f t="shared" si="269"/>
        <v>-3.5625</v>
      </c>
      <c r="AG378" s="9">
        <f t="shared" si="270"/>
        <v>-9.3125</v>
      </c>
      <c r="AH378" s="9">
        <f t="shared" si="271"/>
        <v>-21.162499999999994</v>
      </c>
      <c r="AI378" s="9">
        <f t="shared" si="272"/>
        <v>-19.4375</v>
      </c>
      <c r="AJ378" s="9">
        <f t="shared" si="273"/>
        <v>-1.1625000000000014</v>
      </c>
      <c r="AK378" s="9">
        <f t="shared" si="274"/>
        <v>-2.0874999999999986</v>
      </c>
      <c r="AL378" s="9">
        <f t="shared" si="275"/>
        <v>-4.2875000000000014</v>
      </c>
      <c r="AM378" s="9">
        <f t="shared" si="276"/>
        <v>-6.6625000000000014</v>
      </c>
      <c r="AN378" s="9">
        <f t="shared" si="277"/>
        <v>-8.0375000000000014</v>
      </c>
      <c r="AO378" s="9">
        <f t="shared" si="278"/>
        <v>-7.5874999999999986</v>
      </c>
      <c r="AP378" s="9">
        <f t="shared" si="279"/>
        <v>-12.787500000000001</v>
      </c>
      <c r="AQ378" s="9">
        <f t="shared" si="280"/>
        <v>-20.537500000000001</v>
      </c>
      <c r="AR378" s="9">
        <f t="shared" si="281"/>
        <v>-17.162500000000001</v>
      </c>
      <c r="AS378" s="9">
        <f t="shared" si="282"/>
        <v>-1.875</v>
      </c>
      <c r="AT378" s="9">
        <f t="shared" si="283"/>
        <v>-2.5500000000000007</v>
      </c>
      <c r="AU378" s="9">
        <f t="shared" si="284"/>
        <v>-4.25</v>
      </c>
      <c r="AV378" s="9">
        <f t="shared" si="285"/>
        <v>-5.25</v>
      </c>
      <c r="AW378" s="9">
        <f t="shared" si="286"/>
        <v>-6.125</v>
      </c>
      <c r="AX378" s="9">
        <f t="shared" si="287"/>
        <v>-5.75</v>
      </c>
      <c r="AY378" s="9">
        <f t="shared" si="288"/>
        <v>-9.5</v>
      </c>
      <c r="AZ378" s="9">
        <f t="shared" si="289"/>
        <v>-14.5</v>
      </c>
      <c r="BA378" s="9">
        <f t="shared" si="290"/>
        <v>-8.25</v>
      </c>
      <c r="BB378" s="9">
        <f t="shared" si="291"/>
        <v>-2.1624999999999996</v>
      </c>
      <c r="BC378" s="9">
        <f t="shared" si="292"/>
        <v>-1.8125</v>
      </c>
      <c r="BD378" s="9">
        <f t="shared" si="293"/>
        <v>-4.1624999999999996</v>
      </c>
      <c r="BE378" s="9">
        <f t="shared" si="294"/>
        <v>-4.9124999999999996</v>
      </c>
      <c r="BF378" s="9">
        <f t="shared" si="295"/>
        <v>-5.6624999999999996</v>
      </c>
      <c r="BG378" s="9">
        <f t="shared" si="296"/>
        <v>-5.4124999999999996</v>
      </c>
      <c r="BH378" s="9">
        <f t="shared" si="297"/>
        <v>-8.6624999999999996</v>
      </c>
      <c r="BI378" s="9">
        <f t="shared" si="298"/>
        <v>-13.6625</v>
      </c>
      <c r="BJ378" s="9">
        <f t="shared" si="299"/>
        <v>-7.0374999999999996</v>
      </c>
    </row>
    <row r="379" spans="1:62" x14ac:dyDescent="0.2">
      <c r="A379" s="9">
        <f>data!M380-data!M379</f>
        <v>0.47820000000000107</v>
      </c>
      <c r="B379" s="9">
        <f>data!C380-data!C379</f>
        <v>1.1999999999999993</v>
      </c>
      <c r="C379" s="9">
        <f>data!D380-data!D379</f>
        <v>0</v>
      </c>
      <c r="D379" s="10">
        <f>data!B380-data!B379</f>
        <v>0.13249999999999984</v>
      </c>
      <c r="E379" s="9">
        <f>data!E379-data!G379</f>
        <v>1.2248000000000001</v>
      </c>
      <c r="F379" s="9">
        <f>(data!E379-data!F379)-(data!G379-data!H379)</f>
        <v>1.0091000000000001</v>
      </c>
      <c r="G379" s="9">
        <f t="shared" si="250"/>
        <v>-0.1593</v>
      </c>
      <c r="H379" s="9">
        <f t="shared" si="251"/>
        <v>-0.14420000000000022</v>
      </c>
      <c r="I379" s="9">
        <f>IF(data!M380&gt; 111.81,1,0)</f>
        <v>0</v>
      </c>
      <c r="J379" s="9">
        <f t="shared" si="252"/>
        <v>1</v>
      </c>
      <c r="K379" s="9">
        <f t="shared" si="253"/>
        <v>0</v>
      </c>
      <c r="L379" s="9">
        <f t="shared" si="254"/>
        <v>0.47820000000000107</v>
      </c>
      <c r="M379" s="9">
        <f>data!J379</f>
        <v>-23.55</v>
      </c>
      <c r="N379" s="9">
        <f>data!I379</f>
        <v>-67.5</v>
      </c>
      <c r="O379" s="9">
        <f>data!L379</f>
        <v>-59.375</v>
      </c>
      <c r="P379" s="9">
        <f>data!K379</f>
        <v>-28.125</v>
      </c>
      <c r="Q379" s="9">
        <f>data!R379</f>
        <v>-10.75</v>
      </c>
      <c r="R379" s="9">
        <f t="shared" si="255"/>
        <v>-4.25</v>
      </c>
      <c r="S379" s="9">
        <f t="shared" si="256"/>
        <v>-7.9499999999999993</v>
      </c>
      <c r="T379" s="9">
        <f t="shared" si="257"/>
        <v>-6.8000000000000007</v>
      </c>
      <c r="U379" s="9">
        <f t="shared" si="258"/>
        <v>-7.25</v>
      </c>
      <c r="V379" s="9">
        <f t="shared" si="259"/>
        <v>-5.5999999999999979</v>
      </c>
      <c r="W379" s="9">
        <f t="shared" si="260"/>
        <v>-6.75</v>
      </c>
      <c r="X379" s="9">
        <f t="shared" si="261"/>
        <v>-14.3</v>
      </c>
      <c r="Y379" s="9">
        <f t="shared" si="262"/>
        <v>-13.2</v>
      </c>
      <c r="Z379" s="9">
        <f t="shared" si="263"/>
        <v>-21.45</v>
      </c>
      <c r="AA379" s="9">
        <f t="shared" si="264"/>
        <v>-1.2999999999999972</v>
      </c>
      <c r="AB379" s="9">
        <f t="shared" si="265"/>
        <v>-4.25</v>
      </c>
      <c r="AC379" s="9">
        <f t="shared" si="266"/>
        <v>-5.625</v>
      </c>
      <c r="AD379" s="9">
        <f t="shared" si="267"/>
        <v>-6.125</v>
      </c>
      <c r="AE379" s="9">
        <f t="shared" si="268"/>
        <v>-4.5</v>
      </c>
      <c r="AF379" s="9">
        <f t="shared" si="269"/>
        <v>-10.25</v>
      </c>
      <c r="AG379" s="9">
        <f t="shared" si="270"/>
        <v>-22.099999999999994</v>
      </c>
      <c r="AH379" s="9">
        <f t="shared" si="271"/>
        <v>-20.375</v>
      </c>
      <c r="AI379" s="9">
        <f t="shared" si="272"/>
        <v>-24.9375</v>
      </c>
      <c r="AJ379" s="9">
        <f t="shared" si="273"/>
        <v>-0.92499999999999716</v>
      </c>
      <c r="AK379" s="9">
        <f t="shared" si="274"/>
        <v>-3.125</v>
      </c>
      <c r="AL379" s="9">
        <f t="shared" si="275"/>
        <v>-5.5</v>
      </c>
      <c r="AM379" s="9">
        <f t="shared" si="276"/>
        <v>-6.875</v>
      </c>
      <c r="AN379" s="9">
        <f t="shared" si="277"/>
        <v>-6.4249999999999972</v>
      </c>
      <c r="AO379" s="9">
        <f t="shared" si="278"/>
        <v>-11.625</v>
      </c>
      <c r="AP379" s="9">
        <f t="shared" si="279"/>
        <v>-19.375</v>
      </c>
      <c r="AQ379" s="9">
        <f t="shared" si="280"/>
        <v>-16</v>
      </c>
      <c r="AR379" s="9">
        <f t="shared" si="281"/>
        <v>-20.9375</v>
      </c>
      <c r="AS379" s="9">
        <f t="shared" si="282"/>
        <v>-0.67500000000000071</v>
      </c>
      <c r="AT379" s="9">
        <f t="shared" si="283"/>
        <v>-2.375</v>
      </c>
      <c r="AU379" s="9">
        <f t="shared" si="284"/>
        <v>-3.375</v>
      </c>
      <c r="AV379" s="9">
        <f t="shared" si="285"/>
        <v>-4.25</v>
      </c>
      <c r="AW379" s="9">
        <f t="shared" si="286"/>
        <v>-3.875</v>
      </c>
      <c r="AX379" s="9">
        <f t="shared" si="287"/>
        <v>-7.625</v>
      </c>
      <c r="AY379" s="9">
        <f t="shared" si="288"/>
        <v>-12.625</v>
      </c>
      <c r="AZ379" s="9">
        <f t="shared" si="289"/>
        <v>-6.375</v>
      </c>
      <c r="BA379" s="9">
        <f t="shared" si="290"/>
        <v>-10.087499999999999</v>
      </c>
      <c r="BB379" s="9">
        <f t="shared" si="291"/>
        <v>0.34999999999999964</v>
      </c>
      <c r="BC379" s="9">
        <f t="shared" si="292"/>
        <v>-2</v>
      </c>
      <c r="BD379" s="9">
        <f t="shared" si="293"/>
        <v>-2.75</v>
      </c>
      <c r="BE379" s="9">
        <f t="shared" si="294"/>
        <v>-3.5</v>
      </c>
      <c r="BF379" s="9">
        <f t="shared" si="295"/>
        <v>-3.25</v>
      </c>
      <c r="BG379" s="9">
        <f t="shared" si="296"/>
        <v>-6.5</v>
      </c>
      <c r="BH379" s="9">
        <f t="shared" si="297"/>
        <v>-11.5</v>
      </c>
      <c r="BI379" s="9">
        <f t="shared" si="298"/>
        <v>-4.875</v>
      </c>
      <c r="BJ379" s="9">
        <f t="shared" si="299"/>
        <v>-8.0874999999999986</v>
      </c>
    </row>
    <row r="380" spans="1:62" x14ac:dyDescent="0.2">
      <c r="A380" s="9">
        <f>data!M381-data!M380</f>
        <v>0.11830000000000496</v>
      </c>
      <c r="B380" s="9">
        <f>data!C381-data!C380</f>
        <v>2.8500000000000014</v>
      </c>
      <c r="C380" s="9">
        <f>data!D381-data!D380</f>
        <v>-1.0899999999999999</v>
      </c>
      <c r="D380" s="10">
        <f>data!B381-data!B380</f>
        <v>0.11250000000000027</v>
      </c>
      <c r="E380" s="9">
        <f>data!E380-data!G380</f>
        <v>1.0655000000000001</v>
      </c>
      <c r="F380" s="9">
        <f>(data!E380-data!F380)-(data!G380-data!H380)</f>
        <v>0.86489999999999989</v>
      </c>
      <c r="G380" s="9">
        <f t="shared" si="250"/>
        <v>-2.5200000000000111E-2</v>
      </c>
      <c r="H380" s="9">
        <f t="shared" si="251"/>
        <v>1.6400000000000081E-2</v>
      </c>
      <c r="I380" s="9">
        <f>IF(data!M381&gt; 111.81,1,0)</f>
        <v>0</v>
      </c>
      <c r="J380" s="9">
        <f t="shared" si="252"/>
        <v>1</v>
      </c>
      <c r="K380" s="9">
        <f t="shared" si="253"/>
        <v>0</v>
      </c>
      <c r="L380" s="9">
        <f t="shared" si="254"/>
        <v>0.11830000000000496</v>
      </c>
      <c r="M380" s="9">
        <f>data!J380</f>
        <v>-27.8</v>
      </c>
      <c r="N380" s="9">
        <f>data!I380</f>
        <v>-68.8</v>
      </c>
      <c r="O380" s="9">
        <f>data!L380</f>
        <v>-60.3</v>
      </c>
      <c r="P380" s="9">
        <f>data!K380</f>
        <v>-28.8</v>
      </c>
      <c r="Q380" s="9">
        <f>data!R380</f>
        <v>-10.4</v>
      </c>
      <c r="R380" s="9">
        <f t="shared" si="255"/>
        <v>-3.6999999999999993</v>
      </c>
      <c r="S380" s="9">
        <f t="shared" si="256"/>
        <v>-2.5500000000000007</v>
      </c>
      <c r="T380" s="9">
        <f t="shared" si="257"/>
        <v>-3</v>
      </c>
      <c r="U380" s="9">
        <f t="shared" si="258"/>
        <v>-1.3499999999999979</v>
      </c>
      <c r="V380" s="9">
        <f t="shared" si="259"/>
        <v>-2.5</v>
      </c>
      <c r="W380" s="9">
        <f t="shared" si="260"/>
        <v>-10.050000000000001</v>
      </c>
      <c r="X380" s="9">
        <f t="shared" si="261"/>
        <v>-8.9499999999999993</v>
      </c>
      <c r="Y380" s="9">
        <f t="shared" si="262"/>
        <v>-17.2</v>
      </c>
      <c r="Z380" s="9">
        <f t="shared" si="263"/>
        <v>-9.6500000000000021</v>
      </c>
      <c r="AA380" s="9">
        <f t="shared" si="264"/>
        <v>-2.9500000000000028</v>
      </c>
      <c r="AB380" s="9">
        <f t="shared" si="265"/>
        <v>-4.3250000000000028</v>
      </c>
      <c r="AC380" s="9">
        <f t="shared" si="266"/>
        <v>-4.8250000000000028</v>
      </c>
      <c r="AD380" s="9">
        <f t="shared" si="267"/>
        <v>-3.2000000000000028</v>
      </c>
      <c r="AE380" s="9">
        <f t="shared" si="268"/>
        <v>-8.9500000000000028</v>
      </c>
      <c r="AF380" s="9">
        <f t="shared" si="269"/>
        <v>-20.799999999999997</v>
      </c>
      <c r="AG380" s="9">
        <f t="shared" si="270"/>
        <v>-19.075000000000003</v>
      </c>
      <c r="AH380" s="9">
        <f t="shared" si="271"/>
        <v>-23.637500000000003</v>
      </c>
      <c r="AI380" s="9">
        <f t="shared" si="272"/>
        <v>-18.700000000000003</v>
      </c>
      <c r="AJ380" s="9">
        <f t="shared" si="273"/>
        <v>-2.2000000000000028</v>
      </c>
      <c r="AK380" s="9">
        <f t="shared" si="274"/>
        <v>-4.5750000000000028</v>
      </c>
      <c r="AL380" s="9">
        <f t="shared" si="275"/>
        <v>-5.9500000000000028</v>
      </c>
      <c r="AM380" s="9">
        <f t="shared" si="276"/>
        <v>-5.5</v>
      </c>
      <c r="AN380" s="9">
        <f t="shared" si="277"/>
        <v>-10.700000000000003</v>
      </c>
      <c r="AO380" s="9">
        <f t="shared" si="278"/>
        <v>-18.450000000000003</v>
      </c>
      <c r="AP380" s="9">
        <f t="shared" si="279"/>
        <v>-15.075000000000003</v>
      </c>
      <c r="AQ380" s="9">
        <f t="shared" si="280"/>
        <v>-20.012500000000003</v>
      </c>
      <c r="AR380" s="9">
        <f t="shared" si="281"/>
        <v>-15.200000000000003</v>
      </c>
      <c r="AS380" s="9">
        <f t="shared" si="282"/>
        <v>-1.6999999999999993</v>
      </c>
      <c r="AT380" s="9">
        <f t="shared" si="283"/>
        <v>-2.6999999999999993</v>
      </c>
      <c r="AU380" s="9">
        <f t="shared" si="284"/>
        <v>-3.5749999999999993</v>
      </c>
      <c r="AV380" s="9">
        <f t="shared" si="285"/>
        <v>-3.1999999999999993</v>
      </c>
      <c r="AW380" s="9">
        <f t="shared" si="286"/>
        <v>-6.9499999999999993</v>
      </c>
      <c r="AX380" s="9">
        <f t="shared" si="287"/>
        <v>-11.95</v>
      </c>
      <c r="AY380" s="9">
        <f t="shared" si="288"/>
        <v>-5.6999999999999993</v>
      </c>
      <c r="AZ380" s="9">
        <f t="shared" si="289"/>
        <v>-9.4124999999999979</v>
      </c>
      <c r="BA380" s="9">
        <f t="shared" si="290"/>
        <v>-4.4999999999999964</v>
      </c>
      <c r="BB380" s="9">
        <f t="shared" si="291"/>
        <v>-2.3499999999999996</v>
      </c>
      <c r="BC380" s="9">
        <f t="shared" si="292"/>
        <v>-3.0999999999999996</v>
      </c>
      <c r="BD380" s="9">
        <f t="shared" si="293"/>
        <v>-3.8499999999999996</v>
      </c>
      <c r="BE380" s="9">
        <f t="shared" si="294"/>
        <v>-3.5999999999999996</v>
      </c>
      <c r="BF380" s="9">
        <f t="shared" si="295"/>
        <v>-6.85</v>
      </c>
      <c r="BG380" s="9">
        <f t="shared" si="296"/>
        <v>-11.85</v>
      </c>
      <c r="BH380" s="9">
        <f t="shared" si="297"/>
        <v>-5.2249999999999996</v>
      </c>
      <c r="BI380" s="9">
        <f t="shared" si="298"/>
        <v>-8.4374999999999982</v>
      </c>
      <c r="BJ380" s="9">
        <f t="shared" si="299"/>
        <v>-3.6999999999999993</v>
      </c>
    </row>
    <row r="381" spans="1:62" x14ac:dyDescent="0.2">
      <c r="A381" s="9">
        <f>data!M382-data!M381</f>
        <v>-0.24920000000000186</v>
      </c>
      <c r="B381" s="9">
        <f>data!C382-data!C381</f>
        <v>-2.1099999999999994</v>
      </c>
      <c r="C381" s="9">
        <f>data!D382-data!D381</f>
        <v>0.16000000000000014</v>
      </c>
      <c r="D381" s="10">
        <f>data!B382-data!B381</f>
        <v>0.18500000000000005</v>
      </c>
      <c r="E381" s="9">
        <f>data!E381-data!G381</f>
        <v>1.0403</v>
      </c>
      <c r="F381" s="9">
        <f>(data!E381-data!F381)-(data!G381-data!H381)</f>
        <v>0.88129999999999997</v>
      </c>
      <c r="G381" s="9">
        <f t="shared" si="250"/>
        <v>-1.1399999999999855E-2</v>
      </c>
      <c r="H381" s="9">
        <f t="shared" si="251"/>
        <v>-1.0599999999999943E-2</v>
      </c>
      <c r="I381" s="9">
        <f>IF(data!M382&gt; 111.81,1,0)</f>
        <v>0</v>
      </c>
      <c r="J381" s="9">
        <f t="shared" si="252"/>
        <v>1</v>
      </c>
      <c r="K381" s="9">
        <f t="shared" si="253"/>
        <v>0</v>
      </c>
      <c r="L381" s="9">
        <f t="shared" si="254"/>
        <v>-0.24920000000000186</v>
      </c>
      <c r="M381" s="9">
        <f>data!J381</f>
        <v>-31.5</v>
      </c>
      <c r="N381" s="9">
        <f>data!I381</f>
        <v>-71.75</v>
      </c>
      <c r="O381" s="9">
        <f>data!L381</f>
        <v>-62.5</v>
      </c>
      <c r="P381" s="9">
        <f>data!K381</f>
        <v>-30.5</v>
      </c>
      <c r="Q381" s="9">
        <f>data!R381</f>
        <v>-12.75</v>
      </c>
      <c r="R381" s="9">
        <f t="shared" si="255"/>
        <v>1.1499999999999986</v>
      </c>
      <c r="S381" s="9">
        <f t="shared" si="256"/>
        <v>0.69999999999999929</v>
      </c>
      <c r="T381" s="9">
        <f t="shared" si="257"/>
        <v>2.3500000000000014</v>
      </c>
      <c r="U381" s="9">
        <f t="shared" si="258"/>
        <v>1.1999999999999993</v>
      </c>
      <c r="V381" s="9">
        <f t="shared" si="259"/>
        <v>-6.3500000000000014</v>
      </c>
      <c r="W381" s="9">
        <f t="shared" si="260"/>
        <v>-5.25</v>
      </c>
      <c r="X381" s="9">
        <f t="shared" si="261"/>
        <v>-13.5</v>
      </c>
      <c r="Y381" s="9">
        <f t="shared" si="262"/>
        <v>-5.9500000000000028</v>
      </c>
      <c r="Z381" s="9">
        <f t="shared" si="263"/>
        <v>-8.7999999999999972</v>
      </c>
      <c r="AA381" s="9">
        <f t="shared" si="264"/>
        <v>-1.375</v>
      </c>
      <c r="AB381" s="9">
        <f t="shared" si="265"/>
        <v>-1.875</v>
      </c>
      <c r="AC381" s="9">
        <f t="shared" si="266"/>
        <v>-0.25</v>
      </c>
      <c r="AD381" s="9">
        <f t="shared" si="267"/>
        <v>-6</v>
      </c>
      <c r="AE381" s="9">
        <f t="shared" si="268"/>
        <v>-17.849999999999994</v>
      </c>
      <c r="AF381" s="9">
        <f t="shared" si="269"/>
        <v>-16.125</v>
      </c>
      <c r="AG381" s="9">
        <f t="shared" si="270"/>
        <v>-20.6875</v>
      </c>
      <c r="AH381" s="9">
        <f t="shared" si="271"/>
        <v>-15.75</v>
      </c>
      <c r="AI381" s="9">
        <f t="shared" si="272"/>
        <v>-15.125</v>
      </c>
      <c r="AJ381" s="9">
        <f t="shared" si="273"/>
        <v>-2.375</v>
      </c>
      <c r="AK381" s="9">
        <f t="shared" si="274"/>
        <v>-3.75</v>
      </c>
      <c r="AL381" s="9">
        <f t="shared" si="275"/>
        <v>-3.2999999999999972</v>
      </c>
      <c r="AM381" s="9">
        <f t="shared" si="276"/>
        <v>-8.5</v>
      </c>
      <c r="AN381" s="9">
        <f t="shared" si="277"/>
        <v>-16.25</v>
      </c>
      <c r="AO381" s="9">
        <f t="shared" si="278"/>
        <v>-12.875</v>
      </c>
      <c r="AP381" s="9">
        <f t="shared" si="279"/>
        <v>-17.8125</v>
      </c>
      <c r="AQ381" s="9">
        <f t="shared" si="280"/>
        <v>-13</v>
      </c>
      <c r="AR381" s="9">
        <f t="shared" si="281"/>
        <v>-13.125</v>
      </c>
      <c r="AS381" s="9">
        <f t="shared" si="282"/>
        <v>-1</v>
      </c>
      <c r="AT381" s="9">
        <f t="shared" si="283"/>
        <v>-1.875</v>
      </c>
      <c r="AU381" s="9">
        <f t="shared" si="284"/>
        <v>-1.5</v>
      </c>
      <c r="AV381" s="9">
        <f t="shared" si="285"/>
        <v>-5.25</v>
      </c>
      <c r="AW381" s="9">
        <f t="shared" si="286"/>
        <v>-10.25</v>
      </c>
      <c r="AX381" s="9">
        <f t="shared" si="287"/>
        <v>-4</v>
      </c>
      <c r="AY381" s="9">
        <f t="shared" si="288"/>
        <v>-7.7124999999999986</v>
      </c>
      <c r="AZ381" s="9">
        <f t="shared" si="289"/>
        <v>-2.7999999999999972</v>
      </c>
      <c r="BA381" s="9">
        <f t="shared" si="290"/>
        <v>-3.25</v>
      </c>
      <c r="BB381" s="9">
        <f t="shared" si="291"/>
        <v>-0.75</v>
      </c>
      <c r="BC381" s="9">
        <f t="shared" si="292"/>
        <v>-1.5</v>
      </c>
      <c r="BD381" s="9">
        <f t="shared" si="293"/>
        <v>-1.25</v>
      </c>
      <c r="BE381" s="9">
        <f t="shared" si="294"/>
        <v>-4.5</v>
      </c>
      <c r="BF381" s="9">
        <f t="shared" si="295"/>
        <v>-9.5</v>
      </c>
      <c r="BG381" s="9">
        <f t="shared" si="296"/>
        <v>-2.875</v>
      </c>
      <c r="BH381" s="9">
        <f t="shared" si="297"/>
        <v>-6.0874999999999986</v>
      </c>
      <c r="BI381" s="9">
        <f t="shared" si="298"/>
        <v>-1.3499999999999996</v>
      </c>
      <c r="BJ381" s="9">
        <f t="shared" si="299"/>
        <v>-1.5</v>
      </c>
    </row>
    <row r="382" spans="1:62" x14ac:dyDescent="0.2">
      <c r="A382" s="9">
        <f>data!M383-data!M382</f>
        <v>-0.47970000000000823</v>
      </c>
      <c r="B382" s="9">
        <f>data!C383-data!C382</f>
        <v>-1.120000000000001</v>
      </c>
      <c r="C382" s="9">
        <f>data!D383-data!D382</f>
        <v>-1.0149999999999988</v>
      </c>
      <c r="D382" s="10">
        <f>data!B383-data!B382</f>
        <v>0.52749999999999986</v>
      </c>
      <c r="E382" s="9">
        <f>data!E382-data!G382</f>
        <v>1.0289000000000001</v>
      </c>
      <c r="F382" s="9">
        <f>(data!E382-data!F382)-(data!G382-data!H382)</f>
        <v>0.87070000000000003</v>
      </c>
      <c r="G382" s="9">
        <f t="shared" si="250"/>
        <v>1.3900000000000023E-2</v>
      </c>
      <c r="H382" s="9">
        <f t="shared" si="251"/>
        <v>2.0299999999999985E-2</v>
      </c>
      <c r="I382" s="9">
        <f>IF(data!M383&gt; 111.81,1,0)</f>
        <v>0</v>
      </c>
      <c r="J382" s="9">
        <f t="shared" si="252"/>
        <v>1</v>
      </c>
      <c r="K382" s="9">
        <f t="shared" si="253"/>
        <v>0</v>
      </c>
      <c r="L382" s="9">
        <f t="shared" si="254"/>
        <v>-0.47970000000000823</v>
      </c>
      <c r="M382" s="9">
        <f>data!J382</f>
        <v>-30.35</v>
      </c>
      <c r="N382" s="9">
        <f>data!I382</f>
        <v>-73.125</v>
      </c>
      <c r="O382" s="9">
        <f>data!L382</f>
        <v>-64.875</v>
      </c>
      <c r="P382" s="9">
        <f>data!K382</f>
        <v>-31.5</v>
      </c>
      <c r="Q382" s="9">
        <f>data!R382</f>
        <v>-13.5</v>
      </c>
      <c r="R382" s="9">
        <f t="shared" si="255"/>
        <v>-0.44999999999999929</v>
      </c>
      <c r="S382" s="9">
        <f t="shared" si="256"/>
        <v>1.2000000000000028</v>
      </c>
      <c r="T382" s="9">
        <f t="shared" si="257"/>
        <v>5.0000000000000711E-2</v>
      </c>
      <c r="U382" s="9">
        <f t="shared" si="258"/>
        <v>-7.5</v>
      </c>
      <c r="V382" s="9">
        <f t="shared" si="259"/>
        <v>-6.3999999999999986</v>
      </c>
      <c r="W382" s="9">
        <f t="shared" si="260"/>
        <v>-14.649999999999999</v>
      </c>
      <c r="X382" s="9">
        <f t="shared" si="261"/>
        <v>-7.1000000000000014</v>
      </c>
      <c r="Y382" s="9">
        <f t="shared" si="262"/>
        <v>-9.9499999999999957</v>
      </c>
      <c r="Z382" s="9">
        <f t="shared" si="263"/>
        <v>-4.0499999999999972</v>
      </c>
      <c r="AA382" s="9">
        <f t="shared" si="264"/>
        <v>-0.5</v>
      </c>
      <c r="AB382" s="9">
        <f t="shared" si="265"/>
        <v>1.125</v>
      </c>
      <c r="AC382" s="9">
        <f t="shared" si="266"/>
        <v>-4.625</v>
      </c>
      <c r="AD382" s="9">
        <f t="shared" si="267"/>
        <v>-16.474999999999994</v>
      </c>
      <c r="AE382" s="9">
        <f t="shared" si="268"/>
        <v>-14.75</v>
      </c>
      <c r="AF382" s="9">
        <f t="shared" si="269"/>
        <v>-19.3125</v>
      </c>
      <c r="AG382" s="9">
        <f t="shared" si="270"/>
        <v>-14.375</v>
      </c>
      <c r="AH382" s="9">
        <f t="shared" si="271"/>
        <v>-13.75</v>
      </c>
      <c r="AI382" s="9">
        <f t="shared" si="272"/>
        <v>-9.4749999999999943</v>
      </c>
      <c r="AJ382" s="9">
        <f t="shared" si="273"/>
        <v>-1.375</v>
      </c>
      <c r="AK382" s="9">
        <f t="shared" si="274"/>
        <v>-0.92499999999999716</v>
      </c>
      <c r="AL382" s="9">
        <f t="shared" si="275"/>
        <v>-6.125</v>
      </c>
      <c r="AM382" s="9">
        <f t="shared" si="276"/>
        <v>-13.875</v>
      </c>
      <c r="AN382" s="9">
        <f t="shared" si="277"/>
        <v>-10.5</v>
      </c>
      <c r="AO382" s="9">
        <f t="shared" si="278"/>
        <v>-15.4375</v>
      </c>
      <c r="AP382" s="9">
        <f t="shared" si="279"/>
        <v>-10.625</v>
      </c>
      <c r="AQ382" s="9">
        <f t="shared" si="280"/>
        <v>-10.75</v>
      </c>
      <c r="AR382" s="9">
        <f t="shared" si="281"/>
        <v>-7.0250000000000057</v>
      </c>
      <c r="AS382" s="9">
        <f t="shared" si="282"/>
        <v>-0.875</v>
      </c>
      <c r="AT382" s="9">
        <f t="shared" si="283"/>
        <v>-0.5</v>
      </c>
      <c r="AU382" s="9">
        <f t="shared" si="284"/>
        <v>-4.25</v>
      </c>
      <c r="AV382" s="9">
        <f t="shared" si="285"/>
        <v>-9.25</v>
      </c>
      <c r="AW382" s="9">
        <f t="shared" si="286"/>
        <v>-3</v>
      </c>
      <c r="AX382" s="9">
        <f t="shared" si="287"/>
        <v>-6.7124999999999986</v>
      </c>
      <c r="AY382" s="9">
        <f t="shared" si="288"/>
        <v>-1.7999999999999972</v>
      </c>
      <c r="AZ382" s="9">
        <f t="shared" si="289"/>
        <v>-2.25</v>
      </c>
      <c r="BA382" s="9">
        <f t="shared" si="290"/>
        <v>1.5</v>
      </c>
      <c r="BB382" s="9">
        <f t="shared" si="291"/>
        <v>-0.75</v>
      </c>
      <c r="BC382" s="9">
        <f t="shared" si="292"/>
        <v>-0.5</v>
      </c>
      <c r="BD382" s="9">
        <f t="shared" si="293"/>
        <v>-3.75</v>
      </c>
      <c r="BE382" s="9">
        <f t="shared" si="294"/>
        <v>-8.75</v>
      </c>
      <c r="BF382" s="9">
        <f t="shared" si="295"/>
        <v>-2.125</v>
      </c>
      <c r="BG382" s="9">
        <f t="shared" si="296"/>
        <v>-5.3374999999999986</v>
      </c>
      <c r="BH382" s="9">
        <f t="shared" si="297"/>
        <v>-0.59999999999999964</v>
      </c>
      <c r="BI382" s="9">
        <f t="shared" si="298"/>
        <v>-0.75</v>
      </c>
      <c r="BJ382" s="9">
        <f t="shared" si="299"/>
        <v>2.6999999999999993</v>
      </c>
    </row>
    <row r="383" spans="1:62" x14ac:dyDescent="0.2">
      <c r="A383" s="9">
        <f>data!M384-data!M383</f>
        <v>0.72280000000000655</v>
      </c>
      <c r="B383" s="9">
        <f>data!C384-data!C383</f>
        <v>2.84</v>
      </c>
      <c r="C383" s="9">
        <f>data!D384-data!D383</f>
        <v>0.22999999999999865</v>
      </c>
      <c r="D383" s="10">
        <f>data!B384-data!B383</f>
        <v>-3.7500000000000089E-2</v>
      </c>
      <c r="E383" s="9">
        <f>data!E383-data!G383</f>
        <v>1.0428000000000002</v>
      </c>
      <c r="F383" s="9">
        <f>(data!E383-data!F383)-(data!G383-data!H383)</f>
        <v>0.89100000000000001</v>
      </c>
      <c r="G383" s="9">
        <f t="shared" si="250"/>
        <v>-5.1200000000000134E-2</v>
      </c>
      <c r="H383" s="9">
        <f t="shared" si="251"/>
        <v>-4.5399999999999996E-2</v>
      </c>
      <c r="I383" s="9">
        <f>IF(data!M384&gt; 111.81,1,0)</f>
        <v>0</v>
      </c>
      <c r="J383" s="9">
        <f t="shared" si="252"/>
        <v>1</v>
      </c>
      <c r="K383" s="9">
        <f t="shared" si="253"/>
        <v>0</v>
      </c>
      <c r="L383" s="9">
        <f t="shared" si="254"/>
        <v>0.72280000000000655</v>
      </c>
      <c r="M383" s="9">
        <f>data!J383</f>
        <v>-30.8</v>
      </c>
      <c r="N383" s="9">
        <f>data!I383</f>
        <v>-73.625</v>
      </c>
      <c r="O383" s="9">
        <f>data!L383</f>
        <v>-66.25</v>
      </c>
      <c r="P383" s="9">
        <f>data!K383</f>
        <v>-32.375</v>
      </c>
      <c r="Q383" s="9">
        <f>data!R383</f>
        <v>-14.25</v>
      </c>
      <c r="R383" s="9">
        <f t="shared" si="255"/>
        <v>1.6500000000000021</v>
      </c>
      <c r="S383" s="9">
        <f t="shared" si="256"/>
        <v>0.5</v>
      </c>
      <c r="T383" s="9">
        <f t="shared" si="257"/>
        <v>-7.0500000000000007</v>
      </c>
      <c r="U383" s="9">
        <f t="shared" si="258"/>
        <v>-5.9499999999999993</v>
      </c>
      <c r="V383" s="9">
        <f t="shared" si="259"/>
        <v>-14.2</v>
      </c>
      <c r="W383" s="9">
        <f t="shared" si="260"/>
        <v>-6.6500000000000021</v>
      </c>
      <c r="X383" s="9">
        <f t="shared" si="261"/>
        <v>-9.4999999999999964</v>
      </c>
      <c r="Y383" s="9">
        <f t="shared" si="262"/>
        <v>-3.5999999999999979</v>
      </c>
      <c r="Z383" s="9">
        <f t="shared" si="263"/>
        <v>-2.7324999999999982</v>
      </c>
      <c r="AA383" s="9">
        <f t="shared" si="264"/>
        <v>1.625</v>
      </c>
      <c r="AB383" s="9">
        <f t="shared" si="265"/>
        <v>-4.125</v>
      </c>
      <c r="AC383" s="9">
        <f t="shared" si="266"/>
        <v>-15.974999999999994</v>
      </c>
      <c r="AD383" s="9">
        <f t="shared" si="267"/>
        <v>-14.25</v>
      </c>
      <c r="AE383" s="9">
        <f t="shared" si="268"/>
        <v>-18.8125</v>
      </c>
      <c r="AF383" s="9">
        <f t="shared" si="269"/>
        <v>-13.875</v>
      </c>
      <c r="AG383" s="9">
        <f t="shared" si="270"/>
        <v>-13.25</v>
      </c>
      <c r="AH383" s="9">
        <f t="shared" si="271"/>
        <v>-8.9749999999999943</v>
      </c>
      <c r="AI383" s="9">
        <f t="shared" si="272"/>
        <v>-7.2750000000000057</v>
      </c>
      <c r="AJ383" s="9">
        <f t="shared" si="273"/>
        <v>0.45000000000000284</v>
      </c>
      <c r="AK383" s="9">
        <f t="shared" si="274"/>
        <v>-4.75</v>
      </c>
      <c r="AL383" s="9">
        <f t="shared" si="275"/>
        <v>-12.5</v>
      </c>
      <c r="AM383" s="9">
        <f t="shared" si="276"/>
        <v>-9.125</v>
      </c>
      <c r="AN383" s="9">
        <f t="shared" si="277"/>
        <v>-14.0625</v>
      </c>
      <c r="AO383" s="9">
        <f t="shared" si="278"/>
        <v>-9.25</v>
      </c>
      <c r="AP383" s="9">
        <f t="shared" si="279"/>
        <v>-9.375</v>
      </c>
      <c r="AQ383" s="9">
        <f t="shared" si="280"/>
        <v>-5.6500000000000057</v>
      </c>
      <c r="AR383" s="9">
        <f t="shared" si="281"/>
        <v>-5.75</v>
      </c>
      <c r="AS383" s="9">
        <f t="shared" si="282"/>
        <v>0.375</v>
      </c>
      <c r="AT383" s="9">
        <f t="shared" si="283"/>
        <v>-3.375</v>
      </c>
      <c r="AU383" s="9">
        <f t="shared" si="284"/>
        <v>-8.375</v>
      </c>
      <c r="AV383" s="9">
        <f t="shared" si="285"/>
        <v>-2.125</v>
      </c>
      <c r="AW383" s="9">
        <f t="shared" si="286"/>
        <v>-5.8374999999999986</v>
      </c>
      <c r="AX383" s="9">
        <f t="shared" si="287"/>
        <v>-0.92499999999999716</v>
      </c>
      <c r="AY383" s="9">
        <f t="shared" si="288"/>
        <v>-1.375</v>
      </c>
      <c r="AZ383" s="9">
        <f t="shared" si="289"/>
        <v>2.375</v>
      </c>
      <c r="BA383" s="9">
        <f t="shared" si="290"/>
        <v>1.5</v>
      </c>
      <c r="BB383" s="9">
        <f t="shared" si="291"/>
        <v>0.25</v>
      </c>
      <c r="BC383" s="9">
        <f t="shared" si="292"/>
        <v>-3</v>
      </c>
      <c r="BD383" s="9">
        <f t="shared" si="293"/>
        <v>-8</v>
      </c>
      <c r="BE383" s="9">
        <f t="shared" si="294"/>
        <v>-1.375</v>
      </c>
      <c r="BF383" s="9">
        <f t="shared" si="295"/>
        <v>-4.5874999999999986</v>
      </c>
      <c r="BG383" s="9">
        <f t="shared" si="296"/>
        <v>0.15000000000000036</v>
      </c>
      <c r="BH383" s="9">
        <f t="shared" si="297"/>
        <v>0</v>
      </c>
      <c r="BI383" s="9">
        <f t="shared" si="298"/>
        <v>3.4499999999999993</v>
      </c>
      <c r="BJ383" s="9">
        <f t="shared" si="299"/>
        <v>3.5</v>
      </c>
    </row>
    <row r="384" spans="1:62" x14ac:dyDescent="0.2">
      <c r="A384" s="9">
        <f>data!M385-data!M384</f>
        <v>0.68089999999999407</v>
      </c>
      <c r="B384" s="9">
        <f>data!C385-data!C384</f>
        <v>0.73000000000000043</v>
      </c>
      <c r="C384" s="9">
        <f>data!D385-data!D384</f>
        <v>-0.16499999999999915</v>
      </c>
      <c r="D384" s="10">
        <f>data!B385-data!B384</f>
        <v>-1.0274999999999999</v>
      </c>
      <c r="E384" s="9">
        <f>data!E384-data!G384</f>
        <v>0.99160000000000004</v>
      </c>
      <c r="F384" s="9">
        <f>(data!E384-data!F384)-(data!G384-data!H384)</f>
        <v>0.84560000000000002</v>
      </c>
      <c r="G384" s="9">
        <f t="shared" si="250"/>
        <v>-2.0000000000001128E-3</v>
      </c>
      <c r="H384" s="9">
        <f t="shared" si="251"/>
        <v>-1.4000000000000123E-2</v>
      </c>
      <c r="I384" s="9">
        <f>IF(data!M385&gt; 111.81,1,0)</f>
        <v>0</v>
      </c>
      <c r="J384" s="9">
        <f t="shared" si="252"/>
        <v>1</v>
      </c>
      <c r="K384" s="9">
        <f t="shared" si="253"/>
        <v>0</v>
      </c>
      <c r="L384" s="9">
        <f t="shared" si="254"/>
        <v>0.68089999999999407</v>
      </c>
      <c r="M384" s="9">
        <f>data!J384</f>
        <v>-29.15</v>
      </c>
      <c r="N384" s="9">
        <f>data!I384</f>
        <v>-72</v>
      </c>
      <c r="O384" s="9">
        <f>data!L384</f>
        <v>-65.8</v>
      </c>
      <c r="P384" s="9">
        <f>data!K384</f>
        <v>-32</v>
      </c>
      <c r="Q384" s="9">
        <f>data!R384</f>
        <v>-14</v>
      </c>
      <c r="R384" s="9">
        <f t="shared" si="255"/>
        <v>-1.1500000000000021</v>
      </c>
      <c r="S384" s="9">
        <f t="shared" si="256"/>
        <v>-8.7000000000000028</v>
      </c>
      <c r="T384" s="9">
        <f t="shared" si="257"/>
        <v>-7.6000000000000014</v>
      </c>
      <c r="U384" s="9">
        <f t="shared" si="258"/>
        <v>-15.850000000000001</v>
      </c>
      <c r="V384" s="9">
        <f t="shared" si="259"/>
        <v>-8.3000000000000043</v>
      </c>
      <c r="W384" s="9">
        <f t="shared" si="260"/>
        <v>-11.149999999999999</v>
      </c>
      <c r="X384" s="9">
        <f t="shared" si="261"/>
        <v>-5.25</v>
      </c>
      <c r="Y384" s="9">
        <f t="shared" si="262"/>
        <v>-4.3825000000000003</v>
      </c>
      <c r="Z384" s="9">
        <f t="shared" si="263"/>
        <v>-5.2000000000000028</v>
      </c>
      <c r="AA384" s="9">
        <f t="shared" si="264"/>
        <v>-5.75</v>
      </c>
      <c r="AB384" s="9">
        <f t="shared" si="265"/>
        <v>-17.599999999999994</v>
      </c>
      <c r="AC384" s="9">
        <f t="shared" si="266"/>
        <v>-15.875</v>
      </c>
      <c r="AD384" s="9">
        <f t="shared" si="267"/>
        <v>-20.4375</v>
      </c>
      <c r="AE384" s="9">
        <f t="shared" si="268"/>
        <v>-15.5</v>
      </c>
      <c r="AF384" s="9">
        <f t="shared" si="269"/>
        <v>-14.875</v>
      </c>
      <c r="AG384" s="9">
        <f t="shared" si="270"/>
        <v>-10.599999999999994</v>
      </c>
      <c r="AH384" s="9">
        <f t="shared" si="271"/>
        <v>-8.9000000000000057</v>
      </c>
      <c r="AI384" s="9">
        <f t="shared" si="272"/>
        <v>-5</v>
      </c>
      <c r="AJ384" s="9">
        <f t="shared" si="273"/>
        <v>-5.2000000000000028</v>
      </c>
      <c r="AK384" s="9">
        <f t="shared" si="274"/>
        <v>-12.950000000000003</v>
      </c>
      <c r="AL384" s="9">
        <f t="shared" si="275"/>
        <v>-9.5750000000000028</v>
      </c>
      <c r="AM384" s="9">
        <f t="shared" si="276"/>
        <v>-14.512500000000003</v>
      </c>
      <c r="AN384" s="9">
        <f t="shared" si="277"/>
        <v>-9.7000000000000028</v>
      </c>
      <c r="AO384" s="9">
        <f t="shared" si="278"/>
        <v>-9.8250000000000028</v>
      </c>
      <c r="AP384" s="9">
        <f t="shared" si="279"/>
        <v>-6.1000000000000085</v>
      </c>
      <c r="AQ384" s="9">
        <f t="shared" si="280"/>
        <v>-6.2000000000000028</v>
      </c>
      <c r="AR384" s="9">
        <f t="shared" si="281"/>
        <v>-6.3250000000000028</v>
      </c>
      <c r="AS384" s="9">
        <f t="shared" si="282"/>
        <v>-3.75</v>
      </c>
      <c r="AT384" s="9">
        <f t="shared" si="283"/>
        <v>-8.75</v>
      </c>
      <c r="AU384" s="9">
        <f t="shared" si="284"/>
        <v>-2.5</v>
      </c>
      <c r="AV384" s="9">
        <f t="shared" si="285"/>
        <v>-6.2124999999999986</v>
      </c>
      <c r="AW384" s="9">
        <f t="shared" si="286"/>
        <v>-1.2999999999999972</v>
      </c>
      <c r="AX384" s="9">
        <f t="shared" si="287"/>
        <v>-1.75</v>
      </c>
      <c r="AY384" s="9">
        <f t="shared" si="288"/>
        <v>2</v>
      </c>
      <c r="AZ384" s="9">
        <f t="shared" si="289"/>
        <v>1.125</v>
      </c>
      <c r="BA384" s="9">
        <f t="shared" si="290"/>
        <v>-1</v>
      </c>
      <c r="BB384" s="9">
        <f t="shared" si="291"/>
        <v>-3.25</v>
      </c>
      <c r="BC384" s="9">
        <f t="shared" si="292"/>
        <v>-8.25</v>
      </c>
      <c r="BD384" s="9">
        <f t="shared" si="293"/>
        <v>-1.625</v>
      </c>
      <c r="BE384" s="9">
        <f t="shared" si="294"/>
        <v>-4.8374999999999986</v>
      </c>
      <c r="BF384" s="9">
        <f t="shared" si="295"/>
        <v>-9.9999999999999645E-2</v>
      </c>
      <c r="BG384" s="9">
        <f t="shared" si="296"/>
        <v>-0.25</v>
      </c>
      <c r="BH384" s="9">
        <f t="shared" si="297"/>
        <v>3.1999999999999993</v>
      </c>
      <c r="BI384" s="9">
        <f t="shared" si="298"/>
        <v>3.25</v>
      </c>
      <c r="BJ384" s="9">
        <f t="shared" si="299"/>
        <v>3.2874999999999996</v>
      </c>
    </row>
    <row r="385" spans="1:62" x14ac:dyDescent="0.2">
      <c r="A385" s="9">
        <f>data!M386-data!M385</f>
        <v>1.4089000000000027</v>
      </c>
      <c r="B385" s="9">
        <f>data!C386-data!C385</f>
        <v>5.2100000000000009</v>
      </c>
      <c r="C385" s="9">
        <f>data!D386-data!D385</f>
        <v>1.0449999999999999</v>
      </c>
      <c r="D385" s="10">
        <f>data!B386-data!B385</f>
        <v>-0.94</v>
      </c>
      <c r="E385" s="9">
        <f>data!E385-data!G385</f>
        <v>0.98959999999999992</v>
      </c>
      <c r="F385" s="9">
        <f>(data!E385-data!F385)-(data!G385-data!H385)</f>
        <v>0.83159999999999989</v>
      </c>
      <c r="G385" s="9">
        <f t="shared" si="250"/>
        <v>-9.1999999999999971E-2</v>
      </c>
      <c r="H385" s="9">
        <f t="shared" si="251"/>
        <v>-0.13139999999999996</v>
      </c>
      <c r="I385" s="9">
        <f>IF(data!M386&gt; 111.81,1,0)</f>
        <v>0</v>
      </c>
      <c r="J385" s="9">
        <f t="shared" si="252"/>
        <v>1</v>
      </c>
      <c r="K385" s="9">
        <f t="shared" si="253"/>
        <v>0</v>
      </c>
      <c r="L385" s="9">
        <f t="shared" si="254"/>
        <v>1.4089000000000027</v>
      </c>
      <c r="M385" s="9">
        <f>data!J385</f>
        <v>-30.3</v>
      </c>
      <c r="N385" s="9">
        <f>data!I385</f>
        <v>-77.75</v>
      </c>
      <c r="O385" s="9">
        <f>data!L385</f>
        <v>-71</v>
      </c>
      <c r="P385" s="9">
        <f>data!K385</f>
        <v>-35.75</v>
      </c>
      <c r="Q385" s="9">
        <f>data!R385</f>
        <v>-17.25</v>
      </c>
      <c r="R385" s="9">
        <f t="shared" si="255"/>
        <v>-7.5500000000000007</v>
      </c>
      <c r="S385" s="9">
        <f t="shared" si="256"/>
        <v>-6.4499999999999993</v>
      </c>
      <c r="T385" s="9">
        <f t="shared" si="257"/>
        <v>-14.7</v>
      </c>
      <c r="U385" s="9">
        <f t="shared" si="258"/>
        <v>-7.1500000000000021</v>
      </c>
      <c r="V385" s="9">
        <f t="shared" si="259"/>
        <v>-9.9999999999999964</v>
      </c>
      <c r="W385" s="9">
        <f t="shared" si="260"/>
        <v>-4.0999999999999979</v>
      </c>
      <c r="X385" s="9">
        <f t="shared" si="261"/>
        <v>-3.2324999999999982</v>
      </c>
      <c r="Y385" s="9">
        <f t="shared" si="262"/>
        <v>-4.0500000000000007</v>
      </c>
      <c r="Z385" s="9">
        <f t="shared" si="263"/>
        <v>-3.6500000000000021</v>
      </c>
      <c r="AA385" s="9">
        <f t="shared" si="264"/>
        <v>-11.849999999999994</v>
      </c>
      <c r="AB385" s="9">
        <f t="shared" si="265"/>
        <v>-10.125</v>
      </c>
      <c r="AC385" s="9">
        <f t="shared" si="266"/>
        <v>-14.6875</v>
      </c>
      <c r="AD385" s="9">
        <f t="shared" si="267"/>
        <v>-9.75</v>
      </c>
      <c r="AE385" s="9">
        <f t="shared" si="268"/>
        <v>-9.125</v>
      </c>
      <c r="AF385" s="9">
        <f t="shared" si="269"/>
        <v>-4.8499999999999943</v>
      </c>
      <c r="AG385" s="9">
        <f t="shared" si="270"/>
        <v>-3.1500000000000057</v>
      </c>
      <c r="AH385" s="9">
        <f t="shared" si="271"/>
        <v>0.75</v>
      </c>
      <c r="AI385" s="9">
        <f t="shared" si="272"/>
        <v>0.76099999999999568</v>
      </c>
      <c r="AJ385" s="9">
        <f t="shared" si="273"/>
        <v>-7.75</v>
      </c>
      <c r="AK385" s="9">
        <f t="shared" si="274"/>
        <v>-4.375</v>
      </c>
      <c r="AL385" s="9">
        <f t="shared" si="275"/>
        <v>-9.3125</v>
      </c>
      <c r="AM385" s="9">
        <f t="shared" si="276"/>
        <v>-4.5</v>
      </c>
      <c r="AN385" s="9">
        <f t="shared" si="277"/>
        <v>-4.625</v>
      </c>
      <c r="AO385" s="9">
        <f t="shared" si="278"/>
        <v>-0.90000000000000568</v>
      </c>
      <c r="AP385" s="9">
        <f t="shared" si="279"/>
        <v>-1</v>
      </c>
      <c r="AQ385" s="9">
        <f t="shared" si="280"/>
        <v>-1.125</v>
      </c>
      <c r="AR385" s="9">
        <f t="shared" si="281"/>
        <v>-3.1188999999999965</v>
      </c>
      <c r="AS385" s="9">
        <f t="shared" si="282"/>
        <v>-5</v>
      </c>
      <c r="AT385" s="9">
        <f t="shared" si="283"/>
        <v>1.25</v>
      </c>
      <c r="AU385" s="9">
        <f t="shared" si="284"/>
        <v>-2.4624999999999986</v>
      </c>
      <c r="AV385" s="9">
        <f t="shared" si="285"/>
        <v>2.4500000000000028</v>
      </c>
      <c r="AW385" s="9">
        <f t="shared" si="286"/>
        <v>2</v>
      </c>
      <c r="AX385" s="9">
        <f t="shared" si="287"/>
        <v>5.75</v>
      </c>
      <c r="AY385" s="9">
        <f t="shared" si="288"/>
        <v>4.875</v>
      </c>
      <c r="AZ385" s="9">
        <f t="shared" si="289"/>
        <v>2.75</v>
      </c>
      <c r="BA385" s="9">
        <f t="shared" si="290"/>
        <v>2.6300999999999988</v>
      </c>
      <c r="BB385" s="9">
        <f t="shared" si="291"/>
        <v>-5</v>
      </c>
      <c r="BC385" s="9">
        <f t="shared" si="292"/>
        <v>1.625</v>
      </c>
      <c r="BD385" s="9">
        <f t="shared" si="293"/>
        <v>-1.5874999999999986</v>
      </c>
      <c r="BE385" s="9">
        <f t="shared" si="294"/>
        <v>3.1500000000000004</v>
      </c>
      <c r="BF385" s="9">
        <f t="shared" si="295"/>
        <v>3</v>
      </c>
      <c r="BG385" s="9">
        <f t="shared" si="296"/>
        <v>6.4499999999999993</v>
      </c>
      <c r="BH385" s="9">
        <f t="shared" si="297"/>
        <v>6.5</v>
      </c>
      <c r="BI385" s="9">
        <f t="shared" si="298"/>
        <v>6.5374999999999996</v>
      </c>
      <c r="BJ385" s="9">
        <f t="shared" si="299"/>
        <v>5.5048999999999992</v>
      </c>
    </row>
    <row r="386" spans="1:62" x14ac:dyDescent="0.2">
      <c r="A386" s="9">
        <f>data!M387-data!M386</f>
        <v>0.80930000000000746</v>
      </c>
      <c r="B386" s="9">
        <f>data!C387-data!C386</f>
        <v>-3.34</v>
      </c>
      <c r="C386" s="9">
        <f>data!D387-data!D386</f>
        <v>-0.48499999999999943</v>
      </c>
      <c r="D386" s="10">
        <f>data!B387-data!B386</f>
        <v>-0.11500000000000021</v>
      </c>
      <c r="E386" s="9">
        <f>data!E386-data!G386</f>
        <v>0.89759999999999995</v>
      </c>
      <c r="F386" s="9">
        <f>(data!E386-data!F386)-(data!G386-data!H386)</f>
        <v>0.70019999999999993</v>
      </c>
      <c r="G386" s="9">
        <f t="shared" si="250"/>
        <v>-4.2599999999999971E-2</v>
      </c>
      <c r="H386" s="9">
        <f t="shared" si="251"/>
        <v>-3.0499999999999861E-2</v>
      </c>
      <c r="I386" s="9">
        <f>IF(data!M387&gt; 111.81,1,0)</f>
        <v>0</v>
      </c>
      <c r="J386" s="9">
        <f t="shared" si="252"/>
        <v>1</v>
      </c>
      <c r="K386" s="9">
        <f t="shared" si="253"/>
        <v>0</v>
      </c>
      <c r="L386" s="9">
        <f t="shared" si="254"/>
        <v>0.80930000000000746</v>
      </c>
      <c r="M386" s="9">
        <f>data!J386</f>
        <v>-37.85</v>
      </c>
      <c r="N386" s="9">
        <f>data!I386</f>
        <v>-89.6</v>
      </c>
      <c r="O386" s="9">
        <f>data!L386</f>
        <v>-78.75</v>
      </c>
      <c r="P386" s="9">
        <f>data!K386</f>
        <v>-40.75</v>
      </c>
      <c r="Q386" s="9">
        <f>data!R386</f>
        <v>-22.25</v>
      </c>
      <c r="R386" s="9">
        <f t="shared" si="255"/>
        <v>1.1000000000000014</v>
      </c>
      <c r="S386" s="9">
        <f t="shared" si="256"/>
        <v>-7.1499999999999986</v>
      </c>
      <c r="T386" s="9">
        <f t="shared" si="257"/>
        <v>0.39999999999999858</v>
      </c>
      <c r="U386" s="9">
        <f t="shared" si="258"/>
        <v>-2.4499999999999957</v>
      </c>
      <c r="V386" s="9">
        <f t="shared" si="259"/>
        <v>3.4500000000000028</v>
      </c>
      <c r="W386" s="9">
        <f t="shared" si="260"/>
        <v>4.3175000000000026</v>
      </c>
      <c r="X386" s="9">
        <f t="shared" si="261"/>
        <v>3.5</v>
      </c>
      <c r="Y386" s="9">
        <f t="shared" si="262"/>
        <v>3.8999999999999986</v>
      </c>
      <c r="Z386" s="9">
        <f t="shared" si="263"/>
        <v>5.8500000000000014</v>
      </c>
      <c r="AA386" s="9">
        <f t="shared" si="264"/>
        <v>1.7249999999999943</v>
      </c>
      <c r="AB386" s="9">
        <f t="shared" si="265"/>
        <v>-2.8375000000000057</v>
      </c>
      <c r="AC386" s="9">
        <f t="shared" si="266"/>
        <v>2.0999999999999943</v>
      </c>
      <c r="AD386" s="9">
        <f t="shared" si="267"/>
        <v>2.7249999999999943</v>
      </c>
      <c r="AE386" s="9">
        <f t="shared" si="268"/>
        <v>7</v>
      </c>
      <c r="AF386" s="9">
        <f t="shared" si="269"/>
        <v>8.6999999999999886</v>
      </c>
      <c r="AG386" s="9">
        <f t="shared" si="270"/>
        <v>12.599999999999994</v>
      </c>
      <c r="AH386" s="9">
        <f t="shared" si="271"/>
        <v>12.61099999999999</v>
      </c>
      <c r="AI386" s="9">
        <f t="shared" si="272"/>
        <v>14.974999999999994</v>
      </c>
      <c r="AJ386" s="9">
        <f t="shared" si="273"/>
        <v>3.375</v>
      </c>
      <c r="AK386" s="9">
        <f t="shared" si="274"/>
        <v>-1.5625</v>
      </c>
      <c r="AL386" s="9">
        <f t="shared" si="275"/>
        <v>3.25</v>
      </c>
      <c r="AM386" s="9">
        <f t="shared" si="276"/>
        <v>3.125</v>
      </c>
      <c r="AN386" s="9">
        <f t="shared" si="277"/>
        <v>6.8499999999999943</v>
      </c>
      <c r="AO386" s="9">
        <f t="shared" si="278"/>
        <v>6.75</v>
      </c>
      <c r="AP386" s="9">
        <f t="shared" si="279"/>
        <v>6.625</v>
      </c>
      <c r="AQ386" s="9">
        <f t="shared" si="280"/>
        <v>4.6311000000000035</v>
      </c>
      <c r="AR386" s="9">
        <f t="shared" si="281"/>
        <v>5.4350000000000023</v>
      </c>
      <c r="AS386" s="9">
        <f t="shared" si="282"/>
        <v>6.25</v>
      </c>
      <c r="AT386" s="9">
        <f t="shared" si="283"/>
        <v>2.5375000000000014</v>
      </c>
      <c r="AU386" s="9">
        <f t="shared" si="284"/>
        <v>7.4500000000000028</v>
      </c>
      <c r="AV386" s="9">
        <f t="shared" si="285"/>
        <v>7</v>
      </c>
      <c r="AW386" s="9">
        <f t="shared" si="286"/>
        <v>10.75</v>
      </c>
      <c r="AX386" s="9">
        <f t="shared" si="287"/>
        <v>9.875</v>
      </c>
      <c r="AY386" s="9">
        <f t="shared" si="288"/>
        <v>7.75</v>
      </c>
      <c r="AZ386" s="9">
        <f t="shared" si="289"/>
        <v>7.6300999999999988</v>
      </c>
      <c r="BA386" s="9">
        <f t="shared" si="290"/>
        <v>8.0600000000000023</v>
      </c>
      <c r="BB386" s="9">
        <f t="shared" si="291"/>
        <v>6.625</v>
      </c>
      <c r="BC386" s="9">
        <f t="shared" si="292"/>
        <v>3.4125000000000014</v>
      </c>
      <c r="BD386" s="9">
        <f t="shared" si="293"/>
        <v>8.15</v>
      </c>
      <c r="BE386" s="9">
        <f t="shared" si="294"/>
        <v>8</v>
      </c>
      <c r="BF386" s="9">
        <f t="shared" si="295"/>
        <v>11.45</v>
      </c>
      <c r="BG386" s="9">
        <f t="shared" si="296"/>
        <v>11.5</v>
      </c>
      <c r="BH386" s="9">
        <f t="shared" si="297"/>
        <v>11.5375</v>
      </c>
      <c r="BI386" s="9">
        <f t="shared" si="298"/>
        <v>10.504899999999999</v>
      </c>
      <c r="BJ386" s="9">
        <f t="shared" si="299"/>
        <v>11.75</v>
      </c>
    </row>
    <row r="387" spans="1:62" x14ac:dyDescent="0.2">
      <c r="A387" s="9">
        <f>data!M388-data!M387</f>
        <v>0.74909999999999854</v>
      </c>
      <c r="B387" s="9">
        <f>data!C388-data!C387</f>
        <v>4.8999999999999986</v>
      </c>
      <c r="C387" s="9">
        <f>data!D388-data!D387</f>
        <v>0.5</v>
      </c>
      <c r="D387" s="10">
        <f>data!B388-data!B387</f>
        <v>6.5000000000000391E-2</v>
      </c>
      <c r="E387" s="9">
        <f>data!E387-data!G387</f>
        <v>0.85499999999999998</v>
      </c>
      <c r="F387" s="9">
        <f>(data!E387-data!F387)-(data!G387-data!H387)</f>
        <v>0.66970000000000007</v>
      </c>
      <c r="G387" s="9">
        <f t="shared" ref="G387:G450" si="300">E388-E387</f>
        <v>-0.21400000000000008</v>
      </c>
      <c r="H387" s="9">
        <f t="shared" ref="H387:H450" si="301">F388-F387</f>
        <v>-0.17280000000000018</v>
      </c>
      <c r="I387" s="9">
        <f>IF(data!M388&gt; 111.81,1,0)</f>
        <v>0</v>
      </c>
      <c r="J387" s="9">
        <f t="shared" ref="J387:J450" si="302">1-I387</f>
        <v>1</v>
      </c>
      <c r="K387" s="9">
        <f t="shared" ref="K387:K450" si="303">A387*I387</f>
        <v>0</v>
      </c>
      <c r="L387" s="9">
        <f t="shared" ref="L387:L450" si="304">A387*J387</f>
        <v>0.74909999999999854</v>
      </c>
      <c r="M387" s="9">
        <f>data!J387</f>
        <v>-36.75</v>
      </c>
      <c r="N387" s="9">
        <f>data!I387</f>
        <v>-87.875</v>
      </c>
      <c r="O387" s="9">
        <f>data!L387</f>
        <v>-75.375</v>
      </c>
      <c r="P387" s="9">
        <f>data!K387</f>
        <v>-34.5</v>
      </c>
      <c r="Q387" s="9">
        <f>data!R387</f>
        <v>-15.625</v>
      </c>
      <c r="R387" s="9">
        <f t="shared" ref="R387:R450" si="305">M388-M387</f>
        <v>-8.25</v>
      </c>
      <c r="S387" s="9">
        <f t="shared" ref="S387:S450" si="306">M389-M387</f>
        <v>-0.70000000000000284</v>
      </c>
      <c r="T387" s="9">
        <f t="shared" ref="T387:T450" si="307">M390-M387</f>
        <v>-3.5499999999999972</v>
      </c>
      <c r="U387" s="9">
        <f t="shared" ref="U387:U450" si="308">M391-M387</f>
        <v>2.3500000000000014</v>
      </c>
      <c r="V387" s="9">
        <f t="shared" ref="V387:V450" si="309">M392-M387</f>
        <v>3.2175000000000011</v>
      </c>
      <c r="W387" s="9">
        <f t="shared" ref="W387:W450" si="310">M393-M387</f>
        <v>2.3999999999999986</v>
      </c>
      <c r="X387" s="9">
        <f t="shared" ref="X387:X450" si="311">M394-M387</f>
        <v>2.7999999999999972</v>
      </c>
      <c r="Y387" s="9">
        <f t="shared" ref="Y387:Y450" si="312">M395-M387</f>
        <v>4.75</v>
      </c>
      <c r="Z387" s="9">
        <f t="shared" ref="Z387:Z450" si="313">M396-M387</f>
        <v>3.8500000000000014</v>
      </c>
      <c r="AA387" s="9">
        <f t="shared" ref="AA387:AA450" si="314">N388-N387</f>
        <v>-4.5625</v>
      </c>
      <c r="AB387" s="9">
        <f t="shared" ref="AB387:AB450" si="315">N389-N387</f>
        <v>0.375</v>
      </c>
      <c r="AC387" s="9">
        <f t="shared" ref="AC387:AC450" si="316">N390-N387</f>
        <v>1</v>
      </c>
      <c r="AD387" s="9">
        <f t="shared" ref="AD387:AD450" si="317">N391-N387</f>
        <v>5.2750000000000057</v>
      </c>
      <c r="AE387" s="9">
        <f t="shared" ref="AE387:AE450" si="318">N392-N387</f>
        <v>6.9749999999999943</v>
      </c>
      <c r="AF387" s="9">
        <f t="shared" ref="AF387:AF450" si="319">N393-N387</f>
        <v>10.875</v>
      </c>
      <c r="AG387" s="9">
        <f t="shared" ref="AG387:AG450" si="320">N394-N387</f>
        <v>10.885999999999996</v>
      </c>
      <c r="AH387" s="9">
        <f t="shared" ref="AH387:AH450" si="321">N395-N387</f>
        <v>13.25</v>
      </c>
      <c r="AI387" s="9">
        <f t="shared" ref="AI387:AI450" si="322">N396-N387</f>
        <v>10.875</v>
      </c>
      <c r="AJ387" s="9">
        <f t="shared" ref="AJ387:AJ450" si="323">O388-O387</f>
        <v>-4.9375</v>
      </c>
      <c r="AK387" s="9">
        <f t="shared" ref="AK387:AK450" si="324">O389-O387</f>
        <v>-0.125</v>
      </c>
      <c r="AL387" s="9">
        <f t="shared" ref="AL387:AL450" si="325">O390-O387</f>
        <v>-0.25</v>
      </c>
      <c r="AM387" s="9">
        <f t="shared" ref="AM387:AM450" si="326">O391-O387</f>
        <v>3.4749999999999943</v>
      </c>
      <c r="AN387" s="9">
        <f t="shared" ref="AN387:AN450" si="327">O392-O387</f>
        <v>3.375</v>
      </c>
      <c r="AO387" s="9">
        <f t="shared" ref="AO387:AO450" si="328">O393-O387</f>
        <v>3.25</v>
      </c>
      <c r="AP387" s="9">
        <f t="shared" ref="AP387:AP450" si="329">O394-O387</f>
        <v>1.2561000000000035</v>
      </c>
      <c r="AQ387" s="9">
        <f t="shared" ref="AQ387:AQ450" si="330">O395-O387</f>
        <v>2.0600000000000023</v>
      </c>
      <c r="AR387" s="9">
        <f t="shared" ref="AR387:AR450" si="331">O396-O387</f>
        <v>0.25</v>
      </c>
      <c r="AS387" s="9">
        <f t="shared" ref="AS387:AS450" si="332">P388 - P387</f>
        <v>-3.7124999999999986</v>
      </c>
      <c r="AT387" s="9">
        <f t="shared" ref="AT387:AT450" si="333">P389 - P387</f>
        <v>1.2000000000000028</v>
      </c>
      <c r="AU387" s="9">
        <f t="shared" ref="AU387:AU450" si="334">P390 - P387</f>
        <v>0.75</v>
      </c>
      <c r="AV387" s="9">
        <f t="shared" ref="AV387:AV450" si="335">P391 - P387</f>
        <v>4.5</v>
      </c>
      <c r="AW387" s="9">
        <f t="shared" ref="AW387:AW450" si="336">P392 - P387</f>
        <v>3.625</v>
      </c>
      <c r="AX387" s="9">
        <f t="shared" ref="AX387:AX450" si="337">P393 - P387</f>
        <v>1.5</v>
      </c>
      <c r="AY387" s="9">
        <f t="shared" ref="AY387:AY450" si="338">P394 - P387</f>
        <v>1.3800999999999988</v>
      </c>
      <c r="AZ387" s="9">
        <f t="shared" ref="AZ387:AZ450" si="339">P395 - P387</f>
        <v>1.8100000000000023</v>
      </c>
      <c r="BA387" s="9">
        <f t="shared" ref="BA387:BA450" si="340">P396 - P387</f>
        <v>0.375</v>
      </c>
      <c r="BB387" s="9">
        <f t="shared" ref="BB387:BB450" si="341">Q388 - Q387</f>
        <v>-3.2124999999999986</v>
      </c>
      <c r="BC387" s="9">
        <f t="shared" ref="BC387:BC450" si="342">Q389 - Q387</f>
        <v>1.5250000000000004</v>
      </c>
      <c r="BD387" s="9">
        <f t="shared" ref="BD387:BD450" si="343">Q390 - Q387</f>
        <v>1.375</v>
      </c>
      <c r="BE387" s="9">
        <f t="shared" ref="BE387:BE450" si="344">Q391 - Q387</f>
        <v>4.8249999999999993</v>
      </c>
      <c r="BF387" s="9">
        <f t="shared" ref="BF387:BF450" si="345">Q392 - Q387</f>
        <v>4.875</v>
      </c>
      <c r="BG387" s="9">
        <f t="shared" ref="BG387:BG450" si="346">Q393 - Q387</f>
        <v>4.9124999999999996</v>
      </c>
      <c r="BH387" s="9">
        <f t="shared" ref="BH387:BH450" si="347">Q394 - Q387</f>
        <v>3.8798999999999992</v>
      </c>
      <c r="BI387" s="9">
        <f t="shared" ref="BI387:BI450" si="348">Q395 - Q387</f>
        <v>5.125</v>
      </c>
      <c r="BJ387" s="9">
        <f t="shared" ref="BJ387:BJ450" si="349">Q396 - Q387</f>
        <v>4.25</v>
      </c>
    </row>
    <row r="388" spans="1:62" x14ac:dyDescent="0.2">
      <c r="A388" s="9">
        <f>data!M389-data!M388</f>
        <v>-0.49550000000000693</v>
      </c>
      <c r="B388" s="9">
        <f>data!C389-data!C388</f>
        <v>-5.43</v>
      </c>
      <c r="C388" s="9">
        <f>data!D389-data!D388</f>
        <v>-0.44000000000000128</v>
      </c>
      <c r="D388" s="10">
        <f>data!B389-data!B388</f>
        <v>0.2524999999999995</v>
      </c>
      <c r="E388" s="9">
        <f>data!E388-data!G388</f>
        <v>0.6409999999999999</v>
      </c>
      <c r="F388" s="9">
        <f>(data!E388-data!F388)-(data!G388-data!H388)</f>
        <v>0.4968999999999999</v>
      </c>
      <c r="G388" s="9">
        <f t="shared" si="300"/>
        <v>0.14330000000000009</v>
      </c>
      <c r="H388" s="9">
        <f t="shared" si="301"/>
        <v>0.11850000000000005</v>
      </c>
      <c r="I388" s="9">
        <f>IF(data!M389&gt; 111.81,1,0)</f>
        <v>0</v>
      </c>
      <c r="J388" s="9">
        <f t="shared" si="302"/>
        <v>1</v>
      </c>
      <c r="K388" s="9">
        <f t="shared" si="303"/>
        <v>0</v>
      </c>
      <c r="L388" s="9">
        <f t="shared" si="304"/>
        <v>-0.49550000000000693</v>
      </c>
      <c r="M388" s="9">
        <f>data!J388</f>
        <v>-45</v>
      </c>
      <c r="N388" s="9">
        <f>data!I388</f>
        <v>-92.4375</v>
      </c>
      <c r="O388" s="9">
        <f>data!L388</f>
        <v>-80.3125</v>
      </c>
      <c r="P388" s="9">
        <f>data!K388</f>
        <v>-38.212499999999999</v>
      </c>
      <c r="Q388" s="9">
        <f>data!R388</f>
        <v>-18.837499999999999</v>
      </c>
      <c r="R388" s="9">
        <f t="shared" si="305"/>
        <v>7.5499999999999972</v>
      </c>
      <c r="S388" s="9">
        <f t="shared" si="306"/>
        <v>4.7000000000000028</v>
      </c>
      <c r="T388" s="9">
        <f t="shared" si="307"/>
        <v>10.600000000000001</v>
      </c>
      <c r="U388" s="9">
        <f t="shared" si="308"/>
        <v>11.467500000000001</v>
      </c>
      <c r="V388" s="9">
        <f t="shared" si="309"/>
        <v>10.649999999999999</v>
      </c>
      <c r="W388" s="9">
        <f t="shared" si="310"/>
        <v>11.049999999999997</v>
      </c>
      <c r="X388" s="9">
        <f t="shared" si="311"/>
        <v>13</v>
      </c>
      <c r="Y388" s="9">
        <f t="shared" si="312"/>
        <v>12.100000000000001</v>
      </c>
      <c r="Z388" s="9">
        <f t="shared" si="313"/>
        <v>11.884999999999998</v>
      </c>
      <c r="AA388" s="9">
        <f t="shared" si="314"/>
        <v>4.9375</v>
      </c>
      <c r="AB388" s="9">
        <f t="shared" si="315"/>
        <v>5.5625</v>
      </c>
      <c r="AC388" s="9">
        <f t="shared" si="316"/>
        <v>9.8375000000000057</v>
      </c>
      <c r="AD388" s="9">
        <f t="shared" si="317"/>
        <v>11.537499999999994</v>
      </c>
      <c r="AE388" s="9">
        <f t="shared" si="318"/>
        <v>15.4375</v>
      </c>
      <c r="AF388" s="9">
        <f t="shared" si="319"/>
        <v>15.448499999999996</v>
      </c>
      <c r="AG388" s="9">
        <f t="shared" si="320"/>
        <v>17.8125</v>
      </c>
      <c r="AH388" s="9">
        <f t="shared" si="321"/>
        <v>15.4375</v>
      </c>
      <c r="AI388" s="9">
        <f t="shared" si="322"/>
        <v>16.912499999999994</v>
      </c>
      <c r="AJ388" s="9">
        <f t="shared" si="323"/>
        <v>4.8125</v>
      </c>
      <c r="AK388" s="9">
        <f t="shared" si="324"/>
        <v>4.6875</v>
      </c>
      <c r="AL388" s="9">
        <f t="shared" si="325"/>
        <v>8.4124999999999943</v>
      </c>
      <c r="AM388" s="9">
        <f t="shared" si="326"/>
        <v>8.3125</v>
      </c>
      <c r="AN388" s="9">
        <f t="shared" si="327"/>
        <v>8.1875</v>
      </c>
      <c r="AO388" s="9">
        <f t="shared" si="328"/>
        <v>6.1936000000000035</v>
      </c>
      <c r="AP388" s="9">
        <f t="shared" si="329"/>
        <v>6.9975000000000023</v>
      </c>
      <c r="AQ388" s="9">
        <f t="shared" si="330"/>
        <v>5.1875</v>
      </c>
      <c r="AR388" s="9">
        <f t="shared" si="331"/>
        <v>5.8125</v>
      </c>
      <c r="AS388" s="9">
        <f t="shared" si="332"/>
        <v>4.9125000000000014</v>
      </c>
      <c r="AT388" s="9">
        <f t="shared" si="333"/>
        <v>4.4624999999999986</v>
      </c>
      <c r="AU388" s="9">
        <f t="shared" si="334"/>
        <v>8.2124999999999986</v>
      </c>
      <c r="AV388" s="9">
        <f t="shared" si="335"/>
        <v>7.3374999999999986</v>
      </c>
      <c r="AW388" s="9">
        <f t="shared" si="336"/>
        <v>5.2124999999999986</v>
      </c>
      <c r="AX388" s="9">
        <f t="shared" si="337"/>
        <v>5.0925999999999974</v>
      </c>
      <c r="AY388" s="9">
        <f t="shared" si="338"/>
        <v>5.5225000000000009</v>
      </c>
      <c r="AZ388" s="9">
        <f t="shared" si="339"/>
        <v>4.0874999999999986</v>
      </c>
      <c r="BA388" s="9">
        <f t="shared" si="340"/>
        <v>5.3374999999999986</v>
      </c>
      <c r="BB388" s="9">
        <f t="shared" si="341"/>
        <v>4.7374999999999989</v>
      </c>
      <c r="BC388" s="9">
        <f t="shared" si="342"/>
        <v>4.5874999999999986</v>
      </c>
      <c r="BD388" s="9">
        <f t="shared" si="343"/>
        <v>8.0374999999999979</v>
      </c>
      <c r="BE388" s="9">
        <f t="shared" si="344"/>
        <v>8.0874999999999986</v>
      </c>
      <c r="BF388" s="9">
        <f t="shared" si="345"/>
        <v>8.1249999999999982</v>
      </c>
      <c r="BG388" s="9">
        <f t="shared" si="346"/>
        <v>7.0923999999999978</v>
      </c>
      <c r="BH388" s="9">
        <f t="shared" si="347"/>
        <v>8.3374999999999986</v>
      </c>
      <c r="BI388" s="9">
        <f t="shared" si="348"/>
        <v>7.4624999999999986</v>
      </c>
      <c r="BJ388" s="9">
        <f t="shared" si="349"/>
        <v>8.9624999999999986</v>
      </c>
    </row>
    <row r="389" spans="1:62" x14ac:dyDescent="0.2">
      <c r="A389" s="9">
        <f>data!M390-data!M389</f>
        <v>-0.68209999999999127</v>
      </c>
      <c r="B389" s="9">
        <f>data!C390-data!C389</f>
        <v>-0.12000000000000099</v>
      </c>
      <c r="C389" s="9">
        <f>data!D390-data!D389</f>
        <v>-5.9999999999998721E-2</v>
      </c>
      <c r="D389" s="10">
        <f>data!B390-data!B389</f>
        <v>0.24500000000000011</v>
      </c>
      <c r="E389" s="9">
        <f>data!E389-data!G389</f>
        <v>0.7843</v>
      </c>
      <c r="F389" s="9">
        <f>(data!E389-data!F389)-(data!G389-data!H389)</f>
        <v>0.61539999999999995</v>
      </c>
      <c r="G389" s="9">
        <f t="shared" si="300"/>
        <v>-5.5000000000000049E-2</v>
      </c>
      <c r="H389" s="9">
        <f t="shared" si="301"/>
        <v>-5.920000000000003E-2</v>
      </c>
      <c r="I389" s="9">
        <f>IF(data!M390&gt; 111.81,1,0)</f>
        <v>0</v>
      </c>
      <c r="J389" s="9">
        <f t="shared" si="302"/>
        <v>1</v>
      </c>
      <c r="K389" s="9">
        <f t="shared" si="303"/>
        <v>0</v>
      </c>
      <c r="L389" s="9">
        <f t="shared" si="304"/>
        <v>-0.68209999999999127</v>
      </c>
      <c r="M389" s="9">
        <f>data!J389</f>
        <v>-37.450000000000003</v>
      </c>
      <c r="N389" s="9">
        <f>data!I389</f>
        <v>-87.5</v>
      </c>
      <c r="O389" s="9">
        <f>data!L389</f>
        <v>-75.5</v>
      </c>
      <c r="P389" s="9">
        <f>data!K389</f>
        <v>-33.299999999999997</v>
      </c>
      <c r="Q389" s="9">
        <f>data!R389</f>
        <v>-14.1</v>
      </c>
      <c r="R389" s="9">
        <f t="shared" si="305"/>
        <v>-2.8499999999999943</v>
      </c>
      <c r="S389" s="9">
        <f t="shared" si="306"/>
        <v>3.0500000000000043</v>
      </c>
      <c r="T389" s="9">
        <f t="shared" si="307"/>
        <v>3.917500000000004</v>
      </c>
      <c r="U389" s="9">
        <f t="shared" si="308"/>
        <v>3.1000000000000014</v>
      </c>
      <c r="V389" s="9">
        <f t="shared" si="309"/>
        <v>3.5</v>
      </c>
      <c r="W389" s="9">
        <f t="shared" si="310"/>
        <v>5.4500000000000028</v>
      </c>
      <c r="X389" s="9">
        <f t="shared" si="311"/>
        <v>4.5500000000000043</v>
      </c>
      <c r="Y389" s="9">
        <f t="shared" si="312"/>
        <v>4.3350000000000009</v>
      </c>
      <c r="Z389" s="9">
        <f t="shared" si="313"/>
        <v>4.3500000000000014</v>
      </c>
      <c r="AA389" s="9">
        <f t="shared" si="314"/>
        <v>0.625</v>
      </c>
      <c r="AB389" s="9">
        <f t="shared" si="315"/>
        <v>4.9000000000000057</v>
      </c>
      <c r="AC389" s="9">
        <f t="shared" si="316"/>
        <v>6.5999999999999943</v>
      </c>
      <c r="AD389" s="9">
        <f t="shared" si="317"/>
        <v>10.5</v>
      </c>
      <c r="AE389" s="9">
        <f t="shared" si="318"/>
        <v>10.510999999999996</v>
      </c>
      <c r="AF389" s="9">
        <f t="shared" si="319"/>
        <v>12.875</v>
      </c>
      <c r="AG389" s="9">
        <f t="shared" si="320"/>
        <v>10.5</v>
      </c>
      <c r="AH389" s="9">
        <f t="shared" si="321"/>
        <v>11.974999999999994</v>
      </c>
      <c r="AI389" s="9">
        <f t="shared" si="322"/>
        <v>10.75</v>
      </c>
      <c r="AJ389" s="9">
        <f t="shared" si="323"/>
        <v>-0.125</v>
      </c>
      <c r="AK389" s="9">
        <f t="shared" si="324"/>
        <v>3.5999999999999943</v>
      </c>
      <c r="AL389" s="9">
        <f t="shared" si="325"/>
        <v>3.5</v>
      </c>
      <c r="AM389" s="9">
        <f t="shared" si="326"/>
        <v>3.375</v>
      </c>
      <c r="AN389" s="9">
        <f t="shared" si="327"/>
        <v>1.3811000000000035</v>
      </c>
      <c r="AO389" s="9">
        <f t="shared" si="328"/>
        <v>2.1850000000000023</v>
      </c>
      <c r="AP389" s="9">
        <f t="shared" si="329"/>
        <v>0.375</v>
      </c>
      <c r="AQ389" s="9">
        <f t="shared" si="330"/>
        <v>1</v>
      </c>
      <c r="AR389" s="9">
        <f t="shared" si="331"/>
        <v>0</v>
      </c>
      <c r="AS389" s="9">
        <f t="shared" si="332"/>
        <v>-0.45000000000000284</v>
      </c>
      <c r="AT389" s="9">
        <f t="shared" si="333"/>
        <v>3.2999999999999972</v>
      </c>
      <c r="AU389" s="9">
        <f t="shared" si="334"/>
        <v>2.4249999999999972</v>
      </c>
      <c r="AV389" s="9">
        <f t="shared" si="335"/>
        <v>0.29999999999999716</v>
      </c>
      <c r="AW389" s="9">
        <f t="shared" si="336"/>
        <v>0.18009999999999593</v>
      </c>
      <c r="AX389" s="9">
        <f t="shared" si="337"/>
        <v>0.60999999999999943</v>
      </c>
      <c r="AY389" s="9">
        <f t="shared" si="338"/>
        <v>-0.82500000000000284</v>
      </c>
      <c r="AZ389" s="9">
        <f t="shared" si="339"/>
        <v>0.42499999999999716</v>
      </c>
      <c r="BA389" s="9">
        <f t="shared" si="340"/>
        <v>1.2999999999999972</v>
      </c>
      <c r="BB389" s="9">
        <f t="shared" si="341"/>
        <v>-0.15000000000000036</v>
      </c>
      <c r="BC389" s="9">
        <f t="shared" si="342"/>
        <v>3.2999999999999989</v>
      </c>
      <c r="BD389" s="9">
        <f t="shared" si="343"/>
        <v>3.3499999999999996</v>
      </c>
      <c r="BE389" s="9">
        <f t="shared" si="344"/>
        <v>3.3874999999999993</v>
      </c>
      <c r="BF389" s="9">
        <f t="shared" si="345"/>
        <v>2.3548999999999989</v>
      </c>
      <c r="BG389" s="9">
        <f t="shared" si="346"/>
        <v>3.5999999999999996</v>
      </c>
      <c r="BH389" s="9">
        <f t="shared" si="347"/>
        <v>2.7249999999999996</v>
      </c>
      <c r="BI389" s="9">
        <f t="shared" si="348"/>
        <v>4.2249999999999996</v>
      </c>
      <c r="BJ389" s="9">
        <f t="shared" si="349"/>
        <v>5.6</v>
      </c>
    </row>
    <row r="390" spans="1:62" x14ac:dyDescent="0.2">
      <c r="A390" s="9">
        <f>data!M391-data!M390</f>
        <v>0.40019999999999811</v>
      </c>
      <c r="B390" s="9">
        <f>data!C391-data!C390</f>
        <v>-3</v>
      </c>
      <c r="C390" s="9">
        <f>data!D391-data!D390</f>
        <v>-0.20500000000000007</v>
      </c>
      <c r="D390" s="10">
        <f>data!B391-data!B390</f>
        <v>0.25749999999999984</v>
      </c>
      <c r="E390" s="9">
        <f>data!E390-data!G390</f>
        <v>0.72929999999999995</v>
      </c>
      <c r="F390" s="9">
        <f>(data!E390-data!F390)-(data!G390-data!H390)</f>
        <v>0.55619999999999992</v>
      </c>
      <c r="G390" s="9">
        <f t="shared" si="300"/>
        <v>0.11990000000000001</v>
      </c>
      <c r="H390" s="9">
        <f t="shared" si="301"/>
        <v>8.8200000000000056E-2</v>
      </c>
      <c r="I390" s="9">
        <f>IF(data!M391&gt; 111.81,1,0)</f>
        <v>0</v>
      </c>
      <c r="J390" s="9">
        <f t="shared" si="302"/>
        <v>1</v>
      </c>
      <c r="K390" s="9">
        <f t="shared" si="303"/>
        <v>0</v>
      </c>
      <c r="L390" s="9">
        <f t="shared" si="304"/>
        <v>0.40019999999999811</v>
      </c>
      <c r="M390" s="9">
        <f>data!J390</f>
        <v>-40.299999999999997</v>
      </c>
      <c r="N390" s="9">
        <f>data!I390</f>
        <v>-86.875</v>
      </c>
      <c r="O390" s="9">
        <f>data!L390</f>
        <v>-75.625</v>
      </c>
      <c r="P390" s="9">
        <f>data!K390</f>
        <v>-33.75</v>
      </c>
      <c r="Q390" s="9">
        <f>data!R390</f>
        <v>-14.25</v>
      </c>
      <c r="R390" s="9">
        <f t="shared" si="305"/>
        <v>5.8999999999999986</v>
      </c>
      <c r="S390" s="9">
        <f t="shared" si="306"/>
        <v>6.7674999999999983</v>
      </c>
      <c r="T390" s="9">
        <f t="shared" si="307"/>
        <v>5.9499999999999957</v>
      </c>
      <c r="U390" s="9">
        <f t="shared" si="308"/>
        <v>6.3499999999999943</v>
      </c>
      <c r="V390" s="9">
        <f t="shared" si="309"/>
        <v>8.2999999999999972</v>
      </c>
      <c r="W390" s="9">
        <f t="shared" si="310"/>
        <v>7.3999999999999986</v>
      </c>
      <c r="X390" s="9">
        <f t="shared" si="311"/>
        <v>7.1849999999999952</v>
      </c>
      <c r="Y390" s="9">
        <f t="shared" si="312"/>
        <v>7.1999999999999957</v>
      </c>
      <c r="Z390" s="9">
        <f t="shared" si="313"/>
        <v>10.699999999999996</v>
      </c>
      <c r="AA390" s="9">
        <f t="shared" si="314"/>
        <v>4.2750000000000057</v>
      </c>
      <c r="AB390" s="9">
        <f t="shared" si="315"/>
        <v>5.9749999999999943</v>
      </c>
      <c r="AC390" s="9">
        <f t="shared" si="316"/>
        <v>9.875</v>
      </c>
      <c r="AD390" s="9">
        <f t="shared" si="317"/>
        <v>9.8859999999999957</v>
      </c>
      <c r="AE390" s="9">
        <f t="shared" si="318"/>
        <v>12.25</v>
      </c>
      <c r="AF390" s="9">
        <f t="shared" si="319"/>
        <v>9.875</v>
      </c>
      <c r="AG390" s="9">
        <f t="shared" si="320"/>
        <v>11.349999999999994</v>
      </c>
      <c r="AH390" s="9">
        <f t="shared" si="321"/>
        <v>10.125</v>
      </c>
      <c r="AI390" s="9">
        <f t="shared" si="322"/>
        <v>11.375</v>
      </c>
      <c r="AJ390" s="9">
        <f t="shared" si="323"/>
        <v>3.7249999999999943</v>
      </c>
      <c r="AK390" s="9">
        <f t="shared" si="324"/>
        <v>3.625</v>
      </c>
      <c r="AL390" s="9">
        <f t="shared" si="325"/>
        <v>3.5</v>
      </c>
      <c r="AM390" s="9">
        <f t="shared" si="326"/>
        <v>1.5061000000000035</v>
      </c>
      <c r="AN390" s="9">
        <f t="shared" si="327"/>
        <v>2.3100000000000023</v>
      </c>
      <c r="AO390" s="9">
        <f t="shared" si="328"/>
        <v>0.5</v>
      </c>
      <c r="AP390" s="9">
        <f t="shared" si="329"/>
        <v>1.125</v>
      </c>
      <c r="AQ390" s="9">
        <f t="shared" si="330"/>
        <v>0.125</v>
      </c>
      <c r="AR390" s="9">
        <f t="shared" si="331"/>
        <v>0.125</v>
      </c>
      <c r="AS390" s="9">
        <f t="shared" si="332"/>
        <v>3.75</v>
      </c>
      <c r="AT390" s="9">
        <f t="shared" si="333"/>
        <v>2.875</v>
      </c>
      <c r="AU390" s="9">
        <f t="shared" si="334"/>
        <v>0.75</v>
      </c>
      <c r="AV390" s="9">
        <f t="shared" si="335"/>
        <v>0.63009999999999877</v>
      </c>
      <c r="AW390" s="9">
        <f t="shared" si="336"/>
        <v>1.0600000000000023</v>
      </c>
      <c r="AX390" s="9">
        <f t="shared" si="337"/>
        <v>-0.375</v>
      </c>
      <c r="AY390" s="9">
        <f t="shared" si="338"/>
        <v>0.875</v>
      </c>
      <c r="AZ390" s="9">
        <f t="shared" si="339"/>
        <v>1.75</v>
      </c>
      <c r="BA390" s="9">
        <f t="shared" si="340"/>
        <v>0.75</v>
      </c>
      <c r="BB390" s="9">
        <f t="shared" si="341"/>
        <v>3.4499999999999993</v>
      </c>
      <c r="BC390" s="9">
        <f t="shared" si="342"/>
        <v>3.5</v>
      </c>
      <c r="BD390" s="9">
        <f t="shared" si="343"/>
        <v>3.5374999999999996</v>
      </c>
      <c r="BE390" s="9">
        <f t="shared" si="344"/>
        <v>2.5048999999999992</v>
      </c>
      <c r="BF390" s="9">
        <f t="shared" si="345"/>
        <v>3.75</v>
      </c>
      <c r="BG390" s="9">
        <f t="shared" si="346"/>
        <v>2.875</v>
      </c>
      <c r="BH390" s="9">
        <f t="shared" si="347"/>
        <v>4.375</v>
      </c>
      <c r="BI390" s="9">
        <f t="shared" si="348"/>
        <v>5.75</v>
      </c>
      <c r="BJ390" s="9">
        <f t="shared" si="349"/>
        <v>4.9499999999999993</v>
      </c>
    </row>
    <row r="391" spans="1:62" x14ac:dyDescent="0.2">
      <c r="A391" s="9">
        <f>data!M392-data!M391</f>
        <v>-1.0109000000000066</v>
      </c>
      <c r="B391" s="9">
        <f>data!C392-data!C391</f>
        <v>-1.0300000000000011</v>
      </c>
      <c r="C391" s="9">
        <f>data!D392-data!D391</f>
        <v>-0.17500000000000071</v>
      </c>
      <c r="D391" s="10">
        <f>data!B392-data!B391</f>
        <v>0.3125</v>
      </c>
      <c r="E391" s="9">
        <f>data!E391-data!G391</f>
        <v>0.84919999999999995</v>
      </c>
      <c r="F391" s="9">
        <f>(data!E391-data!F391)-(data!G391-data!H391)</f>
        <v>0.64439999999999997</v>
      </c>
      <c r="G391" s="9">
        <f t="shared" si="300"/>
        <v>-3.6299999999999888E-2</v>
      </c>
      <c r="H391" s="9">
        <f t="shared" si="301"/>
        <v>-2.3599999999999843E-2</v>
      </c>
      <c r="I391" s="9">
        <f>IF(data!M392&gt; 111.81,1,0)</f>
        <v>0</v>
      </c>
      <c r="J391" s="9">
        <f t="shared" si="302"/>
        <v>1</v>
      </c>
      <c r="K391" s="9">
        <f t="shared" si="303"/>
        <v>0</v>
      </c>
      <c r="L391" s="9">
        <f t="shared" si="304"/>
        <v>-1.0109000000000066</v>
      </c>
      <c r="M391" s="9">
        <f>data!J391</f>
        <v>-34.4</v>
      </c>
      <c r="N391" s="9">
        <f>data!I391</f>
        <v>-82.6</v>
      </c>
      <c r="O391" s="9">
        <f>data!L391</f>
        <v>-71.900000000000006</v>
      </c>
      <c r="P391" s="9">
        <f>data!K391</f>
        <v>-30</v>
      </c>
      <c r="Q391" s="9">
        <f>data!R391</f>
        <v>-10.8</v>
      </c>
      <c r="R391" s="9">
        <f t="shared" si="305"/>
        <v>0.86749999999999972</v>
      </c>
      <c r="S391" s="9">
        <f t="shared" si="306"/>
        <v>4.9999999999997158E-2</v>
      </c>
      <c r="T391" s="9">
        <f t="shared" si="307"/>
        <v>0.44999999999999574</v>
      </c>
      <c r="U391" s="9">
        <f t="shared" si="308"/>
        <v>2.3999999999999986</v>
      </c>
      <c r="V391" s="9">
        <f t="shared" si="309"/>
        <v>1.5</v>
      </c>
      <c r="W391" s="9">
        <f t="shared" si="310"/>
        <v>1.2849999999999966</v>
      </c>
      <c r="X391" s="9">
        <f t="shared" si="311"/>
        <v>1.2999999999999972</v>
      </c>
      <c r="Y391" s="9">
        <f t="shared" si="312"/>
        <v>4.7999999999999972</v>
      </c>
      <c r="Z391" s="9">
        <f t="shared" si="313"/>
        <v>6.25</v>
      </c>
      <c r="AA391" s="9">
        <f t="shared" si="314"/>
        <v>1.6999999999999886</v>
      </c>
      <c r="AB391" s="9">
        <f t="shared" si="315"/>
        <v>5.5999999999999943</v>
      </c>
      <c r="AC391" s="9">
        <f t="shared" si="316"/>
        <v>5.61099999999999</v>
      </c>
      <c r="AD391" s="9">
        <f t="shared" si="317"/>
        <v>7.9749999999999943</v>
      </c>
      <c r="AE391" s="9">
        <f t="shared" si="318"/>
        <v>5.5999999999999943</v>
      </c>
      <c r="AF391" s="9">
        <f t="shared" si="319"/>
        <v>7.0749999999999886</v>
      </c>
      <c r="AG391" s="9">
        <f t="shared" si="320"/>
        <v>5.8499999999999943</v>
      </c>
      <c r="AH391" s="9">
        <f t="shared" si="321"/>
        <v>7.0999999999999943</v>
      </c>
      <c r="AI391" s="9">
        <f t="shared" si="322"/>
        <v>9.0999999999999943</v>
      </c>
      <c r="AJ391" s="9">
        <f t="shared" si="323"/>
        <v>-9.9999999999994316E-2</v>
      </c>
      <c r="AK391" s="9">
        <f t="shared" si="324"/>
        <v>-0.22499999999999432</v>
      </c>
      <c r="AL391" s="9">
        <f t="shared" si="325"/>
        <v>-2.2188999999999908</v>
      </c>
      <c r="AM391" s="9">
        <f t="shared" si="326"/>
        <v>-1.414999999999992</v>
      </c>
      <c r="AN391" s="9">
        <f t="shared" si="327"/>
        <v>-3.2249999999999943</v>
      </c>
      <c r="AO391" s="9">
        <f t="shared" si="328"/>
        <v>-2.5999999999999943</v>
      </c>
      <c r="AP391" s="9">
        <f t="shared" si="329"/>
        <v>-3.5999999999999943</v>
      </c>
      <c r="AQ391" s="9">
        <f t="shared" si="330"/>
        <v>-3.5999999999999943</v>
      </c>
      <c r="AR391" s="9">
        <f t="shared" si="331"/>
        <v>-3.3999999999999915</v>
      </c>
      <c r="AS391" s="9">
        <f t="shared" si="332"/>
        <v>-0.875</v>
      </c>
      <c r="AT391" s="9">
        <f t="shared" si="333"/>
        <v>-3</v>
      </c>
      <c r="AU391" s="9">
        <f t="shared" si="334"/>
        <v>-3.1199000000000012</v>
      </c>
      <c r="AV391" s="9">
        <f t="shared" si="335"/>
        <v>-2.6899999999999977</v>
      </c>
      <c r="AW391" s="9">
        <f t="shared" si="336"/>
        <v>-4.125</v>
      </c>
      <c r="AX391" s="9">
        <f t="shared" si="337"/>
        <v>-2.875</v>
      </c>
      <c r="AY391" s="9">
        <f t="shared" si="338"/>
        <v>-2</v>
      </c>
      <c r="AZ391" s="9">
        <f t="shared" si="339"/>
        <v>-3</v>
      </c>
      <c r="BA391" s="9">
        <f t="shared" si="340"/>
        <v>-2.75</v>
      </c>
      <c r="BB391" s="9">
        <f t="shared" si="341"/>
        <v>5.0000000000000711E-2</v>
      </c>
      <c r="BC391" s="9">
        <f t="shared" si="342"/>
        <v>8.7500000000000355E-2</v>
      </c>
      <c r="BD391" s="9">
        <f t="shared" si="343"/>
        <v>-0.94510000000000005</v>
      </c>
      <c r="BE391" s="9">
        <f t="shared" si="344"/>
        <v>0.30000000000000071</v>
      </c>
      <c r="BF391" s="9">
        <f t="shared" si="345"/>
        <v>-0.57499999999999929</v>
      </c>
      <c r="BG391" s="9">
        <f t="shared" si="346"/>
        <v>0.92500000000000071</v>
      </c>
      <c r="BH391" s="9">
        <f t="shared" si="347"/>
        <v>2.3000000000000007</v>
      </c>
      <c r="BI391" s="9">
        <f t="shared" si="348"/>
        <v>1.5</v>
      </c>
      <c r="BJ391" s="9">
        <f t="shared" si="349"/>
        <v>1</v>
      </c>
    </row>
    <row r="392" spans="1:62" x14ac:dyDescent="0.2">
      <c r="A392" s="9">
        <f>data!M393-data!M392</f>
        <v>0.7990999999999957</v>
      </c>
      <c r="B392" s="9">
        <f>data!C393-data!C392</f>
        <v>2.0000000000003126E-2</v>
      </c>
      <c r="C392" s="9">
        <f>data!D393-data!D392</f>
        <v>-0.33999999999999986</v>
      </c>
      <c r="D392" s="10">
        <f>data!B393-data!B392</f>
        <v>0.27500000000000036</v>
      </c>
      <c r="E392" s="9">
        <f>data!E392-data!G392</f>
        <v>0.81290000000000007</v>
      </c>
      <c r="F392" s="9">
        <f>(data!E392-data!F392)-(data!G392-data!H392)</f>
        <v>0.62080000000000013</v>
      </c>
      <c r="G392" s="9">
        <f t="shared" si="300"/>
        <v>-5.8800000000000185E-2</v>
      </c>
      <c r="H392" s="9">
        <f t="shared" si="301"/>
        <v>-4.0500000000000314E-2</v>
      </c>
      <c r="I392" s="9">
        <f>IF(data!M393&gt; 111.81,1,0)</f>
        <v>0</v>
      </c>
      <c r="J392" s="9">
        <f t="shared" si="302"/>
        <v>1</v>
      </c>
      <c r="K392" s="9">
        <f t="shared" si="303"/>
        <v>0</v>
      </c>
      <c r="L392" s="9">
        <f t="shared" si="304"/>
        <v>0.7990999999999957</v>
      </c>
      <c r="M392" s="9">
        <f>data!J392</f>
        <v>-33.532499999999999</v>
      </c>
      <c r="N392" s="9">
        <f>data!I392</f>
        <v>-80.900000000000006</v>
      </c>
      <c r="O392" s="9">
        <f>data!L392</f>
        <v>-72</v>
      </c>
      <c r="P392" s="9">
        <f>data!K392</f>
        <v>-30.875</v>
      </c>
      <c r="Q392" s="9">
        <f>data!R392</f>
        <v>-10.75</v>
      </c>
      <c r="R392" s="9">
        <f t="shared" si="305"/>
        <v>-0.81750000000000256</v>
      </c>
      <c r="S392" s="9">
        <f t="shared" si="306"/>
        <v>-0.41750000000000398</v>
      </c>
      <c r="T392" s="9">
        <f t="shared" si="307"/>
        <v>1.5324999999999989</v>
      </c>
      <c r="U392" s="9">
        <f t="shared" si="308"/>
        <v>0.63250000000000028</v>
      </c>
      <c r="V392" s="9">
        <f t="shared" si="309"/>
        <v>0.41749999999999687</v>
      </c>
      <c r="W392" s="9">
        <f t="shared" si="310"/>
        <v>0.43249999999999744</v>
      </c>
      <c r="X392" s="9">
        <f t="shared" si="311"/>
        <v>3.9324999999999974</v>
      </c>
      <c r="Y392" s="9">
        <f t="shared" si="312"/>
        <v>5.3825000000000003</v>
      </c>
      <c r="Z392" s="9">
        <f t="shared" si="313"/>
        <v>4.7824999999999989</v>
      </c>
      <c r="AA392" s="9">
        <f t="shared" si="314"/>
        <v>3.9000000000000057</v>
      </c>
      <c r="AB392" s="9">
        <f t="shared" si="315"/>
        <v>3.9110000000000014</v>
      </c>
      <c r="AC392" s="9">
        <f t="shared" si="316"/>
        <v>6.2750000000000057</v>
      </c>
      <c r="AD392" s="9">
        <f t="shared" si="317"/>
        <v>3.9000000000000057</v>
      </c>
      <c r="AE392" s="9">
        <f t="shared" si="318"/>
        <v>5.375</v>
      </c>
      <c r="AF392" s="9">
        <f t="shared" si="319"/>
        <v>4.1500000000000057</v>
      </c>
      <c r="AG392" s="9">
        <f t="shared" si="320"/>
        <v>5.4000000000000057</v>
      </c>
      <c r="AH392" s="9">
        <f t="shared" si="321"/>
        <v>7.4000000000000057</v>
      </c>
      <c r="AI392" s="9">
        <f t="shared" si="322"/>
        <v>6.5</v>
      </c>
      <c r="AJ392" s="9">
        <f t="shared" si="323"/>
        <v>-0.125</v>
      </c>
      <c r="AK392" s="9">
        <f t="shared" si="324"/>
        <v>-2.1188999999999965</v>
      </c>
      <c r="AL392" s="9">
        <f t="shared" si="325"/>
        <v>-1.3149999999999977</v>
      </c>
      <c r="AM392" s="9">
        <f t="shared" si="326"/>
        <v>-3.125</v>
      </c>
      <c r="AN392" s="9">
        <f t="shared" si="327"/>
        <v>-2.5</v>
      </c>
      <c r="AO392" s="9">
        <f t="shared" si="328"/>
        <v>-3.5</v>
      </c>
      <c r="AP392" s="9">
        <f t="shared" si="329"/>
        <v>-3.5</v>
      </c>
      <c r="AQ392" s="9">
        <f t="shared" si="330"/>
        <v>-3.2999999999999972</v>
      </c>
      <c r="AR392" s="9">
        <f t="shared" si="331"/>
        <v>-4.7999999999999972</v>
      </c>
      <c r="AS392" s="9">
        <f t="shared" si="332"/>
        <v>-2.125</v>
      </c>
      <c r="AT392" s="9">
        <f t="shared" si="333"/>
        <v>-2.2449000000000012</v>
      </c>
      <c r="AU392" s="9">
        <f t="shared" si="334"/>
        <v>-1.8149999999999977</v>
      </c>
      <c r="AV392" s="9">
        <f t="shared" si="335"/>
        <v>-3.25</v>
      </c>
      <c r="AW392" s="9">
        <f t="shared" si="336"/>
        <v>-2</v>
      </c>
      <c r="AX392" s="9">
        <f t="shared" si="337"/>
        <v>-1.125</v>
      </c>
      <c r="AY392" s="9">
        <f t="shared" si="338"/>
        <v>-2.125</v>
      </c>
      <c r="AZ392" s="9">
        <f t="shared" si="339"/>
        <v>-1.875</v>
      </c>
      <c r="BA392" s="9">
        <f t="shared" si="340"/>
        <v>-3.4249999999999972</v>
      </c>
      <c r="BB392" s="9">
        <f t="shared" si="341"/>
        <v>3.7499999999999645E-2</v>
      </c>
      <c r="BC392" s="9">
        <f t="shared" si="342"/>
        <v>-0.99510000000000076</v>
      </c>
      <c r="BD392" s="9">
        <f t="shared" si="343"/>
        <v>0.25</v>
      </c>
      <c r="BE392" s="9">
        <f t="shared" si="344"/>
        <v>-0.625</v>
      </c>
      <c r="BF392" s="9">
        <f t="shared" si="345"/>
        <v>0.875</v>
      </c>
      <c r="BG392" s="9">
        <f t="shared" si="346"/>
        <v>2.25</v>
      </c>
      <c r="BH392" s="9">
        <f t="shared" si="347"/>
        <v>1.4499999999999993</v>
      </c>
      <c r="BI392" s="9">
        <f t="shared" si="348"/>
        <v>0.94999999999999929</v>
      </c>
      <c r="BJ392" s="9">
        <f t="shared" si="349"/>
        <v>0.25</v>
      </c>
    </row>
    <row r="393" spans="1:62" x14ac:dyDescent="0.2">
      <c r="A393" s="9">
        <f>data!M394-data!M393</f>
        <v>-0.1571999999999889</v>
      </c>
      <c r="B393" s="9">
        <f>data!C394-data!C393</f>
        <v>-0.36000000000000298</v>
      </c>
      <c r="C393" s="9">
        <f>data!D394-data!D393</f>
        <v>-0.62999999999999989</v>
      </c>
      <c r="D393" s="10">
        <f>data!B394-data!B393</f>
        <v>0.16249999999999964</v>
      </c>
      <c r="E393" s="9">
        <f>data!E393-data!G393</f>
        <v>0.75409999999999988</v>
      </c>
      <c r="F393" s="9">
        <f>(data!E393-data!F393)-(data!G393-data!H393)</f>
        <v>0.58029999999999982</v>
      </c>
      <c r="G393" s="9">
        <f t="shared" si="300"/>
        <v>-3.9499999999999869E-2</v>
      </c>
      <c r="H393" s="9">
        <f t="shared" si="301"/>
        <v>-3.6999999999998145E-3</v>
      </c>
      <c r="I393" s="9">
        <f>IF(data!M394&gt; 111.81,1,0)</f>
        <v>0</v>
      </c>
      <c r="J393" s="9">
        <f t="shared" si="302"/>
        <v>1</v>
      </c>
      <c r="K393" s="9">
        <f t="shared" si="303"/>
        <v>0</v>
      </c>
      <c r="L393" s="9">
        <f t="shared" si="304"/>
        <v>-0.1571999999999889</v>
      </c>
      <c r="M393" s="9">
        <f>data!J393</f>
        <v>-34.35</v>
      </c>
      <c r="N393" s="9">
        <f>data!I393</f>
        <v>-77</v>
      </c>
      <c r="O393" s="9">
        <f>data!L393</f>
        <v>-72.125</v>
      </c>
      <c r="P393" s="9">
        <f>data!K393</f>
        <v>-33</v>
      </c>
      <c r="Q393" s="9">
        <f>data!R393</f>
        <v>-10.7125</v>
      </c>
      <c r="R393" s="9">
        <f t="shared" si="305"/>
        <v>0.39999999999999858</v>
      </c>
      <c r="S393" s="9">
        <f t="shared" si="306"/>
        <v>2.3500000000000014</v>
      </c>
      <c r="T393" s="9">
        <f t="shared" si="307"/>
        <v>1.4500000000000028</v>
      </c>
      <c r="U393" s="9">
        <f t="shared" si="308"/>
        <v>1.2349999999999994</v>
      </c>
      <c r="V393" s="9">
        <f t="shared" si="309"/>
        <v>1.25</v>
      </c>
      <c r="W393" s="9">
        <f t="shared" si="310"/>
        <v>4.75</v>
      </c>
      <c r="X393" s="9">
        <f t="shared" si="311"/>
        <v>6.2000000000000028</v>
      </c>
      <c r="Y393" s="9">
        <f t="shared" si="312"/>
        <v>5.6000000000000014</v>
      </c>
      <c r="Z393" s="9">
        <f t="shared" si="313"/>
        <v>6.8500000000000014</v>
      </c>
      <c r="AA393" s="9">
        <f t="shared" si="314"/>
        <v>1.099999999999568E-2</v>
      </c>
      <c r="AB393" s="9">
        <f t="shared" si="315"/>
        <v>2.375</v>
      </c>
      <c r="AC393" s="9">
        <f t="shared" si="316"/>
        <v>0</v>
      </c>
      <c r="AD393" s="9">
        <f t="shared" si="317"/>
        <v>1.4749999999999943</v>
      </c>
      <c r="AE393" s="9">
        <f t="shared" si="318"/>
        <v>0.25</v>
      </c>
      <c r="AF393" s="9">
        <f t="shared" si="319"/>
        <v>1.5</v>
      </c>
      <c r="AG393" s="9">
        <f t="shared" si="320"/>
        <v>3.5</v>
      </c>
      <c r="AH393" s="9">
        <f t="shared" si="321"/>
        <v>2.5999999999999943</v>
      </c>
      <c r="AI393" s="9">
        <f t="shared" si="322"/>
        <v>8.5</v>
      </c>
      <c r="AJ393" s="9">
        <f t="shared" si="323"/>
        <v>-1.9938999999999965</v>
      </c>
      <c r="AK393" s="9">
        <f t="shared" si="324"/>
        <v>-1.1899999999999977</v>
      </c>
      <c r="AL393" s="9">
        <f t="shared" si="325"/>
        <v>-3</v>
      </c>
      <c r="AM393" s="9">
        <f t="shared" si="326"/>
        <v>-2.375</v>
      </c>
      <c r="AN393" s="9">
        <f t="shared" si="327"/>
        <v>-3.375</v>
      </c>
      <c r="AO393" s="9">
        <f t="shared" si="328"/>
        <v>-3.375</v>
      </c>
      <c r="AP393" s="9">
        <f t="shared" si="329"/>
        <v>-3.1749999999999972</v>
      </c>
      <c r="AQ393" s="9">
        <f t="shared" si="330"/>
        <v>-4.6749999999999972</v>
      </c>
      <c r="AR393" s="9">
        <f t="shared" si="331"/>
        <v>-2.1290000000000049</v>
      </c>
      <c r="AS393" s="9">
        <f t="shared" si="332"/>
        <v>-0.11990000000000123</v>
      </c>
      <c r="AT393" s="9">
        <f t="shared" si="333"/>
        <v>0.31000000000000227</v>
      </c>
      <c r="AU393" s="9">
        <f t="shared" si="334"/>
        <v>-1.125</v>
      </c>
      <c r="AV393" s="9">
        <f t="shared" si="335"/>
        <v>0.125</v>
      </c>
      <c r="AW393" s="9">
        <f t="shared" si="336"/>
        <v>1</v>
      </c>
      <c r="AX393" s="9">
        <f t="shared" si="337"/>
        <v>0</v>
      </c>
      <c r="AY393" s="9">
        <f t="shared" si="338"/>
        <v>0.25</v>
      </c>
      <c r="AZ393" s="9">
        <f t="shared" si="339"/>
        <v>-1.2999999999999972</v>
      </c>
      <c r="BA393" s="9">
        <f t="shared" si="340"/>
        <v>-1.2999999999999972</v>
      </c>
      <c r="BB393" s="9">
        <f t="shared" si="341"/>
        <v>-1.0326000000000004</v>
      </c>
      <c r="BC393" s="9">
        <f t="shared" si="342"/>
        <v>0.21250000000000036</v>
      </c>
      <c r="BD393" s="9">
        <f t="shared" si="343"/>
        <v>-0.66249999999999964</v>
      </c>
      <c r="BE393" s="9">
        <f t="shared" si="344"/>
        <v>0.83750000000000036</v>
      </c>
      <c r="BF393" s="9">
        <f t="shared" si="345"/>
        <v>2.2125000000000004</v>
      </c>
      <c r="BG393" s="9">
        <f t="shared" si="346"/>
        <v>1.4124999999999996</v>
      </c>
      <c r="BH393" s="9">
        <f t="shared" si="347"/>
        <v>0.91249999999999964</v>
      </c>
      <c r="BI393" s="9">
        <f t="shared" si="348"/>
        <v>0.21250000000000036</v>
      </c>
      <c r="BJ393" s="9">
        <f t="shared" si="349"/>
        <v>0.41249999999999964</v>
      </c>
    </row>
    <row r="394" spans="1:62" x14ac:dyDescent="0.2">
      <c r="A394" s="9">
        <f>data!M395-data!M394</f>
        <v>-0.18619999999999948</v>
      </c>
      <c r="B394" s="9">
        <f>data!C395-data!C394</f>
        <v>-0.46999999999999886</v>
      </c>
      <c r="C394" s="9">
        <f>data!D395-data!D394</f>
        <v>-0.34499999999999975</v>
      </c>
      <c r="D394" s="10">
        <f>data!B395-data!B394</f>
        <v>1.1750000000000003</v>
      </c>
      <c r="E394" s="9">
        <f>data!E394-data!G394</f>
        <v>0.71460000000000001</v>
      </c>
      <c r="F394" s="9">
        <f>(data!E394-data!F394)-(data!G394-data!H394)</f>
        <v>0.5766</v>
      </c>
      <c r="G394" s="9">
        <f t="shared" si="300"/>
        <v>3.1000000000001027E-3</v>
      </c>
      <c r="H394" s="9">
        <f t="shared" si="301"/>
        <v>3.4600000000000075E-2</v>
      </c>
      <c r="I394" s="9">
        <f>IF(data!M395&gt; 111.81,1,0)</f>
        <v>0</v>
      </c>
      <c r="J394" s="9">
        <f t="shared" si="302"/>
        <v>1</v>
      </c>
      <c r="K394" s="9">
        <f t="shared" si="303"/>
        <v>0</v>
      </c>
      <c r="L394" s="9">
        <f t="shared" si="304"/>
        <v>-0.18619999999999948</v>
      </c>
      <c r="M394" s="9">
        <f>data!J394</f>
        <v>-33.950000000000003</v>
      </c>
      <c r="N394" s="9">
        <f>data!I394</f>
        <v>-76.989000000000004</v>
      </c>
      <c r="O394" s="9">
        <f>data!L394</f>
        <v>-74.118899999999996</v>
      </c>
      <c r="P394" s="9">
        <f>data!K394</f>
        <v>-33.119900000000001</v>
      </c>
      <c r="Q394" s="9">
        <f>data!R394</f>
        <v>-11.745100000000001</v>
      </c>
      <c r="R394" s="9">
        <f t="shared" si="305"/>
        <v>1.9500000000000028</v>
      </c>
      <c r="S394" s="9">
        <f t="shared" si="306"/>
        <v>1.0500000000000043</v>
      </c>
      <c r="T394" s="9">
        <f t="shared" si="307"/>
        <v>0.83500000000000085</v>
      </c>
      <c r="U394" s="9">
        <f t="shared" si="308"/>
        <v>0.85000000000000142</v>
      </c>
      <c r="V394" s="9">
        <f t="shared" si="309"/>
        <v>4.3500000000000014</v>
      </c>
      <c r="W394" s="9">
        <f t="shared" si="310"/>
        <v>5.8000000000000043</v>
      </c>
      <c r="X394" s="9">
        <f t="shared" si="311"/>
        <v>5.2000000000000028</v>
      </c>
      <c r="Y394" s="9">
        <f t="shared" si="312"/>
        <v>6.4500000000000028</v>
      </c>
      <c r="Z394" s="9">
        <f t="shared" si="313"/>
        <v>8.7500000000000036</v>
      </c>
      <c r="AA394" s="9">
        <f t="shared" si="314"/>
        <v>2.3640000000000043</v>
      </c>
      <c r="AB394" s="9">
        <f t="shared" si="315"/>
        <v>-1.099999999999568E-2</v>
      </c>
      <c r="AC394" s="9">
        <f t="shared" si="316"/>
        <v>1.4639999999999986</v>
      </c>
      <c r="AD394" s="9">
        <f t="shared" si="317"/>
        <v>0.23900000000000432</v>
      </c>
      <c r="AE394" s="9">
        <f t="shared" si="318"/>
        <v>1.4890000000000043</v>
      </c>
      <c r="AF394" s="9">
        <f t="shared" si="319"/>
        <v>3.4890000000000043</v>
      </c>
      <c r="AG394" s="9">
        <f t="shared" si="320"/>
        <v>2.5889999999999986</v>
      </c>
      <c r="AH394" s="9">
        <f t="shared" si="321"/>
        <v>8.4890000000000043</v>
      </c>
      <c r="AI394" s="9">
        <f t="shared" si="322"/>
        <v>13.189000000000007</v>
      </c>
      <c r="AJ394" s="9">
        <f t="shared" si="323"/>
        <v>0.80389999999999873</v>
      </c>
      <c r="AK394" s="9">
        <f t="shared" si="324"/>
        <v>-1.0061000000000035</v>
      </c>
      <c r="AL394" s="9">
        <f t="shared" si="325"/>
        <v>-0.38110000000000355</v>
      </c>
      <c r="AM394" s="9">
        <f t="shared" si="326"/>
        <v>-1.3811000000000035</v>
      </c>
      <c r="AN394" s="9">
        <f t="shared" si="327"/>
        <v>-1.3811000000000035</v>
      </c>
      <c r="AO394" s="9">
        <f t="shared" si="328"/>
        <v>-1.1811000000000007</v>
      </c>
      <c r="AP394" s="9">
        <f t="shared" si="329"/>
        <v>-2.6811000000000007</v>
      </c>
      <c r="AQ394" s="9">
        <f t="shared" si="330"/>
        <v>-0.13510000000000844</v>
      </c>
      <c r="AR394" s="9">
        <f t="shared" si="331"/>
        <v>5.3188999999999993</v>
      </c>
      <c r="AS394" s="9">
        <f t="shared" si="332"/>
        <v>0.4299000000000035</v>
      </c>
      <c r="AT394" s="9">
        <f t="shared" si="333"/>
        <v>-1.0050999999999988</v>
      </c>
      <c r="AU394" s="9">
        <f t="shared" si="334"/>
        <v>0.24490000000000123</v>
      </c>
      <c r="AV394" s="9">
        <f t="shared" si="335"/>
        <v>1.1199000000000012</v>
      </c>
      <c r="AW394" s="9">
        <f t="shared" si="336"/>
        <v>0.11990000000000123</v>
      </c>
      <c r="AX394" s="9">
        <f t="shared" si="337"/>
        <v>0.36990000000000123</v>
      </c>
      <c r="AY394" s="9">
        <f t="shared" si="338"/>
        <v>-1.1800999999999959</v>
      </c>
      <c r="AZ394" s="9">
        <f t="shared" si="339"/>
        <v>-1.1800999999999959</v>
      </c>
      <c r="BA394" s="9">
        <f t="shared" si="340"/>
        <v>2.1199000000000012</v>
      </c>
      <c r="BB394" s="9">
        <f t="shared" si="341"/>
        <v>1.2451000000000008</v>
      </c>
      <c r="BC394" s="9">
        <f t="shared" si="342"/>
        <v>0.37010000000000076</v>
      </c>
      <c r="BD394" s="9">
        <f t="shared" si="343"/>
        <v>1.8701000000000008</v>
      </c>
      <c r="BE394" s="9">
        <f t="shared" si="344"/>
        <v>3.2451000000000008</v>
      </c>
      <c r="BF394" s="9">
        <f t="shared" si="345"/>
        <v>2.4451000000000001</v>
      </c>
      <c r="BG394" s="9">
        <f t="shared" si="346"/>
        <v>1.9451000000000001</v>
      </c>
      <c r="BH394" s="9">
        <f t="shared" si="347"/>
        <v>1.2451000000000008</v>
      </c>
      <c r="BI394" s="9">
        <f t="shared" si="348"/>
        <v>1.4451000000000001</v>
      </c>
      <c r="BJ394" s="9">
        <f t="shared" si="349"/>
        <v>4.7951000000000006</v>
      </c>
    </row>
    <row r="395" spans="1:62" x14ac:dyDescent="0.2">
      <c r="A395" s="9">
        <f>data!M396-data!M395</f>
        <v>-0.43200000000000216</v>
      </c>
      <c r="B395" s="9">
        <f>data!C396-data!C395</f>
        <v>0.42999999999999972</v>
      </c>
      <c r="C395" s="9">
        <f>data!D396-data!D395</f>
        <v>9.2499999999999361E-2</v>
      </c>
      <c r="D395" s="10">
        <f>data!B396-data!B395</f>
        <v>-0.67249999999999988</v>
      </c>
      <c r="E395" s="9">
        <f>data!E395-data!G395</f>
        <v>0.71770000000000012</v>
      </c>
      <c r="F395" s="9">
        <f>(data!E395-data!F395)-(data!G395-data!H395)</f>
        <v>0.61120000000000008</v>
      </c>
      <c r="G395" s="9">
        <f t="shared" si="300"/>
        <v>8.6599999999999899E-2</v>
      </c>
      <c r="H395" s="9">
        <f t="shared" si="301"/>
        <v>5.149999999999999E-2</v>
      </c>
      <c r="I395" s="9">
        <f>IF(data!M396&gt; 111.81,1,0)</f>
        <v>0</v>
      </c>
      <c r="J395" s="9">
        <f t="shared" si="302"/>
        <v>1</v>
      </c>
      <c r="K395" s="9">
        <f t="shared" si="303"/>
        <v>0</v>
      </c>
      <c r="L395" s="9">
        <f t="shared" si="304"/>
        <v>-0.43200000000000216</v>
      </c>
      <c r="M395" s="9">
        <f>data!J395</f>
        <v>-32</v>
      </c>
      <c r="N395" s="9">
        <f>data!I395</f>
        <v>-74.625</v>
      </c>
      <c r="O395" s="9">
        <f>data!L395</f>
        <v>-73.314999999999998</v>
      </c>
      <c r="P395" s="9">
        <f>data!K395</f>
        <v>-32.69</v>
      </c>
      <c r="Q395" s="9">
        <f>data!R395</f>
        <v>-10.5</v>
      </c>
      <c r="R395" s="9">
        <f t="shared" si="305"/>
        <v>-0.89999999999999858</v>
      </c>
      <c r="S395" s="9">
        <f t="shared" si="306"/>
        <v>-1.115000000000002</v>
      </c>
      <c r="T395" s="9">
        <f t="shared" si="307"/>
        <v>-1.1000000000000014</v>
      </c>
      <c r="U395" s="9">
        <f t="shared" si="308"/>
        <v>2.3999999999999986</v>
      </c>
      <c r="V395" s="9">
        <f t="shared" si="309"/>
        <v>3.8500000000000014</v>
      </c>
      <c r="W395" s="9">
        <f t="shared" si="310"/>
        <v>3.25</v>
      </c>
      <c r="X395" s="9">
        <f t="shared" si="311"/>
        <v>4.5</v>
      </c>
      <c r="Y395" s="9">
        <f t="shared" si="312"/>
        <v>6.8000000000000007</v>
      </c>
      <c r="Z395" s="9">
        <f t="shared" si="313"/>
        <v>5.8500000000000014</v>
      </c>
      <c r="AA395" s="9">
        <f t="shared" si="314"/>
        <v>-2.375</v>
      </c>
      <c r="AB395" s="9">
        <f t="shared" si="315"/>
        <v>-0.90000000000000568</v>
      </c>
      <c r="AC395" s="9">
        <f t="shared" si="316"/>
        <v>-2.125</v>
      </c>
      <c r="AD395" s="9">
        <f t="shared" si="317"/>
        <v>-0.875</v>
      </c>
      <c r="AE395" s="9">
        <f t="shared" si="318"/>
        <v>1.125</v>
      </c>
      <c r="AF395" s="9">
        <f t="shared" si="319"/>
        <v>0.22499999999999432</v>
      </c>
      <c r="AG395" s="9">
        <f t="shared" si="320"/>
        <v>6.125</v>
      </c>
      <c r="AH395" s="9">
        <f t="shared" si="321"/>
        <v>10.825000000000003</v>
      </c>
      <c r="AI395" s="9">
        <f t="shared" si="322"/>
        <v>14.625</v>
      </c>
      <c r="AJ395" s="9">
        <f t="shared" si="323"/>
        <v>-1.8100000000000023</v>
      </c>
      <c r="AK395" s="9">
        <f t="shared" si="324"/>
        <v>-1.1850000000000023</v>
      </c>
      <c r="AL395" s="9">
        <f t="shared" si="325"/>
        <v>-2.1850000000000023</v>
      </c>
      <c r="AM395" s="9">
        <f t="shared" si="326"/>
        <v>-2.1850000000000023</v>
      </c>
      <c r="AN395" s="9">
        <f t="shared" si="327"/>
        <v>-1.9849999999999994</v>
      </c>
      <c r="AO395" s="9">
        <f t="shared" si="328"/>
        <v>-3.4849999999999994</v>
      </c>
      <c r="AP395" s="9">
        <f t="shared" si="329"/>
        <v>-0.93900000000000716</v>
      </c>
      <c r="AQ395" s="9">
        <f t="shared" si="330"/>
        <v>4.5150000000000006</v>
      </c>
      <c r="AR395" s="9">
        <f t="shared" si="331"/>
        <v>7.414999999999992</v>
      </c>
      <c r="AS395" s="9">
        <f t="shared" si="332"/>
        <v>-1.4350000000000023</v>
      </c>
      <c r="AT395" s="9">
        <f t="shared" si="333"/>
        <v>-0.18500000000000227</v>
      </c>
      <c r="AU395" s="9">
        <f t="shared" si="334"/>
        <v>0.68999999999999773</v>
      </c>
      <c r="AV395" s="9">
        <f t="shared" si="335"/>
        <v>-0.31000000000000227</v>
      </c>
      <c r="AW395" s="9">
        <f t="shared" si="336"/>
        <v>-6.0000000000002274E-2</v>
      </c>
      <c r="AX395" s="9">
        <f t="shared" si="337"/>
        <v>-1.6099999999999994</v>
      </c>
      <c r="AY395" s="9">
        <f t="shared" si="338"/>
        <v>-1.6099999999999994</v>
      </c>
      <c r="AZ395" s="9">
        <f t="shared" si="339"/>
        <v>1.6899999999999977</v>
      </c>
      <c r="BA395" s="9">
        <f t="shared" si="340"/>
        <v>1.1899999999999977</v>
      </c>
      <c r="BB395" s="9">
        <f t="shared" si="341"/>
        <v>-0.875</v>
      </c>
      <c r="BC395" s="9">
        <f t="shared" si="342"/>
        <v>0.625</v>
      </c>
      <c r="BD395" s="9">
        <f t="shared" si="343"/>
        <v>2</v>
      </c>
      <c r="BE395" s="9">
        <f t="shared" si="344"/>
        <v>1.1999999999999993</v>
      </c>
      <c r="BF395" s="9">
        <f t="shared" si="345"/>
        <v>0.69999999999999929</v>
      </c>
      <c r="BG395" s="9">
        <f t="shared" si="346"/>
        <v>0</v>
      </c>
      <c r="BH395" s="9">
        <f t="shared" si="347"/>
        <v>0.19999999999999929</v>
      </c>
      <c r="BI395" s="9">
        <f t="shared" si="348"/>
        <v>3.55</v>
      </c>
      <c r="BJ395" s="9">
        <f t="shared" si="349"/>
        <v>3.25</v>
      </c>
    </row>
    <row r="396" spans="1:62" x14ac:dyDescent="0.2">
      <c r="A396" s="9">
        <f>data!M397-data!M396</f>
        <v>-0.32850000000000534</v>
      </c>
      <c r="B396" s="9">
        <f>data!C397-data!C396</f>
        <v>-1.0599999999999987</v>
      </c>
      <c r="C396" s="9">
        <f>data!D397-data!D396</f>
        <v>-8.4999999999999964E-2</v>
      </c>
      <c r="D396" s="10">
        <f>data!B397-data!B396</f>
        <v>0.18499999999999961</v>
      </c>
      <c r="E396" s="9">
        <f>data!E396-data!G396</f>
        <v>0.80430000000000001</v>
      </c>
      <c r="F396" s="9">
        <f>(data!E396-data!F396)-(data!G396-data!H396)</f>
        <v>0.66270000000000007</v>
      </c>
      <c r="G396" s="9">
        <f t="shared" si="300"/>
        <v>2.079999999999993E-2</v>
      </c>
      <c r="H396" s="9">
        <f t="shared" si="301"/>
        <v>1.2799999999999812E-2</v>
      </c>
      <c r="I396" s="9">
        <f>IF(data!M397&gt; 111.81,1,0)</f>
        <v>0</v>
      </c>
      <c r="J396" s="9">
        <f t="shared" si="302"/>
        <v>1</v>
      </c>
      <c r="K396" s="9">
        <f t="shared" si="303"/>
        <v>0</v>
      </c>
      <c r="L396" s="9">
        <f t="shared" si="304"/>
        <v>-0.32850000000000534</v>
      </c>
      <c r="M396" s="9">
        <f>data!J396</f>
        <v>-32.9</v>
      </c>
      <c r="N396" s="9">
        <f>data!I396</f>
        <v>-77</v>
      </c>
      <c r="O396" s="9">
        <f>data!L396</f>
        <v>-75.125</v>
      </c>
      <c r="P396" s="9">
        <f>data!K396</f>
        <v>-34.125</v>
      </c>
      <c r="Q396" s="9">
        <f>data!R396</f>
        <v>-11.375</v>
      </c>
      <c r="R396" s="9">
        <f t="shared" si="305"/>
        <v>-0.21500000000000341</v>
      </c>
      <c r="S396" s="9">
        <f t="shared" si="306"/>
        <v>-0.20000000000000284</v>
      </c>
      <c r="T396" s="9">
        <f t="shared" si="307"/>
        <v>3.2999999999999972</v>
      </c>
      <c r="U396" s="9">
        <f t="shared" si="308"/>
        <v>4.75</v>
      </c>
      <c r="V396" s="9">
        <f t="shared" si="309"/>
        <v>4.1499999999999986</v>
      </c>
      <c r="W396" s="9">
        <f t="shared" si="310"/>
        <v>5.3999999999999986</v>
      </c>
      <c r="X396" s="9">
        <f t="shared" si="311"/>
        <v>7.6999999999999993</v>
      </c>
      <c r="Y396" s="9">
        <f t="shared" si="312"/>
        <v>6.75</v>
      </c>
      <c r="Z396" s="9">
        <f t="shared" si="313"/>
        <v>1.1499999999999986</v>
      </c>
      <c r="AA396" s="9">
        <f t="shared" si="314"/>
        <v>1.4749999999999943</v>
      </c>
      <c r="AB396" s="9">
        <f t="shared" si="315"/>
        <v>0.25</v>
      </c>
      <c r="AC396" s="9">
        <f t="shared" si="316"/>
        <v>1.5</v>
      </c>
      <c r="AD396" s="9">
        <f t="shared" si="317"/>
        <v>3.5</v>
      </c>
      <c r="AE396" s="9">
        <f t="shared" si="318"/>
        <v>2.5999999999999943</v>
      </c>
      <c r="AF396" s="9">
        <f t="shared" si="319"/>
        <v>8.5</v>
      </c>
      <c r="AG396" s="9">
        <f t="shared" si="320"/>
        <v>13.200000000000003</v>
      </c>
      <c r="AH396" s="9">
        <f t="shared" si="321"/>
        <v>17</v>
      </c>
      <c r="AI396" s="9">
        <f t="shared" si="322"/>
        <v>16.25</v>
      </c>
      <c r="AJ396" s="9">
        <f t="shared" si="323"/>
        <v>0.625</v>
      </c>
      <c r="AK396" s="9">
        <f t="shared" si="324"/>
        <v>-0.375</v>
      </c>
      <c r="AL396" s="9">
        <f t="shared" si="325"/>
        <v>-0.375</v>
      </c>
      <c r="AM396" s="9">
        <f t="shared" si="326"/>
        <v>-0.17499999999999716</v>
      </c>
      <c r="AN396" s="9">
        <f t="shared" si="327"/>
        <v>-1.6749999999999972</v>
      </c>
      <c r="AO396" s="9">
        <f t="shared" si="328"/>
        <v>0.87099999999999511</v>
      </c>
      <c r="AP396" s="9">
        <f t="shared" si="329"/>
        <v>6.3250000000000028</v>
      </c>
      <c r="AQ396" s="9">
        <f t="shared" si="330"/>
        <v>9.2249999999999943</v>
      </c>
      <c r="AR396" s="9">
        <f t="shared" si="331"/>
        <v>15.625</v>
      </c>
      <c r="AS396" s="9">
        <f t="shared" si="332"/>
        <v>1.25</v>
      </c>
      <c r="AT396" s="9">
        <f t="shared" si="333"/>
        <v>2.125</v>
      </c>
      <c r="AU396" s="9">
        <f t="shared" si="334"/>
        <v>1.125</v>
      </c>
      <c r="AV396" s="9">
        <f t="shared" si="335"/>
        <v>1.375</v>
      </c>
      <c r="AW396" s="9">
        <f t="shared" si="336"/>
        <v>-0.17499999999999716</v>
      </c>
      <c r="AX396" s="9">
        <f t="shared" si="337"/>
        <v>-0.17499999999999716</v>
      </c>
      <c r="AY396" s="9">
        <f t="shared" si="338"/>
        <v>3.125</v>
      </c>
      <c r="AZ396" s="9">
        <f t="shared" si="339"/>
        <v>2.625</v>
      </c>
      <c r="BA396" s="9">
        <f t="shared" si="340"/>
        <v>1.625</v>
      </c>
      <c r="BB396" s="9">
        <f t="shared" si="341"/>
        <v>1.5</v>
      </c>
      <c r="BC396" s="9">
        <f t="shared" si="342"/>
        <v>2.875</v>
      </c>
      <c r="BD396" s="9">
        <f t="shared" si="343"/>
        <v>2.0749999999999993</v>
      </c>
      <c r="BE396" s="9">
        <f t="shared" si="344"/>
        <v>1.5749999999999993</v>
      </c>
      <c r="BF396" s="9">
        <f t="shared" si="345"/>
        <v>0.875</v>
      </c>
      <c r="BG396" s="9">
        <f t="shared" si="346"/>
        <v>1.0749999999999993</v>
      </c>
      <c r="BH396" s="9">
        <f t="shared" si="347"/>
        <v>4.4249999999999998</v>
      </c>
      <c r="BI396" s="9">
        <f t="shared" si="348"/>
        <v>4.125</v>
      </c>
      <c r="BJ396" s="9">
        <f t="shared" si="349"/>
        <v>2.875</v>
      </c>
    </row>
    <row r="397" spans="1:62" x14ac:dyDescent="0.2">
      <c r="A397" s="9">
        <f>data!M398-data!M397</f>
        <v>-9.189999999999543E-2</v>
      </c>
      <c r="B397" s="9">
        <f>data!C398-data!C397</f>
        <v>-0.90000000000000036</v>
      </c>
      <c r="C397" s="9">
        <f>data!D398-data!D397</f>
        <v>-0.17499999999999982</v>
      </c>
      <c r="D397" s="10">
        <f>data!B398-data!B397</f>
        <v>0.2150000000000003</v>
      </c>
      <c r="E397" s="9">
        <f>data!E397-data!G397</f>
        <v>0.82509999999999994</v>
      </c>
      <c r="F397" s="9">
        <f>(data!E397-data!F397)-(data!G397-data!H397)</f>
        <v>0.67549999999999988</v>
      </c>
      <c r="G397" s="9">
        <f t="shared" si="300"/>
        <v>3.5200000000000009E-2</v>
      </c>
      <c r="H397" s="9">
        <f t="shared" si="301"/>
        <v>1.22000000000001E-2</v>
      </c>
      <c r="I397" s="9">
        <f>IF(data!M398&gt; 111.81,1,0)</f>
        <v>0</v>
      </c>
      <c r="J397" s="9">
        <f t="shared" si="302"/>
        <v>1</v>
      </c>
      <c r="K397" s="9">
        <f t="shared" si="303"/>
        <v>0</v>
      </c>
      <c r="L397" s="9">
        <f t="shared" si="304"/>
        <v>-9.189999999999543E-2</v>
      </c>
      <c r="M397" s="9">
        <f>data!J397</f>
        <v>-33.115000000000002</v>
      </c>
      <c r="N397" s="9">
        <f>data!I397</f>
        <v>-75.525000000000006</v>
      </c>
      <c r="O397" s="9">
        <f>data!L397</f>
        <v>-74.5</v>
      </c>
      <c r="P397" s="9">
        <f>data!K397</f>
        <v>-32.875</v>
      </c>
      <c r="Q397" s="9">
        <f>data!R397</f>
        <v>-9.875</v>
      </c>
      <c r="R397" s="9">
        <f t="shared" si="305"/>
        <v>1.5000000000000568E-2</v>
      </c>
      <c r="S397" s="9">
        <f t="shared" si="306"/>
        <v>3.5150000000000006</v>
      </c>
      <c r="T397" s="9">
        <f t="shared" si="307"/>
        <v>4.9650000000000034</v>
      </c>
      <c r="U397" s="9">
        <f t="shared" si="308"/>
        <v>4.365000000000002</v>
      </c>
      <c r="V397" s="9">
        <f t="shared" si="309"/>
        <v>5.615000000000002</v>
      </c>
      <c r="W397" s="9">
        <f t="shared" si="310"/>
        <v>7.9150000000000027</v>
      </c>
      <c r="X397" s="9">
        <f t="shared" si="311"/>
        <v>6.9650000000000034</v>
      </c>
      <c r="Y397" s="9">
        <f t="shared" si="312"/>
        <v>1.365000000000002</v>
      </c>
      <c r="Z397" s="9">
        <f t="shared" si="313"/>
        <v>2.8900000000000006</v>
      </c>
      <c r="AA397" s="9">
        <f t="shared" si="314"/>
        <v>-1.2249999999999943</v>
      </c>
      <c r="AB397" s="9">
        <f t="shared" si="315"/>
        <v>2.5000000000005684E-2</v>
      </c>
      <c r="AC397" s="9">
        <f t="shared" si="316"/>
        <v>2.0250000000000057</v>
      </c>
      <c r="AD397" s="9">
        <f t="shared" si="317"/>
        <v>1.125</v>
      </c>
      <c r="AE397" s="9">
        <f t="shared" si="318"/>
        <v>7.0250000000000057</v>
      </c>
      <c r="AF397" s="9">
        <f t="shared" si="319"/>
        <v>11.725000000000009</v>
      </c>
      <c r="AG397" s="9">
        <f t="shared" si="320"/>
        <v>15.525000000000006</v>
      </c>
      <c r="AH397" s="9">
        <f t="shared" si="321"/>
        <v>14.775000000000006</v>
      </c>
      <c r="AI397" s="9">
        <f t="shared" si="322"/>
        <v>18.525000000000006</v>
      </c>
      <c r="AJ397" s="9">
        <f t="shared" si="323"/>
        <v>-1</v>
      </c>
      <c r="AK397" s="9">
        <f t="shared" si="324"/>
        <v>-1</v>
      </c>
      <c r="AL397" s="9">
        <f t="shared" si="325"/>
        <v>-0.79999999999999716</v>
      </c>
      <c r="AM397" s="9">
        <f t="shared" si="326"/>
        <v>-2.2999999999999972</v>
      </c>
      <c r="AN397" s="9">
        <f t="shared" si="327"/>
        <v>0.24599999999999511</v>
      </c>
      <c r="AO397" s="9">
        <f t="shared" si="328"/>
        <v>5.7000000000000028</v>
      </c>
      <c r="AP397" s="9">
        <f t="shared" si="329"/>
        <v>8.5999999999999943</v>
      </c>
      <c r="AQ397" s="9">
        <f t="shared" si="330"/>
        <v>15</v>
      </c>
      <c r="AR397" s="9">
        <f t="shared" si="331"/>
        <v>24.25</v>
      </c>
      <c r="AS397" s="9">
        <f t="shared" si="332"/>
        <v>0.875</v>
      </c>
      <c r="AT397" s="9">
        <f t="shared" si="333"/>
        <v>-0.125</v>
      </c>
      <c r="AU397" s="9">
        <f t="shared" si="334"/>
        <v>0.125</v>
      </c>
      <c r="AV397" s="9">
        <f t="shared" si="335"/>
        <v>-1.4249999999999972</v>
      </c>
      <c r="AW397" s="9">
        <f t="shared" si="336"/>
        <v>-1.4249999999999972</v>
      </c>
      <c r="AX397" s="9">
        <f t="shared" si="337"/>
        <v>1.875</v>
      </c>
      <c r="AY397" s="9">
        <f t="shared" si="338"/>
        <v>1.375</v>
      </c>
      <c r="AZ397" s="9">
        <f t="shared" si="339"/>
        <v>0.375</v>
      </c>
      <c r="BA397" s="9">
        <f t="shared" si="340"/>
        <v>1.625</v>
      </c>
      <c r="BB397" s="9">
        <f t="shared" si="341"/>
        <v>1.375</v>
      </c>
      <c r="BC397" s="9">
        <f t="shared" si="342"/>
        <v>0.57499999999999929</v>
      </c>
      <c r="BD397" s="9">
        <f t="shared" si="343"/>
        <v>7.4999999999999289E-2</v>
      </c>
      <c r="BE397" s="9">
        <f t="shared" si="344"/>
        <v>-0.625</v>
      </c>
      <c r="BF397" s="9">
        <f t="shared" si="345"/>
        <v>-0.42500000000000071</v>
      </c>
      <c r="BG397" s="9">
        <f t="shared" si="346"/>
        <v>2.9249999999999998</v>
      </c>
      <c r="BH397" s="9">
        <f t="shared" si="347"/>
        <v>2.625</v>
      </c>
      <c r="BI397" s="9">
        <f t="shared" si="348"/>
        <v>1.375</v>
      </c>
      <c r="BJ397" s="9">
        <f t="shared" si="349"/>
        <v>-2</v>
      </c>
    </row>
    <row r="398" spans="1:62" x14ac:dyDescent="0.2">
      <c r="A398" s="9">
        <f>data!M399-data!M398</f>
        <v>0.19809999999999661</v>
      </c>
      <c r="B398" s="9">
        <f>data!C399-data!C398</f>
        <v>-1.2900000000000009</v>
      </c>
      <c r="C398" s="9">
        <f>data!D399-data!D398</f>
        <v>0.37249999999999961</v>
      </c>
      <c r="D398" s="10">
        <f>data!B399-data!B398</f>
        <v>-0.42250000000000032</v>
      </c>
      <c r="E398" s="9">
        <f>data!E398-data!G398</f>
        <v>0.86029999999999995</v>
      </c>
      <c r="F398" s="9">
        <f>(data!E398-data!F398)-(data!G398-data!H398)</f>
        <v>0.68769999999999998</v>
      </c>
      <c r="G398" s="9">
        <f t="shared" si="300"/>
        <v>0.11820000000000008</v>
      </c>
      <c r="H398" s="9">
        <f t="shared" si="301"/>
        <v>8.9600000000000013E-2</v>
      </c>
      <c r="I398" s="9">
        <f>IF(data!M399&gt; 111.81,1,0)</f>
        <v>0</v>
      </c>
      <c r="J398" s="9">
        <f t="shared" si="302"/>
        <v>1</v>
      </c>
      <c r="K398" s="9">
        <f t="shared" si="303"/>
        <v>0</v>
      </c>
      <c r="L398" s="9">
        <f t="shared" si="304"/>
        <v>0.19809999999999661</v>
      </c>
      <c r="M398" s="9">
        <f>data!J398</f>
        <v>-33.1</v>
      </c>
      <c r="N398" s="9">
        <f>data!I398</f>
        <v>-76.75</v>
      </c>
      <c r="O398" s="9">
        <f>data!L398</f>
        <v>-75.5</v>
      </c>
      <c r="P398" s="9">
        <f>data!K398</f>
        <v>-32</v>
      </c>
      <c r="Q398" s="9">
        <f>data!R398</f>
        <v>-8.5</v>
      </c>
      <c r="R398" s="9">
        <f t="shared" si="305"/>
        <v>3.5</v>
      </c>
      <c r="S398" s="9">
        <f t="shared" si="306"/>
        <v>4.9500000000000028</v>
      </c>
      <c r="T398" s="9">
        <f t="shared" si="307"/>
        <v>4.3500000000000014</v>
      </c>
      <c r="U398" s="9">
        <f t="shared" si="308"/>
        <v>5.6000000000000014</v>
      </c>
      <c r="V398" s="9">
        <f t="shared" si="309"/>
        <v>7.9000000000000021</v>
      </c>
      <c r="W398" s="9">
        <f t="shared" si="310"/>
        <v>6.9500000000000028</v>
      </c>
      <c r="X398" s="9">
        <f t="shared" si="311"/>
        <v>1.3500000000000014</v>
      </c>
      <c r="Y398" s="9">
        <f t="shared" si="312"/>
        <v>2.875</v>
      </c>
      <c r="Z398" s="9">
        <f t="shared" si="313"/>
        <v>4.4000000000000021</v>
      </c>
      <c r="AA398" s="9">
        <f t="shared" si="314"/>
        <v>1.25</v>
      </c>
      <c r="AB398" s="9">
        <f t="shared" si="315"/>
        <v>3.25</v>
      </c>
      <c r="AC398" s="9">
        <f t="shared" si="316"/>
        <v>2.3499999999999943</v>
      </c>
      <c r="AD398" s="9">
        <f t="shared" si="317"/>
        <v>8.25</v>
      </c>
      <c r="AE398" s="9">
        <f t="shared" si="318"/>
        <v>12.950000000000003</v>
      </c>
      <c r="AF398" s="9">
        <f t="shared" si="319"/>
        <v>16.75</v>
      </c>
      <c r="AG398" s="9">
        <f t="shared" si="320"/>
        <v>16</v>
      </c>
      <c r="AH398" s="9">
        <f t="shared" si="321"/>
        <v>19.75</v>
      </c>
      <c r="AI398" s="9">
        <f t="shared" si="322"/>
        <v>17.450000000000003</v>
      </c>
      <c r="AJ398" s="9">
        <f t="shared" si="323"/>
        <v>0</v>
      </c>
      <c r="AK398" s="9">
        <f t="shared" si="324"/>
        <v>0.20000000000000284</v>
      </c>
      <c r="AL398" s="9">
        <f t="shared" si="325"/>
        <v>-1.2999999999999972</v>
      </c>
      <c r="AM398" s="9">
        <f t="shared" si="326"/>
        <v>1.2459999999999951</v>
      </c>
      <c r="AN398" s="9">
        <f t="shared" si="327"/>
        <v>6.7000000000000028</v>
      </c>
      <c r="AO398" s="9">
        <f t="shared" si="328"/>
        <v>9.5999999999999943</v>
      </c>
      <c r="AP398" s="9">
        <f t="shared" si="329"/>
        <v>16</v>
      </c>
      <c r="AQ398" s="9">
        <f t="shared" si="330"/>
        <v>25.25</v>
      </c>
      <c r="AR398" s="9">
        <f t="shared" si="331"/>
        <v>24.700000000000003</v>
      </c>
      <c r="AS398" s="9">
        <f t="shared" si="332"/>
        <v>-1</v>
      </c>
      <c r="AT398" s="9">
        <f t="shared" si="333"/>
        <v>-0.75</v>
      </c>
      <c r="AU398" s="9">
        <f t="shared" si="334"/>
        <v>-2.2999999999999972</v>
      </c>
      <c r="AV398" s="9">
        <f t="shared" si="335"/>
        <v>-2.2999999999999972</v>
      </c>
      <c r="AW398" s="9">
        <f t="shared" si="336"/>
        <v>1</v>
      </c>
      <c r="AX398" s="9">
        <f t="shared" si="337"/>
        <v>0.5</v>
      </c>
      <c r="AY398" s="9">
        <f t="shared" si="338"/>
        <v>-0.5</v>
      </c>
      <c r="AZ398" s="9">
        <f t="shared" si="339"/>
        <v>0.75</v>
      </c>
      <c r="BA398" s="9">
        <f t="shared" si="340"/>
        <v>0.5</v>
      </c>
      <c r="BB398" s="9">
        <f t="shared" si="341"/>
        <v>-0.80000000000000071</v>
      </c>
      <c r="BC398" s="9">
        <f t="shared" si="342"/>
        <v>-1.3000000000000007</v>
      </c>
      <c r="BD398" s="9">
        <f t="shared" si="343"/>
        <v>-2</v>
      </c>
      <c r="BE398" s="9">
        <f t="shared" si="344"/>
        <v>-1.8000000000000007</v>
      </c>
      <c r="BF398" s="9">
        <f t="shared" si="345"/>
        <v>1.5499999999999998</v>
      </c>
      <c r="BG398" s="9">
        <f t="shared" si="346"/>
        <v>1.25</v>
      </c>
      <c r="BH398" s="9">
        <f t="shared" si="347"/>
        <v>0</v>
      </c>
      <c r="BI398" s="9">
        <f t="shared" si="348"/>
        <v>-3.375</v>
      </c>
      <c r="BJ398" s="9">
        <f t="shared" si="349"/>
        <v>-3.8000000000000007</v>
      </c>
    </row>
    <row r="399" spans="1:62" x14ac:dyDescent="0.2">
      <c r="A399" s="9">
        <f>data!M400-data!M399</f>
        <v>-0.43250000000000455</v>
      </c>
      <c r="B399" s="9">
        <f>data!C400-data!C399</f>
        <v>1.7300000000000004</v>
      </c>
      <c r="C399" s="9">
        <f>data!D400-data!D399</f>
        <v>-0.53499999999999925</v>
      </c>
      <c r="D399" s="10">
        <f>data!B400-data!B399</f>
        <v>-7.9999999999999627E-2</v>
      </c>
      <c r="E399" s="9">
        <f>data!E399-data!G399</f>
        <v>0.97850000000000004</v>
      </c>
      <c r="F399" s="9">
        <f>(data!E399-data!F399)-(data!G399-data!H399)</f>
        <v>0.77729999999999999</v>
      </c>
      <c r="G399" s="9">
        <f t="shared" si="300"/>
        <v>-9.5999999999999974E-2</v>
      </c>
      <c r="H399" s="9">
        <f t="shared" si="301"/>
        <v>-6.7200000000000037E-2</v>
      </c>
      <c r="I399" s="9">
        <f>IF(data!M400&gt; 111.81,1,0)</f>
        <v>0</v>
      </c>
      <c r="J399" s="9">
        <f t="shared" si="302"/>
        <v>1</v>
      </c>
      <c r="K399" s="9">
        <f t="shared" si="303"/>
        <v>0</v>
      </c>
      <c r="L399" s="9">
        <f t="shared" si="304"/>
        <v>-0.43250000000000455</v>
      </c>
      <c r="M399" s="9">
        <f>data!J399</f>
        <v>-29.6</v>
      </c>
      <c r="N399" s="9">
        <f>data!I399</f>
        <v>-75.5</v>
      </c>
      <c r="O399" s="9">
        <f>data!L399</f>
        <v>-75.5</v>
      </c>
      <c r="P399" s="9">
        <f>data!K399</f>
        <v>-33</v>
      </c>
      <c r="Q399" s="9">
        <f>data!R399</f>
        <v>-9.3000000000000007</v>
      </c>
      <c r="R399" s="9">
        <f t="shared" si="305"/>
        <v>1.4500000000000028</v>
      </c>
      <c r="S399" s="9">
        <f t="shared" si="306"/>
        <v>0.85000000000000142</v>
      </c>
      <c r="T399" s="9">
        <f t="shared" si="307"/>
        <v>2.1000000000000014</v>
      </c>
      <c r="U399" s="9">
        <f t="shared" si="308"/>
        <v>4.4000000000000021</v>
      </c>
      <c r="V399" s="9">
        <f t="shared" si="309"/>
        <v>3.4500000000000028</v>
      </c>
      <c r="W399" s="9">
        <f t="shared" si="310"/>
        <v>-2.1499999999999986</v>
      </c>
      <c r="X399" s="9">
        <f t="shared" si="311"/>
        <v>-0.625</v>
      </c>
      <c r="Y399" s="9">
        <f t="shared" si="312"/>
        <v>0.90000000000000213</v>
      </c>
      <c r="Z399" s="9">
        <f t="shared" si="313"/>
        <v>2.1500000000000021</v>
      </c>
      <c r="AA399" s="9">
        <f t="shared" si="314"/>
        <v>2</v>
      </c>
      <c r="AB399" s="9">
        <f t="shared" si="315"/>
        <v>1.0999999999999943</v>
      </c>
      <c r="AC399" s="9">
        <f t="shared" si="316"/>
        <v>7</v>
      </c>
      <c r="AD399" s="9">
        <f t="shared" si="317"/>
        <v>11.700000000000003</v>
      </c>
      <c r="AE399" s="9">
        <f t="shared" si="318"/>
        <v>15.5</v>
      </c>
      <c r="AF399" s="9">
        <f t="shared" si="319"/>
        <v>14.75</v>
      </c>
      <c r="AG399" s="9">
        <f t="shared" si="320"/>
        <v>18.5</v>
      </c>
      <c r="AH399" s="9">
        <f t="shared" si="321"/>
        <v>16.200000000000003</v>
      </c>
      <c r="AI399" s="9">
        <f t="shared" si="322"/>
        <v>8.2000000000000028</v>
      </c>
      <c r="AJ399" s="9">
        <f t="shared" si="323"/>
        <v>0.20000000000000284</v>
      </c>
      <c r="AK399" s="9">
        <f t="shared" si="324"/>
        <v>-1.2999999999999972</v>
      </c>
      <c r="AL399" s="9">
        <f t="shared" si="325"/>
        <v>1.2459999999999951</v>
      </c>
      <c r="AM399" s="9">
        <f t="shared" si="326"/>
        <v>6.7000000000000028</v>
      </c>
      <c r="AN399" s="9">
        <f t="shared" si="327"/>
        <v>9.5999999999999943</v>
      </c>
      <c r="AO399" s="9">
        <f t="shared" si="328"/>
        <v>16</v>
      </c>
      <c r="AP399" s="9">
        <f t="shared" si="329"/>
        <v>25.25</v>
      </c>
      <c r="AQ399" s="9">
        <f t="shared" si="330"/>
        <v>24.700000000000003</v>
      </c>
      <c r="AR399" s="9">
        <f t="shared" si="331"/>
        <v>12.200000000000003</v>
      </c>
      <c r="AS399" s="9">
        <f t="shared" si="332"/>
        <v>0.25</v>
      </c>
      <c r="AT399" s="9">
        <f t="shared" si="333"/>
        <v>-1.2999999999999972</v>
      </c>
      <c r="AU399" s="9">
        <f t="shared" si="334"/>
        <v>-1.2999999999999972</v>
      </c>
      <c r="AV399" s="9">
        <f t="shared" si="335"/>
        <v>2</v>
      </c>
      <c r="AW399" s="9">
        <f t="shared" si="336"/>
        <v>1.5</v>
      </c>
      <c r="AX399" s="9">
        <f t="shared" si="337"/>
        <v>0.5</v>
      </c>
      <c r="AY399" s="9">
        <f t="shared" si="338"/>
        <v>1.75</v>
      </c>
      <c r="AZ399" s="9">
        <f t="shared" si="339"/>
        <v>1.5</v>
      </c>
      <c r="BA399" s="9">
        <f t="shared" si="340"/>
        <v>-3.8999999999999986</v>
      </c>
      <c r="BB399" s="9">
        <f t="shared" si="341"/>
        <v>-0.5</v>
      </c>
      <c r="BC399" s="9">
        <f t="shared" si="342"/>
        <v>-1.1999999999999993</v>
      </c>
      <c r="BD399" s="9">
        <f t="shared" si="343"/>
        <v>-1</v>
      </c>
      <c r="BE399" s="9">
        <f t="shared" si="344"/>
        <v>2.3500000000000005</v>
      </c>
      <c r="BF399" s="9">
        <f t="shared" si="345"/>
        <v>2.0500000000000007</v>
      </c>
      <c r="BG399" s="9">
        <f t="shared" si="346"/>
        <v>0.80000000000000071</v>
      </c>
      <c r="BH399" s="9">
        <f t="shared" si="347"/>
        <v>-2.5749999999999993</v>
      </c>
      <c r="BI399" s="9">
        <f t="shared" si="348"/>
        <v>-3</v>
      </c>
      <c r="BJ399" s="9">
        <f t="shared" si="349"/>
        <v>-7.8000000000000007</v>
      </c>
    </row>
    <row r="400" spans="1:62" x14ac:dyDescent="0.2">
      <c r="A400" s="9">
        <f>data!M401-data!M400</f>
        <v>-0.11079999999999757</v>
      </c>
      <c r="B400" s="9">
        <f>data!C401-data!C400</f>
        <v>2.2899999999999991</v>
      </c>
      <c r="C400" s="9">
        <f>data!D401-data!D400</f>
        <v>0.20999999999999996</v>
      </c>
      <c r="D400" s="10">
        <f>data!B401-data!B400</f>
        <v>-0.17250000000000032</v>
      </c>
      <c r="E400" s="9">
        <f>data!E400-data!G400</f>
        <v>0.88250000000000006</v>
      </c>
      <c r="F400" s="9">
        <f>(data!E400-data!F400)-(data!G400-data!H400)</f>
        <v>0.71009999999999995</v>
      </c>
      <c r="G400" s="9">
        <f t="shared" si="300"/>
        <v>-0.1261000000000001</v>
      </c>
      <c r="H400" s="9">
        <f t="shared" si="301"/>
        <v>-8.4199999999999942E-2</v>
      </c>
      <c r="I400" s="9">
        <f>IF(data!M401&gt; 111.81,1,0)</f>
        <v>0</v>
      </c>
      <c r="J400" s="9">
        <f t="shared" si="302"/>
        <v>1</v>
      </c>
      <c r="K400" s="9">
        <f t="shared" si="303"/>
        <v>0</v>
      </c>
      <c r="L400" s="9">
        <f t="shared" si="304"/>
        <v>-0.11079999999999757</v>
      </c>
      <c r="M400" s="9">
        <f>data!J400</f>
        <v>-28.15</v>
      </c>
      <c r="N400" s="9">
        <f>data!I400</f>
        <v>-73.5</v>
      </c>
      <c r="O400" s="9">
        <f>data!L400</f>
        <v>-75.3</v>
      </c>
      <c r="P400" s="9">
        <f>data!K400</f>
        <v>-32.75</v>
      </c>
      <c r="Q400" s="9">
        <f>data!R400</f>
        <v>-9.8000000000000007</v>
      </c>
      <c r="R400" s="9">
        <f t="shared" si="305"/>
        <v>-0.60000000000000142</v>
      </c>
      <c r="S400" s="9">
        <f t="shared" si="306"/>
        <v>0.64999999999999858</v>
      </c>
      <c r="T400" s="9">
        <f t="shared" si="307"/>
        <v>2.9499999999999993</v>
      </c>
      <c r="U400" s="9">
        <f t="shared" si="308"/>
        <v>2</v>
      </c>
      <c r="V400" s="9">
        <f t="shared" si="309"/>
        <v>-3.6000000000000014</v>
      </c>
      <c r="W400" s="9">
        <f t="shared" si="310"/>
        <v>-2.0750000000000028</v>
      </c>
      <c r="X400" s="9">
        <f t="shared" si="311"/>
        <v>-0.55000000000000071</v>
      </c>
      <c r="Y400" s="9">
        <f t="shared" si="312"/>
        <v>0.69999999999999929</v>
      </c>
      <c r="Z400" s="9">
        <f t="shared" si="313"/>
        <v>-1.6500000000000021</v>
      </c>
      <c r="AA400" s="9">
        <f t="shared" si="314"/>
        <v>-0.90000000000000568</v>
      </c>
      <c r="AB400" s="9">
        <f t="shared" si="315"/>
        <v>5</v>
      </c>
      <c r="AC400" s="9">
        <f t="shared" si="316"/>
        <v>9.7000000000000028</v>
      </c>
      <c r="AD400" s="9">
        <f t="shared" si="317"/>
        <v>13.5</v>
      </c>
      <c r="AE400" s="9">
        <f t="shared" si="318"/>
        <v>12.75</v>
      </c>
      <c r="AF400" s="9">
        <f t="shared" si="319"/>
        <v>16.5</v>
      </c>
      <c r="AG400" s="9">
        <f t="shared" si="320"/>
        <v>14.200000000000003</v>
      </c>
      <c r="AH400" s="9">
        <f t="shared" si="321"/>
        <v>6.2000000000000028</v>
      </c>
      <c r="AI400" s="9">
        <f t="shared" si="322"/>
        <v>6.2000000000000028</v>
      </c>
      <c r="AJ400" s="9">
        <f t="shared" si="323"/>
        <v>-1.5</v>
      </c>
      <c r="AK400" s="9">
        <f t="shared" si="324"/>
        <v>1.0459999999999923</v>
      </c>
      <c r="AL400" s="9">
        <f t="shared" si="325"/>
        <v>6.5</v>
      </c>
      <c r="AM400" s="9">
        <f t="shared" si="326"/>
        <v>9.3999999999999915</v>
      </c>
      <c r="AN400" s="9">
        <f t="shared" si="327"/>
        <v>15.799999999999997</v>
      </c>
      <c r="AO400" s="9">
        <f t="shared" si="328"/>
        <v>25.049999999999997</v>
      </c>
      <c r="AP400" s="9">
        <f t="shared" si="329"/>
        <v>24.5</v>
      </c>
      <c r="AQ400" s="9">
        <f t="shared" si="330"/>
        <v>12</v>
      </c>
      <c r="AR400" s="9">
        <f t="shared" si="331"/>
        <v>11.299999999999997</v>
      </c>
      <c r="AS400" s="9">
        <f t="shared" si="332"/>
        <v>-1.5499999999999972</v>
      </c>
      <c r="AT400" s="9">
        <f t="shared" si="333"/>
        <v>-1.5499999999999972</v>
      </c>
      <c r="AU400" s="9">
        <f t="shared" si="334"/>
        <v>1.75</v>
      </c>
      <c r="AV400" s="9">
        <f t="shared" si="335"/>
        <v>1.25</v>
      </c>
      <c r="AW400" s="9">
        <f t="shared" si="336"/>
        <v>0.25</v>
      </c>
      <c r="AX400" s="9">
        <f t="shared" si="337"/>
        <v>1.5</v>
      </c>
      <c r="AY400" s="9">
        <f t="shared" si="338"/>
        <v>1.25</v>
      </c>
      <c r="AZ400" s="9">
        <f t="shared" si="339"/>
        <v>-4.1499999999999986</v>
      </c>
      <c r="BA400" s="9">
        <f t="shared" si="340"/>
        <v>-0.75</v>
      </c>
      <c r="BB400" s="9">
        <f t="shared" si="341"/>
        <v>-0.69999999999999929</v>
      </c>
      <c r="BC400" s="9">
        <f t="shared" si="342"/>
        <v>-0.5</v>
      </c>
      <c r="BD400" s="9">
        <f t="shared" si="343"/>
        <v>2.8500000000000005</v>
      </c>
      <c r="BE400" s="9">
        <f t="shared" si="344"/>
        <v>2.5500000000000007</v>
      </c>
      <c r="BF400" s="9">
        <f t="shared" si="345"/>
        <v>1.3000000000000007</v>
      </c>
      <c r="BG400" s="9">
        <f t="shared" si="346"/>
        <v>-2.0749999999999993</v>
      </c>
      <c r="BH400" s="9">
        <f t="shared" si="347"/>
        <v>-2.5</v>
      </c>
      <c r="BI400" s="9">
        <f t="shared" si="348"/>
        <v>-7.3000000000000007</v>
      </c>
      <c r="BJ400" s="9">
        <f t="shared" si="349"/>
        <v>-3.6999999999999993</v>
      </c>
    </row>
    <row r="401" spans="1:62" x14ac:dyDescent="0.2">
      <c r="A401" s="9">
        <f>data!M402-data!M401</f>
        <v>-0.82079999999999131</v>
      </c>
      <c r="B401" s="9">
        <f>data!C402-data!C401</f>
        <v>-3.0899999999999981</v>
      </c>
      <c r="C401" s="9">
        <f>data!D402-data!D401</f>
        <v>-0.36000000000000032</v>
      </c>
      <c r="D401" s="10">
        <f>data!B402-data!B401</f>
        <v>0.4075000000000002</v>
      </c>
      <c r="E401" s="9">
        <f>data!E401-data!G401</f>
        <v>0.75639999999999996</v>
      </c>
      <c r="F401" s="9">
        <f>(data!E401-data!F401)-(data!G401-data!H401)</f>
        <v>0.62590000000000001</v>
      </c>
      <c r="G401" s="9">
        <f t="shared" si="300"/>
        <v>9.4400000000000039E-2</v>
      </c>
      <c r="H401" s="9">
        <f t="shared" si="301"/>
        <v>8.3899999999999975E-2</v>
      </c>
      <c r="I401" s="9">
        <f>IF(data!M402&gt; 111.81,1,0)</f>
        <v>0</v>
      </c>
      <c r="J401" s="9">
        <f t="shared" si="302"/>
        <v>1</v>
      </c>
      <c r="K401" s="9">
        <f t="shared" si="303"/>
        <v>0</v>
      </c>
      <c r="L401" s="9">
        <f t="shared" si="304"/>
        <v>-0.82079999999999131</v>
      </c>
      <c r="M401" s="9">
        <f>data!J401</f>
        <v>-28.75</v>
      </c>
      <c r="N401" s="9">
        <f>data!I401</f>
        <v>-74.400000000000006</v>
      </c>
      <c r="O401" s="9">
        <f>data!L401</f>
        <v>-76.8</v>
      </c>
      <c r="P401" s="9">
        <f>data!K401</f>
        <v>-34.299999999999997</v>
      </c>
      <c r="Q401" s="9">
        <f>data!R401</f>
        <v>-10.5</v>
      </c>
      <c r="R401" s="9">
        <f t="shared" si="305"/>
        <v>1.25</v>
      </c>
      <c r="S401" s="9">
        <f t="shared" si="306"/>
        <v>3.5500000000000007</v>
      </c>
      <c r="T401" s="9">
        <f t="shared" si="307"/>
        <v>2.6000000000000014</v>
      </c>
      <c r="U401" s="9">
        <f t="shared" si="308"/>
        <v>-3</v>
      </c>
      <c r="V401" s="9">
        <f t="shared" si="309"/>
        <v>-1.4750000000000014</v>
      </c>
      <c r="W401" s="9">
        <f t="shared" si="310"/>
        <v>5.0000000000000711E-2</v>
      </c>
      <c r="X401" s="9">
        <f t="shared" si="311"/>
        <v>1.3000000000000007</v>
      </c>
      <c r="Y401" s="9">
        <f t="shared" si="312"/>
        <v>-1.0500000000000007</v>
      </c>
      <c r="Z401" s="9">
        <f t="shared" si="313"/>
        <v>0.25</v>
      </c>
      <c r="AA401" s="9">
        <f t="shared" si="314"/>
        <v>5.9000000000000057</v>
      </c>
      <c r="AB401" s="9">
        <f t="shared" si="315"/>
        <v>10.600000000000009</v>
      </c>
      <c r="AC401" s="9">
        <f t="shared" si="316"/>
        <v>14.400000000000006</v>
      </c>
      <c r="AD401" s="9">
        <f t="shared" si="317"/>
        <v>13.650000000000006</v>
      </c>
      <c r="AE401" s="9">
        <f t="shared" si="318"/>
        <v>17.400000000000006</v>
      </c>
      <c r="AF401" s="9">
        <f t="shared" si="319"/>
        <v>15.100000000000009</v>
      </c>
      <c r="AG401" s="9">
        <f t="shared" si="320"/>
        <v>7.1000000000000085</v>
      </c>
      <c r="AH401" s="9">
        <f t="shared" si="321"/>
        <v>7.1000000000000085</v>
      </c>
      <c r="AI401" s="9">
        <f t="shared" si="322"/>
        <v>8.4000000000000057</v>
      </c>
      <c r="AJ401" s="9">
        <f t="shared" si="323"/>
        <v>2.5459999999999923</v>
      </c>
      <c r="AK401" s="9">
        <f t="shared" si="324"/>
        <v>8</v>
      </c>
      <c r="AL401" s="9">
        <f t="shared" si="325"/>
        <v>10.899999999999991</v>
      </c>
      <c r="AM401" s="9">
        <f t="shared" si="326"/>
        <v>17.299999999999997</v>
      </c>
      <c r="AN401" s="9">
        <f t="shared" si="327"/>
        <v>26.549999999999997</v>
      </c>
      <c r="AO401" s="9">
        <f t="shared" si="328"/>
        <v>26</v>
      </c>
      <c r="AP401" s="9">
        <f t="shared" si="329"/>
        <v>13.5</v>
      </c>
      <c r="AQ401" s="9">
        <f t="shared" si="330"/>
        <v>12.799999999999997</v>
      </c>
      <c r="AR401" s="9">
        <f t="shared" si="331"/>
        <v>13.799999999999997</v>
      </c>
      <c r="AS401" s="9">
        <f t="shared" si="332"/>
        <v>0</v>
      </c>
      <c r="AT401" s="9">
        <f t="shared" si="333"/>
        <v>3.2999999999999972</v>
      </c>
      <c r="AU401" s="9">
        <f t="shared" si="334"/>
        <v>2.7999999999999972</v>
      </c>
      <c r="AV401" s="9">
        <f t="shared" si="335"/>
        <v>1.7999999999999972</v>
      </c>
      <c r="AW401" s="9">
        <f t="shared" si="336"/>
        <v>3.0499999999999972</v>
      </c>
      <c r="AX401" s="9">
        <f t="shared" si="337"/>
        <v>2.7999999999999972</v>
      </c>
      <c r="AY401" s="9">
        <f t="shared" si="338"/>
        <v>-2.6000000000000014</v>
      </c>
      <c r="AZ401" s="9">
        <f t="shared" si="339"/>
        <v>0.79999999999999716</v>
      </c>
      <c r="BA401" s="9">
        <f t="shared" si="340"/>
        <v>3.7999999999999972</v>
      </c>
      <c r="BB401" s="9">
        <f t="shared" si="341"/>
        <v>0.19999999999999929</v>
      </c>
      <c r="BC401" s="9">
        <f t="shared" si="342"/>
        <v>3.55</v>
      </c>
      <c r="BD401" s="9">
        <f t="shared" si="343"/>
        <v>3.25</v>
      </c>
      <c r="BE401" s="9">
        <f t="shared" si="344"/>
        <v>2</v>
      </c>
      <c r="BF401" s="9">
        <f t="shared" si="345"/>
        <v>-1.375</v>
      </c>
      <c r="BG401" s="9">
        <f t="shared" si="346"/>
        <v>-1.8000000000000007</v>
      </c>
      <c r="BH401" s="9">
        <f t="shared" si="347"/>
        <v>-6.6000000000000014</v>
      </c>
      <c r="BI401" s="9">
        <f t="shared" si="348"/>
        <v>-3</v>
      </c>
      <c r="BJ401" s="9">
        <f t="shared" si="349"/>
        <v>0</v>
      </c>
    </row>
    <row r="402" spans="1:62" x14ac:dyDescent="0.2">
      <c r="A402" s="9">
        <f>data!M403-data!M402</f>
        <v>-1.2032999999999987</v>
      </c>
      <c r="B402" s="9">
        <f>data!C403-data!C402</f>
        <v>0.12999999999999901</v>
      </c>
      <c r="C402" s="9">
        <f>data!D403-data!D402</f>
        <v>8.0000000000000071E-2</v>
      </c>
      <c r="D402" s="10">
        <f>data!B403-data!B402</f>
        <v>0.61250000000000004</v>
      </c>
      <c r="E402" s="9">
        <f>data!E402-data!G402</f>
        <v>0.8508</v>
      </c>
      <c r="F402" s="9">
        <f>(data!E402-data!F402)-(data!G402-data!H402)</f>
        <v>0.70979999999999999</v>
      </c>
      <c r="G402" s="9">
        <f t="shared" si="300"/>
        <v>0.21620000000000017</v>
      </c>
      <c r="H402" s="9">
        <f t="shared" si="301"/>
        <v>0.20020000000000004</v>
      </c>
      <c r="I402" s="9">
        <f>IF(data!M403&gt; 111.81,1,0)</f>
        <v>0</v>
      </c>
      <c r="J402" s="9">
        <f t="shared" si="302"/>
        <v>1</v>
      </c>
      <c r="K402" s="9">
        <f t="shared" si="303"/>
        <v>0</v>
      </c>
      <c r="L402" s="9">
        <f t="shared" si="304"/>
        <v>-1.2032999999999987</v>
      </c>
      <c r="M402" s="9">
        <f>data!J402</f>
        <v>-27.5</v>
      </c>
      <c r="N402" s="9">
        <f>data!I402</f>
        <v>-68.5</v>
      </c>
      <c r="O402" s="9">
        <f>data!L402</f>
        <v>-74.254000000000005</v>
      </c>
      <c r="P402" s="9">
        <f>data!K402</f>
        <v>-34.299999999999997</v>
      </c>
      <c r="Q402" s="9">
        <f>data!R402</f>
        <v>-10.3</v>
      </c>
      <c r="R402" s="9">
        <f t="shared" si="305"/>
        <v>2.3000000000000007</v>
      </c>
      <c r="S402" s="9">
        <f t="shared" si="306"/>
        <v>1.3500000000000014</v>
      </c>
      <c r="T402" s="9">
        <f t="shared" si="307"/>
        <v>-4.25</v>
      </c>
      <c r="U402" s="9">
        <f t="shared" si="308"/>
        <v>-2.7250000000000014</v>
      </c>
      <c r="V402" s="9">
        <f t="shared" si="309"/>
        <v>-1.1999999999999993</v>
      </c>
      <c r="W402" s="9">
        <f t="shared" si="310"/>
        <v>5.0000000000000711E-2</v>
      </c>
      <c r="X402" s="9">
        <f t="shared" si="311"/>
        <v>-2.3000000000000007</v>
      </c>
      <c r="Y402" s="9">
        <f t="shared" si="312"/>
        <v>-1</v>
      </c>
      <c r="Z402" s="9">
        <f t="shared" si="313"/>
        <v>-2.6000000000000014</v>
      </c>
      <c r="AA402" s="9">
        <f t="shared" si="314"/>
        <v>4.7000000000000028</v>
      </c>
      <c r="AB402" s="9">
        <f t="shared" si="315"/>
        <v>8.5</v>
      </c>
      <c r="AC402" s="9">
        <f t="shared" si="316"/>
        <v>7.75</v>
      </c>
      <c r="AD402" s="9">
        <f t="shared" si="317"/>
        <v>11.5</v>
      </c>
      <c r="AE402" s="9">
        <f t="shared" si="318"/>
        <v>9.2000000000000028</v>
      </c>
      <c r="AF402" s="9">
        <f t="shared" si="319"/>
        <v>1.2000000000000028</v>
      </c>
      <c r="AG402" s="9">
        <f t="shared" si="320"/>
        <v>1.2000000000000028</v>
      </c>
      <c r="AH402" s="9">
        <f t="shared" si="321"/>
        <v>2.5</v>
      </c>
      <c r="AI402" s="9">
        <f t="shared" si="322"/>
        <v>4</v>
      </c>
      <c r="AJ402" s="9">
        <f t="shared" si="323"/>
        <v>5.4540000000000077</v>
      </c>
      <c r="AK402" s="9">
        <f t="shared" si="324"/>
        <v>8.3539999999999992</v>
      </c>
      <c r="AL402" s="9">
        <f t="shared" si="325"/>
        <v>14.754000000000005</v>
      </c>
      <c r="AM402" s="9">
        <f t="shared" si="326"/>
        <v>24.004000000000005</v>
      </c>
      <c r="AN402" s="9">
        <f t="shared" si="327"/>
        <v>23.454000000000008</v>
      </c>
      <c r="AO402" s="9">
        <f t="shared" si="328"/>
        <v>10.954000000000008</v>
      </c>
      <c r="AP402" s="9">
        <f t="shared" si="329"/>
        <v>10.254000000000005</v>
      </c>
      <c r="AQ402" s="9">
        <f t="shared" si="330"/>
        <v>11.254000000000005</v>
      </c>
      <c r="AR402" s="9">
        <f t="shared" si="331"/>
        <v>11.054000000000002</v>
      </c>
      <c r="AS402" s="9">
        <f t="shared" si="332"/>
        <v>3.2999999999999972</v>
      </c>
      <c r="AT402" s="9">
        <f t="shared" si="333"/>
        <v>2.7999999999999972</v>
      </c>
      <c r="AU402" s="9">
        <f t="shared" si="334"/>
        <v>1.7999999999999972</v>
      </c>
      <c r="AV402" s="9">
        <f t="shared" si="335"/>
        <v>3.0499999999999972</v>
      </c>
      <c r="AW402" s="9">
        <f t="shared" si="336"/>
        <v>2.7999999999999972</v>
      </c>
      <c r="AX402" s="9">
        <f t="shared" si="337"/>
        <v>-2.6000000000000014</v>
      </c>
      <c r="AY402" s="9">
        <f t="shared" si="338"/>
        <v>0.79999999999999716</v>
      </c>
      <c r="AZ402" s="9">
        <f t="shared" si="339"/>
        <v>3.7999999999999972</v>
      </c>
      <c r="BA402" s="9">
        <f t="shared" si="340"/>
        <v>5.5249999999999986</v>
      </c>
      <c r="BB402" s="9">
        <f t="shared" si="341"/>
        <v>3.3500000000000005</v>
      </c>
      <c r="BC402" s="9">
        <f t="shared" si="342"/>
        <v>3.0500000000000007</v>
      </c>
      <c r="BD402" s="9">
        <f t="shared" si="343"/>
        <v>1.8000000000000007</v>
      </c>
      <c r="BE402" s="9">
        <f t="shared" si="344"/>
        <v>-1.5749999999999993</v>
      </c>
      <c r="BF402" s="9">
        <f t="shared" si="345"/>
        <v>-2</v>
      </c>
      <c r="BG402" s="9">
        <f t="shared" si="346"/>
        <v>-6.8000000000000007</v>
      </c>
      <c r="BH402" s="9">
        <f t="shared" si="347"/>
        <v>-3.1999999999999993</v>
      </c>
      <c r="BI402" s="9">
        <f t="shared" si="348"/>
        <v>-0.19999999999999929</v>
      </c>
      <c r="BJ402" s="9">
        <f t="shared" si="349"/>
        <v>1.8000000000000007</v>
      </c>
    </row>
    <row r="403" spans="1:62" x14ac:dyDescent="0.2">
      <c r="A403" s="9">
        <f>data!M404-data!M403</f>
        <v>0.39059999999999206</v>
      </c>
      <c r="B403" s="9">
        <f>data!C404-data!C403</f>
        <v>-0.52999999999999936</v>
      </c>
      <c r="C403" s="9">
        <f>data!D404-data!D403</f>
        <v>-0.11749999999999972</v>
      </c>
      <c r="D403" s="10">
        <f>data!B404-data!B403</f>
        <v>-0.2350000000000001</v>
      </c>
      <c r="E403" s="9">
        <f>data!E403-data!G403</f>
        <v>1.0670000000000002</v>
      </c>
      <c r="F403" s="9">
        <f>(data!E403-data!F403)-(data!G403-data!H403)</f>
        <v>0.91</v>
      </c>
      <c r="G403" s="9">
        <f t="shared" si="300"/>
        <v>-0.1112000000000003</v>
      </c>
      <c r="H403" s="9">
        <f t="shared" si="301"/>
        <v>-0.12130000000000019</v>
      </c>
      <c r="I403" s="9">
        <f>IF(data!M404&gt; 111.81,1,0)</f>
        <v>0</v>
      </c>
      <c r="J403" s="9">
        <f t="shared" si="302"/>
        <v>1</v>
      </c>
      <c r="K403" s="9">
        <f t="shared" si="303"/>
        <v>0</v>
      </c>
      <c r="L403" s="9">
        <f t="shared" si="304"/>
        <v>0.39059999999999206</v>
      </c>
      <c r="M403" s="9">
        <f>data!J403</f>
        <v>-25.2</v>
      </c>
      <c r="N403" s="9">
        <f>data!I403</f>
        <v>-63.8</v>
      </c>
      <c r="O403" s="9">
        <f>data!L403</f>
        <v>-68.8</v>
      </c>
      <c r="P403" s="9">
        <f>data!K403</f>
        <v>-31</v>
      </c>
      <c r="Q403" s="9">
        <f>data!R403</f>
        <v>-6.95</v>
      </c>
      <c r="R403" s="9">
        <f t="shared" si="305"/>
        <v>-0.94999999999999929</v>
      </c>
      <c r="S403" s="9">
        <f t="shared" si="306"/>
        <v>-6.5500000000000007</v>
      </c>
      <c r="T403" s="9">
        <f t="shared" si="307"/>
        <v>-5.0250000000000021</v>
      </c>
      <c r="U403" s="9">
        <f t="shared" si="308"/>
        <v>-3.5</v>
      </c>
      <c r="V403" s="9">
        <f t="shared" si="309"/>
        <v>-2.25</v>
      </c>
      <c r="W403" s="9">
        <f t="shared" si="310"/>
        <v>-4.6000000000000014</v>
      </c>
      <c r="X403" s="9">
        <f t="shared" si="311"/>
        <v>-3.3000000000000007</v>
      </c>
      <c r="Y403" s="9">
        <f t="shared" si="312"/>
        <v>-4.9000000000000021</v>
      </c>
      <c r="Z403" s="9">
        <f t="shared" si="313"/>
        <v>-8.0999999999999979</v>
      </c>
      <c r="AA403" s="9">
        <f t="shared" si="314"/>
        <v>3.7999999999999972</v>
      </c>
      <c r="AB403" s="9">
        <f t="shared" si="315"/>
        <v>3.0499999999999972</v>
      </c>
      <c r="AC403" s="9">
        <f t="shared" si="316"/>
        <v>6.7999999999999972</v>
      </c>
      <c r="AD403" s="9">
        <f t="shared" si="317"/>
        <v>4.5</v>
      </c>
      <c r="AE403" s="9">
        <f t="shared" si="318"/>
        <v>-3.5</v>
      </c>
      <c r="AF403" s="9">
        <f t="shared" si="319"/>
        <v>-3.5</v>
      </c>
      <c r="AG403" s="9">
        <f t="shared" si="320"/>
        <v>-2.2000000000000028</v>
      </c>
      <c r="AH403" s="9">
        <f t="shared" si="321"/>
        <v>-0.70000000000000284</v>
      </c>
      <c r="AI403" s="9">
        <f t="shared" si="322"/>
        <v>-7.2000000000000028</v>
      </c>
      <c r="AJ403" s="9">
        <f t="shared" si="323"/>
        <v>2.8999999999999915</v>
      </c>
      <c r="AK403" s="9">
        <f t="shared" si="324"/>
        <v>9.2999999999999972</v>
      </c>
      <c r="AL403" s="9">
        <f t="shared" si="325"/>
        <v>18.549999999999997</v>
      </c>
      <c r="AM403" s="9">
        <f t="shared" si="326"/>
        <v>18</v>
      </c>
      <c r="AN403" s="9">
        <f t="shared" si="327"/>
        <v>5.5</v>
      </c>
      <c r="AO403" s="9">
        <f t="shared" si="328"/>
        <v>4.7999999999999972</v>
      </c>
      <c r="AP403" s="9">
        <f t="shared" si="329"/>
        <v>5.7999999999999972</v>
      </c>
      <c r="AQ403" s="9">
        <f t="shared" si="330"/>
        <v>5.5999999999999943</v>
      </c>
      <c r="AR403" s="9">
        <f t="shared" si="331"/>
        <v>0.17499999999999716</v>
      </c>
      <c r="AS403" s="9">
        <f t="shared" si="332"/>
        <v>-0.5</v>
      </c>
      <c r="AT403" s="9">
        <f t="shared" si="333"/>
        <v>-1.5</v>
      </c>
      <c r="AU403" s="9">
        <f t="shared" si="334"/>
        <v>-0.25</v>
      </c>
      <c r="AV403" s="9">
        <f t="shared" si="335"/>
        <v>-0.5</v>
      </c>
      <c r="AW403" s="9">
        <f t="shared" si="336"/>
        <v>-5.8999999999999986</v>
      </c>
      <c r="AX403" s="9">
        <f t="shared" si="337"/>
        <v>-2.5</v>
      </c>
      <c r="AY403" s="9">
        <f t="shared" si="338"/>
        <v>0.5</v>
      </c>
      <c r="AZ403" s="9">
        <f t="shared" si="339"/>
        <v>2.2250000000000014</v>
      </c>
      <c r="BA403" s="9">
        <f t="shared" si="340"/>
        <v>-0.125</v>
      </c>
      <c r="BB403" s="9">
        <f t="shared" si="341"/>
        <v>-0.29999999999999982</v>
      </c>
      <c r="BC403" s="9">
        <f t="shared" si="342"/>
        <v>-1.5499999999999998</v>
      </c>
      <c r="BD403" s="9">
        <f t="shared" si="343"/>
        <v>-4.9249999999999998</v>
      </c>
      <c r="BE403" s="9">
        <f t="shared" si="344"/>
        <v>-5.3500000000000005</v>
      </c>
      <c r="BF403" s="9">
        <f t="shared" si="345"/>
        <v>-10.150000000000002</v>
      </c>
      <c r="BG403" s="9">
        <f t="shared" si="346"/>
        <v>-6.55</v>
      </c>
      <c r="BH403" s="9">
        <f t="shared" si="347"/>
        <v>-3.55</v>
      </c>
      <c r="BI403" s="9">
        <f t="shared" si="348"/>
        <v>-1.5499999999999998</v>
      </c>
      <c r="BJ403" s="9">
        <f t="shared" si="349"/>
        <v>-2.5499999999999998</v>
      </c>
    </row>
    <row r="404" spans="1:62" x14ac:dyDescent="0.2">
      <c r="A404" s="9">
        <f>data!M405-data!M404</f>
        <v>0.29999999999999716</v>
      </c>
      <c r="B404" s="9">
        <f>data!C405-data!C404</f>
        <v>1.75</v>
      </c>
      <c r="C404" s="9">
        <f>data!D405-data!D404</f>
        <v>-7.5000000000000178E-2</v>
      </c>
      <c r="D404" s="10">
        <f>data!B405-data!B404</f>
        <v>8.7499999999999911E-2</v>
      </c>
      <c r="E404" s="9">
        <f>data!E404-data!G404</f>
        <v>0.95579999999999987</v>
      </c>
      <c r="F404" s="9">
        <f>(data!E404-data!F404)-(data!G404-data!H404)</f>
        <v>0.78869999999999985</v>
      </c>
      <c r="G404" s="9">
        <f t="shared" si="300"/>
        <v>-9.4299999999999939E-2</v>
      </c>
      <c r="H404" s="9">
        <f t="shared" si="301"/>
        <v>-6.459999999999988E-2</v>
      </c>
      <c r="I404" s="9">
        <f>IF(data!M405&gt; 111.81,1,0)</f>
        <v>0</v>
      </c>
      <c r="J404" s="9">
        <f t="shared" si="302"/>
        <v>1</v>
      </c>
      <c r="K404" s="9">
        <f t="shared" si="303"/>
        <v>0</v>
      </c>
      <c r="L404" s="9">
        <f t="shared" si="304"/>
        <v>0.29999999999999716</v>
      </c>
      <c r="M404" s="9">
        <f>data!J404</f>
        <v>-26.15</v>
      </c>
      <c r="N404" s="9">
        <f>data!I404</f>
        <v>-60</v>
      </c>
      <c r="O404" s="9">
        <f>data!L404</f>
        <v>-65.900000000000006</v>
      </c>
      <c r="P404" s="9">
        <f>data!K404</f>
        <v>-31.5</v>
      </c>
      <c r="Q404" s="9">
        <f>data!R404</f>
        <v>-7.25</v>
      </c>
      <c r="R404" s="9">
        <f t="shared" si="305"/>
        <v>-5.6000000000000014</v>
      </c>
      <c r="S404" s="9">
        <f t="shared" si="306"/>
        <v>-4.0750000000000028</v>
      </c>
      <c r="T404" s="9">
        <f t="shared" si="307"/>
        <v>-2.5500000000000007</v>
      </c>
      <c r="U404" s="9">
        <f t="shared" si="308"/>
        <v>-1.3000000000000007</v>
      </c>
      <c r="V404" s="9">
        <f t="shared" si="309"/>
        <v>-3.6500000000000021</v>
      </c>
      <c r="W404" s="9">
        <f t="shared" si="310"/>
        <v>-2.3500000000000014</v>
      </c>
      <c r="X404" s="9">
        <f t="shared" si="311"/>
        <v>-3.9500000000000028</v>
      </c>
      <c r="Y404" s="9">
        <f t="shared" si="312"/>
        <v>-7.1499999999999986</v>
      </c>
      <c r="Z404" s="9">
        <f t="shared" si="313"/>
        <v>-3.7600000000000016</v>
      </c>
      <c r="AA404" s="9">
        <f t="shared" si="314"/>
        <v>-0.75</v>
      </c>
      <c r="AB404" s="9">
        <f t="shared" si="315"/>
        <v>3</v>
      </c>
      <c r="AC404" s="9">
        <f t="shared" si="316"/>
        <v>0.70000000000000284</v>
      </c>
      <c r="AD404" s="9">
        <f t="shared" si="317"/>
        <v>-7.2999999999999972</v>
      </c>
      <c r="AE404" s="9">
        <f t="shared" si="318"/>
        <v>-7.2999999999999972</v>
      </c>
      <c r="AF404" s="9">
        <f t="shared" si="319"/>
        <v>-6</v>
      </c>
      <c r="AG404" s="9">
        <f t="shared" si="320"/>
        <v>-4.5</v>
      </c>
      <c r="AH404" s="9">
        <f t="shared" si="321"/>
        <v>-11</v>
      </c>
      <c r="AI404" s="9">
        <f t="shared" si="322"/>
        <v>-9</v>
      </c>
      <c r="AJ404" s="9">
        <f t="shared" si="323"/>
        <v>6.4000000000000057</v>
      </c>
      <c r="AK404" s="9">
        <f t="shared" si="324"/>
        <v>15.650000000000006</v>
      </c>
      <c r="AL404" s="9">
        <f t="shared" si="325"/>
        <v>15.100000000000009</v>
      </c>
      <c r="AM404" s="9">
        <f t="shared" si="326"/>
        <v>2.6000000000000085</v>
      </c>
      <c r="AN404" s="9">
        <f t="shared" si="327"/>
        <v>1.9000000000000057</v>
      </c>
      <c r="AO404" s="9">
        <f t="shared" si="328"/>
        <v>2.9000000000000057</v>
      </c>
      <c r="AP404" s="9">
        <f t="shared" si="329"/>
        <v>2.7000000000000028</v>
      </c>
      <c r="AQ404" s="9">
        <f t="shared" si="330"/>
        <v>-2.7249999999999943</v>
      </c>
      <c r="AR404" s="9">
        <f t="shared" si="331"/>
        <v>-0.39999999999999147</v>
      </c>
      <c r="AS404" s="9">
        <f t="shared" si="332"/>
        <v>-1</v>
      </c>
      <c r="AT404" s="9">
        <f t="shared" si="333"/>
        <v>0.25</v>
      </c>
      <c r="AU404" s="9">
        <f t="shared" si="334"/>
        <v>0</v>
      </c>
      <c r="AV404" s="9">
        <f t="shared" si="335"/>
        <v>-5.3999999999999986</v>
      </c>
      <c r="AW404" s="9">
        <f t="shared" si="336"/>
        <v>-2</v>
      </c>
      <c r="AX404" s="9">
        <f t="shared" si="337"/>
        <v>1</v>
      </c>
      <c r="AY404" s="9">
        <f t="shared" si="338"/>
        <v>2.7250000000000014</v>
      </c>
      <c r="AZ404" s="9">
        <f t="shared" si="339"/>
        <v>0.375</v>
      </c>
      <c r="BA404" s="9">
        <f t="shared" si="340"/>
        <v>6</v>
      </c>
      <c r="BB404" s="9">
        <f t="shared" si="341"/>
        <v>-1.25</v>
      </c>
      <c r="BC404" s="9">
        <f t="shared" si="342"/>
        <v>-4.625</v>
      </c>
      <c r="BD404" s="9">
        <f t="shared" si="343"/>
        <v>-5.0500000000000007</v>
      </c>
      <c r="BE404" s="9">
        <f t="shared" si="344"/>
        <v>-9.8500000000000014</v>
      </c>
      <c r="BF404" s="9">
        <f t="shared" si="345"/>
        <v>-6.25</v>
      </c>
      <c r="BG404" s="9">
        <f t="shared" si="346"/>
        <v>-3.25</v>
      </c>
      <c r="BH404" s="9">
        <f t="shared" si="347"/>
        <v>-1.25</v>
      </c>
      <c r="BI404" s="9">
        <f t="shared" si="348"/>
        <v>-2.25</v>
      </c>
      <c r="BJ404" s="9">
        <f t="shared" si="349"/>
        <v>3.45</v>
      </c>
    </row>
    <row r="405" spans="1:62" x14ac:dyDescent="0.2">
      <c r="A405" s="9">
        <f>data!M406-data!M405</f>
        <v>-0.5490999999999957</v>
      </c>
      <c r="B405" s="9">
        <f>data!C406-data!C405</f>
        <v>-1.4000000000000004</v>
      </c>
      <c r="C405" s="9">
        <f>data!D406-data!D405</f>
        <v>-0.27749999999999986</v>
      </c>
      <c r="D405" s="10">
        <f>data!B406-data!B405</f>
        <v>-7.4999999999999956E-2</v>
      </c>
      <c r="E405" s="9">
        <f>data!E405-data!G405</f>
        <v>0.86149999999999993</v>
      </c>
      <c r="F405" s="9">
        <f>(data!E405-data!F405)-(data!G405-data!H405)</f>
        <v>0.72409999999999997</v>
      </c>
      <c r="G405" s="9">
        <f t="shared" si="300"/>
        <v>0.11029999999999995</v>
      </c>
      <c r="H405" s="9">
        <f t="shared" si="301"/>
        <v>8.6799999999999877E-2</v>
      </c>
      <c r="I405" s="9">
        <f>IF(data!M406&gt; 111.81,1,0)</f>
        <v>0</v>
      </c>
      <c r="J405" s="9">
        <f t="shared" si="302"/>
        <v>1</v>
      </c>
      <c r="K405" s="9">
        <f t="shared" si="303"/>
        <v>0</v>
      </c>
      <c r="L405" s="9">
        <f t="shared" si="304"/>
        <v>-0.5490999999999957</v>
      </c>
      <c r="M405" s="9">
        <f>data!J405</f>
        <v>-31.75</v>
      </c>
      <c r="N405" s="9">
        <f>data!I405</f>
        <v>-60.75</v>
      </c>
      <c r="O405" s="9">
        <f>data!L405</f>
        <v>-59.5</v>
      </c>
      <c r="P405" s="9">
        <f>data!K405</f>
        <v>-32.5</v>
      </c>
      <c r="Q405" s="9">
        <f>data!R405</f>
        <v>-8.5</v>
      </c>
      <c r="R405" s="9">
        <f t="shared" si="305"/>
        <v>1.5249999999999986</v>
      </c>
      <c r="S405" s="9">
        <f t="shared" si="306"/>
        <v>3.0500000000000007</v>
      </c>
      <c r="T405" s="9">
        <f t="shared" si="307"/>
        <v>4.3000000000000007</v>
      </c>
      <c r="U405" s="9">
        <f t="shared" si="308"/>
        <v>1.9499999999999993</v>
      </c>
      <c r="V405" s="9">
        <f t="shared" si="309"/>
        <v>3.25</v>
      </c>
      <c r="W405" s="9">
        <f t="shared" si="310"/>
        <v>1.6499999999999986</v>
      </c>
      <c r="X405" s="9">
        <f t="shared" si="311"/>
        <v>-1.5499999999999972</v>
      </c>
      <c r="Y405" s="9">
        <f t="shared" si="312"/>
        <v>1.8399999999999999</v>
      </c>
      <c r="Z405" s="9">
        <f t="shared" si="313"/>
        <v>4.25</v>
      </c>
      <c r="AA405" s="9">
        <f t="shared" si="314"/>
        <v>3.75</v>
      </c>
      <c r="AB405" s="9">
        <f t="shared" si="315"/>
        <v>1.4500000000000028</v>
      </c>
      <c r="AC405" s="9">
        <f t="shared" si="316"/>
        <v>-6.5499999999999972</v>
      </c>
      <c r="AD405" s="9">
        <f t="shared" si="317"/>
        <v>-6.5499999999999972</v>
      </c>
      <c r="AE405" s="9">
        <f t="shared" si="318"/>
        <v>-5.25</v>
      </c>
      <c r="AF405" s="9">
        <f t="shared" si="319"/>
        <v>-3.75</v>
      </c>
      <c r="AG405" s="9">
        <f t="shared" si="320"/>
        <v>-10.25</v>
      </c>
      <c r="AH405" s="9">
        <f t="shared" si="321"/>
        <v>-8.25</v>
      </c>
      <c r="AI405" s="9">
        <f t="shared" si="322"/>
        <v>-4</v>
      </c>
      <c r="AJ405" s="9">
        <f t="shared" si="323"/>
        <v>9.25</v>
      </c>
      <c r="AK405" s="9">
        <f t="shared" si="324"/>
        <v>8.7000000000000028</v>
      </c>
      <c r="AL405" s="9">
        <f t="shared" si="325"/>
        <v>-3.7999999999999972</v>
      </c>
      <c r="AM405" s="9">
        <f t="shared" si="326"/>
        <v>-4.5</v>
      </c>
      <c r="AN405" s="9">
        <f t="shared" si="327"/>
        <v>-3.5</v>
      </c>
      <c r="AO405" s="9">
        <f t="shared" si="328"/>
        <v>-3.7000000000000028</v>
      </c>
      <c r="AP405" s="9">
        <f t="shared" si="329"/>
        <v>-9.125</v>
      </c>
      <c r="AQ405" s="9">
        <f t="shared" si="330"/>
        <v>-6.7999999999999972</v>
      </c>
      <c r="AR405" s="9">
        <f t="shared" si="331"/>
        <v>-5.5</v>
      </c>
      <c r="AS405" s="9">
        <f t="shared" si="332"/>
        <v>1.25</v>
      </c>
      <c r="AT405" s="9">
        <f t="shared" si="333"/>
        <v>1</v>
      </c>
      <c r="AU405" s="9">
        <f t="shared" si="334"/>
        <v>-4.3999999999999986</v>
      </c>
      <c r="AV405" s="9">
        <f t="shared" si="335"/>
        <v>-1</v>
      </c>
      <c r="AW405" s="9">
        <f t="shared" si="336"/>
        <v>2</v>
      </c>
      <c r="AX405" s="9">
        <f t="shared" si="337"/>
        <v>3.7250000000000014</v>
      </c>
      <c r="AY405" s="9">
        <f t="shared" si="338"/>
        <v>1.375</v>
      </c>
      <c r="AZ405" s="9">
        <f t="shared" si="339"/>
        <v>7</v>
      </c>
      <c r="BA405" s="9">
        <f t="shared" si="340"/>
        <v>5</v>
      </c>
      <c r="BB405" s="9">
        <f t="shared" si="341"/>
        <v>-3.375</v>
      </c>
      <c r="BC405" s="9">
        <f t="shared" si="342"/>
        <v>-3.8000000000000007</v>
      </c>
      <c r="BD405" s="9">
        <f t="shared" si="343"/>
        <v>-8.6000000000000014</v>
      </c>
      <c r="BE405" s="9">
        <f t="shared" si="344"/>
        <v>-5</v>
      </c>
      <c r="BF405" s="9">
        <f t="shared" si="345"/>
        <v>-2</v>
      </c>
      <c r="BG405" s="9">
        <f t="shared" si="346"/>
        <v>0</v>
      </c>
      <c r="BH405" s="9">
        <f t="shared" si="347"/>
        <v>-1</v>
      </c>
      <c r="BI405" s="9">
        <f t="shared" si="348"/>
        <v>4.7</v>
      </c>
      <c r="BJ405" s="9">
        <f t="shared" si="349"/>
        <v>3.25</v>
      </c>
    </row>
    <row r="406" spans="1:62" x14ac:dyDescent="0.2">
      <c r="A406" s="9">
        <f>data!M407-data!M406</f>
        <v>0.39820000000000277</v>
      </c>
      <c r="B406" s="9">
        <f>data!C407-data!C406</f>
        <v>1.8100000000000005</v>
      </c>
      <c r="C406" s="9">
        <f>data!D407-data!D406</f>
        <v>8.7499999999999467E-2</v>
      </c>
      <c r="D406" s="10">
        <f>data!B407-data!B406</f>
        <v>0.12750000000000017</v>
      </c>
      <c r="E406" s="9">
        <f>data!E406-data!G406</f>
        <v>0.97179999999999989</v>
      </c>
      <c r="F406" s="9">
        <f>(data!E406-data!F406)-(data!G406-data!H406)</f>
        <v>0.81089999999999984</v>
      </c>
      <c r="G406" s="9">
        <f t="shared" si="300"/>
        <v>-7.6799999999999979E-2</v>
      </c>
      <c r="H406" s="9">
        <f t="shared" si="301"/>
        <v>-7.889999999999997E-2</v>
      </c>
      <c r="I406" s="9">
        <f>IF(data!M407&gt; 111.81,1,0)</f>
        <v>0</v>
      </c>
      <c r="J406" s="9">
        <f t="shared" si="302"/>
        <v>1</v>
      </c>
      <c r="K406" s="9">
        <f t="shared" si="303"/>
        <v>0</v>
      </c>
      <c r="L406" s="9">
        <f t="shared" si="304"/>
        <v>0.39820000000000277</v>
      </c>
      <c r="M406" s="9">
        <f>data!J406</f>
        <v>-30.225000000000001</v>
      </c>
      <c r="N406" s="9">
        <f>data!I406</f>
        <v>-57</v>
      </c>
      <c r="O406" s="9">
        <f>data!L406</f>
        <v>-50.25</v>
      </c>
      <c r="P406" s="9">
        <f>data!K406</f>
        <v>-31.25</v>
      </c>
      <c r="Q406" s="9">
        <f>data!R406</f>
        <v>-11.875</v>
      </c>
      <c r="R406" s="9">
        <f t="shared" si="305"/>
        <v>1.5250000000000021</v>
      </c>
      <c r="S406" s="9">
        <f t="shared" si="306"/>
        <v>2.7750000000000021</v>
      </c>
      <c r="T406" s="9">
        <f t="shared" si="307"/>
        <v>0.42500000000000071</v>
      </c>
      <c r="U406" s="9">
        <f t="shared" si="308"/>
        <v>1.7250000000000014</v>
      </c>
      <c r="V406" s="9">
        <f t="shared" si="309"/>
        <v>0.125</v>
      </c>
      <c r="W406" s="9">
        <f t="shared" si="310"/>
        <v>-3.0749999999999957</v>
      </c>
      <c r="X406" s="9">
        <f t="shared" si="311"/>
        <v>0.31500000000000128</v>
      </c>
      <c r="Y406" s="9">
        <f t="shared" si="312"/>
        <v>2.7250000000000014</v>
      </c>
      <c r="Z406" s="9">
        <f t="shared" si="313"/>
        <v>1.8250000000000028</v>
      </c>
      <c r="AA406" s="9">
        <f t="shared" si="314"/>
        <v>-2.2999999999999972</v>
      </c>
      <c r="AB406" s="9">
        <f t="shared" si="315"/>
        <v>-10.299999999999997</v>
      </c>
      <c r="AC406" s="9">
        <f t="shared" si="316"/>
        <v>-10.299999999999997</v>
      </c>
      <c r="AD406" s="9">
        <f t="shared" si="317"/>
        <v>-9</v>
      </c>
      <c r="AE406" s="9">
        <f t="shared" si="318"/>
        <v>-7.5</v>
      </c>
      <c r="AF406" s="9">
        <f t="shared" si="319"/>
        <v>-14</v>
      </c>
      <c r="AG406" s="9">
        <f t="shared" si="320"/>
        <v>-12</v>
      </c>
      <c r="AH406" s="9">
        <f t="shared" si="321"/>
        <v>-7.75</v>
      </c>
      <c r="AI406" s="9">
        <f t="shared" si="322"/>
        <v>-11.299999999999997</v>
      </c>
      <c r="AJ406" s="9">
        <f t="shared" si="323"/>
        <v>-0.54999999999999716</v>
      </c>
      <c r="AK406" s="9">
        <f t="shared" si="324"/>
        <v>-13.049999999999997</v>
      </c>
      <c r="AL406" s="9">
        <f t="shared" si="325"/>
        <v>-13.75</v>
      </c>
      <c r="AM406" s="9">
        <f t="shared" si="326"/>
        <v>-12.75</v>
      </c>
      <c r="AN406" s="9">
        <f t="shared" si="327"/>
        <v>-12.950000000000003</v>
      </c>
      <c r="AO406" s="9">
        <f t="shared" si="328"/>
        <v>-18.375</v>
      </c>
      <c r="AP406" s="9">
        <f t="shared" si="329"/>
        <v>-16.049999999999997</v>
      </c>
      <c r="AQ406" s="9">
        <f t="shared" si="330"/>
        <v>-14.75</v>
      </c>
      <c r="AR406" s="9">
        <f t="shared" si="331"/>
        <v>-18.25</v>
      </c>
      <c r="AS406" s="9">
        <f t="shared" si="332"/>
        <v>-0.25</v>
      </c>
      <c r="AT406" s="9">
        <f t="shared" si="333"/>
        <v>-5.6499999999999986</v>
      </c>
      <c r="AU406" s="9">
        <f t="shared" si="334"/>
        <v>-2.25</v>
      </c>
      <c r="AV406" s="9">
        <f t="shared" si="335"/>
        <v>0.75</v>
      </c>
      <c r="AW406" s="9">
        <f t="shared" si="336"/>
        <v>2.4750000000000014</v>
      </c>
      <c r="AX406" s="9">
        <f t="shared" si="337"/>
        <v>0.125</v>
      </c>
      <c r="AY406" s="9">
        <f t="shared" si="338"/>
        <v>5.75</v>
      </c>
      <c r="AZ406" s="9">
        <f t="shared" si="339"/>
        <v>3.75</v>
      </c>
      <c r="BA406" s="9">
        <f t="shared" si="340"/>
        <v>1.25</v>
      </c>
      <c r="BB406" s="9">
        <f t="shared" si="341"/>
        <v>-0.42500000000000071</v>
      </c>
      <c r="BC406" s="9">
        <f t="shared" si="342"/>
        <v>-5.2250000000000014</v>
      </c>
      <c r="BD406" s="9">
        <f t="shared" si="343"/>
        <v>-1.625</v>
      </c>
      <c r="BE406" s="9">
        <f t="shared" si="344"/>
        <v>1.375</v>
      </c>
      <c r="BF406" s="9">
        <f t="shared" si="345"/>
        <v>3.375</v>
      </c>
      <c r="BG406" s="9">
        <f t="shared" si="346"/>
        <v>2.375</v>
      </c>
      <c r="BH406" s="9">
        <f t="shared" si="347"/>
        <v>8.0749999999999993</v>
      </c>
      <c r="BI406" s="9">
        <f t="shared" si="348"/>
        <v>6.625</v>
      </c>
      <c r="BJ406" s="9">
        <f t="shared" si="349"/>
        <v>4.0750000000000002</v>
      </c>
    </row>
    <row r="407" spans="1:62" x14ac:dyDescent="0.2">
      <c r="A407" s="9">
        <f>data!M408-data!M407</f>
        <v>0.12739999999999441</v>
      </c>
      <c r="B407" s="9">
        <f>data!C408-data!C407</f>
        <v>0.91999999999999815</v>
      </c>
      <c r="C407" s="9">
        <f>data!D408-data!D407</f>
        <v>0.27500000000000036</v>
      </c>
      <c r="D407" s="10">
        <f>data!B408-data!B407</f>
        <v>0.16749999999999998</v>
      </c>
      <c r="E407" s="9">
        <f>data!E407-data!G407</f>
        <v>0.89499999999999991</v>
      </c>
      <c r="F407" s="9">
        <f>(data!E407-data!F407)-(data!G407-data!H407)</f>
        <v>0.73199999999999987</v>
      </c>
      <c r="G407" s="9">
        <f t="shared" si="300"/>
        <v>8.8300000000000156E-2</v>
      </c>
      <c r="H407" s="9">
        <f t="shared" si="301"/>
        <v>5.9800000000000186E-2</v>
      </c>
      <c r="I407" s="9">
        <f>IF(data!M408&gt; 111.81,1,0)</f>
        <v>0</v>
      </c>
      <c r="J407" s="9">
        <f t="shared" si="302"/>
        <v>1</v>
      </c>
      <c r="K407" s="9">
        <f t="shared" si="303"/>
        <v>0</v>
      </c>
      <c r="L407" s="9">
        <f t="shared" si="304"/>
        <v>0.12739999999999441</v>
      </c>
      <c r="M407" s="9">
        <f>data!J407</f>
        <v>-28.7</v>
      </c>
      <c r="N407" s="9">
        <f>data!I407</f>
        <v>-59.3</v>
      </c>
      <c r="O407" s="9">
        <f>data!L407</f>
        <v>-50.8</v>
      </c>
      <c r="P407" s="9">
        <f>data!K407</f>
        <v>-31.5</v>
      </c>
      <c r="Q407" s="9">
        <f>data!R407</f>
        <v>-12.3</v>
      </c>
      <c r="R407" s="9">
        <f t="shared" si="305"/>
        <v>1.25</v>
      </c>
      <c r="S407" s="9">
        <f t="shared" si="306"/>
        <v>-1.1000000000000014</v>
      </c>
      <c r="T407" s="9">
        <f t="shared" si="307"/>
        <v>0.19999999999999929</v>
      </c>
      <c r="U407" s="9">
        <f t="shared" si="308"/>
        <v>-1.4000000000000021</v>
      </c>
      <c r="V407" s="9">
        <f t="shared" si="309"/>
        <v>-4.5999999999999979</v>
      </c>
      <c r="W407" s="9">
        <f t="shared" si="310"/>
        <v>-1.2100000000000009</v>
      </c>
      <c r="X407" s="9">
        <f t="shared" si="311"/>
        <v>1.1999999999999993</v>
      </c>
      <c r="Y407" s="9">
        <f t="shared" si="312"/>
        <v>0.30000000000000071</v>
      </c>
      <c r="Z407" s="9">
        <f t="shared" si="313"/>
        <v>4.1999999999999993</v>
      </c>
      <c r="AA407" s="9">
        <f t="shared" si="314"/>
        <v>-8</v>
      </c>
      <c r="AB407" s="9">
        <f t="shared" si="315"/>
        <v>-8</v>
      </c>
      <c r="AC407" s="9">
        <f t="shared" si="316"/>
        <v>-6.7000000000000028</v>
      </c>
      <c r="AD407" s="9">
        <f t="shared" si="317"/>
        <v>-5.2000000000000028</v>
      </c>
      <c r="AE407" s="9">
        <f t="shared" si="318"/>
        <v>-11.700000000000003</v>
      </c>
      <c r="AF407" s="9">
        <f t="shared" si="319"/>
        <v>-9.7000000000000028</v>
      </c>
      <c r="AG407" s="9">
        <f t="shared" si="320"/>
        <v>-5.4500000000000028</v>
      </c>
      <c r="AH407" s="9">
        <f t="shared" si="321"/>
        <v>-9</v>
      </c>
      <c r="AI407" s="9">
        <f t="shared" si="322"/>
        <v>-6.2000000000000028</v>
      </c>
      <c r="AJ407" s="9">
        <f t="shared" si="323"/>
        <v>-12.5</v>
      </c>
      <c r="AK407" s="9">
        <f t="shared" si="324"/>
        <v>-13.200000000000003</v>
      </c>
      <c r="AL407" s="9">
        <f t="shared" si="325"/>
        <v>-12.200000000000003</v>
      </c>
      <c r="AM407" s="9">
        <f t="shared" si="326"/>
        <v>-12.400000000000006</v>
      </c>
      <c r="AN407" s="9">
        <f t="shared" si="327"/>
        <v>-17.825000000000003</v>
      </c>
      <c r="AO407" s="9">
        <f t="shared" si="328"/>
        <v>-15.5</v>
      </c>
      <c r="AP407" s="9">
        <f t="shared" si="329"/>
        <v>-14.200000000000003</v>
      </c>
      <c r="AQ407" s="9">
        <f t="shared" si="330"/>
        <v>-17.700000000000003</v>
      </c>
      <c r="AR407" s="9">
        <f t="shared" si="331"/>
        <v>-16.075000000000003</v>
      </c>
      <c r="AS407" s="9">
        <f t="shared" si="332"/>
        <v>-5.3999999999999986</v>
      </c>
      <c r="AT407" s="9">
        <f t="shared" si="333"/>
        <v>-2</v>
      </c>
      <c r="AU407" s="9">
        <f t="shared" si="334"/>
        <v>1</v>
      </c>
      <c r="AV407" s="9">
        <f t="shared" si="335"/>
        <v>2.7250000000000014</v>
      </c>
      <c r="AW407" s="9">
        <f t="shared" si="336"/>
        <v>0.375</v>
      </c>
      <c r="AX407" s="9">
        <f t="shared" si="337"/>
        <v>6</v>
      </c>
      <c r="AY407" s="9">
        <f t="shared" si="338"/>
        <v>4</v>
      </c>
      <c r="AZ407" s="9">
        <f t="shared" si="339"/>
        <v>1.5</v>
      </c>
      <c r="BA407" s="9">
        <f t="shared" si="340"/>
        <v>1.75</v>
      </c>
      <c r="BB407" s="9">
        <f t="shared" si="341"/>
        <v>-4.8000000000000007</v>
      </c>
      <c r="BC407" s="9">
        <f t="shared" si="342"/>
        <v>-1.1999999999999993</v>
      </c>
      <c r="BD407" s="9">
        <f t="shared" si="343"/>
        <v>1.8000000000000007</v>
      </c>
      <c r="BE407" s="9">
        <f t="shared" si="344"/>
        <v>3.8000000000000007</v>
      </c>
      <c r="BF407" s="9">
        <f t="shared" si="345"/>
        <v>2.8000000000000007</v>
      </c>
      <c r="BG407" s="9">
        <f t="shared" si="346"/>
        <v>8.5</v>
      </c>
      <c r="BH407" s="9">
        <f t="shared" si="347"/>
        <v>7.0500000000000007</v>
      </c>
      <c r="BI407" s="9">
        <f t="shared" si="348"/>
        <v>4.5000000000000009</v>
      </c>
      <c r="BJ407" s="9">
        <f t="shared" si="349"/>
        <v>4.8000000000000007</v>
      </c>
    </row>
    <row r="408" spans="1:62" x14ac:dyDescent="0.2">
      <c r="A408" s="9">
        <f>data!M409-data!M408</f>
        <v>0.33039999999999736</v>
      </c>
      <c r="B408" s="9">
        <f>data!C409-data!C408</f>
        <v>0.75</v>
      </c>
      <c r="C408" s="9">
        <f>data!D409-data!D408</f>
        <v>0.44249999999999989</v>
      </c>
      <c r="D408" s="10">
        <f>data!B409-data!B408</f>
        <v>5.9999999999999831E-2</v>
      </c>
      <c r="E408" s="9">
        <f>data!E408-data!G408</f>
        <v>0.98330000000000006</v>
      </c>
      <c r="F408" s="9">
        <f>(data!E408-data!F408)-(data!G408-data!H408)</f>
        <v>0.79180000000000006</v>
      </c>
      <c r="G408" s="9">
        <f t="shared" si="300"/>
        <v>-1.9999999999997797E-4</v>
      </c>
      <c r="H408" s="9">
        <f t="shared" si="301"/>
        <v>-8.69999999999993E-3</v>
      </c>
      <c r="I408" s="9">
        <f>IF(data!M409&gt; 111.81,1,0)</f>
        <v>0</v>
      </c>
      <c r="J408" s="9">
        <f t="shared" si="302"/>
        <v>1</v>
      </c>
      <c r="K408" s="9">
        <f t="shared" si="303"/>
        <v>0</v>
      </c>
      <c r="L408" s="9">
        <f t="shared" si="304"/>
        <v>0.33039999999999736</v>
      </c>
      <c r="M408" s="9">
        <f>data!J408</f>
        <v>-27.45</v>
      </c>
      <c r="N408" s="9">
        <f>data!I408</f>
        <v>-67.3</v>
      </c>
      <c r="O408" s="9">
        <f>data!L408</f>
        <v>-63.3</v>
      </c>
      <c r="P408" s="9">
        <f>data!K408</f>
        <v>-36.9</v>
      </c>
      <c r="Q408" s="9">
        <f>data!R408</f>
        <v>-17.100000000000001</v>
      </c>
      <c r="R408" s="9">
        <f t="shared" si="305"/>
        <v>-2.3500000000000014</v>
      </c>
      <c r="S408" s="9">
        <f t="shared" si="306"/>
        <v>-1.0500000000000007</v>
      </c>
      <c r="T408" s="9">
        <f t="shared" si="307"/>
        <v>-2.6500000000000021</v>
      </c>
      <c r="U408" s="9">
        <f t="shared" si="308"/>
        <v>-5.8499999999999979</v>
      </c>
      <c r="V408" s="9">
        <f t="shared" si="309"/>
        <v>-2.4600000000000009</v>
      </c>
      <c r="W408" s="9">
        <f t="shared" si="310"/>
        <v>-5.0000000000000711E-2</v>
      </c>
      <c r="X408" s="9">
        <f t="shared" si="311"/>
        <v>-0.94999999999999929</v>
      </c>
      <c r="Y408" s="9">
        <f t="shared" si="312"/>
        <v>2.9499999999999993</v>
      </c>
      <c r="Z408" s="9">
        <f t="shared" si="313"/>
        <v>7.0749999999999993</v>
      </c>
      <c r="AA408" s="9">
        <f t="shared" si="314"/>
        <v>0</v>
      </c>
      <c r="AB408" s="9">
        <f t="shared" si="315"/>
        <v>1.2999999999999972</v>
      </c>
      <c r="AC408" s="9">
        <f t="shared" si="316"/>
        <v>2.7999999999999972</v>
      </c>
      <c r="AD408" s="9">
        <f t="shared" si="317"/>
        <v>-3.7000000000000028</v>
      </c>
      <c r="AE408" s="9">
        <f t="shared" si="318"/>
        <v>-1.7000000000000028</v>
      </c>
      <c r="AF408" s="9">
        <f t="shared" si="319"/>
        <v>2.5499999999999972</v>
      </c>
      <c r="AG408" s="9">
        <f t="shared" si="320"/>
        <v>-1</v>
      </c>
      <c r="AH408" s="9">
        <f t="shared" si="321"/>
        <v>1.7999999999999972</v>
      </c>
      <c r="AI408" s="9">
        <f t="shared" si="322"/>
        <v>8.2999999999999972</v>
      </c>
      <c r="AJ408" s="9">
        <f t="shared" si="323"/>
        <v>-0.70000000000000284</v>
      </c>
      <c r="AK408" s="9">
        <f t="shared" si="324"/>
        <v>0.29999999999999716</v>
      </c>
      <c r="AL408" s="9">
        <f t="shared" si="325"/>
        <v>9.9999999999994316E-2</v>
      </c>
      <c r="AM408" s="9">
        <f t="shared" si="326"/>
        <v>-5.3250000000000028</v>
      </c>
      <c r="AN408" s="9">
        <f t="shared" si="327"/>
        <v>-3</v>
      </c>
      <c r="AO408" s="9">
        <f t="shared" si="328"/>
        <v>-1.7000000000000028</v>
      </c>
      <c r="AP408" s="9">
        <f t="shared" si="329"/>
        <v>-5.2000000000000028</v>
      </c>
      <c r="AQ408" s="9">
        <f t="shared" si="330"/>
        <v>-3.5750000000000028</v>
      </c>
      <c r="AR408" s="9">
        <f t="shared" si="331"/>
        <v>-2.1000000000000085</v>
      </c>
      <c r="AS408" s="9">
        <f t="shared" si="332"/>
        <v>3.3999999999999986</v>
      </c>
      <c r="AT408" s="9">
        <f t="shared" si="333"/>
        <v>6.3999999999999986</v>
      </c>
      <c r="AU408" s="9">
        <f t="shared" si="334"/>
        <v>8.125</v>
      </c>
      <c r="AV408" s="9">
        <f t="shared" si="335"/>
        <v>5.7749999999999986</v>
      </c>
      <c r="AW408" s="9">
        <f t="shared" si="336"/>
        <v>11.399999999999999</v>
      </c>
      <c r="AX408" s="9">
        <f t="shared" si="337"/>
        <v>9.3999999999999986</v>
      </c>
      <c r="AY408" s="9">
        <f t="shared" si="338"/>
        <v>6.8999999999999986</v>
      </c>
      <c r="AZ408" s="9">
        <f t="shared" si="339"/>
        <v>7.1499999999999986</v>
      </c>
      <c r="BA408" s="9">
        <f t="shared" si="340"/>
        <v>7.3999999999999986</v>
      </c>
      <c r="BB408" s="9">
        <f t="shared" si="341"/>
        <v>3.6000000000000014</v>
      </c>
      <c r="BC408" s="9">
        <f t="shared" si="342"/>
        <v>6.6000000000000014</v>
      </c>
      <c r="BD408" s="9">
        <f t="shared" si="343"/>
        <v>8.6000000000000014</v>
      </c>
      <c r="BE408" s="9">
        <f t="shared" si="344"/>
        <v>7.6000000000000014</v>
      </c>
      <c r="BF408" s="9">
        <f t="shared" si="345"/>
        <v>13.3</v>
      </c>
      <c r="BG408" s="9">
        <f t="shared" si="346"/>
        <v>11.850000000000001</v>
      </c>
      <c r="BH408" s="9">
        <f t="shared" si="347"/>
        <v>9.3000000000000007</v>
      </c>
      <c r="BI408" s="9">
        <f t="shared" si="348"/>
        <v>9.6000000000000014</v>
      </c>
      <c r="BJ408" s="9">
        <f t="shared" si="349"/>
        <v>8.6000000000000014</v>
      </c>
    </row>
    <row r="409" spans="1:62" x14ac:dyDescent="0.2">
      <c r="A409" s="9">
        <f>data!M410-data!M409</f>
        <v>0.13990000000001146</v>
      </c>
      <c r="B409" s="9">
        <f>data!C410-data!C409</f>
        <v>-0.21999999999999886</v>
      </c>
      <c r="C409" s="9">
        <f>data!D410-data!D409</f>
        <v>3.5000000000000142E-2</v>
      </c>
      <c r="D409" s="10">
        <f>data!B410-data!B409</f>
        <v>-1.0000000000000009E-2</v>
      </c>
      <c r="E409" s="9">
        <f>data!E409-data!G409</f>
        <v>0.98310000000000008</v>
      </c>
      <c r="F409" s="9">
        <f>(data!E409-data!F409)-(data!G409-data!H409)</f>
        <v>0.78310000000000013</v>
      </c>
      <c r="G409" s="9">
        <f t="shared" si="300"/>
        <v>-4.740000000000022E-2</v>
      </c>
      <c r="H409" s="9">
        <f t="shared" si="301"/>
        <v>-3.1000000000000361E-2</v>
      </c>
      <c r="I409" s="9">
        <f>IF(data!M410&gt; 111.81,1,0)</f>
        <v>0</v>
      </c>
      <c r="J409" s="9">
        <f t="shared" si="302"/>
        <v>1</v>
      </c>
      <c r="K409" s="9">
        <f t="shared" si="303"/>
        <v>0</v>
      </c>
      <c r="L409" s="9">
        <f t="shared" si="304"/>
        <v>0.13990000000001146</v>
      </c>
      <c r="M409" s="9">
        <f>data!J409</f>
        <v>-29.8</v>
      </c>
      <c r="N409" s="9">
        <f>data!I409</f>
        <v>-67.3</v>
      </c>
      <c r="O409" s="9">
        <f>data!L409</f>
        <v>-64</v>
      </c>
      <c r="P409" s="9">
        <f>data!K409</f>
        <v>-33.5</v>
      </c>
      <c r="Q409" s="9">
        <f>data!R409</f>
        <v>-13.5</v>
      </c>
      <c r="R409" s="9">
        <f t="shared" si="305"/>
        <v>1.3000000000000007</v>
      </c>
      <c r="S409" s="9">
        <f t="shared" si="306"/>
        <v>-0.30000000000000071</v>
      </c>
      <c r="T409" s="9">
        <f t="shared" si="307"/>
        <v>-3.4999999999999964</v>
      </c>
      <c r="U409" s="9">
        <f t="shared" si="308"/>
        <v>-0.10999999999999943</v>
      </c>
      <c r="V409" s="9">
        <f t="shared" si="309"/>
        <v>2.3000000000000007</v>
      </c>
      <c r="W409" s="9">
        <f t="shared" si="310"/>
        <v>1.4000000000000021</v>
      </c>
      <c r="X409" s="9">
        <f t="shared" si="311"/>
        <v>5.3000000000000007</v>
      </c>
      <c r="Y409" s="9">
        <f t="shared" si="312"/>
        <v>9.4250000000000007</v>
      </c>
      <c r="Z409" s="9">
        <f t="shared" si="313"/>
        <v>11.5</v>
      </c>
      <c r="AA409" s="9">
        <f t="shared" si="314"/>
        <v>1.2999999999999972</v>
      </c>
      <c r="AB409" s="9">
        <f t="shared" si="315"/>
        <v>2.7999999999999972</v>
      </c>
      <c r="AC409" s="9">
        <f t="shared" si="316"/>
        <v>-3.7000000000000028</v>
      </c>
      <c r="AD409" s="9">
        <f t="shared" si="317"/>
        <v>-1.7000000000000028</v>
      </c>
      <c r="AE409" s="9">
        <f t="shared" si="318"/>
        <v>2.5499999999999972</v>
      </c>
      <c r="AF409" s="9">
        <f t="shared" si="319"/>
        <v>-1</v>
      </c>
      <c r="AG409" s="9">
        <f t="shared" si="320"/>
        <v>1.7999999999999972</v>
      </c>
      <c r="AH409" s="9">
        <f t="shared" si="321"/>
        <v>8.2999999999999972</v>
      </c>
      <c r="AI409" s="9">
        <f t="shared" si="322"/>
        <v>9.2999999999999972</v>
      </c>
      <c r="AJ409" s="9">
        <f t="shared" si="323"/>
        <v>1</v>
      </c>
      <c r="AK409" s="9">
        <f t="shared" si="324"/>
        <v>0.79999999999999716</v>
      </c>
      <c r="AL409" s="9">
        <f t="shared" si="325"/>
        <v>-4.625</v>
      </c>
      <c r="AM409" s="9">
        <f t="shared" si="326"/>
        <v>-2.2999999999999972</v>
      </c>
      <c r="AN409" s="9">
        <f t="shared" si="327"/>
        <v>-1</v>
      </c>
      <c r="AO409" s="9">
        <f t="shared" si="328"/>
        <v>-4.5</v>
      </c>
      <c r="AP409" s="9">
        <f t="shared" si="329"/>
        <v>-2.875</v>
      </c>
      <c r="AQ409" s="9">
        <f t="shared" si="330"/>
        <v>-1.4000000000000057</v>
      </c>
      <c r="AR409" s="9">
        <f t="shared" si="331"/>
        <v>1</v>
      </c>
      <c r="AS409" s="9">
        <f t="shared" si="332"/>
        <v>3</v>
      </c>
      <c r="AT409" s="9">
        <f t="shared" si="333"/>
        <v>4.7250000000000014</v>
      </c>
      <c r="AU409" s="9">
        <f t="shared" si="334"/>
        <v>2.375</v>
      </c>
      <c r="AV409" s="9">
        <f t="shared" si="335"/>
        <v>8</v>
      </c>
      <c r="AW409" s="9">
        <f t="shared" si="336"/>
        <v>6</v>
      </c>
      <c r="AX409" s="9">
        <f t="shared" si="337"/>
        <v>3.5</v>
      </c>
      <c r="AY409" s="9">
        <f t="shared" si="338"/>
        <v>3.75</v>
      </c>
      <c r="AZ409" s="9">
        <f t="shared" si="339"/>
        <v>4</v>
      </c>
      <c r="BA409" s="9">
        <f t="shared" si="340"/>
        <v>5.6999999999999993</v>
      </c>
      <c r="BB409" s="9">
        <f t="shared" si="341"/>
        <v>3</v>
      </c>
      <c r="BC409" s="9">
        <f t="shared" si="342"/>
        <v>5</v>
      </c>
      <c r="BD409" s="9">
        <f t="shared" si="343"/>
        <v>4</v>
      </c>
      <c r="BE409" s="9">
        <f t="shared" si="344"/>
        <v>9.6999999999999993</v>
      </c>
      <c r="BF409" s="9">
        <f t="shared" si="345"/>
        <v>8.25</v>
      </c>
      <c r="BG409" s="9">
        <f t="shared" si="346"/>
        <v>5.7</v>
      </c>
      <c r="BH409" s="9">
        <f t="shared" si="347"/>
        <v>6</v>
      </c>
      <c r="BI409" s="9">
        <f t="shared" si="348"/>
        <v>5</v>
      </c>
      <c r="BJ409" s="9">
        <f t="shared" si="349"/>
        <v>7.2</v>
      </c>
    </row>
    <row r="410" spans="1:62" x14ac:dyDescent="0.2">
      <c r="A410" s="9">
        <f>data!M411-data!M410</f>
        <v>0.40609999999999502</v>
      </c>
      <c r="B410" s="9">
        <f>data!C411-data!C410</f>
        <v>1.0199999999999996</v>
      </c>
      <c r="C410" s="9">
        <f>data!D411-data!D410</f>
        <v>-0.30750000000000011</v>
      </c>
      <c r="D410" s="10">
        <f>data!B411-data!B410</f>
        <v>-0.15249999999999986</v>
      </c>
      <c r="E410" s="9">
        <f>data!E410-data!G410</f>
        <v>0.93569999999999987</v>
      </c>
      <c r="F410" s="9">
        <f>(data!E410-data!F410)-(data!G410-data!H410)</f>
        <v>0.75209999999999977</v>
      </c>
      <c r="G410" s="9">
        <f t="shared" si="300"/>
        <v>-6.2399999999999789E-2</v>
      </c>
      <c r="H410" s="9">
        <f t="shared" si="301"/>
        <v>-4.1799999999999726E-2</v>
      </c>
      <c r="I410" s="9">
        <f>IF(data!M411&gt; 111.81,1,0)</f>
        <v>0</v>
      </c>
      <c r="J410" s="9">
        <f t="shared" si="302"/>
        <v>1</v>
      </c>
      <c r="K410" s="9">
        <f t="shared" si="303"/>
        <v>0</v>
      </c>
      <c r="L410" s="9">
        <f t="shared" si="304"/>
        <v>0.40609999999999502</v>
      </c>
      <c r="M410" s="9">
        <f>data!J410</f>
        <v>-28.5</v>
      </c>
      <c r="N410" s="9">
        <f>data!I410</f>
        <v>-66</v>
      </c>
      <c r="O410" s="9">
        <f>data!L410</f>
        <v>-63</v>
      </c>
      <c r="P410" s="9">
        <f>data!K410</f>
        <v>-30.5</v>
      </c>
      <c r="Q410" s="9">
        <f>data!R410</f>
        <v>-10.5</v>
      </c>
      <c r="R410" s="9">
        <f t="shared" si="305"/>
        <v>-1.6000000000000014</v>
      </c>
      <c r="S410" s="9">
        <f t="shared" si="306"/>
        <v>-4.7999999999999972</v>
      </c>
      <c r="T410" s="9">
        <f t="shared" si="307"/>
        <v>-1.4100000000000001</v>
      </c>
      <c r="U410" s="9">
        <f t="shared" si="308"/>
        <v>1</v>
      </c>
      <c r="V410" s="9">
        <f t="shared" si="309"/>
        <v>0.10000000000000142</v>
      </c>
      <c r="W410" s="9">
        <f t="shared" si="310"/>
        <v>4</v>
      </c>
      <c r="X410" s="9">
        <f t="shared" si="311"/>
        <v>8.125</v>
      </c>
      <c r="Y410" s="9">
        <f t="shared" si="312"/>
        <v>10.199999999999999</v>
      </c>
      <c r="Z410" s="9">
        <f t="shared" si="313"/>
        <v>10.600000000000001</v>
      </c>
      <c r="AA410" s="9">
        <f t="shared" si="314"/>
        <v>1.5</v>
      </c>
      <c r="AB410" s="9">
        <f t="shared" si="315"/>
        <v>-5</v>
      </c>
      <c r="AC410" s="9">
        <f t="shared" si="316"/>
        <v>-3</v>
      </c>
      <c r="AD410" s="9">
        <f t="shared" si="317"/>
        <v>1.25</v>
      </c>
      <c r="AE410" s="9">
        <f t="shared" si="318"/>
        <v>-2.2999999999999972</v>
      </c>
      <c r="AF410" s="9">
        <f t="shared" si="319"/>
        <v>0.5</v>
      </c>
      <c r="AG410" s="9">
        <f t="shared" si="320"/>
        <v>7</v>
      </c>
      <c r="AH410" s="9">
        <f t="shared" si="321"/>
        <v>8</v>
      </c>
      <c r="AI410" s="9">
        <f t="shared" si="322"/>
        <v>8.5</v>
      </c>
      <c r="AJ410" s="9">
        <f t="shared" si="323"/>
        <v>-0.20000000000000284</v>
      </c>
      <c r="AK410" s="9">
        <f t="shared" si="324"/>
        <v>-5.625</v>
      </c>
      <c r="AL410" s="9">
        <f t="shared" si="325"/>
        <v>-3.2999999999999972</v>
      </c>
      <c r="AM410" s="9">
        <f t="shared" si="326"/>
        <v>-2</v>
      </c>
      <c r="AN410" s="9">
        <f t="shared" si="327"/>
        <v>-5.5</v>
      </c>
      <c r="AO410" s="9">
        <f t="shared" si="328"/>
        <v>-3.875</v>
      </c>
      <c r="AP410" s="9">
        <f t="shared" si="329"/>
        <v>-2.4000000000000057</v>
      </c>
      <c r="AQ410" s="9">
        <f t="shared" si="330"/>
        <v>0</v>
      </c>
      <c r="AR410" s="9">
        <f t="shared" si="331"/>
        <v>0.75</v>
      </c>
      <c r="AS410" s="9">
        <f t="shared" si="332"/>
        <v>1.7250000000000014</v>
      </c>
      <c r="AT410" s="9">
        <f t="shared" si="333"/>
        <v>-0.625</v>
      </c>
      <c r="AU410" s="9">
        <f t="shared" si="334"/>
        <v>5</v>
      </c>
      <c r="AV410" s="9">
        <f t="shared" si="335"/>
        <v>3</v>
      </c>
      <c r="AW410" s="9">
        <f t="shared" si="336"/>
        <v>0.5</v>
      </c>
      <c r="AX410" s="9">
        <f t="shared" si="337"/>
        <v>0.75</v>
      </c>
      <c r="AY410" s="9">
        <f t="shared" si="338"/>
        <v>1</v>
      </c>
      <c r="AZ410" s="9">
        <f t="shared" si="339"/>
        <v>2.6999999999999993</v>
      </c>
      <c r="BA410" s="9">
        <f t="shared" si="340"/>
        <v>3.25</v>
      </c>
      <c r="BB410" s="9">
        <f t="shared" si="341"/>
        <v>2</v>
      </c>
      <c r="BC410" s="9">
        <f t="shared" si="342"/>
        <v>1</v>
      </c>
      <c r="BD410" s="9">
        <f t="shared" si="343"/>
        <v>6.7</v>
      </c>
      <c r="BE410" s="9">
        <f t="shared" si="344"/>
        <v>5.25</v>
      </c>
      <c r="BF410" s="9">
        <f t="shared" si="345"/>
        <v>2.7</v>
      </c>
      <c r="BG410" s="9">
        <f t="shared" si="346"/>
        <v>3</v>
      </c>
      <c r="BH410" s="9">
        <f t="shared" si="347"/>
        <v>2</v>
      </c>
      <c r="BI410" s="9">
        <f t="shared" si="348"/>
        <v>4.2</v>
      </c>
      <c r="BJ410" s="9">
        <f t="shared" si="349"/>
        <v>3.75</v>
      </c>
    </row>
    <row r="411" spans="1:62" x14ac:dyDescent="0.2">
      <c r="A411" s="9">
        <f>data!M412-data!M411</f>
        <v>0.3224000000000018</v>
      </c>
      <c r="B411" s="9">
        <f>data!C412-data!C411</f>
        <v>-2.1999999999999993</v>
      </c>
      <c r="C411" s="9">
        <f>data!D412-data!D411</f>
        <v>0.9375</v>
      </c>
      <c r="D411" s="10">
        <f>data!B412-data!B411</f>
        <v>-0.1875</v>
      </c>
      <c r="E411" s="9">
        <f>data!E411-data!G411</f>
        <v>0.87330000000000008</v>
      </c>
      <c r="F411" s="9">
        <f>(data!E411-data!F411)-(data!G411-data!H411)</f>
        <v>0.71030000000000004</v>
      </c>
      <c r="G411" s="9">
        <f t="shared" si="300"/>
        <v>-1.7299999999999982E-2</v>
      </c>
      <c r="H411" s="9">
        <f t="shared" si="301"/>
        <v>8.0000000000002292E-4</v>
      </c>
      <c r="I411" s="9">
        <f>IF(data!M412&gt; 111.81,1,0)</f>
        <v>0</v>
      </c>
      <c r="J411" s="9">
        <f t="shared" si="302"/>
        <v>1</v>
      </c>
      <c r="K411" s="9">
        <f t="shared" si="303"/>
        <v>0</v>
      </c>
      <c r="L411" s="9">
        <f t="shared" si="304"/>
        <v>0.3224000000000018</v>
      </c>
      <c r="M411" s="9">
        <f>data!J411</f>
        <v>-30.1</v>
      </c>
      <c r="N411" s="9">
        <f>data!I411</f>
        <v>-64.5</v>
      </c>
      <c r="O411" s="9">
        <f>data!L411</f>
        <v>-63.2</v>
      </c>
      <c r="P411" s="9">
        <f>data!K411</f>
        <v>-28.774999999999999</v>
      </c>
      <c r="Q411" s="9">
        <f>data!R411</f>
        <v>-8.5</v>
      </c>
      <c r="R411" s="9">
        <f t="shared" si="305"/>
        <v>-3.1999999999999957</v>
      </c>
      <c r="S411" s="9">
        <f t="shared" si="306"/>
        <v>0.19000000000000128</v>
      </c>
      <c r="T411" s="9">
        <f t="shared" si="307"/>
        <v>2.6000000000000014</v>
      </c>
      <c r="U411" s="9">
        <f t="shared" si="308"/>
        <v>1.7000000000000028</v>
      </c>
      <c r="V411" s="9">
        <f t="shared" si="309"/>
        <v>5.6000000000000014</v>
      </c>
      <c r="W411" s="9">
        <f t="shared" si="310"/>
        <v>9.7250000000000014</v>
      </c>
      <c r="X411" s="9">
        <f t="shared" si="311"/>
        <v>11.8</v>
      </c>
      <c r="Y411" s="9">
        <f t="shared" si="312"/>
        <v>12.200000000000003</v>
      </c>
      <c r="Z411" s="9">
        <f t="shared" si="313"/>
        <v>5.9250000000000007</v>
      </c>
      <c r="AA411" s="9">
        <f t="shared" si="314"/>
        <v>-6.5</v>
      </c>
      <c r="AB411" s="9">
        <f t="shared" si="315"/>
        <v>-4.5</v>
      </c>
      <c r="AC411" s="9">
        <f t="shared" si="316"/>
        <v>-0.25</v>
      </c>
      <c r="AD411" s="9">
        <f t="shared" si="317"/>
        <v>-3.7999999999999972</v>
      </c>
      <c r="AE411" s="9">
        <f t="shared" si="318"/>
        <v>-1</v>
      </c>
      <c r="AF411" s="9">
        <f t="shared" si="319"/>
        <v>5.5</v>
      </c>
      <c r="AG411" s="9">
        <f t="shared" si="320"/>
        <v>6.5</v>
      </c>
      <c r="AH411" s="9">
        <f t="shared" si="321"/>
        <v>7</v>
      </c>
      <c r="AI411" s="9">
        <f t="shared" si="322"/>
        <v>8.5</v>
      </c>
      <c r="AJ411" s="9">
        <f t="shared" si="323"/>
        <v>-5.4249999999999972</v>
      </c>
      <c r="AK411" s="9">
        <f t="shared" si="324"/>
        <v>-3.0999999999999943</v>
      </c>
      <c r="AL411" s="9">
        <f t="shared" si="325"/>
        <v>-1.7999999999999972</v>
      </c>
      <c r="AM411" s="9">
        <f t="shared" si="326"/>
        <v>-5.2999999999999972</v>
      </c>
      <c r="AN411" s="9">
        <f t="shared" si="327"/>
        <v>-3.6749999999999972</v>
      </c>
      <c r="AO411" s="9">
        <f t="shared" si="328"/>
        <v>-2.2000000000000028</v>
      </c>
      <c r="AP411" s="9">
        <f t="shared" si="329"/>
        <v>0.20000000000000284</v>
      </c>
      <c r="AQ411" s="9">
        <f t="shared" si="330"/>
        <v>0.95000000000000284</v>
      </c>
      <c r="AR411" s="9">
        <f t="shared" si="331"/>
        <v>1.9000000000000057</v>
      </c>
      <c r="AS411" s="9">
        <f t="shared" si="332"/>
        <v>-2.3500000000000014</v>
      </c>
      <c r="AT411" s="9">
        <f t="shared" si="333"/>
        <v>3.2749999999999986</v>
      </c>
      <c r="AU411" s="9">
        <f t="shared" si="334"/>
        <v>1.2749999999999986</v>
      </c>
      <c r="AV411" s="9">
        <f t="shared" si="335"/>
        <v>-1.2250000000000014</v>
      </c>
      <c r="AW411" s="9">
        <f t="shared" si="336"/>
        <v>-0.97500000000000142</v>
      </c>
      <c r="AX411" s="9">
        <f t="shared" si="337"/>
        <v>-0.72500000000000142</v>
      </c>
      <c r="AY411" s="9">
        <f t="shared" si="338"/>
        <v>0.97499999999999787</v>
      </c>
      <c r="AZ411" s="9">
        <f t="shared" si="339"/>
        <v>1.5249999999999986</v>
      </c>
      <c r="BA411" s="9">
        <f t="shared" si="340"/>
        <v>-2.5000000000002132E-2</v>
      </c>
      <c r="BB411" s="9">
        <f t="shared" si="341"/>
        <v>-1</v>
      </c>
      <c r="BC411" s="9">
        <f t="shared" si="342"/>
        <v>4.7</v>
      </c>
      <c r="BD411" s="9">
        <f t="shared" si="343"/>
        <v>3.25</v>
      </c>
      <c r="BE411" s="9">
        <f t="shared" si="344"/>
        <v>0.70000000000000018</v>
      </c>
      <c r="BF411" s="9">
        <f t="shared" si="345"/>
        <v>1</v>
      </c>
      <c r="BG411" s="9">
        <f t="shared" si="346"/>
        <v>0</v>
      </c>
      <c r="BH411" s="9">
        <f t="shared" si="347"/>
        <v>2.2000000000000002</v>
      </c>
      <c r="BI411" s="9">
        <f t="shared" si="348"/>
        <v>1.75</v>
      </c>
      <c r="BJ411" s="9">
        <f t="shared" si="349"/>
        <v>0</v>
      </c>
    </row>
    <row r="412" spans="1:62" x14ac:dyDescent="0.2">
      <c r="A412" s="9">
        <f>data!M413-data!M412</f>
        <v>-0.74790000000000134</v>
      </c>
      <c r="B412" s="9">
        <f>data!C413-data!C412</f>
        <v>-1.2699999999999996</v>
      </c>
      <c r="C412" s="9">
        <f>data!D413-data!D412</f>
        <v>0.54499999999999993</v>
      </c>
      <c r="D412" s="10">
        <f>data!B413-data!B412</f>
        <v>4.2499999999999982E-2</v>
      </c>
      <c r="E412" s="9">
        <f>data!E412-data!G412</f>
        <v>0.85600000000000009</v>
      </c>
      <c r="F412" s="9">
        <f>(data!E412-data!F412)-(data!G412-data!H412)</f>
        <v>0.71110000000000007</v>
      </c>
      <c r="G412" s="9">
        <f t="shared" si="300"/>
        <v>9.8899999999999877E-2</v>
      </c>
      <c r="H412" s="9">
        <f t="shared" si="301"/>
        <v>6.6499999999999893E-2</v>
      </c>
      <c r="I412" s="9">
        <f>IF(data!M413&gt; 111.81,1,0)</f>
        <v>0</v>
      </c>
      <c r="J412" s="9">
        <f t="shared" si="302"/>
        <v>1</v>
      </c>
      <c r="K412" s="9">
        <f t="shared" si="303"/>
        <v>0</v>
      </c>
      <c r="L412" s="9">
        <f t="shared" si="304"/>
        <v>-0.74790000000000134</v>
      </c>
      <c r="M412" s="9">
        <f>data!J412</f>
        <v>-33.299999999999997</v>
      </c>
      <c r="N412" s="9">
        <f>data!I412</f>
        <v>-71</v>
      </c>
      <c r="O412" s="9">
        <f>data!L412</f>
        <v>-68.625</v>
      </c>
      <c r="P412" s="9">
        <f>data!K412</f>
        <v>-31.125</v>
      </c>
      <c r="Q412" s="9">
        <f>data!R412</f>
        <v>-9.5</v>
      </c>
      <c r="R412" s="9">
        <f t="shared" si="305"/>
        <v>3.389999999999997</v>
      </c>
      <c r="S412" s="9">
        <f t="shared" si="306"/>
        <v>5.7999999999999972</v>
      </c>
      <c r="T412" s="9">
        <f t="shared" si="307"/>
        <v>4.8999999999999986</v>
      </c>
      <c r="U412" s="9">
        <f t="shared" si="308"/>
        <v>8.7999999999999972</v>
      </c>
      <c r="V412" s="9">
        <f t="shared" si="309"/>
        <v>12.924999999999997</v>
      </c>
      <c r="W412" s="9">
        <f t="shared" si="310"/>
        <v>14.999999999999996</v>
      </c>
      <c r="X412" s="9">
        <f t="shared" si="311"/>
        <v>15.399999999999999</v>
      </c>
      <c r="Y412" s="9">
        <f t="shared" si="312"/>
        <v>9.1249999999999964</v>
      </c>
      <c r="Z412" s="9">
        <f t="shared" si="313"/>
        <v>8.2999999999999972</v>
      </c>
      <c r="AA412" s="9">
        <f t="shared" si="314"/>
        <v>2</v>
      </c>
      <c r="AB412" s="9">
        <f t="shared" si="315"/>
        <v>6.25</v>
      </c>
      <c r="AC412" s="9">
        <f t="shared" si="316"/>
        <v>2.7000000000000028</v>
      </c>
      <c r="AD412" s="9">
        <f t="shared" si="317"/>
        <v>5.5</v>
      </c>
      <c r="AE412" s="9">
        <f t="shared" si="318"/>
        <v>12</v>
      </c>
      <c r="AF412" s="9">
        <f t="shared" si="319"/>
        <v>13</v>
      </c>
      <c r="AG412" s="9">
        <f t="shared" si="320"/>
        <v>13.5</v>
      </c>
      <c r="AH412" s="9">
        <f t="shared" si="321"/>
        <v>15</v>
      </c>
      <c r="AI412" s="9">
        <f t="shared" si="322"/>
        <v>12.75</v>
      </c>
      <c r="AJ412" s="9">
        <f t="shared" si="323"/>
        <v>2.3250000000000028</v>
      </c>
      <c r="AK412" s="9">
        <f t="shared" si="324"/>
        <v>3.625</v>
      </c>
      <c r="AL412" s="9">
        <f t="shared" si="325"/>
        <v>0.125</v>
      </c>
      <c r="AM412" s="9">
        <f t="shared" si="326"/>
        <v>1.75</v>
      </c>
      <c r="AN412" s="9">
        <f t="shared" si="327"/>
        <v>3.2249999999999943</v>
      </c>
      <c r="AO412" s="9">
        <f t="shared" si="328"/>
        <v>5.625</v>
      </c>
      <c r="AP412" s="9">
        <f t="shared" si="329"/>
        <v>6.375</v>
      </c>
      <c r="AQ412" s="9">
        <f t="shared" si="330"/>
        <v>7.3250000000000028</v>
      </c>
      <c r="AR412" s="9">
        <f t="shared" si="331"/>
        <v>4.125</v>
      </c>
      <c r="AS412" s="9">
        <f t="shared" si="332"/>
        <v>5.625</v>
      </c>
      <c r="AT412" s="9">
        <f t="shared" si="333"/>
        <v>3.625</v>
      </c>
      <c r="AU412" s="9">
        <f t="shared" si="334"/>
        <v>1.125</v>
      </c>
      <c r="AV412" s="9">
        <f t="shared" si="335"/>
        <v>1.375</v>
      </c>
      <c r="AW412" s="9">
        <f t="shared" si="336"/>
        <v>1.625</v>
      </c>
      <c r="AX412" s="9">
        <f t="shared" si="337"/>
        <v>3.3249999999999993</v>
      </c>
      <c r="AY412" s="9">
        <f t="shared" si="338"/>
        <v>3.875</v>
      </c>
      <c r="AZ412" s="9">
        <f t="shared" si="339"/>
        <v>2.3249999999999993</v>
      </c>
      <c r="BA412" s="9">
        <f t="shared" si="340"/>
        <v>-1.6749999999999972</v>
      </c>
      <c r="BB412" s="9">
        <f t="shared" si="341"/>
        <v>5.7</v>
      </c>
      <c r="BC412" s="9">
        <f t="shared" si="342"/>
        <v>4.25</v>
      </c>
      <c r="BD412" s="9">
        <f t="shared" si="343"/>
        <v>1.7000000000000002</v>
      </c>
      <c r="BE412" s="9">
        <f t="shared" si="344"/>
        <v>2</v>
      </c>
      <c r="BF412" s="9">
        <f t="shared" si="345"/>
        <v>1</v>
      </c>
      <c r="BG412" s="9">
        <f t="shared" si="346"/>
        <v>3.2</v>
      </c>
      <c r="BH412" s="9">
        <f t="shared" si="347"/>
        <v>2.75</v>
      </c>
      <c r="BI412" s="9">
        <f t="shared" si="348"/>
        <v>1</v>
      </c>
      <c r="BJ412" s="9">
        <f t="shared" si="349"/>
        <v>-3.5</v>
      </c>
    </row>
    <row r="413" spans="1:62" x14ac:dyDescent="0.2">
      <c r="A413" s="9">
        <f>data!M414-data!M413</f>
        <v>-0.15779999999999461</v>
      </c>
      <c r="B413" s="9">
        <f>data!C414-data!C413</f>
        <v>0.72999999999999865</v>
      </c>
      <c r="C413" s="9">
        <f>data!D414-data!D413</f>
        <v>-6.0000000000000497E-2</v>
      </c>
      <c r="D413" s="10">
        <f>data!B414-data!B413</f>
        <v>9.9999999999999867E-2</v>
      </c>
      <c r="E413" s="9">
        <f>data!E413-data!G413</f>
        <v>0.95489999999999997</v>
      </c>
      <c r="F413" s="9">
        <f>(data!E413-data!F413)-(data!G413-data!H413)</f>
        <v>0.77759999999999996</v>
      </c>
      <c r="G413" s="9">
        <f t="shared" si="300"/>
        <v>-4.930000000000001E-2</v>
      </c>
      <c r="H413" s="9">
        <f t="shared" si="301"/>
        <v>-2.5100000000000011E-2</v>
      </c>
      <c r="I413" s="9">
        <f>IF(data!M414&gt; 111.81,1,0)</f>
        <v>0</v>
      </c>
      <c r="J413" s="9">
        <f t="shared" si="302"/>
        <v>1</v>
      </c>
      <c r="K413" s="9">
        <f t="shared" si="303"/>
        <v>0</v>
      </c>
      <c r="L413" s="9">
        <f t="shared" si="304"/>
        <v>-0.15779999999999461</v>
      </c>
      <c r="M413" s="9">
        <f>data!J413</f>
        <v>-29.91</v>
      </c>
      <c r="N413" s="9">
        <f>data!I413</f>
        <v>-69</v>
      </c>
      <c r="O413" s="9">
        <f>data!L413</f>
        <v>-66.3</v>
      </c>
      <c r="P413" s="9">
        <f>data!K413</f>
        <v>-25.5</v>
      </c>
      <c r="Q413" s="9">
        <f>data!R413</f>
        <v>-3.8</v>
      </c>
      <c r="R413" s="9">
        <f t="shared" si="305"/>
        <v>2.41</v>
      </c>
      <c r="S413" s="9">
        <f t="shared" si="306"/>
        <v>1.5100000000000016</v>
      </c>
      <c r="T413" s="9">
        <f t="shared" si="307"/>
        <v>5.41</v>
      </c>
      <c r="U413" s="9">
        <f t="shared" si="308"/>
        <v>9.5350000000000001</v>
      </c>
      <c r="V413" s="9">
        <f t="shared" si="309"/>
        <v>11.61</v>
      </c>
      <c r="W413" s="9">
        <f t="shared" si="310"/>
        <v>12.010000000000002</v>
      </c>
      <c r="X413" s="9">
        <f t="shared" si="311"/>
        <v>5.7349999999999994</v>
      </c>
      <c r="Y413" s="9">
        <f t="shared" si="312"/>
        <v>4.91</v>
      </c>
      <c r="Z413" s="9">
        <f t="shared" si="313"/>
        <v>9.0100000000000016</v>
      </c>
      <c r="AA413" s="9">
        <f t="shared" si="314"/>
        <v>4.25</v>
      </c>
      <c r="AB413" s="9">
        <f t="shared" si="315"/>
        <v>0.70000000000000284</v>
      </c>
      <c r="AC413" s="9">
        <f t="shared" si="316"/>
        <v>3.5</v>
      </c>
      <c r="AD413" s="9">
        <f t="shared" si="317"/>
        <v>10</v>
      </c>
      <c r="AE413" s="9">
        <f t="shared" si="318"/>
        <v>11</v>
      </c>
      <c r="AF413" s="9">
        <f t="shared" si="319"/>
        <v>11.5</v>
      </c>
      <c r="AG413" s="9">
        <f t="shared" si="320"/>
        <v>13</v>
      </c>
      <c r="AH413" s="9">
        <f t="shared" si="321"/>
        <v>10.75</v>
      </c>
      <c r="AI413" s="9">
        <f t="shared" si="322"/>
        <v>13.200000000000003</v>
      </c>
      <c r="AJ413" s="9">
        <f t="shared" si="323"/>
        <v>1.2999999999999972</v>
      </c>
      <c r="AK413" s="9">
        <f t="shared" si="324"/>
        <v>-2.2000000000000028</v>
      </c>
      <c r="AL413" s="9">
        <f t="shared" si="325"/>
        <v>-0.57500000000000284</v>
      </c>
      <c r="AM413" s="9">
        <f t="shared" si="326"/>
        <v>0.89999999999999147</v>
      </c>
      <c r="AN413" s="9">
        <f t="shared" si="327"/>
        <v>3.2999999999999972</v>
      </c>
      <c r="AO413" s="9">
        <f t="shared" si="328"/>
        <v>4.0499999999999972</v>
      </c>
      <c r="AP413" s="9">
        <f t="shared" si="329"/>
        <v>5</v>
      </c>
      <c r="AQ413" s="9">
        <f t="shared" si="330"/>
        <v>1.7999999999999972</v>
      </c>
      <c r="AR413" s="9">
        <f t="shared" si="331"/>
        <v>6.5</v>
      </c>
      <c r="AS413" s="9">
        <f t="shared" si="332"/>
        <v>-2</v>
      </c>
      <c r="AT413" s="9">
        <f t="shared" si="333"/>
        <v>-4.5</v>
      </c>
      <c r="AU413" s="9">
        <f t="shared" si="334"/>
        <v>-4.25</v>
      </c>
      <c r="AV413" s="9">
        <f t="shared" si="335"/>
        <v>-4</v>
      </c>
      <c r="AW413" s="9">
        <f t="shared" si="336"/>
        <v>-2.3000000000000007</v>
      </c>
      <c r="AX413" s="9">
        <f t="shared" si="337"/>
        <v>-1.75</v>
      </c>
      <c r="AY413" s="9">
        <f t="shared" si="338"/>
        <v>-3.3000000000000007</v>
      </c>
      <c r="AZ413" s="9">
        <f t="shared" si="339"/>
        <v>-7.2999999999999972</v>
      </c>
      <c r="BA413" s="9">
        <f t="shared" si="340"/>
        <v>-4.3000000000000007</v>
      </c>
      <c r="BB413" s="9">
        <f t="shared" si="341"/>
        <v>-1.4500000000000002</v>
      </c>
      <c r="BC413" s="9">
        <f t="shared" si="342"/>
        <v>-4</v>
      </c>
      <c r="BD413" s="9">
        <f t="shared" si="343"/>
        <v>-3.7</v>
      </c>
      <c r="BE413" s="9">
        <f t="shared" si="344"/>
        <v>-4.7</v>
      </c>
      <c r="BF413" s="9">
        <f t="shared" si="345"/>
        <v>-2.5</v>
      </c>
      <c r="BG413" s="9">
        <f t="shared" si="346"/>
        <v>-2.95</v>
      </c>
      <c r="BH413" s="9">
        <f t="shared" si="347"/>
        <v>-4.7</v>
      </c>
      <c r="BI413" s="9">
        <f t="shared" si="348"/>
        <v>-9.1999999999999993</v>
      </c>
      <c r="BJ413" s="9">
        <f t="shared" si="349"/>
        <v>-7.0000000000000009</v>
      </c>
    </row>
    <row r="414" spans="1:62" x14ac:dyDescent="0.2">
      <c r="A414" s="9">
        <f>data!M415-data!M414</f>
        <v>-6.0100000000005593E-2</v>
      </c>
      <c r="B414" s="9">
        <f>data!C415-data!C414</f>
        <v>3.0000000000001137E-2</v>
      </c>
      <c r="C414" s="9">
        <f>data!D415-data!D414</f>
        <v>-0.25499999999999901</v>
      </c>
      <c r="D414" s="10">
        <f>data!B415-data!B414</f>
        <v>-3.2499999999999973E-2</v>
      </c>
      <c r="E414" s="9">
        <f>data!E414-data!G414</f>
        <v>0.90559999999999996</v>
      </c>
      <c r="F414" s="9">
        <f>(data!E414-data!F414)-(data!G414-data!H414)</f>
        <v>0.75249999999999995</v>
      </c>
      <c r="G414" s="9">
        <f t="shared" si="300"/>
        <v>1.5900000000000025E-2</v>
      </c>
      <c r="H414" s="9">
        <f t="shared" si="301"/>
        <v>2.5900000000000034E-2</v>
      </c>
      <c r="I414" s="9">
        <f>IF(data!M415&gt; 111.81,1,0)</f>
        <v>0</v>
      </c>
      <c r="J414" s="9">
        <f t="shared" si="302"/>
        <v>1</v>
      </c>
      <c r="K414" s="9">
        <f t="shared" si="303"/>
        <v>0</v>
      </c>
      <c r="L414" s="9">
        <f t="shared" si="304"/>
        <v>-6.0100000000005593E-2</v>
      </c>
      <c r="M414" s="9">
        <f>data!J414</f>
        <v>-27.5</v>
      </c>
      <c r="N414" s="9">
        <f>data!I414</f>
        <v>-64.75</v>
      </c>
      <c r="O414" s="9">
        <f>data!L414</f>
        <v>-65</v>
      </c>
      <c r="P414" s="9">
        <f>data!K414</f>
        <v>-27.5</v>
      </c>
      <c r="Q414" s="9">
        <f>data!R414</f>
        <v>-5.25</v>
      </c>
      <c r="R414" s="9">
        <f t="shared" si="305"/>
        <v>-0.89999999999999858</v>
      </c>
      <c r="S414" s="9">
        <f t="shared" si="306"/>
        <v>3</v>
      </c>
      <c r="T414" s="9">
        <f t="shared" si="307"/>
        <v>7.125</v>
      </c>
      <c r="U414" s="9">
        <f t="shared" si="308"/>
        <v>9.1999999999999993</v>
      </c>
      <c r="V414" s="9">
        <f t="shared" si="309"/>
        <v>9.6000000000000014</v>
      </c>
      <c r="W414" s="9">
        <f t="shared" si="310"/>
        <v>3.3249999999999993</v>
      </c>
      <c r="X414" s="9">
        <f t="shared" si="311"/>
        <v>2.5</v>
      </c>
      <c r="Y414" s="9">
        <f t="shared" si="312"/>
        <v>6.6000000000000014</v>
      </c>
      <c r="Z414" s="9">
        <f t="shared" si="313"/>
        <v>4.6499999999999986</v>
      </c>
      <c r="AA414" s="9">
        <f t="shared" si="314"/>
        <v>-3.5499999999999972</v>
      </c>
      <c r="AB414" s="9">
        <f t="shared" si="315"/>
        <v>-0.75</v>
      </c>
      <c r="AC414" s="9">
        <f t="shared" si="316"/>
        <v>5.75</v>
      </c>
      <c r="AD414" s="9">
        <f t="shared" si="317"/>
        <v>6.75</v>
      </c>
      <c r="AE414" s="9">
        <f t="shared" si="318"/>
        <v>7.25</v>
      </c>
      <c r="AF414" s="9">
        <f t="shared" si="319"/>
        <v>8.75</v>
      </c>
      <c r="AG414" s="9">
        <f t="shared" si="320"/>
        <v>6.5</v>
      </c>
      <c r="AH414" s="9">
        <f t="shared" si="321"/>
        <v>8.9500000000000028</v>
      </c>
      <c r="AI414" s="9">
        <f t="shared" si="322"/>
        <v>9.75</v>
      </c>
      <c r="AJ414" s="9">
        <f t="shared" si="323"/>
        <v>-3.5</v>
      </c>
      <c r="AK414" s="9">
        <f t="shared" si="324"/>
        <v>-1.875</v>
      </c>
      <c r="AL414" s="9">
        <f t="shared" si="325"/>
        <v>-0.40000000000000568</v>
      </c>
      <c r="AM414" s="9">
        <f t="shared" si="326"/>
        <v>2</v>
      </c>
      <c r="AN414" s="9">
        <f t="shared" si="327"/>
        <v>2.75</v>
      </c>
      <c r="AO414" s="9">
        <f t="shared" si="328"/>
        <v>3.7000000000000028</v>
      </c>
      <c r="AP414" s="9">
        <f t="shared" si="329"/>
        <v>0.5</v>
      </c>
      <c r="AQ414" s="9">
        <f t="shared" si="330"/>
        <v>5.2000000000000028</v>
      </c>
      <c r="AR414" s="9">
        <f t="shared" si="331"/>
        <v>6</v>
      </c>
      <c r="AS414" s="9">
        <f t="shared" si="332"/>
        <v>-2.5</v>
      </c>
      <c r="AT414" s="9">
        <f t="shared" si="333"/>
        <v>-2.25</v>
      </c>
      <c r="AU414" s="9">
        <f t="shared" si="334"/>
        <v>-2</v>
      </c>
      <c r="AV414" s="9">
        <f t="shared" si="335"/>
        <v>-0.30000000000000071</v>
      </c>
      <c r="AW414" s="9">
        <f t="shared" si="336"/>
        <v>0.25</v>
      </c>
      <c r="AX414" s="9">
        <f t="shared" si="337"/>
        <v>-1.3000000000000007</v>
      </c>
      <c r="AY414" s="9">
        <f t="shared" si="338"/>
        <v>-5.2999999999999972</v>
      </c>
      <c r="AZ414" s="9">
        <f t="shared" si="339"/>
        <v>-2.3000000000000007</v>
      </c>
      <c r="BA414" s="9">
        <f t="shared" si="340"/>
        <v>-3</v>
      </c>
      <c r="BB414" s="9">
        <f t="shared" si="341"/>
        <v>-2.5499999999999998</v>
      </c>
      <c r="BC414" s="9">
        <f t="shared" si="342"/>
        <v>-2.25</v>
      </c>
      <c r="BD414" s="9">
        <f t="shared" si="343"/>
        <v>-3.25</v>
      </c>
      <c r="BE414" s="9">
        <f t="shared" si="344"/>
        <v>-1.0499999999999998</v>
      </c>
      <c r="BF414" s="9">
        <f t="shared" si="345"/>
        <v>-1.5</v>
      </c>
      <c r="BG414" s="9">
        <f t="shared" si="346"/>
        <v>-3.25</v>
      </c>
      <c r="BH414" s="9">
        <f t="shared" si="347"/>
        <v>-7.75</v>
      </c>
      <c r="BI414" s="9">
        <f t="shared" si="348"/>
        <v>-5.5500000000000007</v>
      </c>
      <c r="BJ414" s="9">
        <f t="shared" si="349"/>
        <v>-7.75</v>
      </c>
    </row>
    <row r="415" spans="1:62" x14ac:dyDescent="0.2">
      <c r="A415" s="9">
        <f>data!M416-data!M415</f>
        <v>-0.32810000000000628</v>
      </c>
      <c r="B415" s="9">
        <f>data!C416-data!C415</f>
        <v>1.0999999999999996</v>
      </c>
      <c r="C415" s="9">
        <f>data!D416-data!D415</f>
        <v>0.30250000000000021</v>
      </c>
      <c r="D415" s="10">
        <f>data!B416-data!B415</f>
        <v>0.14250000000000007</v>
      </c>
      <c r="E415" s="9">
        <f>data!E415-data!G415</f>
        <v>0.92149999999999999</v>
      </c>
      <c r="F415" s="9">
        <f>(data!E415-data!F415)-(data!G415-data!H415)</f>
        <v>0.77839999999999998</v>
      </c>
      <c r="G415" s="9">
        <f t="shared" si="300"/>
        <v>4.9000000000000044E-2</v>
      </c>
      <c r="H415" s="9">
        <f t="shared" si="301"/>
        <v>5.1100000000000034E-2</v>
      </c>
      <c r="I415" s="9">
        <f>IF(data!M416&gt; 111.81,1,0)</f>
        <v>0</v>
      </c>
      <c r="J415" s="9">
        <f t="shared" si="302"/>
        <v>1</v>
      </c>
      <c r="K415" s="9">
        <f t="shared" si="303"/>
        <v>0</v>
      </c>
      <c r="L415" s="9">
        <f t="shared" si="304"/>
        <v>-0.32810000000000628</v>
      </c>
      <c r="M415" s="9">
        <f>data!J415</f>
        <v>-28.4</v>
      </c>
      <c r="N415" s="9">
        <f>data!I415</f>
        <v>-68.3</v>
      </c>
      <c r="O415" s="9">
        <f>data!L415</f>
        <v>-68.5</v>
      </c>
      <c r="P415" s="9">
        <f>data!K415</f>
        <v>-30</v>
      </c>
      <c r="Q415" s="9">
        <f>data!R415</f>
        <v>-7.8</v>
      </c>
      <c r="R415" s="9">
        <f t="shared" si="305"/>
        <v>3.8999999999999986</v>
      </c>
      <c r="S415" s="9">
        <f t="shared" si="306"/>
        <v>8.0249999999999986</v>
      </c>
      <c r="T415" s="9">
        <f t="shared" si="307"/>
        <v>10.099999999999998</v>
      </c>
      <c r="U415" s="9">
        <f t="shared" si="308"/>
        <v>10.5</v>
      </c>
      <c r="V415" s="9">
        <f t="shared" si="309"/>
        <v>4.2249999999999979</v>
      </c>
      <c r="W415" s="9">
        <f t="shared" si="310"/>
        <v>3.3999999999999986</v>
      </c>
      <c r="X415" s="9">
        <f t="shared" si="311"/>
        <v>7.5</v>
      </c>
      <c r="Y415" s="9">
        <f t="shared" si="312"/>
        <v>5.5499999999999972</v>
      </c>
      <c r="Z415" s="9">
        <f t="shared" si="313"/>
        <v>5.3249999999999993</v>
      </c>
      <c r="AA415" s="9">
        <f t="shared" si="314"/>
        <v>2.7999999999999972</v>
      </c>
      <c r="AB415" s="9">
        <f t="shared" si="315"/>
        <v>9.2999999999999972</v>
      </c>
      <c r="AC415" s="9">
        <f t="shared" si="316"/>
        <v>10.299999999999997</v>
      </c>
      <c r="AD415" s="9">
        <f t="shared" si="317"/>
        <v>10.799999999999997</v>
      </c>
      <c r="AE415" s="9">
        <f t="shared" si="318"/>
        <v>12.299999999999997</v>
      </c>
      <c r="AF415" s="9">
        <f t="shared" si="319"/>
        <v>10.049999999999997</v>
      </c>
      <c r="AG415" s="9">
        <f t="shared" si="320"/>
        <v>12.5</v>
      </c>
      <c r="AH415" s="9">
        <f t="shared" si="321"/>
        <v>13.299999999999997</v>
      </c>
      <c r="AI415" s="9">
        <f t="shared" si="322"/>
        <v>11.699999999999996</v>
      </c>
      <c r="AJ415" s="9">
        <f t="shared" si="323"/>
        <v>1.625</v>
      </c>
      <c r="AK415" s="9">
        <f t="shared" si="324"/>
        <v>3.0999999999999943</v>
      </c>
      <c r="AL415" s="9">
        <f t="shared" si="325"/>
        <v>5.5</v>
      </c>
      <c r="AM415" s="9">
        <f t="shared" si="326"/>
        <v>6.25</v>
      </c>
      <c r="AN415" s="9">
        <f t="shared" si="327"/>
        <v>7.2000000000000028</v>
      </c>
      <c r="AO415" s="9">
        <f t="shared" si="328"/>
        <v>4</v>
      </c>
      <c r="AP415" s="9">
        <f t="shared" si="329"/>
        <v>8.7000000000000028</v>
      </c>
      <c r="AQ415" s="9">
        <f t="shared" si="330"/>
        <v>9.5</v>
      </c>
      <c r="AR415" s="9">
        <f t="shared" si="331"/>
        <v>8.2000000000000028</v>
      </c>
      <c r="AS415" s="9">
        <f t="shared" si="332"/>
        <v>0.25</v>
      </c>
      <c r="AT415" s="9">
        <f t="shared" si="333"/>
        <v>0.5</v>
      </c>
      <c r="AU415" s="9">
        <f t="shared" si="334"/>
        <v>2.1999999999999993</v>
      </c>
      <c r="AV415" s="9">
        <f t="shared" si="335"/>
        <v>2.75</v>
      </c>
      <c r="AW415" s="9">
        <f t="shared" si="336"/>
        <v>1.1999999999999993</v>
      </c>
      <c r="AX415" s="9">
        <f t="shared" si="337"/>
        <v>-2.7999999999999972</v>
      </c>
      <c r="AY415" s="9">
        <f t="shared" si="338"/>
        <v>0.19999999999999929</v>
      </c>
      <c r="AZ415" s="9">
        <f t="shared" si="339"/>
        <v>-0.5</v>
      </c>
      <c r="BA415" s="9">
        <f t="shared" si="340"/>
        <v>-1.3999999999999986</v>
      </c>
      <c r="BB415" s="9">
        <f t="shared" si="341"/>
        <v>0.29999999999999982</v>
      </c>
      <c r="BC415" s="9">
        <f t="shared" si="342"/>
        <v>-0.70000000000000018</v>
      </c>
      <c r="BD415" s="9">
        <f t="shared" si="343"/>
        <v>1.5</v>
      </c>
      <c r="BE415" s="9">
        <f t="shared" si="344"/>
        <v>1.0499999999999998</v>
      </c>
      <c r="BF415" s="9">
        <f t="shared" si="345"/>
        <v>-0.70000000000000018</v>
      </c>
      <c r="BG415" s="9">
        <f t="shared" si="346"/>
        <v>-5.2</v>
      </c>
      <c r="BH415" s="9">
        <f t="shared" si="347"/>
        <v>-3.0000000000000009</v>
      </c>
      <c r="BI415" s="9">
        <f t="shared" si="348"/>
        <v>-5.2</v>
      </c>
      <c r="BJ415" s="9">
        <f t="shared" si="349"/>
        <v>-6.0000000000000009</v>
      </c>
    </row>
    <row r="416" spans="1:62" x14ac:dyDescent="0.2">
      <c r="A416" s="9">
        <f>data!M417-data!M416</f>
        <v>0.24410000000000309</v>
      </c>
      <c r="B416" s="9">
        <f>data!C417-data!C416</f>
        <v>0.83999999999999986</v>
      </c>
      <c r="C416" s="9">
        <f>data!D417-data!D416</f>
        <v>-0.18000000000000149</v>
      </c>
      <c r="D416" s="10">
        <f>data!B417-data!B416</f>
        <v>-7.7499999999999902E-2</v>
      </c>
      <c r="E416" s="9">
        <f>data!E416-data!G416</f>
        <v>0.97050000000000003</v>
      </c>
      <c r="F416" s="9">
        <f>(data!E416-data!F416)-(data!G416-data!H416)</f>
        <v>0.82950000000000002</v>
      </c>
      <c r="G416" s="9">
        <f t="shared" si="300"/>
        <v>3.080000000000005E-2</v>
      </c>
      <c r="H416" s="9">
        <f t="shared" si="301"/>
        <v>-1.3000000000000789E-3</v>
      </c>
      <c r="I416" s="9">
        <f>IF(data!M417&gt; 111.81,1,0)</f>
        <v>0</v>
      </c>
      <c r="J416" s="9">
        <f t="shared" si="302"/>
        <v>1</v>
      </c>
      <c r="K416" s="9">
        <f t="shared" si="303"/>
        <v>0</v>
      </c>
      <c r="L416" s="9">
        <f t="shared" si="304"/>
        <v>0.24410000000000309</v>
      </c>
      <c r="M416" s="9">
        <f>data!J416</f>
        <v>-24.5</v>
      </c>
      <c r="N416" s="9">
        <f>data!I416</f>
        <v>-65.5</v>
      </c>
      <c r="O416" s="9">
        <f>data!L416</f>
        <v>-66.875</v>
      </c>
      <c r="P416" s="9">
        <f>data!K416</f>
        <v>-29.75</v>
      </c>
      <c r="Q416" s="9">
        <f>data!R416</f>
        <v>-7.5</v>
      </c>
      <c r="R416" s="9">
        <f t="shared" si="305"/>
        <v>4.125</v>
      </c>
      <c r="S416" s="9">
        <f t="shared" si="306"/>
        <v>6.1999999999999993</v>
      </c>
      <c r="T416" s="9">
        <f t="shared" si="307"/>
        <v>6.6000000000000014</v>
      </c>
      <c r="U416" s="9">
        <f t="shared" si="308"/>
        <v>0.32499999999999929</v>
      </c>
      <c r="V416" s="9">
        <f t="shared" si="309"/>
        <v>-0.5</v>
      </c>
      <c r="W416" s="9">
        <f t="shared" si="310"/>
        <v>3.6000000000000014</v>
      </c>
      <c r="X416" s="9">
        <f t="shared" si="311"/>
        <v>1.6499999999999986</v>
      </c>
      <c r="Y416" s="9">
        <f t="shared" si="312"/>
        <v>1.4250000000000007</v>
      </c>
      <c r="Z416" s="9">
        <f t="shared" si="313"/>
        <v>2</v>
      </c>
      <c r="AA416" s="9">
        <f t="shared" si="314"/>
        <v>6.5</v>
      </c>
      <c r="AB416" s="9">
        <f t="shared" si="315"/>
        <v>7.5</v>
      </c>
      <c r="AC416" s="9">
        <f t="shared" si="316"/>
        <v>8</v>
      </c>
      <c r="AD416" s="9">
        <f t="shared" si="317"/>
        <v>9.5</v>
      </c>
      <c r="AE416" s="9">
        <f t="shared" si="318"/>
        <v>7.25</v>
      </c>
      <c r="AF416" s="9">
        <f t="shared" si="319"/>
        <v>9.7000000000000028</v>
      </c>
      <c r="AG416" s="9">
        <f t="shared" si="320"/>
        <v>10.5</v>
      </c>
      <c r="AH416" s="9">
        <f t="shared" si="321"/>
        <v>8.8999999999999986</v>
      </c>
      <c r="AI416" s="9">
        <f t="shared" si="322"/>
        <v>10.200000000000003</v>
      </c>
      <c r="AJ416" s="9">
        <f t="shared" si="323"/>
        <v>1.4749999999999943</v>
      </c>
      <c r="AK416" s="9">
        <f t="shared" si="324"/>
        <v>3.875</v>
      </c>
      <c r="AL416" s="9">
        <f t="shared" si="325"/>
        <v>4.625</v>
      </c>
      <c r="AM416" s="9">
        <f t="shared" si="326"/>
        <v>5.5750000000000028</v>
      </c>
      <c r="AN416" s="9">
        <f t="shared" si="327"/>
        <v>2.375</v>
      </c>
      <c r="AO416" s="9">
        <f t="shared" si="328"/>
        <v>7.0750000000000028</v>
      </c>
      <c r="AP416" s="9">
        <f t="shared" si="329"/>
        <v>7.875</v>
      </c>
      <c r="AQ416" s="9">
        <f t="shared" si="330"/>
        <v>6.5750000000000028</v>
      </c>
      <c r="AR416" s="9">
        <f t="shared" si="331"/>
        <v>9.375</v>
      </c>
      <c r="AS416" s="9">
        <f t="shared" si="332"/>
        <v>0.25</v>
      </c>
      <c r="AT416" s="9">
        <f t="shared" si="333"/>
        <v>1.9499999999999993</v>
      </c>
      <c r="AU416" s="9">
        <f t="shared" si="334"/>
        <v>2.5</v>
      </c>
      <c r="AV416" s="9">
        <f t="shared" si="335"/>
        <v>0.94999999999999929</v>
      </c>
      <c r="AW416" s="9">
        <f t="shared" si="336"/>
        <v>-3.0499999999999972</v>
      </c>
      <c r="AX416" s="9">
        <f t="shared" si="337"/>
        <v>-5.0000000000000711E-2</v>
      </c>
      <c r="AY416" s="9">
        <f t="shared" si="338"/>
        <v>-0.75</v>
      </c>
      <c r="AZ416" s="9">
        <f t="shared" si="339"/>
        <v>-1.6499999999999986</v>
      </c>
      <c r="BA416" s="9">
        <f t="shared" si="340"/>
        <v>-0.75</v>
      </c>
      <c r="BB416" s="9">
        <f t="shared" si="341"/>
        <v>-1</v>
      </c>
      <c r="BC416" s="9">
        <f t="shared" si="342"/>
        <v>1.2000000000000002</v>
      </c>
      <c r="BD416" s="9">
        <f t="shared" si="343"/>
        <v>0.75</v>
      </c>
      <c r="BE416" s="9">
        <f t="shared" si="344"/>
        <v>-1</v>
      </c>
      <c r="BF416" s="9">
        <f t="shared" si="345"/>
        <v>-5.5</v>
      </c>
      <c r="BG416" s="9">
        <f t="shared" si="346"/>
        <v>-3.3000000000000007</v>
      </c>
      <c r="BH416" s="9">
        <f t="shared" si="347"/>
        <v>-5.5</v>
      </c>
      <c r="BI416" s="9">
        <f t="shared" si="348"/>
        <v>-6.3000000000000007</v>
      </c>
      <c r="BJ416" s="9">
        <f t="shared" si="349"/>
        <v>-5.4</v>
      </c>
    </row>
    <row r="417" spans="1:62" x14ac:dyDescent="0.2">
      <c r="A417" s="9">
        <f>data!M418-data!M417</f>
        <v>8.2200000000000273E-2</v>
      </c>
      <c r="B417" s="9">
        <f>data!C418-data!C417</f>
        <v>4.879999999999999</v>
      </c>
      <c r="C417" s="9">
        <f>data!D418-data!D417</f>
        <v>0.7475000000000005</v>
      </c>
      <c r="D417" s="10">
        <f>data!B418-data!B417</f>
        <v>-3.0000000000000027E-2</v>
      </c>
      <c r="E417" s="9">
        <f>data!E417-data!G417</f>
        <v>1.0013000000000001</v>
      </c>
      <c r="F417" s="9">
        <f>(data!E417-data!F417)-(data!G417-data!H417)</f>
        <v>0.82819999999999994</v>
      </c>
      <c r="G417" s="9">
        <f t="shared" si="300"/>
        <v>-8.6400000000000032E-2</v>
      </c>
      <c r="H417" s="9">
        <f t="shared" si="301"/>
        <v>-6.6799999999999859E-2</v>
      </c>
      <c r="I417" s="9">
        <f>IF(data!M418&gt; 111.81,1,0)</f>
        <v>0</v>
      </c>
      <c r="J417" s="9">
        <f t="shared" si="302"/>
        <v>1</v>
      </c>
      <c r="K417" s="9">
        <f t="shared" si="303"/>
        <v>0</v>
      </c>
      <c r="L417" s="9">
        <f t="shared" si="304"/>
        <v>8.2200000000000273E-2</v>
      </c>
      <c r="M417" s="9">
        <f>data!J417</f>
        <v>-20.375</v>
      </c>
      <c r="N417" s="9">
        <f>data!I417</f>
        <v>-59</v>
      </c>
      <c r="O417" s="9">
        <f>data!L417</f>
        <v>-65.400000000000006</v>
      </c>
      <c r="P417" s="9">
        <f>data!K417</f>
        <v>-29.5</v>
      </c>
      <c r="Q417" s="9">
        <f>data!R417</f>
        <v>-8.5</v>
      </c>
      <c r="R417" s="9">
        <f t="shared" si="305"/>
        <v>2.0749999999999993</v>
      </c>
      <c r="S417" s="9">
        <f t="shared" si="306"/>
        <v>2.4750000000000014</v>
      </c>
      <c r="T417" s="9">
        <f t="shared" si="307"/>
        <v>-3.8000000000000007</v>
      </c>
      <c r="U417" s="9">
        <f t="shared" si="308"/>
        <v>-4.625</v>
      </c>
      <c r="V417" s="9">
        <f t="shared" si="309"/>
        <v>-0.52499999999999858</v>
      </c>
      <c r="W417" s="9">
        <f t="shared" si="310"/>
        <v>-2.4750000000000014</v>
      </c>
      <c r="X417" s="9">
        <f t="shared" si="311"/>
        <v>-2.6999999999999993</v>
      </c>
      <c r="Y417" s="9">
        <f t="shared" si="312"/>
        <v>-2.125</v>
      </c>
      <c r="Z417" s="9">
        <f t="shared" si="313"/>
        <v>-2.125</v>
      </c>
      <c r="AA417" s="9">
        <f t="shared" si="314"/>
        <v>1</v>
      </c>
      <c r="AB417" s="9">
        <f t="shared" si="315"/>
        <v>1.5</v>
      </c>
      <c r="AC417" s="9">
        <f t="shared" si="316"/>
        <v>3</v>
      </c>
      <c r="AD417" s="9">
        <f t="shared" si="317"/>
        <v>0.75</v>
      </c>
      <c r="AE417" s="9">
        <f t="shared" si="318"/>
        <v>3.2000000000000028</v>
      </c>
      <c r="AF417" s="9">
        <f t="shared" si="319"/>
        <v>4</v>
      </c>
      <c r="AG417" s="9">
        <f t="shared" si="320"/>
        <v>2.3999999999999986</v>
      </c>
      <c r="AH417" s="9">
        <f t="shared" si="321"/>
        <v>3.7000000000000028</v>
      </c>
      <c r="AI417" s="9">
        <f t="shared" si="322"/>
        <v>4.2000000000000028</v>
      </c>
      <c r="AJ417" s="9">
        <f t="shared" si="323"/>
        <v>2.4000000000000057</v>
      </c>
      <c r="AK417" s="9">
        <f t="shared" si="324"/>
        <v>3.1500000000000057</v>
      </c>
      <c r="AL417" s="9">
        <f t="shared" si="325"/>
        <v>4.1000000000000085</v>
      </c>
      <c r="AM417" s="9">
        <f t="shared" si="326"/>
        <v>0.90000000000000568</v>
      </c>
      <c r="AN417" s="9">
        <f t="shared" si="327"/>
        <v>5.6000000000000085</v>
      </c>
      <c r="AO417" s="9">
        <f t="shared" si="328"/>
        <v>6.4000000000000057</v>
      </c>
      <c r="AP417" s="9">
        <f t="shared" si="329"/>
        <v>5.1000000000000085</v>
      </c>
      <c r="AQ417" s="9">
        <f t="shared" si="330"/>
        <v>7.9000000000000057</v>
      </c>
      <c r="AR417" s="9">
        <f t="shared" si="331"/>
        <v>9.1000000000000085</v>
      </c>
      <c r="AS417" s="9">
        <f t="shared" si="332"/>
        <v>1.6999999999999993</v>
      </c>
      <c r="AT417" s="9">
        <f t="shared" si="333"/>
        <v>2.25</v>
      </c>
      <c r="AU417" s="9">
        <f t="shared" si="334"/>
        <v>0.69999999999999929</v>
      </c>
      <c r="AV417" s="9">
        <f t="shared" si="335"/>
        <v>-3.2999999999999972</v>
      </c>
      <c r="AW417" s="9">
        <f t="shared" si="336"/>
        <v>-0.30000000000000071</v>
      </c>
      <c r="AX417" s="9">
        <f t="shared" si="337"/>
        <v>-1</v>
      </c>
      <c r="AY417" s="9">
        <f t="shared" si="338"/>
        <v>-1.8999999999999986</v>
      </c>
      <c r="AZ417" s="9">
        <f t="shared" si="339"/>
        <v>-1</v>
      </c>
      <c r="BA417" s="9">
        <f t="shared" si="340"/>
        <v>-0.30000000000000071</v>
      </c>
      <c r="BB417" s="9">
        <f t="shared" si="341"/>
        <v>2.2000000000000002</v>
      </c>
      <c r="BC417" s="9">
        <f t="shared" si="342"/>
        <v>1.75</v>
      </c>
      <c r="BD417" s="9">
        <f t="shared" si="343"/>
        <v>0</v>
      </c>
      <c r="BE417" s="9">
        <f t="shared" si="344"/>
        <v>-4.5</v>
      </c>
      <c r="BF417" s="9">
        <f t="shared" si="345"/>
        <v>-2.3000000000000007</v>
      </c>
      <c r="BG417" s="9">
        <f t="shared" si="346"/>
        <v>-4.5</v>
      </c>
      <c r="BH417" s="9">
        <f t="shared" si="347"/>
        <v>-5.3000000000000007</v>
      </c>
      <c r="BI417" s="9">
        <f t="shared" si="348"/>
        <v>-4.4000000000000004</v>
      </c>
      <c r="BJ417" s="9">
        <f t="shared" si="349"/>
        <v>-3.8000000000000007</v>
      </c>
    </row>
    <row r="418" spans="1:62" x14ac:dyDescent="0.2">
      <c r="A418" s="9">
        <f>data!M419-data!M418</f>
        <v>6.0600000000007981E-2</v>
      </c>
      <c r="B418" s="9">
        <f>data!C419-data!C418</f>
        <v>-8.8899999999999988</v>
      </c>
      <c r="C418" s="9">
        <f>data!D419-data!D418</f>
        <v>0.33999999999999986</v>
      </c>
      <c r="D418" s="10">
        <f>data!B419-data!B418</f>
        <v>6.999999999999984E-2</v>
      </c>
      <c r="E418" s="9">
        <f>data!E418-data!G418</f>
        <v>0.91490000000000005</v>
      </c>
      <c r="F418" s="9">
        <f>(data!E418-data!F418)-(data!G418-data!H418)</f>
        <v>0.76140000000000008</v>
      </c>
      <c r="G418" s="9">
        <f t="shared" si="300"/>
        <v>0.16320000000000001</v>
      </c>
      <c r="H418" s="9">
        <f t="shared" si="301"/>
        <v>0.14619999999999989</v>
      </c>
      <c r="I418" s="9">
        <f>IF(data!M419&gt; 111.81,1,0)</f>
        <v>0</v>
      </c>
      <c r="J418" s="9">
        <f t="shared" si="302"/>
        <v>1</v>
      </c>
      <c r="K418" s="9">
        <f t="shared" si="303"/>
        <v>0</v>
      </c>
      <c r="L418" s="9">
        <f t="shared" si="304"/>
        <v>6.0600000000007981E-2</v>
      </c>
      <c r="M418" s="9">
        <f>data!J418</f>
        <v>-18.3</v>
      </c>
      <c r="N418" s="9">
        <f>data!I418</f>
        <v>-58</v>
      </c>
      <c r="O418" s="9">
        <f>data!L418</f>
        <v>-63</v>
      </c>
      <c r="P418" s="9">
        <f>data!K418</f>
        <v>-27.8</v>
      </c>
      <c r="Q418" s="9">
        <f>data!R418</f>
        <v>-6.3</v>
      </c>
      <c r="R418" s="9">
        <f t="shared" si="305"/>
        <v>0.40000000000000213</v>
      </c>
      <c r="S418" s="9">
        <f t="shared" si="306"/>
        <v>-5.875</v>
      </c>
      <c r="T418" s="9">
        <f t="shared" si="307"/>
        <v>-6.6999999999999993</v>
      </c>
      <c r="U418" s="9">
        <f t="shared" si="308"/>
        <v>-2.5999999999999979</v>
      </c>
      <c r="V418" s="9">
        <f t="shared" si="309"/>
        <v>-4.5500000000000007</v>
      </c>
      <c r="W418" s="9">
        <f t="shared" si="310"/>
        <v>-4.7749999999999986</v>
      </c>
      <c r="X418" s="9">
        <f t="shared" si="311"/>
        <v>-4.1999999999999993</v>
      </c>
      <c r="Y418" s="9">
        <f t="shared" si="312"/>
        <v>-4.1999999999999993</v>
      </c>
      <c r="Z418" s="9">
        <f t="shared" si="313"/>
        <v>-4.5999999999999979</v>
      </c>
      <c r="AA418" s="9">
        <f t="shared" si="314"/>
        <v>0.5</v>
      </c>
      <c r="AB418" s="9">
        <f t="shared" si="315"/>
        <v>2</v>
      </c>
      <c r="AC418" s="9">
        <f t="shared" si="316"/>
        <v>-0.25</v>
      </c>
      <c r="AD418" s="9">
        <f t="shared" si="317"/>
        <v>2.2000000000000028</v>
      </c>
      <c r="AE418" s="9">
        <f t="shared" si="318"/>
        <v>3</v>
      </c>
      <c r="AF418" s="9">
        <f t="shared" si="319"/>
        <v>1.3999999999999986</v>
      </c>
      <c r="AG418" s="9">
        <f t="shared" si="320"/>
        <v>2.7000000000000028</v>
      </c>
      <c r="AH418" s="9">
        <f t="shared" si="321"/>
        <v>3.2000000000000028</v>
      </c>
      <c r="AI418" s="9">
        <f t="shared" si="322"/>
        <v>2.8999999999999986</v>
      </c>
      <c r="AJ418" s="9">
        <f t="shared" si="323"/>
        <v>0.75</v>
      </c>
      <c r="AK418" s="9">
        <f t="shared" si="324"/>
        <v>1.7000000000000028</v>
      </c>
      <c r="AL418" s="9">
        <f t="shared" si="325"/>
        <v>-1.5</v>
      </c>
      <c r="AM418" s="9">
        <f t="shared" si="326"/>
        <v>3.2000000000000028</v>
      </c>
      <c r="AN418" s="9">
        <f t="shared" si="327"/>
        <v>4</v>
      </c>
      <c r="AO418" s="9">
        <f t="shared" si="328"/>
        <v>2.7000000000000028</v>
      </c>
      <c r="AP418" s="9">
        <f t="shared" si="329"/>
        <v>5.5</v>
      </c>
      <c r="AQ418" s="9">
        <f t="shared" si="330"/>
        <v>6.7000000000000028</v>
      </c>
      <c r="AR418" s="9">
        <f t="shared" si="331"/>
        <v>10.899999999999999</v>
      </c>
      <c r="AS418" s="9">
        <f t="shared" si="332"/>
        <v>0.55000000000000071</v>
      </c>
      <c r="AT418" s="9">
        <f t="shared" si="333"/>
        <v>-1</v>
      </c>
      <c r="AU418" s="9">
        <f t="shared" si="334"/>
        <v>-4.9999999999999964</v>
      </c>
      <c r="AV418" s="9">
        <f t="shared" si="335"/>
        <v>-2</v>
      </c>
      <c r="AW418" s="9">
        <f t="shared" si="336"/>
        <v>-2.6999999999999993</v>
      </c>
      <c r="AX418" s="9">
        <f t="shared" si="337"/>
        <v>-3.5999999999999979</v>
      </c>
      <c r="AY418" s="9">
        <f t="shared" si="338"/>
        <v>-2.6999999999999993</v>
      </c>
      <c r="AZ418" s="9">
        <f t="shared" si="339"/>
        <v>-2</v>
      </c>
      <c r="BA418" s="9">
        <f t="shared" si="340"/>
        <v>1.8000000000000007</v>
      </c>
      <c r="BB418" s="9">
        <f t="shared" si="341"/>
        <v>-0.45000000000000018</v>
      </c>
      <c r="BC418" s="9">
        <f t="shared" si="342"/>
        <v>-2.2000000000000002</v>
      </c>
      <c r="BD418" s="9">
        <f t="shared" si="343"/>
        <v>-6.7</v>
      </c>
      <c r="BE418" s="9">
        <f t="shared" si="344"/>
        <v>-4.5000000000000009</v>
      </c>
      <c r="BF418" s="9">
        <f t="shared" si="345"/>
        <v>-6.7</v>
      </c>
      <c r="BG418" s="9">
        <f t="shared" si="346"/>
        <v>-7.5000000000000009</v>
      </c>
      <c r="BH418" s="9">
        <f t="shared" si="347"/>
        <v>-6.6000000000000005</v>
      </c>
      <c r="BI418" s="9">
        <f t="shared" si="348"/>
        <v>-6.0000000000000009</v>
      </c>
      <c r="BJ418" s="9">
        <f t="shared" si="349"/>
        <v>-3.5000000000000009</v>
      </c>
    </row>
    <row r="419" spans="1:62" x14ac:dyDescent="0.2">
      <c r="A419" s="9">
        <f>data!M420-data!M419</f>
        <v>-0.56730000000000302</v>
      </c>
      <c r="B419" s="9">
        <f>data!C420-data!C419</f>
        <v>-0.47000000000000064</v>
      </c>
      <c r="C419" s="9">
        <f>data!D420-data!D419</f>
        <v>0.92500000000000071</v>
      </c>
      <c r="D419" s="10">
        <f>data!B420-data!B419</f>
        <v>0.32250000000000001</v>
      </c>
      <c r="E419" s="9">
        <f>data!E419-data!G419</f>
        <v>1.0781000000000001</v>
      </c>
      <c r="F419" s="9">
        <f>(data!E419-data!F419)-(data!G419-data!H419)</f>
        <v>0.90759999999999996</v>
      </c>
      <c r="G419" s="9">
        <f t="shared" si="300"/>
        <v>-2.2400000000000198E-2</v>
      </c>
      <c r="H419" s="9">
        <f t="shared" si="301"/>
        <v>-2.0800000000000263E-2</v>
      </c>
      <c r="I419" s="9">
        <f>IF(data!M420&gt; 111.81,1,0)</f>
        <v>0</v>
      </c>
      <c r="J419" s="9">
        <f t="shared" si="302"/>
        <v>1</v>
      </c>
      <c r="K419" s="9">
        <f t="shared" si="303"/>
        <v>0</v>
      </c>
      <c r="L419" s="9">
        <f t="shared" si="304"/>
        <v>-0.56730000000000302</v>
      </c>
      <c r="M419" s="9">
        <f>data!J419</f>
        <v>-17.899999999999999</v>
      </c>
      <c r="N419" s="9">
        <f>data!I419</f>
        <v>-57.5</v>
      </c>
      <c r="O419" s="9">
        <f>data!L419</f>
        <v>-62.25</v>
      </c>
      <c r="P419" s="9">
        <f>data!K419</f>
        <v>-27.25</v>
      </c>
      <c r="Q419" s="9">
        <f>data!R419</f>
        <v>-6.75</v>
      </c>
      <c r="R419" s="9">
        <f t="shared" si="305"/>
        <v>-6.2750000000000021</v>
      </c>
      <c r="S419" s="9">
        <f t="shared" si="306"/>
        <v>-7.1000000000000014</v>
      </c>
      <c r="T419" s="9">
        <f t="shared" si="307"/>
        <v>-3</v>
      </c>
      <c r="U419" s="9">
        <f t="shared" si="308"/>
        <v>-4.9500000000000028</v>
      </c>
      <c r="V419" s="9">
        <f t="shared" si="309"/>
        <v>-5.1750000000000007</v>
      </c>
      <c r="W419" s="9">
        <f t="shared" si="310"/>
        <v>-4.6000000000000014</v>
      </c>
      <c r="X419" s="9">
        <f t="shared" si="311"/>
        <v>-4.6000000000000014</v>
      </c>
      <c r="Y419" s="9">
        <f t="shared" si="312"/>
        <v>-5</v>
      </c>
      <c r="Z419" s="9">
        <f t="shared" si="313"/>
        <v>-1.3000000000000007</v>
      </c>
      <c r="AA419" s="9">
        <f t="shared" si="314"/>
        <v>1.5</v>
      </c>
      <c r="AB419" s="9">
        <f t="shared" si="315"/>
        <v>-0.75</v>
      </c>
      <c r="AC419" s="9">
        <f t="shared" si="316"/>
        <v>1.7000000000000028</v>
      </c>
      <c r="AD419" s="9">
        <f t="shared" si="317"/>
        <v>2.5</v>
      </c>
      <c r="AE419" s="9">
        <f t="shared" si="318"/>
        <v>0.89999999999999858</v>
      </c>
      <c r="AF419" s="9">
        <f t="shared" si="319"/>
        <v>2.2000000000000028</v>
      </c>
      <c r="AG419" s="9">
        <f t="shared" si="320"/>
        <v>2.7000000000000028</v>
      </c>
      <c r="AH419" s="9">
        <f t="shared" si="321"/>
        <v>2.3999999999999986</v>
      </c>
      <c r="AI419" s="9">
        <f t="shared" si="322"/>
        <v>2</v>
      </c>
      <c r="AJ419" s="9">
        <f t="shared" si="323"/>
        <v>0.95000000000000284</v>
      </c>
      <c r="AK419" s="9">
        <f t="shared" si="324"/>
        <v>-2.25</v>
      </c>
      <c r="AL419" s="9">
        <f t="shared" si="325"/>
        <v>2.4500000000000028</v>
      </c>
      <c r="AM419" s="9">
        <f t="shared" si="326"/>
        <v>3.25</v>
      </c>
      <c r="AN419" s="9">
        <f t="shared" si="327"/>
        <v>1.9500000000000028</v>
      </c>
      <c r="AO419" s="9">
        <f t="shared" si="328"/>
        <v>4.75</v>
      </c>
      <c r="AP419" s="9">
        <f t="shared" si="329"/>
        <v>5.9500000000000028</v>
      </c>
      <c r="AQ419" s="9">
        <f t="shared" si="330"/>
        <v>10.149999999999999</v>
      </c>
      <c r="AR419" s="9">
        <f t="shared" si="331"/>
        <v>10.450000000000003</v>
      </c>
      <c r="AS419" s="9">
        <f t="shared" si="332"/>
        <v>-1.5500000000000007</v>
      </c>
      <c r="AT419" s="9">
        <f t="shared" si="333"/>
        <v>-5.5499999999999972</v>
      </c>
      <c r="AU419" s="9">
        <f t="shared" si="334"/>
        <v>-2.5500000000000007</v>
      </c>
      <c r="AV419" s="9">
        <f t="shared" si="335"/>
        <v>-3.25</v>
      </c>
      <c r="AW419" s="9">
        <f t="shared" si="336"/>
        <v>-4.1499999999999986</v>
      </c>
      <c r="AX419" s="9">
        <f t="shared" si="337"/>
        <v>-3.25</v>
      </c>
      <c r="AY419" s="9">
        <f t="shared" si="338"/>
        <v>-2.5500000000000007</v>
      </c>
      <c r="AZ419" s="9">
        <f t="shared" si="339"/>
        <v>1.25</v>
      </c>
      <c r="BA419" s="9">
        <f t="shared" si="340"/>
        <v>1.75</v>
      </c>
      <c r="BB419" s="9">
        <f t="shared" si="341"/>
        <v>-1.75</v>
      </c>
      <c r="BC419" s="9">
        <f t="shared" si="342"/>
        <v>-6.25</v>
      </c>
      <c r="BD419" s="9">
        <f t="shared" si="343"/>
        <v>-4.0500000000000007</v>
      </c>
      <c r="BE419" s="9">
        <f t="shared" si="344"/>
        <v>-6.25</v>
      </c>
      <c r="BF419" s="9">
        <f t="shared" si="345"/>
        <v>-7.0500000000000007</v>
      </c>
      <c r="BG419" s="9">
        <f t="shared" si="346"/>
        <v>-6.15</v>
      </c>
      <c r="BH419" s="9">
        <f t="shared" si="347"/>
        <v>-5.5500000000000007</v>
      </c>
      <c r="BI419" s="9">
        <f t="shared" si="348"/>
        <v>-3.0500000000000007</v>
      </c>
      <c r="BJ419" s="9">
        <f t="shared" si="349"/>
        <v>-2.25</v>
      </c>
    </row>
    <row r="420" spans="1:62" x14ac:dyDescent="0.2">
      <c r="A420" s="9">
        <f>data!M421-data!M420</f>
        <v>0.33449999999999136</v>
      </c>
      <c r="B420" s="9">
        <f>data!C421-data!C420</f>
        <v>-0.89999999999999858</v>
      </c>
      <c r="C420" s="9">
        <f>data!D421-data!D420</f>
        <v>0.64000000000000057</v>
      </c>
      <c r="D420" s="10">
        <f>data!B421-data!B420</f>
        <v>-0.21750000000000003</v>
      </c>
      <c r="E420" s="9">
        <f>data!E420-data!G420</f>
        <v>1.0556999999999999</v>
      </c>
      <c r="F420" s="9">
        <f>(data!E420-data!F420)-(data!G420-data!H420)</f>
        <v>0.8867999999999997</v>
      </c>
      <c r="G420" s="9">
        <f t="shared" si="300"/>
        <v>3.7900000000000045E-2</v>
      </c>
      <c r="H420" s="9">
        <f t="shared" si="301"/>
        <v>2.9500000000000193E-2</v>
      </c>
      <c r="I420" s="9">
        <f>IF(data!M421&gt; 111.81,1,0)</f>
        <v>0</v>
      </c>
      <c r="J420" s="9">
        <f t="shared" si="302"/>
        <v>1</v>
      </c>
      <c r="K420" s="9">
        <f t="shared" si="303"/>
        <v>0</v>
      </c>
      <c r="L420" s="9">
        <f t="shared" si="304"/>
        <v>0.33449999999999136</v>
      </c>
      <c r="M420" s="9">
        <f>data!J420</f>
        <v>-24.175000000000001</v>
      </c>
      <c r="N420" s="9">
        <f>data!I420</f>
        <v>-56</v>
      </c>
      <c r="O420" s="9">
        <f>data!L420</f>
        <v>-61.3</v>
      </c>
      <c r="P420" s="9">
        <f>data!K420</f>
        <v>-28.8</v>
      </c>
      <c r="Q420" s="9">
        <f>data!R420</f>
        <v>-8.5</v>
      </c>
      <c r="R420" s="9">
        <f t="shared" si="305"/>
        <v>-0.82499999999999929</v>
      </c>
      <c r="S420" s="9">
        <f t="shared" si="306"/>
        <v>3.2750000000000021</v>
      </c>
      <c r="T420" s="9">
        <f t="shared" si="307"/>
        <v>1.3249999999999993</v>
      </c>
      <c r="U420" s="9">
        <f t="shared" si="308"/>
        <v>1.1000000000000014</v>
      </c>
      <c r="V420" s="9">
        <f t="shared" si="309"/>
        <v>1.6750000000000007</v>
      </c>
      <c r="W420" s="9">
        <f t="shared" si="310"/>
        <v>1.6750000000000007</v>
      </c>
      <c r="X420" s="9">
        <f t="shared" si="311"/>
        <v>1.2750000000000021</v>
      </c>
      <c r="Y420" s="9">
        <f t="shared" si="312"/>
        <v>4.9750000000000014</v>
      </c>
      <c r="Z420" s="9">
        <f t="shared" si="313"/>
        <v>3.875</v>
      </c>
      <c r="AA420" s="9">
        <f t="shared" si="314"/>
        <v>-2.25</v>
      </c>
      <c r="AB420" s="9">
        <f t="shared" si="315"/>
        <v>0.20000000000000284</v>
      </c>
      <c r="AC420" s="9">
        <f t="shared" si="316"/>
        <v>1</v>
      </c>
      <c r="AD420" s="9">
        <f t="shared" si="317"/>
        <v>-0.60000000000000142</v>
      </c>
      <c r="AE420" s="9">
        <f t="shared" si="318"/>
        <v>0.70000000000000284</v>
      </c>
      <c r="AF420" s="9">
        <f t="shared" si="319"/>
        <v>1.2000000000000028</v>
      </c>
      <c r="AG420" s="9">
        <f t="shared" si="320"/>
        <v>0.89999999999999858</v>
      </c>
      <c r="AH420" s="9">
        <f t="shared" si="321"/>
        <v>0.5</v>
      </c>
      <c r="AI420" s="9">
        <f t="shared" si="322"/>
        <v>0.20000000000000284</v>
      </c>
      <c r="AJ420" s="9">
        <f t="shared" si="323"/>
        <v>-3.2000000000000028</v>
      </c>
      <c r="AK420" s="9">
        <f t="shared" si="324"/>
        <v>1.5</v>
      </c>
      <c r="AL420" s="9">
        <f t="shared" si="325"/>
        <v>2.2999999999999972</v>
      </c>
      <c r="AM420" s="9">
        <f t="shared" si="326"/>
        <v>1</v>
      </c>
      <c r="AN420" s="9">
        <f t="shared" si="327"/>
        <v>3.7999999999999972</v>
      </c>
      <c r="AO420" s="9">
        <f t="shared" si="328"/>
        <v>5</v>
      </c>
      <c r="AP420" s="9">
        <f t="shared" si="329"/>
        <v>9.1999999999999957</v>
      </c>
      <c r="AQ420" s="9">
        <f t="shared" si="330"/>
        <v>9.5</v>
      </c>
      <c r="AR420" s="9">
        <f t="shared" si="331"/>
        <v>7</v>
      </c>
      <c r="AS420" s="9">
        <f t="shared" si="332"/>
        <v>-3.9999999999999964</v>
      </c>
      <c r="AT420" s="9">
        <f t="shared" si="333"/>
        <v>-1</v>
      </c>
      <c r="AU420" s="9">
        <f t="shared" si="334"/>
        <v>-1.6999999999999993</v>
      </c>
      <c r="AV420" s="9">
        <f t="shared" si="335"/>
        <v>-2.5999999999999979</v>
      </c>
      <c r="AW420" s="9">
        <f t="shared" si="336"/>
        <v>-1.6999999999999993</v>
      </c>
      <c r="AX420" s="9">
        <f t="shared" si="337"/>
        <v>-1</v>
      </c>
      <c r="AY420" s="9">
        <f t="shared" si="338"/>
        <v>2.8000000000000007</v>
      </c>
      <c r="AZ420" s="9">
        <f t="shared" si="339"/>
        <v>3.3000000000000007</v>
      </c>
      <c r="BA420" s="9">
        <f t="shared" si="340"/>
        <v>3</v>
      </c>
      <c r="BB420" s="9">
        <f t="shared" si="341"/>
        <v>-4.5</v>
      </c>
      <c r="BC420" s="9">
        <f t="shared" si="342"/>
        <v>-2.3000000000000007</v>
      </c>
      <c r="BD420" s="9">
        <f t="shared" si="343"/>
        <v>-4.5</v>
      </c>
      <c r="BE420" s="9">
        <f t="shared" si="344"/>
        <v>-5.3000000000000007</v>
      </c>
      <c r="BF420" s="9">
        <f t="shared" si="345"/>
        <v>-4.4000000000000004</v>
      </c>
      <c r="BG420" s="9">
        <f t="shared" si="346"/>
        <v>-3.8000000000000007</v>
      </c>
      <c r="BH420" s="9">
        <f t="shared" si="347"/>
        <v>-1.3000000000000007</v>
      </c>
      <c r="BI420" s="9">
        <f t="shared" si="348"/>
        <v>-0.5</v>
      </c>
      <c r="BJ420" s="9">
        <f t="shared" si="349"/>
        <v>-0.80000000000000071</v>
      </c>
    </row>
    <row r="421" spans="1:62" x14ac:dyDescent="0.2">
      <c r="A421" s="9">
        <f>data!M422-data!M421</f>
        <v>0.21710000000000207</v>
      </c>
      <c r="B421" s="9">
        <f>data!C422-data!C421</f>
        <v>0.42999999999999972</v>
      </c>
      <c r="C421" s="9">
        <f>data!D422-data!D421</f>
        <v>0.19999999999999929</v>
      </c>
      <c r="D421" s="10">
        <f>data!B422-data!B421</f>
        <v>-0.10999999999999988</v>
      </c>
      <c r="E421" s="9">
        <f>data!E421-data!G421</f>
        <v>1.0935999999999999</v>
      </c>
      <c r="F421" s="9">
        <f>(data!E421-data!F421)-(data!G421-data!H421)</f>
        <v>0.91629999999999989</v>
      </c>
      <c r="G421" s="9">
        <f t="shared" si="300"/>
        <v>0.13410000000000011</v>
      </c>
      <c r="H421" s="9">
        <f t="shared" si="301"/>
        <v>0.11660000000000026</v>
      </c>
      <c r="I421" s="9">
        <f>IF(data!M422&gt; 111.81,1,0)</f>
        <v>0</v>
      </c>
      <c r="J421" s="9">
        <f t="shared" si="302"/>
        <v>1</v>
      </c>
      <c r="K421" s="9">
        <f t="shared" si="303"/>
        <v>0</v>
      </c>
      <c r="L421" s="9">
        <f t="shared" si="304"/>
        <v>0.21710000000000207</v>
      </c>
      <c r="M421" s="9">
        <f>data!J421</f>
        <v>-25</v>
      </c>
      <c r="N421" s="9">
        <f>data!I421</f>
        <v>-58.25</v>
      </c>
      <c r="O421" s="9">
        <f>data!L421</f>
        <v>-64.5</v>
      </c>
      <c r="P421" s="9">
        <f>data!K421</f>
        <v>-32.799999999999997</v>
      </c>
      <c r="Q421" s="9">
        <f>data!R421</f>
        <v>-13</v>
      </c>
      <c r="R421" s="9">
        <f t="shared" si="305"/>
        <v>4.1000000000000014</v>
      </c>
      <c r="S421" s="9">
        <f t="shared" si="306"/>
        <v>2.1499999999999986</v>
      </c>
      <c r="T421" s="9">
        <f t="shared" si="307"/>
        <v>1.9250000000000007</v>
      </c>
      <c r="U421" s="9">
        <f t="shared" si="308"/>
        <v>2.5</v>
      </c>
      <c r="V421" s="9">
        <f t="shared" si="309"/>
        <v>2.5</v>
      </c>
      <c r="W421" s="9">
        <f t="shared" si="310"/>
        <v>2.1000000000000014</v>
      </c>
      <c r="X421" s="9">
        <f t="shared" si="311"/>
        <v>5.8000000000000007</v>
      </c>
      <c r="Y421" s="9">
        <f t="shared" si="312"/>
        <v>4.6999999999999993</v>
      </c>
      <c r="Z421" s="9">
        <f t="shared" si="313"/>
        <v>3.3999999999999986</v>
      </c>
      <c r="AA421" s="9">
        <f t="shared" si="314"/>
        <v>2.4500000000000028</v>
      </c>
      <c r="AB421" s="9">
        <f t="shared" si="315"/>
        <v>3.25</v>
      </c>
      <c r="AC421" s="9">
        <f t="shared" si="316"/>
        <v>1.6499999999999986</v>
      </c>
      <c r="AD421" s="9">
        <f t="shared" si="317"/>
        <v>2.9500000000000028</v>
      </c>
      <c r="AE421" s="9">
        <f t="shared" si="318"/>
        <v>3.4500000000000028</v>
      </c>
      <c r="AF421" s="9">
        <f t="shared" si="319"/>
        <v>3.1499999999999986</v>
      </c>
      <c r="AG421" s="9">
        <f t="shared" si="320"/>
        <v>2.75</v>
      </c>
      <c r="AH421" s="9">
        <f t="shared" si="321"/>
        <v>2.4500000000000028</v>
      </c>
      <c r="AI421" s="9">
        <f t="shared" si="322"/>
        <v>2.25</v>
      </c>
      <c r="AJ421" s="9">
        <f t="shared" si="323"/>
        <v>4.7000000000000028</v>
      </c>
      <c r="AK421" s="9">
        <f t="shared" si="324"/>
        <v>5.5</v>
      </c>
      <c r="AL421" s="9">
        <f t="shared" si="325"/>
        <v>4.2000000000000028</v>
      </c>
      <c r="AM421" s="9">
        <f t="shared" si="326"/>
        <v>7</v>
      </c>
      <c r="AN421" s="9">
        <f t="shared" si="327"/>
        <v>8.2000000000000028</v>
      </c>
      <c r="AO421" s="9">
        <f t="shared" si="328"/>
        <v>12.399999999999999</v>
      </c>
      <c r="AP421" s="9">
        <f t="shared" si="329"/>
        <v>12.700000000000003</v>
      </c>
      <c r="AQ421" s="9">
        <f t="shared" si="330"/>
        <v>10.200000000000003</v>
      </c>
      <c r="AR421" s="9">
        <f t="shared" si="331"/>
        <v>9.7000000000000028</v>
      </c>
      <c r="AS421" s="9">
        <f t="shared" si="332"/>
        <v>2.9999999999999964</v>
      </c>
      <c r="AT421" s="9">
        <f t="shared" si="333"/>
        <v>2.2999999999999972</v>
      </c>
      <c r="AU421" s="9">
        <f t="shared" si="334"/>
        <v>1.3999999999999986</v>
      </c>
      <c r="AV421" s="9">
        <f t="shared" si="335"/>
        <v>2.2999999999999972</v>
      </c>
      <c r="AW421" s="9">
        <f t="shared" si="336"/>
        <v>2.9999999999999964</v>
      </c>
      <c r="AX421" s="9">
        <f t="shared" si="337"/>
        <v>6.7999999999999972</v>
      </c>
      <c r="AY421" s="9">
        <f t="shared" si="338"/>
        <v>7.2999999999999972</v>
      </c>
      <c r="AZ421" s="9">
        <f t="shared" si="339"/>
        <v>6.9999999999999964</v>
      </c>
      <c r="BA421" s="9">
        <f t="shared" si="340"/>
        <v>7.4999999999999964</v>
      </c>
      <c r="BB421" s="9">
        <f t="shared" si="341"/>
        <v>2.1999999999999993</v>
      </c>
      <c r="BC421" s="9">
        <f t="shared" si="342"/>
        <v>0</v>
      </c>
      <c r="BD421" s="9">
        <f t="shared" si="343"/>
        <v>-0.80000000000000071</v>
      </c>
      <c r="BE421" s="9">
        <f t="shared" si="344"/>
        <v>9.9999999999999645E-2</v>
      </c>
      <c r="BF421" s="9">
        <f t="shared" si="345"/>
        <v>0.69999999999999929</v>
      </c>
      <c r="BG421" s="9">
        <f t="shared" si="346"/>
        <v>3.1999999999999993</v>
      </c>
      <c r="BH421" s="9">
        <f t="shared" si="347"/>
        <v>4</v>
      </c>
      <c r="BI421" s="9">
        <f t="shared" si="348"/>
        <v>3.6999999999999993</v>
      </c>
      <c r="BJ421" s="9">
        <f t="shared" si="349"/>
        <v>3.6999999999999993</v>
      </c>
    </row>
    <row r="422" spans="1:62" x14ac:dyDescent="0.2">
      <c r="A422" s="9">
        <f>data!M423-data!M422</f>
        <v>-0.39449999999999363</v>
      </c>
      <c r="B422" s="9">
        <f>data!C423-data!C422</f>
        <v>9.9999999999997868E-3</v>
      </c>
      <c r="C422" s="9">
        <f>data!D423-data!D422</f>
        <v>4.2500000000000426E-2</v>
      </c>
      <c r="D422" s="10">
        <f>data!B423-data!B422</f>
        <v>-0.14749999999999996</v>
      </c>
      <c r="E422" s="9">
        <f>data!E422-data!G422</f>
        <v>1.2277</v>
      </c>
      <c r="F422" s="9">
        <f>(data!E422-data!F422)-(data!G422-data!H422)</f>
        <v>1.0329000000000002</v>
      </c>
      <c r="G422" s="9">
        <f t="shared" si="300"/>
        <v>2.1199999999999886E-2</v>
      </c>
      <c r="H422" s="9">
        <f t="shared" si="301"/>
        <v>2.4199999999999777E-2</v>
      </c>
      <c r="I422" s="9">
        <f>IF(data!M423&gt; 111.81,1,0)</f>
        <v>0</v>
      </c>
      <c r="J422" s="9">
        <f t="shared" si="302"/>
        <v>1</v>
      </c>
      <c r="K422" s="9">
        <f t="shared" si="303"/>
        <v>0</v>
      </c>
      <c r="L422" s="9">
        <f t="shared" si="304"/>
        <v>-0.39449999999999363</v>
      </c>
      <c r="M422" s="9">
        <f>data!J422</f>
        <v>-20.9</v>
      </c>
      <c r="N422" s="9">
        <f>data!I422</f>
        <v>-55.8</v>
      </c>
      <c r="O422" s="9">
        <f>data!L422</f>
        <v>-59.8</v>
      </c>
      <c r="P422" s="9">
        <f>data!K422</f>
        <v>-29.8</v>
      </c>
      <c r="Q422" s="9">
        <f>data!R422</f>
        <v>-10.8</v>
      </c>
      <c r="R422" s="9">
        <f t="shared" si="305"/>
        <v>-1.9500000000000028</v>
      </c>
      <c r="S422" s="9">
        <f t="shared" si="306"/>
        <v>-2.1750000000000007</v>
      </c>
      <c r="T422" s="9">
        <f t="shared" si="307"/>
        <v>-1.6000000000000014</v>
      </c>
      <c r="U422" s="9">
        <f t="shared" si="308"/>
        <v>-1.6000000000000014</v>
      </c>
      <c r="V422" s="9">
        <f t="shared" si="309"/>
        <v>-2</v>
      </c>
      <c r="W422" s="9">
        <f t="shared" si="310"/>
        <v>1.6999999999999993</v>
      </c>
      <c r="X422" s="9">
        <f t="shared" si="311"/>
        <v>0.59999999999999787</v>
      </c>
      <c r="Y422" s="9">
        <f t="shared" si="312"/>
        <v>-0.70000000000000284</v>
      </c>
      <c r="Z422" s="9">
        <f t="shared" si="313"/>
        <v>-1.1000000000000014</v>
      </c>
      <c r="AA422" s="9">
        <f t="shared" si="314"/>
        <v>0.79999999999999716</v>
      </c>
      <c r="AB422" s="9">
        <f t="shared" si="315"/>
        <v>-0.80000000000000426</v>
      </c>
      <c r="AC422" s="9">
        <f t="shared" si="316"/>
        <v>0.5</v>
      </c>
      <c r="AD422" s="9">
        <f t="shared" si="317"/>
        <v>1</v>
      </c>
      <c r="AE422" s="9">
        <f t="shared" si="318"/>
        <v>0.69999999999999574</v>
      </c>
      <c r="AF422" s="9">
        <f t="shared" si="319"/>
        <v>0.29999999999999716</v>
      </c>
      <c r="AG422" s="9">
        <f t="shared" si="320"/>
        <v>0</v>
      </c>
      <c r="AH422" s="9">
        <f t="shared" si="321"/>
        <v>-0.20000000000000284</v>
      </c>
      <c r="AI422" s="9">
        <f t="shared" si="322"/>
        <v>-0.60000000000000142</v>
      </c>
      <c r="AJ422" s="9">
        <f t="shared" si="323"/>
        <v>0.79999999999999716</v>
      </c>
      <c r="AK422" s="9">
        <f t="shared" si="324"/>
        <v>-0.5</v>
      </c>
      <c r="AL422" s="9">
        <f t="shared" si="325"/>
        <v>2.2999999999999972</v>
      </c>
      <c r="AM422" s="9">
        <f t="shared" si="326"/>
        <v>3.5</v>
      </c>
      <c r="AN422" s="9">
        <f t="shared" si="327"/>
        <v>7.6999999999999957</v>
      </c>
      <c r="AO422" s="9">
        <f t="shared" si="328"/>
        <v>8</v>
      </c>
      <c r="AP422" s="9">
        <f t="shared" si="329"/>
        <v>5.5</v>
      </c>
      <c r="AQ422" s="9">
        <f t="shared" si="330"/>
        <v>5</v>
      </c>
      <c r="AR422" s="9">
        <f t="shared" si="331"/>
        <v>5</v>
      </c>
      <c r="AS422" s="9">
        <f t="shared" si="332"/>
        <v>-0.69999999999999929</v>
      </c>
      <c r="AT422" s="9">
        <f t="shared" si="333"/>
        <v>-1.5999999999999979</v>
      </c>
      <c r="AU422" s="9">
        <f t="shared" si="334"/>
        <v>-0.69999999999999929</v>
      </c>
      <c r="AV422" s="9">
        <f t="shared" si="335"/>
        <v>0</v>
      </c>
      <c r="AW422" s="9">
        <f t="shared" si="336"/>
        <v>3.8000000000000007</v>
      </c>
      <c r="AX422" s="9">
        <f t="shared" si="337"/>
        <v>4.3000000000000007</v>
      </c>
      <c r="AY422" s="9">
        <f t="shared" si="338"/>
        <v>4</v>
      </c>
      <c r="AZ422" s="9">
        <f t="shared" si="339"/>
        <v>4.5</v>
      </c>
      <c r="BA422" s="9">
        <f t="shared" si="340"/>
        <v>5.8000000000000007</v>
      </c>
      <c r="BB422" s="9">
        <f t="shared" si="341"/>
        <v>-2.1999999999999993</v>
      </c>
      <c r="BC422" s="9">
        <f t="shared" si="342"/>
        <v>-3</v>
      </c>
      <c r="BD422" s="9">
        <f t="shared" si="343"/>
        <v>-2.0999999999999996</v>
      </c>
      <c r="BE422" s="9">
        <f t="shared" si="344"/>
        <v>-1.5</v>
      </c>
      <c r="BF422" s="9">
        <f t="shared" si="345"/>
        <v>1</v>
      </c>
      <c r="BG422" s="9">
        <f t="shared" si="346"/>
        <v>1.8000000000000007</v>
      </c>
      <c r="BH422" s="9">
        <f t="shared" si="347"/>
        <v>1.5</v>
      </c>
      <c r="BI422" s="9">
        <f t="shared" si="348"/>
        <v>1.5</v>
      </c>
      <c r="BJ422" s="9">
        <f t="shared" si="349"/>
        <v>3.0000000000000009</v>
      </c>
    </row>
    <row r="423" spans="1:62" x14ac:dyDescent="0.2">
      <c r="A423" s="9">
        <f>data!M424-data!M423</f>
        <v>0.61329999999999529</v>
      </c>
      <c r="B423" s="9">
        <f>data!C424-data!C423</f>
        <v>0.11999999999999922</v>
      </c>
      <c r="C423" s="9">
        <f>data!D424-data!D423</f>
        <v>0.58749999999999858</v>
      </c>
      <c r="D423" s="10">
        <f>data!B424-data!B423</f>
        <v>-0.19750000000000023</v>
      </c>
      <c r="E423" s="9">
        <f>data!E423-data!G423</f>
        <v>1.2488999999999999</v>
      </c>
      <c r="F423" s="9">
        <f>(data!E423-data!F423)-(data!G423-data!H423)</f>
        <v>1.0570999999999999</v>
      </c>
      <c r="G423" s="9">
        <f t="shared" si="300"/>
        <v>-5.8999999999999941E-2</v>
      </c>
      <c r="H423" s="9">
        <f t="shared" si="301"/>
        <v>-9.2199999999999949E-2</v>
      </c>
      <c r="I423" s="9">
        <f>IF(data!M424&gt; 111.81,1,0)</f>
        <v>0</v>
      </c>
      <c r="J423" s="9">
        <f t="shared" si="302"/>
        <v>1</v>
      </c>
      <c r="K423" s="9">
        <f t="shared" si="303"/>
        <v>0</v>
      </c>
      <c r="L423" s="9">
        <f t="shared" si="304"/>
        <v>0.61329999999999529</v>
      </c>
      <c r="M423" s="9">
        <f>data!J423</f>
        <v>-22.85</v>
      </c>
      <c r="N423" s="9">
        <f>data!I423</f>
        <v>-55</v>
      </c>
      <c r="O423" s="9">
        <f>data!L423</f>
        <v>-59</v>
      </c>
      <c r="P423" s="9">
        <f>data!K423</f>
        <v>-30.5</v>
      </c>
      <c r="Q423" s="9">
        <f>data!R423</f>
        <v>-13</v>
      </c>
      <c r="R423" s="9">
        <f t="shared" si="305"/>
        <v>-0.22499999999999787</v>
      </c>
      <c r="S423" s="9">
        <f t="shared" si="306"/>
        <v>0.35000000000000142</v>
      </c>
      <c r="T423" s="9">
        <f t="shared" si="307"/>
        <v>0.35000000000000142</v>
      </c>
      <c r="U423" s="9">
        <f t="shared" si="308"/>
        <v>-4.9999999999997158E-2</v>
      </c>
      <c r="V423" s="9">
        <f t="shared" si="309"/>
        <v>3.6500000000000021</v>
      </c>
      <c r="W423" s="9">
        <f t="shared" si="310"/>
        <v>2.5500000000000007</v>
      </c>
      <c r="X423" s="9">
        <f t="shared" si="311"/>
        <v>1.25</v>
      </c>
      <c r="Y423" s="9">
        <f t="shared" si="312"/>
        <v>0.85000000000000142</v>
      </c>
      <c r="Z423" s="9">
        <f t="shared" si="313"/>
        <v>0.75</v>
      </c>
      <c r="AA423" s="9">
        <f t="shared" si="314"/>
        <v>-1.6000000000000014</v>
      </c>
      <c r="AB423" s="9">
        <f t="shared" si="315"/>
        <v>-0.29999999999999716</v>
      </c>
      <c r="AC423" s="9">
        <f t="shared" si="316"/>
        <v>0.20000000000000284</v>
      </c>
      <c r="AD423" s="9">
        <f t="shared" si="317"/>
        <v>-0.10000000000000142</v>
      </c>
      <c r="AE423" s="9">
        <f t="shared" si="318"/>
        <v>-0.5</v>
      </c>
      <c r="AF423" s="9">
        <f t="shared" si="319"/>
        <v>-0.79999999999999716</v>
      </c>
      <c r="AG423" s="9">
        <f t="shared" si="320"/>
        <v>-1</v>
      </c>
      <c r="AH423" s="9">
        <f t="shared" si="321"/>
        <v>-1.3999999999999986</v>
      </c>
      <c r="AI423" s="9">
        <f t="shared" si="322"/>
        <v>-4.0499999999999972</v>
      </c>
      <c r="AJ423" s="9">
        <f t="shared" si="323"/>
        <v>-1.2999999999999972</v>
      </c>
      <c r="AK423" s="9">
        <f t="shared" si="324"/>
        <v>1.5</v>
      </c>
      <c r="AL423" s="9">
        <f t="shared" si="325"/>
        <v>2.7000000000000028</v>
      </c>
      <c r="AM423" s="9">
        <f t="shared" si="326"/>
        <v>6.8999999999999986</v>
      </c>
      <c r="AN423" s="9">
        <f t="shared" si="327"/>
        <v>7.2000000000000028</v>
      </c>
      <c r="AO423" s="9">
        <f t="shared" si="328"/>
        <v>4.7000000000000028</v>
      </c>
      <c r="AP423" s="9">
        <f t="shared" si="329"/>
        <v>4.2000000000000028</v>
      </c>
      <c r="AQ423" s="9">
        <f t="shared" si="330"/>
        <v>4.2000000000000028</v>
      </c>
      <c r="AR423" s="9">
        <f t="shared" si="331"/>
        <v>1.9500000000000028</v>
      </c>
      <c r="AS423" s="9">
        <f t="shared" si="332"/>
        <v>-0.89999999999999858</v>
      </c>
      <c r="AT423" s="9">
        <f t="shared" si="333"/>
        <v>0</v>
      </c>
      <c r="AU423" s="9">
        <f t="shared" si="334"/>
        <v>0.69999999999999929</v>
      </c>
      <c r="AV423" s="9">
        <f t="shared" si="335"/>
        <v>4.5</v>
      </c>
      <c r="AW423" s="9">
        <f t="shared" si="336"/>
        <v>5</v>
      </c>
      <c r="AX423" s="9">
        <f t="shared" si="337"/>
        <v>4.6999999999999993</v>
      </c>
      <c r="AY423" s="9">
        <f t="shared" si="338"/>
        <v>5.1999999999999993</v>
      </c>
      <c r="AZ423" s="9">
        <f t="shared" si="339"/>
        <v>6.5</v>
      </c>
      <c r="BA423" s="9">
        <f t="shared" si="340"/>
        <v>5.75</v>
      </c>
      <c r="BB423" s="9">
        <f t="shared" si="341"/>
        <v>-0.80000000000000071</v>
      </c>
      <c r="BC423" s="9">
        <f t="shared" si="342"/>
        <v>9.9999999999999645E-2</v>
      </c>
      <c r="BD423" s="9">
        <f t="shared" si="343"/>
        <v>0.69999999999999929</v>
      </c>
      <c r="BE423" s="9">
        <f t="shared" si="344"/>
        <v>3.1999999999999993</v>
      </c>
      <c r="BF423" s="9">
        <f t="shared" si="345"/>
        <v>4</v>
      </c>
      <c r="BG423" s="9">
        <f t="shared" si="346"/>
        <v>3.6999999999999993</v>
      </c>
      <c r="BH423" s="9">
        <f t="shared" si="347"/>
        <v>3.6999999999999993</v>
      </c>
      <c r="BI423" s="9">
        <f t="shared" si="348"/>
        <v>5.2</v>
      </c>
      <c r="BJ423" s="9">
        <f t="shared" si="349"/>
        <v>4.5</v>
      </c>
    </row>
    <row r="424" spans="1:62" x14ac:dyDescent="0.2">
      <c r="A424" s="9">
        <f>data!M425-data!M424</f>
        <v>0.1495000000000033</v>
      </c>
      <c r="B424" s="9">
        <f>data!C425-data!C424</f>
        <v>-0.55999999999999872</v>
      </c>
      <c r="C424" s="9">
        <f>data!D425-data!D424</f>
        <v>0.17250000000000121</v>
      </c>
      <c r="D424" s="10">
        <f>data!B425-data!B424</f>
        <v>6.0000000000000053E-2</v>
      </c>
      <c r="E424" s="9">
        <f>data!E424-data!G424</f>
        <v>1.1899</v>
      </c>
      <c r="F424" s="9">
        <f>(data!E424-data!F424)-(data!G424-data!H424)</f>
        <v>0.96489999999999998</v>
      </c>
      <c r="G424" s="9">
        <f t="shared" si="300"/>
        <v>6.3800000000000079E-2</v>
      </c>
      <c r="H424" s="9">
        <f t="shared" si="301"/>
        <v>4.2700000000000071E-2</v>
      </c>
      <c r="I424" s="9">
        <f>IF(data!M425&gt; 111.81,1,0)</f>
        <v>0</v>
      </c>
      <c r="J424" s="9">
        <f t="shared" si="302"/>
        <v>1</v>
      </c>
      <c r="K424" s="9">
        <f t="shared" si="303"/>
        <v>0</v>
      </c>
      <c r="L424" s="9">
        <f t="shared" si="304"/>
        <v>0.1495000000000033</v>
      </c>
      <c r="M424" s="9">
        <f>data!J424</f>
        <v>-23.074999999999999</v>
      </c>
      <c r="N424" s="9">
        <f>data!I424</f>
        <v>-56.6</v>
      </c>
      <c r="O424" s="9">
        <f>data!L424</f>
        <v>-60.3</v>
      </c>
      <c r="P424" s="9">
        <f>data!K424</f>
        <v>-31.4</v>
      </c>
      <c r="Q424" s="9">
        <f>data!R424</f>
        <v>-13.8</v>
      </c>
      <c r="R424" s="9">
        <f t="shared" si="305"/>
        <v>0.57499999999999929</v>
      </c>
      <c r="S424" s="9">
        <f t="shared" si="306"/>
        <v>0.57499999999999929</v>
      </c>
      <c r="T424" s="9">
        <f t="shared" si="307"/>
        <v>0.17500000000000071</v>
      </c>
      <c r="U424" s="9">
        <f t="shared" si="308"/>
        <v>3.875</v>
      </c>
      <c r="V424" s="9">
        <f t="shared" si="309"/>
        <v>2.7749999999999986</v>
      </c>
      <c r="W424" s="9">
        <f t="shared" si="310"/>
        <v>1.4749999999999979</v>
      </c>
      <c r="X424" s="9">
        <f t="shared" si="311"/>
        <v>1.0749999999999993</v>
      </c>
      <c r="Y424" s="9">
        <f t="shared" si="312"/>
        <v>0.97499999999999787</v>
      </c>
      <c r="Z424" s="9">
        <f t="shared" si="313"/>
        <v>0.57499999999999929</v>
      </c>
      <c r="AA424" s="9">
        <f t="shared" si="314"/>
        <v>1.3000000000000043</v>
      </c>
      <c r="AB424" s="9">
        <f t="shared" si="315"/>
        <v>1.8000000000000043</v>
      </c>
      <c r="AC424" s="9">
        <f t="shared" si="316"/>
        <v>1.5</v>
      </c>
      <c r="AD424" s="9">
        <f t="shared" si="317"/>
        <v>1.1000000000000014</v>
      </c>
      <c r="AE424" s="9">
        <f t="shared" si="318"/>
        <v>0.80000000000000426</v>
      </c>
      <c r="AF424" s="9">
        <f t="shared" si="319"/>
        <v>0.60000000000000142</v>
      </c>
      <c r="AG424" s="9">
        <f t="shared" si="320"/>
        <v>0.20000000000000284</v>
      </c>
      <c r="AH424" s="9">
        <f t="shared" si="321"/>
        <v>-2.4499999999999957</v>
      </c>
      <c r="AI424" s="9">
        <f t="shared" si="322"/>
        <v>-9.1999999999999957</v>
      </c>
      <c r="AJ424" s="9">
        <f t="shared" si="323"/>
        <v>2.7999999999999972</v>
      </c>
      <c r="AK424" s="9">
        <f t="shared" si="324"/>
        <v>4</v>
      </c>
      <c r="AL424" s="9">
        <f t="shared" si="325"/>
        <v>8.1999999999999957</v>
      </c>
      <c r="AM424" s="9">
        <f t="shared" si="326"/>
        <v>8.5</v>
      </c>
      <c r="AN424" s="9">
        <f t="shared" si="327"/>
        <v>6</v>
      </c>
      <c r="AO424" s="9">
        <f t="shared" si="328"/>
        <v>5.5</v>
      </c>
      <c r="AP424" s="9">
        <f t="shared" si="329"/>
        <v>5.5</v>
      </c>
      <c r="AQ424" s="9">
        <f t="shared" si="330"/>
        <v>3.25</v>
      </c>
      <c r="AR424" s="9">
        <f t="shared" si="331"/>
        <v>-5.5</v>
      </c>
      <c r="AS424" s="9">
        <f t="shared" si="332"/>
        <v>0.89999999999999858</v>
      </c>
      <c r="AT424" s="9">
        <f t="shared" si="333"/>
        <v>1.5999999999999979</v>
      </c>
      <c r="AU424" s="9">
        <f t="shared" si="334"/>
        <v>5.3999999999999986</v>
      </c>
      <c r="AV424" s="9">
        <f t="shared" si="335"/>
        <v>5.8999999999999986</v>
      </c>
      <c r="AW424" s="9">
        <f t="shared" si="336"/>
        <v>5.5999999999999979</v>
      </c>
      <c r="AX424" s="9">
        <f t="shared" si="337"/>
        <v>6.0999999999999979</v>
      </c>
      <c r="AY424" s="9">
        <f t="shared" si="338"/>
        <v>7.3999999999999986</v>
      </c>
      <c r="AZ424" s="9">
        <f t="shared" si="339"/>
        <v>6.6499999999999986</v>
      </c>
      <c r="BA424" s="9">
        <f t="shared" si="340"/>
        <v>1.6499999999999986</v>
      </c>
      <c r="BB424" s="9">
        <f t="shared" si="341"/>
        <v>0.90000000000000036</v>
      </c>
      <c r="BC424" s="9">
        <f t="shared" si="342"/>
        <v>1.5</v>
      </c>
      <c r="BD424" s="9">
        <f t="shared" si="343"/>
        <v>4</v>
      </c>
      <c r="BE424" s="9">
        <f t="shared" si="344"/>
        <v>4.8000000000000007</v>
      </c>
      <c r="BF424" s="9">
        <f t="shared" si="345"/>
        <v>4.5</v>
      </c>
      <c r="BG424" s="9">
        <f t="shared" si="346"/>
        <v>4.5</v>
      </c>
      <c r="BH424" s="9">
        <f t="shared" si="347"/>
        <v>6.0000000000000009</v>
      </c>
      <c r="BI424" s="9">
        <f t="shared" si="348"/>
        <v>5.3000000000000007</v>
      </c>
      <c r="BJ424" s="9">
        <f t="shared" si="349"/>
        <v>1.0500000000000007</v>
      </c>
    </row>
    <row r="425" spans="1:62" x14ac:dyDescent="0.2">
      <c r="A425" s="9">
        <f>data!M426-data!M425</f>
        <v>0.66459999999999297</v>
      </c>
      <c r="B425" s="9">
        <f>data!C426-data!C425</f>
        <v>1.7099999999999991</v>
      </c>
      <c r="C425" s="9">
        <f>data!D426-data!D425</f>
        <v>-0.24500000000000099</v>
      </c>
      <c r="D425" s="10">
        <f>data!B426-data!B425</f>
        <v>-0.1599999999999997</v>
      </c>
      <c r="E425" s="9">
        <f>data!E425-data!G425</f>
        <v>1.2537</v>
      </c>
      <c r="F425" s="9">
        <f>(data!E425-data!F425)-(data!G425-data!H425)</f>
        <v>1.0076000000000001</v>
      </c>
      <c r="G425" s="9">
        <f t="shared" si="300"/>
        <v>-1.6800000000000148E-2</v>
      </c>
      <c r="H425" s="9">
        <f t="shared" si="301"/>
        <v>1.8299999999999983E-2</v>
      </c>
      <c r="I425" s="9">
        <f>IF(data!M426&gt; 111.81,1,0)</f>
        <v>0</v>
      </c>
      <c r="J425" s="9">
        <f t="shared" si="302"/>
        <v>1</v>
      </c>
      <c r="K425" s="9">
        <f t="shared" si="303"/>
        <v>0</v>
      </c>
      <c r="L425" s="9">
        <f t="shared" si="304"/>
        <v>0.66459999999999297</v>
      </c>
      <c r="M425" s="9">
        <f>data!J425</f>
        <v>-22.5</v>
      </c>
      <c r="N425" s="9">
        <f>data!I425</f>
        <v>-55.3</v>
      </c>
      <c r="O425" s="9">
        <f>data!L425</f>
        <v>-57.5</v>
      </c>
      <c r="P425" s="9">
        <f>data!K425</f>
        <v>-30.5</v>
      </c>
      <c r="Q425" s="9">
        <f>data!R425</f>
        <v>-12.9</v>
      </c>
      <c r="R425" s="9">
        <f t="shared" si="305"/>
        <v>0</v>
      </c>
      <c r="S425" s="9">
        <f t="shared" si="306"/>
        <v>-0.39999999999999858</v>
      </c>
      <c r="T425" s="9">
        <f t="shared" si="307"/>
        <v>3.3000000000000007</v>
      </c>
      <c r="U425" s="9">
        <f t="shared" si="308"/>
        <v>2.1999999999999993</v>
      </c>
      <c r="V425" s="9">
        <f t="shared" si="309"/>
        <v>0.89999999999999858</v>
      </c>
      <c r="W425" s="9">
        <f t="shared" si="310"/>
        <v>0.5</v>
      </c>
      <c r="X425" s="9">
        <f t="shared" si="311"/>
        <v>0.39999999999999858</v>
      </c>
      <c r="Y425" s="9">
        <f t="shared" si="312"/>
        <v>0</v>
      </c>
      <c r="Z425" s="9">
        <f t="shared" si="313"/>
        <v>2.3000000000000007</v>
      </c>
      <c r="AA425" s="9">
        <f t="shared" si="314"/>
        <v>0.5</v>
      </c>
      <c r="AB425" s="9">
        <f t="shared" si="315"/>
        <v>0.19999999999999574</v>
      </c>
      <c r="AC425" s="9">
        <f t="shared" si="316"/>
        <v>-0.20000000000000284</v>
      </c>
      <c r="AD425" s="9">
        <f t="shared" si="317"/>
        <v>-0.5</v>
      </c>
      <c r="AE425" s="9">
        <f t="shared" si="318"/>
        <v>-0.70000000000000284</v>
      </c>
      <c r="AF425" s="9">
        <f t="shared" si="319"/>
        <v>-1.1000000000000014</v>
      </c>
      <c r="AG425" s="9">
        <f t="shared" si="320"/>
        <v>-3.75</v>
      </c>
      <c r="AH425" s="9">
        <f t="shared" si="321"/>
        <v>-10.5</v>
      </c>
      <c r="AI425" s="9">
        <f t="shared" si="322"/>
        <v>-5.2000000000000028</v>
      </c>
      <c r="AJ425" s="9">
        <f t="shared" si="323"/>
        <v>1.2000000000000028</v>
      </c>
      <c r="AK425" s="9">
        <f t="shared" si="324"/>
        <v>5.3999999999999986</v>
      </c>
      <c r="AL425" s="9">
        <f t="shared" si="325"/>
        <v>5.7000000000000028</v>
      </c>
      <c r="AM425" s="9">
        <f t="shared" si="326"/>
        <v>3.2000000000000028</v>
      </c>
      <c r="AN425" s="9">
        <f t="shared" si="327"/>
        <v>2.7000000000000028</v>
      </c>
      <c r="AO425" s="9">
        <f t="shared" si="328"/>
        <v>2.7000000000000028</v>
      </c>
      <c r="AP425" s="9">
        <f t="shared" si="329"/>
        <v>0.45000000000000284</v>
      </c>
      <c r="AQ425" s="9">
        <f t="shared" si="330"/>
        <v>-8.2999999999999972</v>
      </c>
      <c r="AR425" s="9">
        <f t="shared" si="331"/>
        <v>-5.5</v>
      </c>
      <c r="AS425" s="9">
        <f t="shared" si="332"/>
        <v>0.69999999999999929</v>
      </c>
      <c r="AT425" s="9">
        <f t="shared" si="333"/>
        <v>4.5</v>
      </c>
      <c r="AU425" s="9">
        <f t="shared" si="334"/>
        <v>5</v>
      </c>
      <c r="AV425" s="9">
        <f t="shared" si="335"/>
        <v>4.6999999999999993</v>
      </c>
      <c r="AW425" s="9">
        <f t="shared" si="336"/>
        <v>5.1999999999999993</v>
      </c>
      <c r="AX425" s="9">
        <f t="shared" si="337"/>
        <v>6.5</v>
      </c>
      <c r="AY425" s="9">
        <f t="shared" si="338"/>
        <v>5.75</v>
      </c>
      <c r="AZ425" s="9">
        <f t="shared" si="339"/>
        <v>0.75</v>
      </c>
      <c r="BA425" s="9">
        <f t="shared" si="340"/>
        <v>1.8999999999999986</v>
      </c>
      <c r="BB425" s="9">
        <f t="shared" si="341"/>
        <v>0.59999999999999964</v>
      </c>
      <c r="BC425" s="9">
        <f t="shared" si="342"/>
        <v>3.0999999999999996</v>
      </c>
      <c r="BD425" s="9">
        <f t="shared" si="343"/>
        <v>3.9000000000000004</v>
      </c>
      <c r="BE425" s="9">
        <f t="shared" si="344"/>
        <v>3.5999999999999996</v>
      </c>
      <c r="BF425" s="9">
        <f t="shared" si="345"/>
        <v>3.5999999999999996</v>
      </c>
      <c r="BG425" s="9">
        <f t="shared" si="346"/>
        <v>5.1000000000000005</v>
      </c>
      <c r="BH425" s="9">
        <f t="shared" si="347"/>
        <v>4.4000000000000004</v>
      </c>
      <c r="BI425" s="9">
        <f t="shared" si="348"/>
        <v>0.15000000000000036</v>
      </c>
      <c r="BJ425" s="9">
        <f t="shared" si="349"/>
        <v>2.0999999999999996</v>
      </c>
    </row>
    <row r="426" spans="1:62" x14ac:dyDescent="0.2">
      <c r="A426" s="9">
        <f>data!M427-data!M426</f>
        <v>0.49800000000000466</v>
      </c>
      <c r="B426" s="9">
        <f>data!C427-data!C426</f>
        <v>1.1899999999999995</v>
      </c>
      <c r="C426" s="9">
        <f>data!D427-data!D426</f>
        <v>0.11000000000000121</v>
      </c>
      <c r="D426" s="10">
        <f>data!B427-data!B426</f>
        <v>-0.19750000000000023</v>
      </c>
      <c r="E426" s="9">
        <f>data!E426-data!G426</f>
        <v>1.2368999999999999</v>
      </c>
      <c r="F426" s="9">
        <f>(data!E426-data!F426)-(data!G426-data!H426)</f>
        <v>1.0259</v>
      </c>
      <c r="G426" s="9">
        <f t="shared" si="300"/>
        <v>-5.0699999999999967E-2</v>
      </c>
      <c r="H426" s="9">
        <f t="shared" si="301"/>
        <v>-2.8900000000000037E-2</v>
      </c>
      <c r="I426" s="9">
        <f>IF(data!M427&gt; 111.81,1,0)</f>
        <v>0</v>
      </c>
      <c r="J426" s="9">
        <f t="shared" si="302"/>
        <v>1</v>
      </c>
      <c r="K426" s="9">
        <f t="shared" si="303"/>
        <v>0</v>
      </c>
      <c r="L426" s="9">
        <f t="shared" si="304"/>
        <v>0.49800000000000466</v>
      </c>
      <c r="M426" s="9">
        <f>data!J426</f>
        <v>-22.5</v>
      </c>
      <c r="N426" s="9">
        <f>data!I426</f>
        <v>-54.8</v>
      </c>
      <c r="O426" s="9">
        <f>data!L426</f>
        <v>-56.3</v>
      </c>
      <c r="P426" s="9">
        <f>data!K426</f>
        <v>-29.8</v>
      </c>
      <c r="Q426" s="9">
        <f>data!R426</f>
        <v>-12.3</v>
      </c>
      <c r="R426" s="9">
        <f t="shared" si="305"/>
        <v>-0.39999999999999858</v>
      </c>
      <c r="S426" s="9">
        <f t="shared" si="306"/>
        <v>3.3000000000000007</v>
      </c>
      <c r="T426" s="9">
        <f t="shared" si="307"/>
        <v>2.1999999999999993</v>
      </c>
      <c r="U426" s="9">
        <f t="shared" si="308"/>
        <v>0.89999999999999858</v>
      </c>
      <c r="V426" s="9">
        <f t="shared" si="309"/>
        <v>0.5</v>
      </c>
      <c r="W426" s="9">
        <f t="shared" si="310"/>
        <v>0.39999999999999858</v>
      </c>
      <c r="X426" s="9">
        <f t="shared" si="311"/>
        <v>0</v>
      </c>
      <c r="Y426" s="9">
        <f t="shared" si="312"/>
        <v>2.3000000000000007</v>
      </c>
      <c r="Z426" s="9">
        <f t="shared" si="313"/>
        <v>1.6999999999999993</v>
      </c>
      <c r="AA426" s="9">
        <f t="shared" si="314"/>
        <v>-0.30000000000000426</v>
      </c>
      <c r="AB426" s="9">
        <f t="shared" si="315"/>
        <v>-0.70000000000000284</v>
      </c>
      <c r="AC426" s="9">
        <f t="shared" si="316"/>
        <v>-1</v>
      </c>
      <c r="AD426" s="9">
        <f t="shared" si="317"/>
        <v>-1.2000000000000028</v>
      </c>
      <c r="AE426" s="9">
        <f t="shared" si="318"/>
        <v>-1.6000000000000014</v>
      </c>
      <c r="AF426" s="9">
        <f t="shared" si="319"/>
        <v>-4.25</v>
      </c>
      <c r="AG426" s="9">
        <f t="shared" si="320"/>
        <v>-11</v>
      </c>
      <c r="AH426" s="9">
        <f t="shared" si="321"/>
        <v>-5.7000000000000028</v>
      </c>
      <c r="AI426" s="9">
        <f t="shared" si="322"/>
        <v>-9.5</v>
      </c>
      <c r="AJ426" s="9">
        <f t="shared" si="323"/>
        <v>4.1999999999999957</v>
      </c>
      <c r="AK426" s="9">
        <f t="shared" si="324"/>
        <v>4.5</v>
      </c>
      <c r="AL426" s="9">
        <f t="shared" si="325"/>
        <v>2</v>
      </c>
      <c r="AM426" s="9">
        <f t="shared" si="326"/>
        <v>1.5</v>
      </c>
      <c r="AN426" s="9">
        <f t="shared" si="327"/>
        <v>1.5</v>
      </c>
      <c r="AO426" s="9">
        <f t="shared" si="328"/>
        <v>-0.75</v>
      </c>
      <c r="AP426" s="9">
        <f t="shared" si="329"/>
        <v>-9.5</v>
      </c>
      <c r="AQ426" s="9">
        <f t="shared" si="330"/>
        <v>-6.7000000000000028</v>
      </c>
      <c r="AR426" s="9">
        <f t="shared" si="331"/>
        <v>-11.5</v>
      </c>
      <c r="AS426" s="9">
        <f t="shared" si="332"/>
        <v>3.8000000000000007</v>
      </c>
      <c r="AT426" s="9">
        <f t="shared" si="333"/>
        <v>4.3000000000000007</v>
      </c>
      <c r="AU426" s="9">
        <f t="shared" si="334"/>
        <v>4</v>
      </c>
      <c r="AV426" s="9">
        <f t="shared" si="335"/>
        <v>4.5</v>
      </c>
      <c r="AW426" s="9">
        <f t="shared" si="336"/>
        <v>5.8000000000000007</v>
      </c>
      <c r="AX426" s="9">
        <f t="shared" si="337"/>
        <v>5.0500000000000007</v>
      </c>
      <c r="AY426" s="9">
        <f t="shared" si="338"/>
        <v>5.0000000000000711E-2</v>
      </c>
      <c r="AZ426" s="9">
        <f t="shared" si="339"/>
        <v>1.1999999999999993</v>
      </c>
      <c r="BA426" s="9">
        <f t="shared" si="340"/>
        <v>-2.5999999999999979</v>
      </c>
      <c r="BB426" s="9">
        <f t="shared" si="341"/>
        <v>2.5</v>
      </c>
      <c r="BC426" s="9">
        <f t="shared" si="342"/>
        <v>3.3000000000000007</v>
      </c>
      <c r="BD426" s="9">
        <f t="shared" si="343"/>
        <v>3</v>
      </c>
      <c r="BE426" s="9">
        <f t="shared" si="344"/>
        <v>3</v>
      </c>
      <c r="BF426" s="9">
        <f t="shared" si="345"/>
        <v>4.5000000000000009</v>
      </c>
      <c r="BG426" s="9">
        <f t="shared" si="346"/>
        <v>3.8000000000000007</v>
      </c>
      <c r="BH426" s="9">
        <f t="shared" si="347"/>
        <v>-0.44999999999999929</v>
      </c>
      <c r="BI426" s="9">
        <f t="shared" si="348"/>
        <v>1.5</v>
      </c>
      <c r="BJ426" s="9">
        <f t="shared" si="349"/>
        <v>-2.0999999999999996</v>
      </c>
    </row>
    <row r="427" spans="1:62" x14ac:dyDescent="0.2">
      <c r="A427" s="9">
        <f>data!M428-data!M427</f>
        <v>7.5000000000073896E-3</v>
      </c>
      <c r="B427" s="9">
        <f>data!C428-data!C427</f>
        <v>-2.7699999999999996</v>
      </c>
      <c r="C427" s="9">
        <f>data!D428-data!D427</f>
        <v>0.10749999999999993</v>
      </c>
      <c r="D427" s="10">
        <f>data!B428-data!B427</f>
        <v>0.29749999999999988</v>
      </c>
      <c r="E427" s="9">
        <f>data!E427-data!G427</f>
        <v>1.1861999999999999</v>
      </c>
      <c r="F427" s="9">
        <f>(data!E427-data!F427)-(data!G427-data!H427)</f>
        <v>0.997</v>
      </c>
      <c r="G427" s="9">
        <f t="shared" si="300"/>
        <v>0.21350000000000002</v>
      </c>
      <c r="H427" s="9">
        <f t="shared" si="301"/>
        <v>0.1977000000000001</v>
      </c>
      <c r="I427" s="9">
        <f>IF(data!M428&gt; 111.81,1,0)</f>
        <v>0</v>
      </c>
      <c r="J427" s="9">
        <f t="shared" si="302"/>
        <v>1</v>
      </c>
      <c r="K427" s="9">
        <f t="shared" si="303"/>
        <v>0</v>
      </c>
      <c r="L427" s="9">
        <f t="shared" si="304"/>
        <v>7.5000000000073896E-3</v>
      </c>
      <c r="M427" s="9">
        <f>data!J427</f>
        <v>-22.9</v>
      </c>
      <c r="N427" s="9">
        <f>data!I427</f>
        <v>-55.1</v>
      </c>
      <c r="O427" s="9">
        <f>data!L427</f>
        <v>-52.1</v>
      </c>
      <c r="P427" s="9">
        <f>data!K427</f>
        <v>-26</v>
      </c>
      <c r="Q427" s="9">
        <f>data!R427</f>
        <v>-9.8000000000000007</v>
      </c>
      <c r="R427" s="9">
        <f t="shared" si="305"/>
        <v>3.6999999999999993</v>
      </c>
      <c r="S427" s="9">
        <f t="shared" si="306"/>
        <v>2.5999999999999979</v>
      </c>
      <c r="T427" s="9">
        <f t="shared" si="307"/>
        <v>1.2999999999999972</v>
      </c>
      <c r="U427" s="9">
        <f t="shared" si="308"/>
        <v>0.89999999999999858</v>
      </c>
      <c r="V427" s="9">
        <f t="shared" si="309"/>
        <v>0.79999999999999716</v>
      </c>
      <c r="W427" s="9">
        <f t="shared" si="310"/>
        <v>0.39999999999999858</v>
      </c>
      <c r="X427" s="9">
        <f t="shared" si="311"/>
        <v>2.6999999999999993</v>
      </c>
      <c r="Y427" s="9">
        <f t="shared" si="312"/>
        <v>2.0999999999999979</v>
      </c>
      <c r="Z427" s="9">
        <f t="shared" si="313"/>
        <v>4.5749999999999993</v>
      </c>
      <c r="AA427" s="9">
        <f t="shared" si="314"/>
        <v>-0.39999999999999858</v>
      </c>
      <c r="AB427" s="9">
        <f t="shared" si="315"/>
        <v>-0.69999999999999574</v>
      </c>
      <c r="AC427" s="9">
        <f t="shared" si="316"/>
        <v>-0.89999999999999858</v>
      </c>
      <c r="AD427" s="9">
        <f t="shared" si="317"/>
        <v>-1.2999999999999972</v>
      </c>
      <c r="AE427" s="9">
        <f t="shared" si="318"/>
        <v>-3.9499999999999957</v>
      </c>
      <c r="AF427" s="9">
        <f t="shared" si="319"/>
        <v>-10.699999999999996</v>
      </c>
      <c r="AG427" s="9">
        <f t="shared" si="320"/>
        <v>-5.3999999999999986</v>
      </c>
      <c r="AH427" s="9">
        <f t="shared" si="321"/>
        <v>-9.1999999999999957</v>
      </c>
      <c r="AI427" s="9">
        <f t="shared" si="322"/>
        <v>-7.1499999999999986</v>
      </c>
      <c r="AJ427" s="9">
        <f t="shared" si="323"/>
        <v>0.30000000000000426</v>
      </c>
      <c r="AK427" s="9">
        <f t="shared" si="324"/>
        <v>-2.1999999999999957</v>
      </c>
      <c r="AL427" s="9">
        <f t="shared" si="325"/>
        <v>-2.6999999999999957</v>
      </c>
      <c r="AM427" s="9">
        <f t="shared" si="326"/>
        <v>-2.6999999999999957</v>
      </c>
      <c r="AN427" s="9">
        <f t="shared" si="327"/>
        <v>-4.9499999999999957</v>
      </c>
      <c r="AO427" s="9">
        <f t="shared" si="328"/>
        <v>-13.699999999999996</v>
      </c>
      <c r="AP427" s="9">
        <f t="shared" si="329"/>
        <v>-10.899999999999999</v>
      </c>
      <c r="AQ427" s="9">
        <f t="shared" si="330"/>
        <v>-15.699999999999996</v>
      </c>
      <c r="AR427" s="9">
        <f t="shared" si="331"/>
        <v>-15.399999999999999</v>
      </c>
      <c r="AS427" s="9">
        <f t="shared" si="332"/>
        <v>0.5</v>
      </c>
      <c r="AT427" s="9">
        <f t="shared" si="333"/>
        <v>0.19999999999999929</v>
      </c>
      <c r="AU427" s="9">
        <f t="shared" si="334"/>
        <v>0.69999999999999929</v>
      </c>
      <c r="AV427" s="9">
        <f t="shared" si="335"/>
        <v>2</v>
      </c>
      <c r="AW427" s="9">
        <f t="shared" si="336"/>
        <v>1.25</v>
      </c>
      <c r="AX427" s="9">
        <f t="shared" si="337"/>
        <v>-3.75</v>
      </c>
      <c r="AY427" s="9">
        <f t="shared" si="338"/>
        <v>-2.6000000000000014</v>
      </c>
      <c r="AZ427" s="9">
        <f t="shared" si="339"/>
        <v>-6.3999999999999986</v>
      </c>
      <c r="BA427" s="9">
        <f t="shared" si="340"/>
        <v>-6.1000000000000014</v>
      </c>
      <c r="BB427" s="9">
        <f t="shared" si="341"/>
        <v>0.80000000000000071</v>
      </c>
      <c r="BC427" s="9">
        <f t="shared" si="342"/>
        <v>0.5</v>
      </c>
      <c r="BD427" s="9">
        <f t="shared" si="343"/>
        <v>0.5</v>
      </c>
      <c r="BE427" s="9">
        <f t="shared" si="344"/>
        <v>2.0000000000000009</v>
      </c>
      <c r="BF427" s="9">
        <f t="shared" si="345"/>
        <v>1.3000000000000007</v>
      </c>
      <c r="BG427" s="9">
        <f t="shared" si="346"/>
        <v>-2.9499999999999993</v>
      </c>
      <c r="BH427" s="9">
        <f t="shared" si="347"/>
        <v>-1</v>
      </c>
      <c r="BI427" s="9">
        <f t="shared" si="348"/>
        <v>-4.5999999999999996</v>
      </c>
      <c r="BJ427" s="9">
        <f t="shared" si="349"/>
        <v>-4.5</v>
      </c>
    </row>
    <row r="428" spans="1:62" x14ac:dyDescent="0.2">
      <c r="A428" s="9">
        <f>data!M429-data!M428</f>
        <v>-0.49720000000000653</v>
      </c>
      <c r="B428" s="9">
        <f>data!C429-data!C428</f>
        <v>-1.2899999999999991</v>
      </c>
      <c r="C428" s="9">
        <f>data!D429-data!D428</f>
        <v>-0.40000000000000036</v>
      </c>
      <c r="D428" s="10">
        <f>data!B429-data!B428</f>
        <v>0.4700000000000002</v>
      </c>
      <c r="E428" s="9">
        <f>data!E428-data!G428</f>
        <v>1.3996999999999999</v>
      </c>
      <c r="F428" s="9">
        <f>(data!E428-data!F428)-(data!G428-data!H428)</f>
        <v>1.1947000000000001</v>
      </c>
      <c r="G428" s="9">
        <f t="shared" si="300"/>
        <v>-3.0200000000000005E-2</v>
      </c>
      <c r="H428" s="9">
        <f t="shared" si="301"/>
        <v>-3.3199999999999896E-2</v>
      </c>
      <c r="I428" s="9">
        <f>IF(data!M429&gt; 111.81,1,0)</f>
        <v>0</v>
      </c>
      <c r="J428" s="9">
        <f t="shared" si="302"/>
        <v>1</v>
      </c>
      <c r="K428" s="9">
        <f t="shared" si="303"/>
        <v>0</v>
      </c>
      <c r="L428" s="9">
        <f t="shared" si="304"/>
        <v>-0.49720000000000653</v>
      </c>
      <c r="M428" s="9">
        <f>data!J428</f>
        <v>-19.2</v>
      </c>
      <c r="N428" s="9">
        <f>data!I428</f>
        <v>-55.5</v>
      </c>
      <c r="O428" s="9">
        <f>data!L428</f>
        <v>-51.8</v>
      </c>
      <c r="P428" s="9">
        <f>data!K428</f>
        <v>-25.5</v>
      </c>
      <c r="Q428" s="9">
        <f>data!R428</f>
        <v>-9</v>
      </c>
      <c r="R428" s="9">
        <f t="shared" si="305"/>
        <v>-1.1000000000000014</v>
      </c>
      <c r="S428" s="9">
        <f t="shared" si="306"/>
        <v>-2.4000000000000021</v>
      </c>
      <c r="T428" s="9">
        <f t="shared" si="307"/>
        <v>-2.8000000000000007</v>
      </c>
      <c r="U428" s="9">
        <f t="shared" si="308"/>
        <v>-2.9000000000000021</v>
      </c>
      <c r="V428" s="9">
        <f t="shared" si="309"/>
        <v>-3.3000000000000007</v>
      </c>
      <c r="W428" s="9">
        <f t="shared" si="310"/>
        <v>-1</v>
      </c>
      <c r="X428" s="9">
        <f t="shared" si="311"/>
        <v>-1.6000000000000014</v>
      </c>
      <c r="Y428" s="9">
        <f t="shared" si="312"/>
        <v>0.875</v>
      </c>
      <c r="Z428" s="9">
        <f t="shared" si="313"/>
        <v>3.0999999999999979</v>
      </c>
      <c r="AA428" s="9">
        <f t="shared" si="314"/>
        <v>-0.29999999999999716</v>
      </c>
      <c r="AB428" s="9">
        <f t="shared" si="315"/>
        <v>-0.5</v>
      </c>
      <c r="AC428" s="9">
        <f t="shared" si="316"/>
        <v>-0.89999999999999858</v>
      </c>
      <c r="AD428" s="9">
        <f t="shared" si="317"/>
        <v>-3.5499999999999972</v>
      </c>
      <c r="AE428" s="9">
        <f t="shared" si="318"/>
        <v>-10.299999999999997</v>
      </c>
      <c r="AF428" s="9">
        <f t="shared" si="319"/>
        <v>-5</v>
      </c>
      <c r="AG428" s="9">
        <f t="shared" si="320"/>
        <v>-8.7999999999999972</v>
      </c>
      <c r="AH428" s="9">
        <f t="shared" si="321"/>
        <v>-6.75</v>
      </c>
      <c r="AI428" s="9">
        <f t="shared" si="322"/>
        <v>-5.3999999999999986</v>
      </c>
      <c r="AJ428" s="9">
        <f t="shared" si="323"/>
        <v>-2.5</v>
      </c>
      <c r="AK428" s="9">
        <f t="shared" si="324"/>
        <v>-3</v>
      </c>
      <c r="AL428" s="9">
        <f t="shared" si="325"/>
        <v>-3</v>
      </c>
      <c r="AM428" s="9">
        <f t="shared" si="326"/>
        <v>-5.25</v>
      </c>
      <c r="AN428" s="9">
        <f t="shared" si="327"/>
        <v>-14</v>
      </c>
      <c r="AO428" s="9">
        <f t="shared" si="328"/>
        <v>-11.200000000000003</v>
      </c>
      <c r="AP428" s="9">
        <f t="shared" si="329"/>
        <v>-16</v>
      </c>
      <c r="AQ428" s="9">
        <f t="shared" si="330"/>
        <v>-15.700000000000003</v>
      </c>
      <c r="AR428" s="9">
        <f t="shared" si="331"/>
        <v>-15</v>
      </c>
      <c r="AS428" s="9">
        <f t="shared" si="332"/>
        <v>-0.30000000000000071</v>
      </c>
      <c r="AT428" s="9">
        <f t="shared" si="333"/>
        <v>0.19999999999999929</v>
      </c>
      <c r="AU428" s="9">
        <f t="shared" si="334"/>
        <v>1.5</v>
      </c>
      <c r="AV428" s="9">
        <f t="shared" si="335"/>
        <v>0.75</v>
      </c>
      <c r="AW428" s="9">
        <f t="shared" si="336"/>
        <v>-4.25</v>
      </c>
      <c r="AX428" s="9">
        <f t="shared" si="337"/>
        <v>-3.1000000000000014</v>
      </c>
      <c r="AY428" s="9">
        <f t="shared" si="338"/>
        <v>-6.8999999999999986</v>
      </c>
      <c r="AZ428" s="9">
        <f t="shared" si="339"/>
        <v>-6.6000000000000014</v>
      </c>
      <c r="BA428" s="9">
        <f t="shared" si="340"/>
        <v>-8.25</v>
      </c>
      <c r="BB428" s="9">
        <f t="shared" si="341"/>
        <v>-0.30000000000000071</v>
      </c>
      <c r="BC428" s="9">
        <f t="shared" si="342"/>
        <v>-0.30000000000000071</v>
      </c>
      <c r="BD428" s="9">
        <f t="shared" si="343"/>
        <v>1.2000000000000002</v>
      </c>
      <c r="BE428" s="9">
        <f t="shared" si="344"/>
        <v>0.5</v>
      </c>
      <c r="BF428" s="9">
        <f t="shared" si="345"/>
        <v>-3.75</v>
      </c>
      <c r="BG428" s="9">
        <f t="shared" si="346"/>
        <v>-1.8000000000000007</v>
      </c>
      <c r="BH428" s="9">
        <f t="shared" si="347"/>
        <v>-5.4</v>
      </c>
      <c r="BI428" s="9">
        <f t="shared" si="348"/>
        <v>-5.3000000000000007</v>
      </c>
      <c r="BJ428" s="9">
        <f t="shared" si="349"/>
        <v>-7</v>
      </c>
    </row>
    <row r="429" spans="1:62" x14ac:dyDescent="0.2">
      <c r="A429" s="9">
        <f>data!M430-data!M429</f>
        <v>7.7100000000001501E-2</v>
      </c>
      <c r="B429" s="9">
        <f>data!C430-data!C429</f>
        <v>2.2699999999999996</v>
      </c>
      <c r="C429" s="9">
        <f>data!D430-data!D429</f>
        <v>0.55000000000000071</v>
      </c>
      <c r="D429" s="10">
        <f>data!B430-data!B429</f>
        <v>-0.11499999999999999</v>
      </c>
      <c r="E429" s="9">
        <f>data!E429-data!G429</f>
        <v>1.3694999999999999</v>
      </c>
      <c r="F429" s="9">
        <f>(data!E429-data!F429)-(data!G429-data!H429)</f>
        <v>1.1615000000000002</v>
      </c>
      <c r="G429" s="9">
        <f t="shared" si="300"/>
        <v>-5.5000000000000604E-3</v>
      </c>
      <c r="H429" s="9">
        <f t="shared" si="301"/>
        <v>1.0499999999999954E-2</v>
      </c>
      <c r="I429" s="9">
        <f>IF(data!M430&gt; 111.81,1,0)</f>
        <v>0</v>
      </c>
      <c r="J429" s="9">
        <f t="shared" si="302"/>
        <v>1</v>
      </c>
      <c r="K429" s="9">
        <f t="shared" si="303"/>
        <v>0</v>
      </c>
      <c r="L429" s="9">
        <f t="shared" si="304"/>
        <v>7.7100000000001501E-2</v>
      </c>
      <c r="M429" s="9">
        <f>data!J429</f>
        <v>-20.3</v>
      </c>
      <c r="N429" s="9">
        <f>data!I429</f>
        <v>-55.8</v>
      </c>
      <c r="O429" s="9">
        <f>data!L429</f>
        <v>-54.3</v>
      </c>
      <c r="P429" s="9">
        <f>data!K429</f>
        <v>-25.8</v>
      </c>
      <c r="Q429" s="9">
        <f>data!R429</f>
        <v>-9.3000000000000007</v>
      </c>
      <c r="R429" s="9">
        <f t="shared" si="305"/>
        <v>-1.3000000000000007</v>
      </c>
      <c r="S429" s="9">
        <f t="shared" si="306"/>
        <v>-1.6999999999999993</v>
      </c>
      <c r="T429" s="9">
        <f t="shared" si="307"/>
        <v>-1.8000000000000007</v>
      </c>
      <c r="U429" s="9">
        <f t="shared" si="308"/>
        <v>-2.1999999999999993</v>
      </c>
      <c r="V429" s="9">
        <f t="shared" si="309"/>
        <v>0.10000000000000142</v>
      </c>
      <c r="W429" s="9">
        <f t="shared" si="310"/>
        <v>-0.5</v>
      </c>
      <c r="X429" s="9">
        <f t="shared" si="311"/>
        <v>1.9750000000000014</v>
      </c>
      <c r="Y429" s="9">
        <f t="shared" si="312"/>
        <v>4.1999999999999993</v>
      </c>
      <c r="Z429" s="9">
        <f t="shared" si="313"/>
        <v>3.6999999999999993</v>
      </c>
      <c r="AA429" s="9">
        <f t="shared" si="314"/>
        <v>-0.20000000000000284</v>
      </c>
      <c r="AB429" s="9">
        <f t="shared" si="315"/>
        <v>-0.60000000000000142</v>
      </c>
      <c r="AC429" s="9">
        <f t="shared" si="316"/>
        <v>-3.25</v>
      </c>
      <c r="AD429" s="9">
        <f t="shared" si="317"/>
        <v>-10</v>
      </c>
      <c r="AE429" s="9">
        <f t="shared" si="318"/>
        <v>-4.7000000000000028</v>
      </c>
      <c r="AF429" s="9">
        <f t="shared" si="319"/>
        <v>-8.5</v>
      </c>
      <c r="AG429" s="9">
        <f t="shared" si="320"/>
        <v>-6.4500000000000028</v>
      </c>
      <c r="AH429" s="9">
        <f t="shared" si="321"/>
        <v>-5.1000000000000014</v>
      </c>
      <c r="AI429" s="9">
        <f t="shared" si="322"/>
        <v>-5.2000000000000028</v>
      </c>
      <c r="AJ429" s="9">
        <f t="shared" si="323"/>
        <v>-0.5</v>
      </c>
      <c r="AK429" s="9">
        <f t="shared" si="324"/>
        <v>-0.5</v>
      </c>
      <c r="AL429" s="9">
        <f t="shared" si="325"/>
        <v>-2.75</v>
      </c>
      <c r="AM429" s="9">
        <f t="shared" si="326"/>
        <v>-11.5</v>
      </c>
      <c r="AN429" s="9">
        <f t="shared" si="327"/>
        <v>-8.7000000000000028</v>
      </c>
      <c r="AO429" s="9">
        <f t="shared" si="328"/>
        <v>-13.5</v>
      </c>
      <c r="AP429" s="9">
        <f t="shared" si="329"/>
        <v>-13.200000000000003</v>
      </c>
      <c r="AQ429" s="9">
        <f t="shared" si="330"/>
        <v>-12.5</v>
      </c>
      <c r="AR429" s="9">
        <f t="shared" si="331"/>
        <v>-16.625</v>
      </c>
      <c r="AS429" s="9">
        <f t="shared" si="332"/>
        <v>0.5</v>
      </c>
      <c r="AT429" s="9">
        <f t="shared" si="333"/>
        <v>1.8000000000000007</v>
      </c>
      <c r="AU429" s="9">
        <f t="shared" si="334"/>
        <v>1.0500000000000007</v>
      </c>
      <c r="AV429" s="9">
        <f t="shared" si="335"/>
        <v>-3.9499999999999993</v>
      </c>
      <c r="AW429" s="9">
        <f t="shared" si="336"/>
        <v>-2.8000000000000007</v>
      </c>
      <c r="AX429" s="9">
        <f t="shared" si="337"/>
        <v>-6.5999999999999979</v>
      </c>
      <c r="AY429" s="9">
        <f t="shared" si="338"/>
        <v>-6.3000000000000007</v>
      </c>
      <c r="AZ429" s="9">
        <f t="shared" si="339"/>
        <v>-7.9499999999999993</v>
      </c>
      <c r="BA429" s="9">
        <f t="shared" si="340"/>
        <v>-13.999999999999996</v>
      </c>
      <c r="BB429" s="9">
        <f t="shared" si="341"/>
        <v>0</v>
      </c>
      <c r="BC429" s="9">
        <f t="shared" si="342"/>
        <v>1.5000000000000009</v>
      </c>
      <c r="BD429" s="9">
        <f t="shared" si="343"/>
        <v>0.80000000000000071</v>
      </c>
      <c r="BE429" s="9">
        <f t="shared" si="344"/>
        <v>-3.4499999999999993</v>
      </c>
      <c r="BF429" s="9">
        <f t="shared" si="345"/>
        <v>-1.5</v>
      </c>
      <c r="BG429" s="9">
        <f t="shared" si="346"/>
        <v>-5.0999999999999996</v>
      </c>
      <c r="BH429" s="9">
        <f t="shared" si="347"/>
        <v>-5</v>
      </c>
      <c r="BI429" s="9">
        <f t="shared" si="348"/>
        <v>-6.6999999999999993</v>
      </c>
      <c r="BJ429" s="9">
        <f t="shared" si="349"/>
        <v>-13.45</v>
      </c>
    </row>
    <row r="430" spans="1:62" x14ac:dyDescent="0.2">
      <c r="A430" s="9">
        <f>data!M431-data!M430</f>
        <v>9.6900000000005093E-2</v>
      </c>
      <c r="B430" s="9">
        <f>data!C431-data!C430</f>
        <v>-0.87000000000000099</v>
      </c>
      <c r="C430" s="9">
        <f>data!D431-data!D430</f>
        <v>-0.50750000000000028</v>
      </c>
      <c r="D430" s="10">
        <f>data!B431-data!B430</f>
        <v>-4.4999999999999929E-2</v>
      </c>
      <c r="E430" s="9">
        <f>data!E430-data!G430</f>
        <v>1.3639999999999999</v>
      </c>
      <c r="F430" s="9">
        <f>(data!E430-data!F430)-(data!G430-data!H430)</f>
        <v>1.1720000000000002</v>
      </c>
      <c r="G430" s="9">
        <f t="shared" si="300"/>
        <v>-6.1399999999999899E-2</v>
      </c>
      <c r="H430" s="9">
        <f t="shared" si="301"/>
        <v>-6.4500000000000224E-2</v>
      </c>
      <c r="I430" s="9">
        <f>IF(data!M431&gt; 111.81,1,0)</f>
        <v>0</v>
      </c>
      <c r="J430" s="9">
        <f t="shared" si="302"/>
        <v>1</v>
      </c>
      <c r="K430" s="9">
        <f t="shared" si="303"/>
        <v>0</v>
      </c>
      <c r="L430" s="9">
        <f t="shared" si="304"/>
        <v>9.6900000000005093E-2</v>
      </c>
      <c r="M430" s="9">
        <f>data!J430</f>
        <v>-21.6</v>
      </c>
      <c r="N430" s="9">
        <f>data!I430</f>
        <v>-56</v>
      </c>
      <c r="O430" s="9">
        <f>data!L430</f>
        <v>-54.8</v>
      </c>
      <c r="P430" s="9">
        <f>data!K430</f>
        <v>-25.3</v>
      </c>
      <c r="Q430" s="9">
        <f>data!R430</f>
        <v>-9.3000000000000007</v>
      </c>
      <c r="R430" s="9">
        <f t="shared" si="305"/>
        <v>-0.39999999999999858</v>
      </c>
      <c r="S430" s="9">
        <f t="shared" si="306"/>
        <v>-0.5</v>
      </c>
      <c r="T430" s="9">
        <f t="shared" si="307"/>
        <v>-0.89999999999999858</v>
      </c>
      <c r="U430" s="9">
        <f t="shared" si="308"/>
        <v>1.4000000000000021</v>
      </c>
      <c r="V430" s="9">
        <f t="shared" si="309"/>
        <v>0.80000000000000071</v>
      </c>
      <c r="W430" s="9">
        <f t="shared" si="310"/>
        <v>3.2750000000000021</v>
      </c>
      <c r="X430" s="9">
        <f t="shared" si="311"/>
        <v>5.5</v>
      </c>
      <c r="Y430" s="9">
        <f t="shared" si="312"/>
        <v>5</v>
      </c>
      <c r="Z430" s="9">
        <f t="shared" si="313"/>
        <v>3.6000000000000014</v>
      </c>
      <c r="AA430" s="9">
        <f t="shared" si="314"/>
        <v>-0.39999999999999858</v>
      </c>
      <c r="AB430" s="9">
        <f t="shared" si="315"/>
        <v>-3.0499999999999972</v>
      </c>
      <c r="AC430" s="9">
        <f t="shared" si="316"/>
        <v>-9.7999999999999972</v>
      </c>
      <c r="AD430" s="9">
        <f t="shared" si="317"/>
        <v>-4.5</v>
      </c>
      <c r="AE430" s="9">
        <f t="shared" si="318"/>
        <v>-8.2999999999999972</v>
      </c>
      <c r="AF430" s="9">
        <f t="shared" si="319"/>
        <v>-6.25</v>
      </c>
      <c r="AG430" s="9">
        <f t="shared" si="320"/>
        <v>-4.8999999999999986</v>
      </c>
      <c r="AH430" s="9">
        <f t="shared" si="321"/>
        <v>-5</v>
      </c>
      <c r="AI430" s="9">
        <f t="shared" si="322"/>
        <v>-8</v>
      </c>
      <c r="AJ430" s="9">
        <f t="shared" si="323"/>
        <v>0</v>
      </c>
      <c r="AK430" s="9">
        <f t="shared" si="324"/>
        <v>-2.25</v>
      </c>
      <c r="AL430" s="9">
        <f t="shared" si="325"/>
        <v>-11</v>
      </c>
      <c r="AM430" s="9">
        <f t="shared" si="326"/>
        <v>-8.2000000000000028</v>
      </c>
      <c r="AN430" s="9">
        <f t="shared" si="327"/>
        <v>-13</v>
      </c>
      <c r="AO430" s="9">
        <f t="shared" si="328"/>
        <v>-12.700000000000003</v>
      </c>
      <c r="AP430" s="9">
        <f t="shared" si="329"/>
        <v>-12</v>
      </c>
      <c r="AQ430" s="9">
        <f t="shared" si="330"/>
        <v>-16.125</v>
      </c>
      <c r="AR430" s="9">
        <f t="shared" si="331"/>
        <v>-22</v>
      </c>
      <c r="AS430" s="9">
        <f t="shared" si="332"/>
        <v>1.3000000000000007</v>
      </c>
      <c r="AT430" s="9">
        <f t="shared" si="333"/>
        <v>0.55000000000000071</v>
      </c>
      <c r="AU430" s="9">
        <f t="shared" si="334"/>
        <v>-4.4499999999999993</v>
      </c>
      <c r="AV430" s="9">
        <f t="shared" si="335"/>
        <v>-3.3000000000000007</v>
      </c>
      <c r="AW430" s="9">
        <f t="shared" si="336"/>
        <v>-7.0999999999999979</v>
      </c>
      <c r="AX430" s="9">
        <f t="shared" si="337"/>
        <v>-6.8000000000000007</v>
      </c>
      <c r="AY430" s="9">
        <f t="shared" si="338"/>
        <v>-8.4499999999999993</v>
      </c>
      <c r="AZ430" s="9">
        <f t="shared" si="339"/>
        <v>-14.499999999999996</v>
      </c>
      <c r="BA430" s="9">
        <f t="shared" si="340"/>
        <v>-17.95</v>
      </c>
      <c r="BB430" s="9">
        <f t="shared" si="341"/>
        <v>1.5000000000000009</v>
      </c>
      <c r="BC430" s="9">
        <f t="shared" si="342"/>
        <v>0.80000000000000071</v>
      </c>
      <c r="BD430" s="9">
        <f t="shared" si="343"/>
        <v>-3.4499999999999993</v>
      </c>
      <c r="BE430" s="9">
        <f t="shared" si="344"/>
        <v>-1.5</v>
      </c>
      <c r="BF430" s="9">
        <f t="shared" si="345"/>
        <v>-5.0999999999999996</v>
      </c>
      <c r="BG430" s="9">
        <f t="shared" si="346"/>
        <v>-5</v>
      </c>
      <c r="BH430" s="9">
        <f t="shared" si="347"/>
        <v>-6.6999999999999993</v>
      </c>
      <c r="BI430" s="9">
        <f t="shared" si="348"/>
        <v>-13.45</v>
      </c>
      <c r="BJ430" s="9">
        <f t="shared" si="349"/>
        <v>-17.2</v>
      </c>
    </row>
    <row r="431" spans="1:62" x14ac:dyDescent="0.2">
      <c r="A431" s="9">
        <f>data!M432-data!M431</f>
        <v>-0.19770000000001176</v>
      </c>
      <c r="B431" s="9">
        <f>data!C432-data!C431</f>
        <v>1.2200000000000006</v>
      </c>
      <c r="C431" s="9">
        <f>data!D432-data!D431</f>
        <v>0.87249999999999872</v>
      </c>
      <c r="D431" s="10">
        <f>data!B432-data!B431</f>
        <v>-7.5000000000000622E-3</v>
      </c>
      <c r="E431" s="9">
        <f>data!E431-data!G431</f>
        <v>1.3026</v>
      </c>
      <c r="F431" s="9">
        <f>(data!E431-data!F431)-(data!G431-data!H431)</f>
        <v>1.1074999999999999</v>
      </c>
      <c r="G431" s="9">
        <f t="shared" si="300"/>
        <v>-0.11879999999999979</v>
      </c>
      <c r="H431" s="9">
        <f t="shared" si="301"/>
        <v>-6.4899999999999736E-2</v>
      </c>
      <c r="I431" s="9">
        <f>IF(data!M432&gt; 111.81,1,0)</f>
        <v>0</v>
      </c>
      <c r="J431" s="9">
        <f t="shared" si="302"/>
        <v>1</v>
      </c>
      <c r="K431" s="9">
        <f t="shared" si="303"/>
        <v>0</v>
      </c>
      <c r="L431" s="9">
        <f t="shared" si="304"/>
        <v>-0.19770000000001176</v>
      </c>
      <c r="M431" s="9">
        <f>data!J431</f>
        <v>-22</v>
      </c>
      <c r="N431" s="9">
        <f>data!I431</f>
        <v>-56.4</v>
      </c>
      <c r="O431" s="9">
        <f>data!L431</f>
        <v>-54.8</v>
      </c>
      <c r="P431" s="9">
        <f>data!K431</f>
        <v>-24</v>
      </c>
      <c r="Q431" s="9">
        <f>data!R431</f>
        <v>-7.8</v>
      </c>
      <c r="R431" s="9">
        <f t="shared" si="305"/>
        <v>-0.10000000000000142</v>
      </c>
      <c r="S431" s="9">
        <f t="shared" si="306"/>
        <v>-0.5</v>
      </c>
      <c r="T431" s="9">
        <f t="shared" si="307"/>
        <v>1.8000000000000007</v>
      </c>
      <c r="U431" s="9">
        <f t="shared" si="308"/>
        <v>1.1999999999999993</v>
      </c>
      <c r="V431" s="9">
        <f t="shared" si="309"/>
        <v>3.6750000000000007</v>
      </c>
      <c r="W431" s="9">
        <f t="shared" si="310"/>
        <v>5.8999999999999986</v>
      </c>
      <c r="X431" s="9">
        <f t="shared" si="311"/>
        <v>5.3999999999999986</v>
      </c>
      <c r="Y431" s="9">
        <f t="shared" si="312"/>
        <v>4</v>
      </c>
      <c r="Z431" s="9">
        <f t="shared" si="313"/>
        <v>5.5124999999999993</v>
      </c>
      <c r="AA431" s="9">
        <f t="shared" si="314"/>
        <v>-2.6499999999999986</v>
      </c>
      <c r="AB431" s="9">
        <f t="shared" si="315"/>
        <v>-9.3999999999999986</v>
      </c>
      <c r="AC431" s="9">
        <f t="shared" si="316"/>
        <v>-4.1000000000000014</v>
      </c>
      <c r="AD431" s="9">
        <f t="shared" si="317"/>
        <v>-7.8999999999999986</v>
      </c>
      <c r="AE431" s="9">
        <f t="shared" si="318"/>
        <v>-5.8500000000000014</v>
      </c>
      <c r="AF431" s="9">
        <f t="shared" si="319"/>
        <v>-4.5</v>
      </c>
      <c r="AG431" s="9">
        <f t="shared" si="320"/>
        <v>-4.6000000000000014</v>
      </c>
      <c r="AH431" s="9">
        <f t="shared" si="321"/>
        <v>-7.6000000000000014</v>
      </c>
      <c r="AI431" s="9">
        <f t="shared" si="322"/>
        <v>-5.1000000000000014</v>
      </c>
      <c r="AJ431" s="9">
        <f t="shared" si="323"/>
        <v>-2.25</v>
      </c>
      <c r="AK431" s="9">
        <f t="shared" si="324"/>
        <v>-11</v>
      </c>
      <c r="AL431" s="9">
        <f t="shared" si="325"/>
        <v>-8.2000000000000028</v>
      </c>
      <c r="AM431" s="9">
        <f t="shared" si="326"/>
        <v>-13</v>
      </c>
      <c r="AN431" s="9">
        <f t="shared" si="327"/>
        <v>-12.700000000000003</v>
      </c>
      <c r="AO431" s="9">
        <f t="shared" si="328"/>
        <v>-12</v>
      </c>
      <c r="AP431" s="9">
        <f t="shared" si="329"/>
        <v>-16.125</v>
      </c>
      <c r="AQ431" s="9">
        <f t="shared" si="330"/>
        <v>-22</v>
      </c>
      <c r="AR431" s="9">
        <f t="shared" si="331"/>
        <v>-18.100000000000009</v>
      </c>
      <c r="AS431" s="9">
        <f t="shared" si="332"/>
        <v>-0.75</v>
      </c>
      <c r="AT431" s="9">
        <f t="shared" si="333"/>
        <v>-5.75</v>
      </c>
      <c r="AU431" s="9">
        <f t="shared" si="334"/>
        <v>-4.6000000000000014</v>
      </c>
      <c r="AV431" s="9">
        <f t="shared" si="335"/>
        <v>-8.3999999999999986</v>
      </c>
      <c r="AW431" s="9">
        <f t="shared" si="336"/>
        <v>-8.1000000000000014</v>
      </c>
      <c r="AX431" s="9">
        <f t="shared" si="337"/>
        <v>-9.75</v>
      </c>
      <c r="AY431" s="9">
        <f t="shared" si="338"/>
        <v>-15.799999999999997</v>
      </c>
      <c r="AZ431" s="9">
        <f t="shared" si="339"/>
        <v>-19.25</v>
      </c>
      <c r="BA431" s="9">
        <f t="shared" si="340"/>
        <v>-18.5</v>
      </c>
      <c r="BB431" s="9">
        <f t="shared" si="341"/>
        <v>-0.70000000000000018</v>
      </c>
      <c r="BC431" s="9">
        <f t="shared" si="342"/>
        <v>-4.95</v>
      </c>
      <c r="BD431" s="9">
        <f t="shared" si="343"/>
        <v>-3.0000000000000009</v>
      </c>
      <c r="BE431" s="9">
        <f t="shared" si="344"/>
        <v>-6.6000000000000005</v>
      </c>
      <c r="BF431" s="9">
        <f t="shared" si="345"/>
        <v>-6.5000000000000009</v>
      </c>
      <c r="BG431" s="9">
        <f t="shared" si="346"/>
        <v>-8.1999999999999993</v>
      </c>
      <c r="BH431" s="9">
        <f t="shared" si="347"/>
        <v>-14.95</v>
      </c>
      <c r="BI431" s="9">
        <f t="shared" si="348"/>
        <v>-18.7</v>
      </c>
      <c r="BJ431" s="9">
        <f t="shared" si="349"/>
        <v>-18.324999999999999</v>
      </c>
    </row>
    <row r="432" spans="1:62" x14ac:dyDescent="0.2">
      <c r="A432" s="9">
        <f>data!M433-data!M432</f>
        <v>-0.30759999999999366</v>
      </c>
      <c r="B432" s="9">
        <f>data!C433-data!C432</f>
        <v>-1.8599999999999994</v>
      </c>
      <c r="C432" s="9">
        <f>data!D433-data!D432</f>
        <v>0.20000000000000107</v>
      </c>
      <c r="D432" s="10">
        <f>data!B433-data!B432</f>
        <v>0.42749999999999999</v>
      </c>
      <c r="E432" s="9">
        <f>data!E432-data!G432</f>
        <v>1.1838000000000002</v>
      </c>
      <c r="F432" s="9">
        <f>(data!E432-data!F432)-(data!G432-data!H432)</f>
        <v>1.0426000000000002</v>
      </c>
      <c r="G432" s="9">
        <f t="shared" si="300"/>
        <v>-7.2000000000000064E-2</v>
      </c>
      <c r="H432" s="9">
        <f t="shared" si="301"/>
        <v>-3.3800000000000052E-2</v>
      </c>
      <c r="I432" s="9">
        <f>IF(data!M433&gt; 111.81,1,0)</f>
        <v>0</v>
      </c>
      <c r="J432" s="9">
        <f t="shared" si="302"/>
        <v>1</v>
      </c>
      <c r="K432" s="9">
        <f t="shared" si="303"/>
        <v>0</v>
      </c>
      <c r="L432" s="9">
        <f t="shared" si="304"/>
        <v>-0.30759999999999366</v>
      </c>
      <c r="M432" s="9">
        <f>data!J432</f>
        <v>-22.1</v>
      </c>
      <c r="N432" s="9">
        <f>data!I432</f>
        <v>-59.05</v>
      </c>
      <c r="O432" s="9">
        <f>data!L432</f>
        <v>-57.05</v>
      </c>
      <c r="P432" s="9">
        <f>data!K432</f>
        <v>-24.75</v>
      </c>
      <c r="Q432" s="9">
        <f>data!R432</f>
        <v>-8.5</v>
      </c>
      <c r="R432" s="9">
        <f t="shared" si="305"/>
        <v>-0.39999999999999858</v>
      </c>
      <c r="S432" s="9">
        <f t="shared" si="306"/>
        <v>1.9000000000000021</v>
      </c>
      <c r="T432" s="9">
        <f t="shared" si="307"/>
        <v>1.3000000000000007</v>
      </c>
      <c r="U432" s="9">
        <f t="shared" si="308"/>
        <v>3.7750000000000021</v>
      </c>
      <c r="V432" s="9">
        <f t="shared" si="309"/>
        <v>6</v>
      </c>
      <c r="W432" s="9">
        <f t="shared" si="310"/>
        <v>5.5</v>
      </c>
      <c r="X432" s="9">
        <f t="shared" si="311"/>
        <v>4.1000000000000014</v>
      </c>
      <c r="Y432" s="9">
        <f t="shared" si="312"/>
        <v>5.6125000000000007</v>
      </c>
      <c r="Z432" s="9">
        <f t="shared" si="313"/>
        <v>4.4000000000000021</v>
      </c>
      <c r="AA432" s="9">
        <f t="shared" si="314"/>
        <v>-6.75</v>
      </c>
      <c r="AB432" s="9">
        <f t="shared" si="315"/>
        <v>-1.4500000000000028</v>
      </c>
      <c r="AC432" s="9">
        <f t="shared" si="316"/>
        <v>-5.25</v>
      </c>
      <c r="AD432" s="9">
        <f t="shared" si="317"/>
        <v>-3.2000000000000028</v>
      </c>
      <c r="AE432" s="9">
        <f t="shared" si="318"/>
        <v>-1.8500000000000014</v>
      </c>
      <c r="AF432" s="9">
        <f t="shared" si="319"/>
        <v>-1.9500000000000028</v>
      </c>
      <c r="AG432" s="9">
        <f t="shared" si="320"/>
        <v>-4.9500000000000028</v>
      </c>
      <c r="AH432" s="9">
        <f t="shared" si="321"/>
        <v>-2.4500000000000028</v>
      </c>
      <c r="AI432" s="9">
        <f t="shared" si="322"/>
        <v>-4.25</v>
      </c>
      <c r="AJ432" s="9">
        <f t="shared" si="323"/>
        <v>-8.75</v>
      </c>
      <c r="AK432" s="9">
        <f t="shared" si="324"/>
        <v>-5.9500000000000028</v>
      </c>
      <c r="AL432" s="9">
        <f t="shared" si="325"/>
        <v>-10.75</v>
      </c>
      <c r="AM432" s="9">
        <f t="shared" si="326"/>
        <v>-10.450000000000003</v>
      </c>
      <c r="AN432" s="9">
        <f t="shared" si="327"/>
        <v>-9.75</v>
      </c>
      <c r="AO432" s="9">
        <f t="shared" si="328"/>
        <v>-13.875</v>
      </c>
      <c r="AP432" s="9">
        <f t="shared" si="329"/>
        <v>-19.75</v>
      </c>
      <c r="AQ432" s="9">
        <f t="shared" si="330"/>
        <v>-15.850000000000009</v>
      </c>
      <c r="AR432" s="9">
        <f t="shared" si="331"/>
        <v>-11.950000000000003</v>
      </c>
      <c r="AS432" s="9">
        <f t="shared" si="332"/>
        <v>-5</v>
      </c>
      <c r="AT432" s="9">
        <f t="shared" si="333"/>
        <v>-3.8500000000000014</v>
      </c>
      <c r="AU432" s="9">
        <f t="shared" si="334"/>
        <v>-7.6499999999999986</v>
      </c>
      <c r="AV432" s="9">
        <f t="shared" si="335"/>
        <v>-7.3500000000000014</v>
      </c>
      <c r="AW432" s="9">
        <f t="shared" si="336"/>
        <v>-9</v>
      </c>
      <c r="AX432" s="9">
        <f t="shared" si="337"/>
        <v>-15.049999999999997</v>
      </c>
      <c r="AY432" s="9">
        <f t="shared" si="338"/>
        <v>-18.5</v>
      </c>
      <c r="AZ432" s="9">
        <f t="shared" si="339"/>
        <v>-17.75</v>
      </c>
      <c r="BA432" s="9">
        <f t="shared" si="340"/>
        <v>-11.75</v>
      </c>
      <c r="BB432" s="9">
        <f t="shared" si="341"/>
        <v>-4.25</v>
      </c>
      <c r="BC432" s="9">
        <f t="shared" si="342"/>
        <v>-2.3000000000000007</v>
      </c>
      <c r="BD432" s="9">
        <f t="shared" si="343"/>
        <v>-5.9</v>
      </c>
      <c r="BE432" s="9">
        <f t="shared" si="344"/>
        <v>-5.8000000000000007</v>
      </c>
      <c r="BF432" s="9">
        <f t="shared" si="345"/>
        <v>-7.5</v>
      </c>
      <c r="BG432" s="9">
        <f t="shared" si="346"/>
        <v>-14.25</v>
      </c>
      <c r="BH432" s="9">
        <f t="shared" si="347"/>
        <v>-18</v>
      </c>
      <c r="BI432" s="9">
        <f t="shared" si="348"/>
        <v>-17.625</v>
      </c>
      <c r="BJ432" s="9">
        <f t="shared" si="349"/>
        <v>-11.8</v>
      </c>
    </row>
    <row r="433" spans="1:62" x14ac:dyDescent="0.2">
      <c r="A433" s="9">
        <f>data!M434-data!M433</f>
        <v>0.41989999999999839</v>
      </c>
      <c r="B433" s="9">
        <f>data!C434-data!C433</f>
        <v>2.91</v>
      </c>
      <c r="C433" s="9">
        <f>data!D434-data!D433</f>
        <v>0.33750000000000036</v>
      </c>
      <c r="D433" s="10">
        <f>data!B434-data!B433</f>
        <v>-0.61250000000000004</v>
      </c>
      <c r="E433" s="9">
        <f>data!E433-data!G433</f>
        <v>1.1118000000000001</v>
      </c>
      <c r="F433" s="9">
        <f>(data!E433-data!F433)-(data!G433-data!H433)</f>
        <v>1.0088000000000001</v>
      </c>
      <c r="G433" s="9">
        <f t="shared" si="300"/>
        <v>1.7100000000000115E-2</v>
      </c>
      <c r="H433" s="9">
        <f t="shared" si="301"/>
        <v>1.6299999999999981E-2</v>
      </c>
      <c r="I433" s="9">
        <f>IF(data!M434&gt; 111.81,1,0)</f>
        <v>0</v>
      </c>
      <c r="J433" s="9">
        <f t="shared" si="302"/>
        <v>1</v>
      </c>
      <c r="K433" s="9">
        <f t="shared" si="303"/>
        <v>0</v>
      </c>
      <c r="L433" s="9">
        <f t="shared" si="304"/>
        <v>0.41989999999999839</v>
      </c>
      <c r="M433" s="9">
        <f>data!J433</f>
        <v>-22.5</v>
      </c>
      <c r="N433" s="9">
        <f>data!I433</f>
        <v>-65.8</v>
      </c>
      <c r="O433" s="9">
        <f>data!L433</f>
        <v>-65.8</v>
      </c>
      <c r="P433" s="9">
        <f>data!K433</f>
        <v>-29.75</v>
      </c>
      <c r="Q433" s="9">
        <f>data!R433</f>
        <v>-12.75</v>
      </c>
      <c r="R433" s="9">
        <f t="shared" si="305"/>
        <v>2.3000000000000007</v>
      </c>
      <c r="S433" s="9">
        <f t="shared" si="306"/>
        <v>1.6999999999999993</v>
      </c>
      <c r="T433" s="9">
        <f t="shared" si="307"/>
        <v>4.1750000000000007</v>
      </c>
      <c r="U433" s="9">
        <f t="shared" si="308"/>
        <v>6.3999999999999986</v>
      </c>
      <c r="V433" s="9">
        <f t="shared" si="309"/>
        <v>5.8999999999999986</v>
      </c>
      <c r="W433" s="9">
        <f t="shared" si="310"/>
        <v>4.5</v>
      </c>
      <c r="X433" s="9">
        <f t="shared" si="311"/>
        <v>6.0124999999999993</v>
      </c>
      <c r="Y433" s="9">
        <f t="shared" si="312"/>
        <v>4.8000000000000007</v>
      </c>
      <c r="Z433" s="9">
        <f t="shared" si="313"/>
        <v>1.5</v>
      </c>
      <c r="AA433" s="9">
        <f t="shared" si="314"/>
        <v>5.2999999999999972</v>
      </c>
      <c r="AB433" s="9">
        <f t="shared" si="315"/>
        <v>1.5</v>
      </c>
      <c r="AC433" s="9">
        <f t="shared" si="316"/>
        <v>3.5499999999999972</v>
      </c>
      <c r="AD433" s="9">
        <f t="shared" si="317"/>
        <v>4.8999999999999986</v>
      </c>
      <c r="AE433" s="9">
        <f t="shared" si="318"/>
        <v>4.7999999999999972</v>
      </c>
      <c r="AF433" s="9">
        <f t="shared" si="319"/>
        <v>1.7999999999999972</v>
      </c>
      <c r="AG433" s="9">
        <f t="shared" si="320"/>
        <v>4.2999999999999972</v>
      </c>
      <c r="AH433" s="9">
        <f t="shared" si="321"/>
        <v>2.5</v>
      </c>
      <c r="AI433" s="9">
        <f t="shared" si="322"/>
        <v>-1.6000000000000085</v>
      </c>
      <c r="AJ433" s="9">
        <f t="shared" si="323"/>
        <v>2.7999999999999972</v>
      </c>
      <c r="AK433" s="9">
        <f t="shared" si="324"/>
        <v>-2</v>
      </c>
      <c r="AL433" s="9">
        <f t="shared" si="325"/>
        <v>-1.7000000000000028</v>
      </c>
      <c r="AM433" s="9">
        <f t="shared" si="326"/>
        <v>-1</v>
      </c>
      <c r="AN433" s="9">
        <f t="shared" si="327"/>
        <v>-5.125</v>
      </c>
      <c r="AO433" s="9">
        <f t="shared" si="328"/>
        <v>-11</v>
      </c>
      <c r="AP433" s="9">
        <f t="shared" si="329"/>
        <v>-7.1000000000000085</v>
      </c>
      <c r="AQ433" s="9">
        <f t="shared" si="330"/>
        <v>-3.2000000000000028</v>
      </c>
      <c r="AR433" s="9">
        <f t="shared" si="331"/>
        <v>-2.2000000000000028</v>
      </c>
      <c r="AS433" s="9">
        <f t="shared" si="332"/>
        <v>1.1499999999999986</v>
      </c>
      <c r="AT433" s="9">
        <f t="shared" si="333"/>
        <v>-2.6499999999999986</v>
      </c>
      <c r="AU433" s="9">
        <f t="shared" si="334"/>
        <v>-2.3500000000000014</v>
      </c>
      <c r="AV433" s="9">
        <f t="shared" si="335"/>
        <v>-4</v>
      </c>
      <c r="AW433" s="9">
        <f t="shared" si="336"/>
        <v>-10.049999999999997</v>
      </c>
      <c r="AX433" s="9">
        <f t="shared" si="337"/>
        <v>-13.5</v>
      </c>
      <c r="AY433" s="9">
        <f t="shared" si="338"/>
        <v>-12.75</v>
      </c>
      <c r="AZ433" s="9">
        <f t="shared" si="339"/>
        <v>-6.75</v>
      </c>
      <c r="BA433" s="9">
        <f t="shared" si="340"/>
        <v>-4.25</v>
      </c>
      <c r="BB433" s="9">
        <f t="shared" si="341"/>
        <v>1.9499999999999993</v>
      </c>
      <c r="BC433" s="9">
        <f t="shared" si="342"/>
        <v>-1.6500000000000004</v>
      </c>
      <c r="BD433" s="9">
        <f t="shared" si="343"/>
        <v>-1.5500000000000007</v>
      </c>
      <c r="BE433" s="9">
        <f t="shared" si="344"/>
        <v>-3.25</v>
      </c>
      <c r="BF433" s="9">
        <f t="shared" si="345"/>
        <v>-10</v>
      </c>
      <c r="BG433" s="9">
        <f t="shared" si="346"/>
        <v>-13.75</v>
      </c>
      <c r="BH433" s="9">
        <f t="shared" si="347"/>
        <v>-13.375</v>
      </c>
      <c r="BI433" s="9">
        <f t="shared" si="348"/>
        <v>-7.5500000000000007</v>
      </c>
      <c r="BJ433" s="9">
        <f t="shared" si="349"/>
        <v>-5</v>
      </c>
    </row>
    <row r="434" spans="1:62" x14ac:dyDescent="0.2">
      <c r="A434" s="9">
        <f>data!M435-data!M434</f>
        <v>-0.31539999999999679</v>
      </c>
      <c r="B434" s="9">
        <f>data!C435-data!C434</f>
        <v>-1.3600000000000012</v>
      </c>
      <c r="C434" s="9">
        <f>data!D435-data!D434</f>
        <v>-1.3725000000000005</v>
      </c>
      <c r="D434" s="10">
        <f>data!B435-data!B434</f>
        <v>0.13749999999999996</v>
      </c>
      <c r="E434" s="9">
        <f>data!E434-data!G434</f>
        <v>1.1289000000000002</v>
      </c>
      <c r="F434" s="9">
        <f>(data!E434-data!F434)-(data!G434-data!H434)</f>
        <v>1.0251000000000001</v>
      </c>
      <c r="G434" s="9">
        <f t="shared" si="300"/>
        <v>-5.160000000000009E-2</v>
      </c>
      <c r="H434" s="9">
        <f t="shared" si="301"/>
        <v>-4.1000000000000147E-2</v>
      </c>
      <c r="I434" s="9">
        <f>IF(data!M435&gt; 111.81,1,0)</f>
        <v>0</v>
      </c>
      <c r="J434" s="9">
        <f t="shared" si="302"/>
        <v>1</v>
      </c>
      <c r="K434" s="9">
        <f t="shared" si="303"/>
        <v>0</v>
      </c>
      <c r="L434" s="9">
        <f t="shared" si="304"/>
        <v>-0.31539999999999679</v>
      </c>
      <c r="M434" s="9">
        <f>data!J434</f>
        <v>-20.2</v>
      </c>
      <c r="N434" s="9">
        <f>data!I434</f>
        <v>-60.5</v>
      </c>
      <c r="O434" s="9">
        <f>data!L434</f>
        <v>-63</v>
      </c>
      <c r="P434" s="9">
        <f>data!K434</f>
        <v>-28.6</v>
      </c>
      <c r="Q434" s="9">
        <f>data!R434</f>
        <v>-10.8</v>
      </c>
      <c r="R434" s="9">
        <f t="shared" si="305"/>
        <v>-0.60000000000000142</v>
      </c>
      <c r="S434" s="9">
        <f t="shared" si="306"/>
        <v>1.875</v>
      </c>
      <c r="T434" s="9">
        <f t="shared" si="307"/>
        <v>4.0999999999999979</v>
      </c>
      <c r="U434" s="9">
        <f t="shared" si="308"/>
        <v>3.5999999999999979</v>
      </c>
      <c r="V434" s="9">
        <f t="shared" si="309"/>
        <v>2.1999999999999993</v>
      </c>
      <c r="W434" s="9">
        <f t="shared" si="310"/>
        <v>3.7124999999999986</v>
      </c>
      <c r="X434" s="9">
        <f t="shared" si="311"/>
        <v>2.5</v>
      </c>
      <c r="Y434" s="9">
        <f t="shared" si="312"/>
        <v>-0.80000000000000071</v>
      </c>
      <c r="Z434" s="9">
        <f t="shared" si="313"/>
        <v>-1.6500000000000021</v>
      </c>
      <c r="AA434" s="9">
        <f t="shared" si="314"/>
        <v>-3.7999999999999972</v>
      </c>
      <c r="AB434" s="9">
        <f t="shared" si="315"/>
        <v>-1.75</v>
      </c>
      <c r="AC434" s="9">
        <f t="shared" si="316"/>
        <v>-0.39999999999999858</v>
      </c>
      <c r="AD434" s="9">
        <f t="shared" si="317"/>
        <v>-0.5</v>
      </c>
      <c r="AE434" s="9">
        <f t="shared" si="318"/>
        <v>-3.5</v>
      </c>
      <c r="AF434" s="9">
        <f t="shared" si="319"/>
        <v>-1</v>
      </c>
      <c r="AG434" s="9">
        <f t="shared" si="320"/>
        <v>-2.7999999999999972</v>
      </c>
      <c r="AH434" s="9">
        <f t="shared" si="321"/>
        <v>-6.9000000000000057</v>
      </c>
      <c r="AI434" s="9">
        <f t="shared" si="322"/>
        <v>-11.700000000000003</v>
      </c>
      <c r="AJ434" s="9">
        <f t="shared" si="323"/>
        <v>-4.7999999999999972</v>
      </c>
      <c r="AK434" s="9">
        <f t="shared" si="324"/>
        <v>-4.5</v>
      </c>
      <c r="AL434" s="9">
        <f t="shared" si="325"/>
        <v>-3.7999999999999972</v>
      </c>
      <c r="AM434" s="9">
        <f t="shared" si="326"/>
        <v>-7.9249999999999972</v>
      </c>
      <c r="AN434" s="9">
        <f t="shared" si="327"/>
        <v>-13.799999999999997</v>
      </c>
      <c r="AO434" s="9">
        <f t="shared" si="328"/>
        <v>-9.9000000000000057</v>
      </c>
      <c r="AP434" s="9">
        <f t="shared" si="329"/>
        <v>-6</v>
      </c>
      <c r="AQ434" s="9">
        <f t="shared" si="330"/>
        <v>-5</v>
      </c>
      <c r="AR434" s="9">
        <f t="shared" si="331"/>
        <v>-11</v>
      </c>
      <c r="AS434" s="9">
        <f t="shared" si="332"/>
        <v>-3.7999999999999972</v>
      </c>
      <c r="AT434" s="9">
        <f t="shared" si="333"/>
        <v>-3.5</v>
      </c>
      <c r="AU434" s="9">
        <f t="shared" si="334"/>
        <v>-5.1499999999999986</v>
      </c>
      <c r="AV434" s="9">
        <f t="shared" si="335"/>
        <v>-11.199999999999996</v>
      </c>
      <c r="AW434" s="9">
        <f t="shared" si="336"/>
        <v>-14.649999999999999</v>
      </c>
      <c r="AX434" s="9">
        <f t="shared" si="337"/>
        <v>-13.899999999999999</v>
      </c>
      <c r="AY434" s="9">
        <f t="shared" si="338"/>
        <v>-7.8999999999999986</v>
      </c>
      <c r="AZ434" s="9">
        <f t="shared" si="339"/>
        <v>-5.3999999999999986</v>
      </c>
      <c r="BA434" s="9">
        <f t="shared" si="340"/>
        <v>-11.100000000000001</v>
      </c>
      <c r="BB434" s="9">
        <f t="shared" si="341"/>
        <v>-3.5999999999999996</v>
      </c>
      <c r="BC434" s="9">
        <f t="shared" si="342"/>
        <v>-3.5</v>
      </c>
      <c r="BD434" s="9">
        <f t="shared" si="343"/>
        <v>-5.1999999999999993</v>
      </c>
      <c r="BE434" s="9">
        <f t="shared" si="344"/>
        <v>-11.95</v>
      </c>
      <c r="BF434" s="9">
        <f t="shared" si="345"/>
        <v>-15.7</v>
      </c>
      <c r="BG434" s="9">
        <f t="shared" si="346"/>
        <v>-15.324999999999999</v>
      </c>
      <c r="BH434" s="9">
        <f t="shared" si="347"/>
        <v>-9.5</v>
      </c>
      <c r="BI434" s="9">
        <f t="shared" si="348"/>
        <v>-6.9499999999999993</v>
      </c>
      <c r="BJ434" s="9">
        <f t="shared" si="349"/>
        <v>-12</v>
      </c>
    </row>
    <row r="435" spans="1:62" x14ac:dyDescent="0.2">
      <c r="A435" s="9">
        <f>data!M436-data!M435</f>
        <v>-0.39249999999999829</v>
      </c>
      <c r="B435" s="9">
        <f>data!C436-data!C435</f>
        <v>-0.75999999999999979</v>
      </c>
      <c r="C435" s="9">
        <f>data!D436-data!D435</f>
        <v>-0.24500000000000099</v>
      </c>
      <c r="D435" s="10">
        <f>data!B436-data!B435</f>
        <v>-6.25E-2</v>
      </c>
      <c r="E435" s="9">
        <f>data!E435-data!G435</f>
        <v>1.0773000000000001</v>
      </c>
      <c r="F435" s="9">
        <f>(data!E435-data!F435)-(data!G435-data!H435)</f>
        <v>0.98409999999999997</v>
      </c>
      <c r="G435" s="9">
        <f t="shared" si="300"/>
        <v>0.10089999999999977</v>
      </c>
      <c r="H435" s="9">
        <f t="shared" si="301"/>
        <v>9.1299999999999937E-2</v>
      </c>
      <c r="I435" s="9">
        <f>IF(data!M436&gt; 111.81,1,0)</f>
        <v>0</v>
      </c>
      <c r="J435" s="9">
        <f t="shared" si="302"/>
        <v>1</v>
      </c>
      <c r="K435" s="9">
        <f t="shared" si="303"/>
        <v>0</v>
      </c>
      <c r="L435" s="9">
        <f t="shared" si="304"/>
        <v>-0.39249999999999829</v>
      </c>
      <c r="M435" s="9">
        <f>data!J435</f>
        <v>-20.8</v>
      </c>
      <c r="N435" s="9">
        <f>data!I435</f>
        <v>-64.3</v>
      </c>
      <c r="O435" s="9">
        <f>data!L435</f>
        <v>-67.8</v>
      </c>
      <c r="P435" s="9">
        <f>data!K435</f>
        <v>-32.4</v>
      </c>
      <c r="Q435" s="9">
        <f>data!R435</f>
        <v>-14.4</v>
      </c>
      <c r="R435" s="9">
        <f t="shared" si="305"/>
        <v>2.4750000000000014</v>
      </c>
      <c r="S435" s="9">
        <f t="shared" si="306"/>
        <v>4.6999999999999993</v>
      </c>
      <c r="T435" s="9">
        <f t="shared" si="307"/>
        <v>4.1999999999999993</v>
      </c>
      <c r="U435" s="9">
        <f t="shared" si="308"/>
        <v>2.8000000000000007</v>
      </c>
      <c r="V435" s="9">
        <f t="shared" si="309"/>
        <v>4.3125</v>
      </c>
      <c r="W435" s="9">
        <f t="shared" si="310"/>
        <v>3.1000000000000014</v>
      </c>
      <c r="X435" s="9">
        <f t="shared" si="311"/>
        <v>-0.19999999999999929</v>
      </c>
      <c r="Y435" s="9">
        <f t="shared" si="312"/>
        <v>-1.0500000000000007</v>
      </c>
      <c r="Z435" s="9">
        <f t="shared" si="313"/>
        <v>-0.59999999999999787</v>
      </c>
      <c r="AA435" s="9">
        <f t="shared" si="314"/>
        <v>2.0499999999999972</v>
      </c>
      <c r="AB435" s="9">
        <f t="shared" si="315"/>
        <v>3.3999999999999986</v>
      </c>
      <c r="AC435" s="9">
        <f t="shared" si="316"/>
        <v>3.2999999999999972</v>
      </c>
      <c r="AD435" s="9">
        <f t="shared" si="317"/>
        <v>0.29999999999999716</v>
      </c>
      <c r="AE435" s="9">
        <f t="shared" si="318"/>
        <v>2.7999999999999972</v>
      </c>
      <c r="AF435" s="9">
        <f t="shared" si="319"/>
        <v>1</v>
      </c>
      <c r="AG435" s="9">
        <f t="shared" si="320"/>
        <v>-3.1000000000000085</v>
      </c>
      <c r="AH435" s="9">
        <f t="shared" si="321"/>
        <v>-7.9000000000000057</v>
      </c>
      <c r="AI435" s="9">
        <f t="shared" si="322"/>
        <v>-5.4500000000000028</v>
      </c>
      <c r="AJ435" s="9">
        <f t="shared" si="323"/>
        <v>0.29999999999999716</v>
      </c>
      <c r="AK435" s="9">
        <f t="shared" si="324"/>
        <v>1</v>
      </c>
      <c r="AL435" s="9">
        <f t="shared" si="325"/>
        <v>-3.125</v>
      </c>
      <c r="AM435" s="9">
        <f t="shared" si="326"/>
        <v>-9</v>
      </c>
      <c r="AN435" s="9">
        <f t="shared" si="327"/>
        <v>-5.1000000000000085</v>
      </c>
      <c r="AO435" s="9">
        <f t="shared" si="328"/>
        <v>-1.2000000000000028</v>
      </c>
      <c r="AP435" s="9">
        <f t="shared" si="329"/>
        <v>-0.20000000000000284</v>
      </c>
      <c r="AQ435" s="9">
        <f t="shared" si="330"/>
        <v>-6.2000000000000028</v>
      </c>
      <c r="AR435" s="9">
        <f t="shared" si="331"/>
        <v>-6.2000000000000028</v>
      </c>
      <c r="AS435" s="9">
        <f t="shared" si="332"/>
        <v>0.29999999999999716</v>
      </c>
      <c r="AT435" s="9">
        <f t="shared" si="333"/>
        <v>-1.3500000000000014</v>
      </c>
      <c r="AU435" s="9">
        <f t="shared" si="334"/>
        <v>-7.3999999999999986</v>
      </c>
      <c r="AV435" s="9">
        <f t="shared" si="335"/>
        <v>-10.850000000000001</v>
      </c>
      <c r="AW435" s="9">
        <f t="shared" si="336"/>
        <v>-10.100000000000001</v>
      </c>
      <c r="AX435" s="9">
        <f t="shared" si="337"/>
        <v>-4.1000000000000014</v>
      </c>
      <c r="AY435" s="9">
        <f t="shared" si="338"/>
        <v>-1.6000000000000014</v>
      </c>
      <c r="AZ435" s="9">
        <f t="shared" si="339"/>
        <v>-7.3000000000000043</v>
      </c>
      <c r="BA435" s="9">
        <f t="shared" si="340"/>
        <v>-8.1000000000000014</v>
      </c>
      <c r="BB435" s="9">
        <f t="shared" si="341"/>
        <v>9.9999999999999645E-2</v>
      </c>
      <c r="BC435" s="9">
        <f t="shared" si="342"/>
        <v>-1.5999999999999996</v>
      </c>
      <c r="BD435" s="9">
        <f t="shared" si="343"/>
        <v>-8.35</v>
      </c>
      <c r="BE435" s="9">
        <f t="shared" si="344"/>
        <v>-12.1</v>
      </c>
      <c r="BF435" s="9">
        <f t="shared" si="345"/>
        <v>-11.725</v>
      </c>
      <c r="BG435" s="9">
        <f t="shared" si="346"/>
        <v>-5.9</v>
      </c>
      <c r="BH435" s="9">
        <f t="shared" si="347"/>
        <v>-3.3499999999999996</v>
      </c>
      <c r="BI435" s="9">
        <f t="shared" si="348"/>
        <v>-8.4</v>
      </c>
      <c r="BJ435" s="9">
        <f t="shared" si="349"/>
        <v>-9.85</v>
      </c>
    </row>
    <row r="436" spans="1:62" x14ac:dyDescent="0.2">
      <c r="A436" s="9">
        <f>data!M437-data!M436</f>
        <v>0.74399999999999977</v>
      </c>
      <c r="B436" s="9">
        <f>data!C437-data!C436</f>
        <v>-0.25999999999999979</v>
      </c>
      <c r="C436" s="9">
        <f>data!D437-data!D436</f>
        <v>0.78000000000000114</v>
      </c>
      <c r="D436" s="10">
        <f>data!B437-data!B436</f>
        <v>-0.59749999999999992</v>
      </c>
      <c r="E436" s="9">
        <f>data!E436-data!G436</f>
        <v>1.1781999999999999</v>
      </c>
      <c r="F436" s="9">
        <f>(data!E436-data!F436)-(data!G436-data!H436)</f>
        <v>1.0753999999999999</v>
      </c>
      <c r="G436" s="9">
        <f t="shared" si="300"/>
        <v>2.8100000000000236E-2</v>
      </c>
      <c r="H436" s="9">
        <f t="shared" si="301"/>
        <v>6.2000000000002053E-3</v>
      </c>
      <c r="I436" s="9">
        <f>IF(data!M437&gt; 111.81,1,0)</f>
        <v>0</v>
      </c>
      <c r="J436" s="9">
        <f t="shared" si="302"/>
        <v>1</v>
      </c>
      <c r="K436" s="9">
        <f t="shared" si="303"/>
        <v>0</v>
      </c>
      <c r="L436" s="9">
        <f t="shared" si="304"/>
        <v>0.74399999999999977</v>
      </c>
      <c r="M436" s="9">
        <f>data!J436</f>
        <v>-18.324999999999999</v>
      </c>
      <c r="N436" s="9">
        <f>data!I436</f>
        <v>-62.25</v>
      </c>
      <c r="O436" s="9">
        <f>data!L436</f>
        <v>-67.5</v>
      </c>
      <c r="P436" s="9">
        <f>data!K436</f>
        <v>-32.1</v>
      </c>
      <c r="Q436" s="9">
        <f>data!R436</f>
        <v>-14.3</v>
      </c>
      <c r="R436" s="9">
        <f t="shared" si="305"/>
        <v>2.2249999999999979</v>
      </c>
      <c r="S436" s="9">
        <f t="shared" si="306"/>
        <v>1.7249999999999979</v>
      </c>
      <c r="T436" s="9">
        <f t="shared" si="307"/>
        <v>0.32499999999999929</v>
      </c>
      <c r="U436" s="9">
        <f t="shared" si="308"/>
        <v>1.8374999999999986</v>
      </c>
      <c r="V436" s="9">
        <f t="shared" si="309"/>
        <v>0.625</v>
      </c>
      <c r="W436" s="9">
        <f t="shared" si="310"/>
        <v>-2.6750000000000007</v>
      </c>
      <c r="X436" s="9">
        <f t="shared" si="311"/>
        <v>-3.5250000000000021</v>
      </c>
      <c r="Y436" s="9">
        <f t="shared" si="312"/>
        <v>-3.0749999999999993</v>
      </c>
      <c r="Z436" s="9">
        <f t="shared" si="313"/>
        <v>-3.6750000000000007</v>
      </c>
      <c r="AA436" s="9">
        <f t="shared" si="314"/>
        <v>1.3500000000000014</v>
      </c>
      <c r="AB436" s="9">
        <f t="shared" si="315"/>
        <v>1.25</v>
      </c>
      <c r="AC436" s="9">
        <f t="shared" si="316"/>
        <v>-1.75</v>
      </c>
      <c r="AD436" s="9">
        <f t="shared" si="317"/>
        <v>0.75</v>
      </c>
      <c r="AE436" s="9">
        <f t="shared" si="318"/>
        <v>-1.0499999999999972</v>
      </c>
      <c r="AF436" s="9">
        <f t="shared" si="319"/>
        <v>-5.1500000000000057</v>
      </c>
      <c r="AG436" s="9">
        <f t="shared" si="320"/>
        <v>-9.9500000000000028</v>
      </c>
      <c r="AH436" s="9">
        <f t="shared" si="321"/>
        <v>-7.5</v>
      </c>
      <c r="AI436" s="9">
        <f t="shared" si="322"/>
        <v>-8.75</v>
      </c>
      <c r="AJ436" s="9">
        <f t="shared" si="323"/>
        <v>0.70000000000000284</v>
      </c>
      <c r="AK436" s="9">
        <f t="shared" si="324"/>
        <v>-3.4249999999999972</v>
      </c>
      <c r="AL436" s="9">
        <f t="shared" si="325"/>
        <v>-9.2999999999999972</v>
      </c>
      <c r="AM436" s="9">
        <f t="shared" si="326"/>
        <v>-5.4000000000000057</v>
      </c>
      <c r="AN436" s="9">
        <f t="shared" si="327"/>
        <v>-1.5</v>
      </c>
      <c r="AO436" s="9">
        <f t="shared" si="328"/>
        <v>-0.5</v>
      </c>
      <c r="AP436" s="9">
        <f t="shared" si="329"/>
        <v>-6.5</v>
      </c>
      <c r="AQ436" s="9">
        <f t="shared" si="330"/>
        <v>-6.5</v>
      </c>
      <c r="AR436" s="9">
        <f t="shared" si="331"/>
        <v>-8</v>
      </c>
      <c r="AS436" s="9">
        <f t="shared" si="332"/>
        <v>-1.6499999999999986</v>
      </c>
      <c r="AT436" s="9">
        <f t="shared" si="333"/>
        <v>-7.6999999999999957</v>
      </c>
      <c r="AU436" s="9">
        <f t="shared" si="334"/>
        <v>-11.149999999999999</v>
      </c>
      <c r="AV436" s="9">
        <f t="shared" si="335"/>
        <v>-10.399999999999999</v>
      </c>
      <c r="AW436" s="9">
        <f t="shared" si="336"/>
        <v>-4.3999999999999986</v>
      </c>
      <c r="AX436" s="9">
        <f t="shared" si="337"/>
        <v>-1.8999999999999986</v>
      </c>
      <c r="AY436" s="9">
        <f t="shared" si="338"/>
        <v>-7.6000000000000014</v>
      </c>
      <c r="AZ436" s="9">
        <f t="shared" si="339"/>
        <v>-8.3999999999999986</v>
      </c>
      <c r="BA436" s="9">
        <f t="shared" si="340"/>
        <v>-10.699999999999996</v>
      </c>
      <c r="BB436" s="9">
        <f t="shared" si="341"/>
        <v>-1.6999999999999993</v>
      </c>
      <c r="BC436" s="9">
        <f t="shared" si="342"/>
        <v>-8.4499999999999993</v>
      </c>
      <c r="BD436" s="9">
        <f t="shared" si="343"/>
        <v>-12.2</v>
      </c>
      <c r="BE436" s="9">
        <f t="shared" si="344"/>
        <v>-11.824999999999999</v>
      </c>
      <c r="BF436" s="9">
        <f t="shared" si="345"/>
        <v>-6</v>
      </c>
      <c r="BG436" s="9">
        <f t="shared" si="346"/>
        <v>-3.4499999999999993</v>
      </c>
      <c r="BH436" s="9">
        <f t="shared" si="347"/>
        <v>-8.5</v>
      </c>
      <c r="BI436" s="9">
        <f t="shared" si="348"/>
        <v>-9.9499999999999993</v>
      </c>
      <c r="BJ436" s="9">
        <f t="shared" si="349"/>
        <v>-12</v>
      </c>
    </row>
    <row r="437" spans="1:62" x14ac:dyDescent="0.2">
      <c r="A437" s="9">
        <f>data!M438-data!M437</f>
        <v>0.90899999999999181</v>
      </c>
      <c r="B437" s="9">
        <f>data!C438-data!C437</f>
        <v>-0.14000000000000057</v>
      </c>
      <c r="C437" s="9">
        <f>data!D438-data!D437</f>
        <v>-0.10749999999999993</v>
      </c>
      <c r="D437" s="10">
        <f>data!B438-data!B437</f>
        <v>-0.2825000000000002</v>
      </c>
      <c r="E437" s="9">
        <f>data!E437-data!G437</f>
        <v>1.2063000000000001</v>
      </c>
      <c r="F437" s="9">
        <f>(data!E437-data!F437)-(data!G437-data!H437)</f>
        <v>1.0816000000000001</v>
      </c>
      <c r="G437" s="9">
        <f t="shared" si="300"/>
        <v>-4.6700000000000408E-2</v>
      </c>
      <c r="H437" s="9">
        <f t="shared" si="301"/>
        <v>-3.5800000000000276E-2</v>
      </c>
      <c r="I437" s="9">
        <f>IF(data!M438&gt; 111.81,1,0)</f>
        <v>0</v>
      </c>
      <c r="J437" s="9">
        <f t="shared" si="302"/>
        <v>1</v>
      </c>
      <c r="K437" s="9">
        <f t="shared" si="303"/>
        <v>0</v>
      </c>
      <c r="L437" s="9">
        <f t="shared" si="304"/>
        <v>0.90899999999999181</v>
      </c>
      <c r="M437" s="9">
        <f>data!J437</f>
        <v>-16.100000000000001</v>
      </c>
      <c r="N437" s="9">
        <f>data!I437</f>
        <v>-60.9</v>
      </c>
      <c r="O437" s="9">
        <f>data!L437</f>
        <v>-66.8</v>
      </c>
      <c r="P437" s="9">
        <f>data!K437</f>
        <v>-33.75</v>
      </c>
      <c r="Q437" s="9">
        <f>data!R437</f>
        <v>-16</v>
      </c>
      <c r="R437" s="9">
        <f t="shared" si="305"/>
        <v>-0.5</v>
      </c>
      <c r="S437" s="9">
        <f t="shared" si="306"/>
        <v>-1.8999999999999986</v>
      </c>
      <c r="T437" s="9">
        <f t="shared" si="307"/>
        <v>-0.38749999999999929</v>
      </c>
      <c r="U437" s="9">
        <f t="shared" si="308"/>
        <v>-1.5999999999999979</v>
      </c>
      <c r="V437" s="9">
        <f t="shared" si="309"/>
        <v>-4.8999999999999986</v>
      </c>
      <c r="W437" s="9">
        <f t="shared" si="310"/>
        <v>-5.75</v>
      </c>
      <c r="X437" s="9">
        <f t="shared" si="311"/>
        <v>-5.2999999999999972</v>
      </c>
      <c r="Y437" s="9">
        <f t="shared" si="312"/>
        <v>-5.8999999999999986</v>
      </c>
      <c r="Z437" s="9">
        <f t="shared" si="313"/>
        <v>-4.5</v>
      </c>
      <c r="AA437" s="9">
        <f t="shared" si="314"/>
        <v>-0.10000000000000142</v>
      </c>
      <c r="AB437" s="9">
        <f t="shared" si="315"/>
        <v>-3.1000000000000014</v>
      </c>
      <c r="AC437" s="9">
        <f t="shared" si="316"/>
        <v>-0.60000000000000142</v>
      </c>
      <c r="AD437" s="9">
        <f t="shared" si="317"/>
        <v>-2.3999999999999986</v>
      </c>
      <c r="AE437" s="9">
        <f t="shared" si="318"/>
        <v>-6.5000000000000071</v>
      </c>
      <c r="AF437" s="9">
        <f t="shared" si="319"/>
        <v>-11.300000000000004</v>
      </c>
      <c r="AG437" s="9">
        <f t="shared" si="320"/>
        <v>-8.8500000000000014</v>
      </c>
      <c r="AH437" s="9">
        <f t="shared" si="321"/>
        <v>-10.100000000000001</v>
      </c>
      <c r="AI437" s="9">
        <f t="shared" si="322"/>
        <v>-9.0000000000000071</v>
      </c>
      <c r="AJ437" s="9">
        <f t="shared" si="323"/>
        <v>-4.125</v>
      </c>
      <c r="AK437" s="9">
        <f t="shared" si="324"/>
        <v>-10</v>
      </c>
      <c r="AL437" s="9">
        <f t="shared" si="325"/>
        <v>-6.1000000000000085</v>
      </c>
      <c r="AM437" s="9">
        <f t="shared" si="326"/>
        <v>-2.2000000000000028</v>
      </c>
      <c r="AN437" s="9">
        <f t="shared" si="327"/>
        <v>-1.2000000000000028</v>
      </c>
      <c r="AO437" s="9">
        <f t="shared" si="328"/>
        <v>-7.2000000000000028</v>
      </c>
      <c r="AP437" s="9">
        <f t="shared" si="329"/>
        <v>-7.2000000000000028</v>
      </c>
      <c r="AQ437" s="9">
        <f t="shared" si="330"/>
        <v>-8.7000000000000028</v>
      </c>
      <c r="AR437" s="9">
        <f t="shared" si="331"/>
        <v>-10.100000000000009</v>
      </c>
      <c r="AS437" s="9">
        <f t="shared" si="332"/>
        <v>-6.0499999999999972</v>
      </c>
      <c r="AT437" s="9">
        <f t="shared" si="333"/>
        <v>-9.5</v>
      </c>
      <c r="AU437" s="9">
        <f t="shared" si="334"/>
        <v>-8.75</v>
      </c>
      <c r="AV437" s="9">
        <f t="shared" si="335"/>
        <v>-2.75</v>
      </c>
      <c r="AW437" s="9">
        <f t="shared" si="336"/>
        <v>-0.25</v>
      </c>
      <c r="AX437" s="9">
        <f t="shared" si="337"/>
        <v>-5.9500000000000028</v>
      </c>
      <c r="AY437" s="9">
        <f t="shared" si="338"/>
        <v>-6.75</v>
      </c>
      <c r="AZ437" s="9">
        <f t="shared" si="339"/>
        <v>-9.0499999999999972</v>
      </c>
      <c r="BA437" s="9">
        <f t="shared" si="340"/>
        <v>-10.850000000000001</v>
      </c>
      <c r="BB437" s="9">
        <f t="shared" si="341"/>
        <v>-6.75</v>
      </c>
      <c r="BC437" s="9">
        <f t="shared" si="342"/>
        <v>-10.5</v>
      </c>
      <c r="BD437" s="9">
        <f t="shared" si="343"/>
        <v>-10.125</v>
      </c>
      <c r="BE437" s="9">
        <f t="shared" si="344"/>
        <v>-4.3000000000000007</v>
      </c>
      <c r="BF437" s="9">
        <f t="shared" si="345"/>
        <v>-1.75</v>
      </c>
      <c r="BG437" s="9">
        <f t="shared" si="346"/>
        <v>-6.8000000000000007</v>
      </c>
      <c r="BH437" s="9">
        <f t="shared" si="347"/>
        <v>-8.25</v>
      </c>
      <c r="BI437" s="9">
        <f t="shared" si="348"/>
        <v>-10.3</v>
      </c>
      <c r="BJ437" s="9">
        <f t="shared" si="349"/>
        <v>-12.149999999999999</v>
      </c>
    </row>
    <row r="438" spans="1:62" x14ac:dyDescent="0.2">
      <c r="A438" s="9">
        <f>data!M439-data!M438</f>
        <v>0.1150999999999982</v>
      </c>
      <c r="B438" s="9">
        <f>data!C439-data!C438</f>
        <v>1.5400000000000009</v>
      </c>
      <c r="C438" s="9">
        <f>data!D439-data!D438</f>
        <v>0.33750000000000036</v>
      </c>
      <c r="D438" s="10">
        <f>data!B439-data!B438</f>
        <v>0.13750000000000018</v>
      </c>
      <c r="E438" s="9">
        <f>data!E438-data!G438</f>
        <v>1.1595999999999997</v>
      </c>
      <c r="F438" s="9">
        <f>(data!E438-data!F438)-(data!G438-data!H438)</f>
        <v>1.0457999999999998</v>
      </c>
      <c r="G438" s="9">
        <f t="shared" si="300"/>
        <v>1.9500000000000517E-2</v>
      </c>
      <c r="H438" s="9">
        <f t="shared" si="301"/>
        <v>9.10000000000033E-3</v>
      </c>
      <c r="I438" s="9">
        <f>IF(data!M439&gt; 111.81,1,0)</f>
        <v>0</v>
      </c>
      <c r="J438" s="9">
        <f t="shared" si="302"/>
        <v>1</v>
      </c>
      <c r="K438" s="9">
        <f t="shared" si="303"/>
        <v>0</v>
      </c>
      <c r="L438" s="9">
        <f t="shared" si="304"/>
        <v>0.1150999999999982</v>
      </c>
      <c r="M438" s="9">
        <f>data!J438</f>
        <v>-16.600000000000001</v>
      </c>
      <c r="N438" s="9">
        <f>data!I438</f>
        <v>-61</v>
      </c>
      <c r="O438" s="9">
        <f>data!L438</f>
        <v>-70.924999999999997</v>
      </c>
      <c r="P438" s="9">
        <f>data!K438</f>
        <v>-39.799999999999997</v>
      </c>
      <c r="Q438" s="9">
        <f>data!R438</f>
        <v>-22.75</v>
      </c>
      <c r="R438" s="9">
        <f t="shared" si="305"/>
        <v>-1.3999999999999986</v>
      </c>
      <c r="S438" s="9">
        <f t="shared" si="306"/>
        <v>0.11250000000000071</v>
      </c>
      <c r="T438" s="9">
        <f t="shared" si="307"/>
        <v>-1.0999999999999979</v>
      </c>
      <c r="U438" s="9">
        <f t="shared" si="308"/>
        <v>-4.3999999999999986</v>
      </c>
      <c r="V438" s="9">
        <f t="shared" si="309"/>
        <v>-5.25</v>
      </c>
      <c r="W438" s="9">
        <f t="shared" si="310"/>
        <v>-4.7999999999999972</v>
      </c>
      <c r="X438" s="9">
        <f t="shared" si="311"/>
        <v>-5.3999999999999986</v>
      </c>
      <c r="Y438" s="9">
        <f t="shared" si="312"/>
        <v>-4</v>
      </c>
      <c r="Z438" s="9">
        <f t="shared" si="313"/>
        <v>-2.5</v>
      </c>
      <c r="AA438" s="9">
        <f t="shared" si="314"/>
        <v>-3</v>
      </c>
      <c r="AB438" s="9">
        <f t="shared" si="315"/>
        <v>-0.5</v>
      </c>
      <c r="AC438" s="9">
        <f t="shared" si="316"/>
        <v>-2.2999999999999972</v>
      </c>
      <c r="AD438" s="9">
        <f t="shared" si="317"/>
        <v>-6.4000000000000057</v>
      </c>
      <c r="AE438" s="9">
        <f t="shared" si="318"/>
        <v>-11.200000000000003</v>
      </c>
      <c r="AF438" s="9">
        <f t="shared" si="319"/>
        <v>-8.75</v>
      </c>
      <c r="AG438" s="9">
        <f t="shared" si="320"/>
        <v>-10</v>
      </c>
      <c r="AH438" s="9">
        <f t="shared" si="321"/>
        <v>-8.9000000000000057</v>
      </c>
      <c r="AI438" s="9">
        <f t="shared" si="322"/>
        <v>-6.9000000000000057</v>
      </c>
      <c r="AJ438" s="9">
        <f t="shared" si="323"/>
        <v>-5.875</v>
      </c>
      <c r="AK438" s="9">
        <f t="shared" si="324"/>
        <v>-1.9750000000000085</v>
      </c>
      <c r="AL438" s="9">
        <f t="shared" si="325"/>
        <v>1.9249999999999972</v>
      </c>
      <c r="AM438" s="9">
        <f t="shared" si="326"/>
        <v>2.9249999999999972</v>
      </c>
      <c r="AN438" s="9">
        <f t="shared" si="327"/>
        <v>-3.0750000000000028</v>
      </c>
      <c r="AO438" s="9">
        <f t="shared" si="328"/>
        <v>-3.0750000000000028</v>
      </c>
      <c r="AP438" s="9">
        <f t="shared" si="329"/>
        <v>-4.5750000000000028</v>
      </c>
      <c r="AQ438" s="9">
        <f t="shared" si="330"/>
        <v>-5.9750000000000085</v>
      </c>
      <c r="AR438" s="9">
        <f t="shared" si="331"/>
        <v>-3.875</v>
      </c>
      <c r="AS438" s="9">
        <f t="shared" si="332"/>
        <v>-3.4500000000000028</v>
      </c>
      <c r="AT438" s="9">
        <f t="shared" si="333"/>
        <v>-2.7000000000000028</v>
      </c>
      <c r="AU438" s="9">
        <f t="shared" si="334"/>
        <v>3.2999999999999972</v>
      </c>
      <c r="AV438" s="9">
        <f t="shared" si="335"/>
        <v>5.7999999999999972</v>
      </c>
      <c r="AW438" s="9">
        <f t="shared" si="336"/>
        <v>9.9999999999994316E-2</v>
      </c>
      <c r="AX438" s="9">
        <f t="shared" si="337"/>
        <v>-0.70000000000000284</v>
      </c>
      <c r="AY438" s="9">
        <f t="shared" si="338"/>
        <v>-3</v>
      </c>
      <c r="AZ438" s="9">
        <f t="shared" si="339"/>
        <v>-4.8000000000000043</v>
      </c>
      <c r="BA438" s="9">
        <f t="shared" si="340"/>
        <v>-3.3000000000000043</v>
      </c>
      <c r="BB438" s="9">
        <f t="shared" si="341"/>
        <v>-3.75</v>
      </c>
      <c r="BC438" s="9">
        <f t="shared" si="342"/>
        <v>-3.375</v>
      </c>
      <c r="BD438" s="9">
        <f t="shared" si="343"/>
        <v>2.4499999999999993</v>
      </c>
      <c r="BE438" s="9">
        <f t="shared" si="344"/>
        <v>5</v>
      </c>
      <c r="BF438" s="9">
        <f t="shared" si="345"/>
        <v>-5.0000000000000711E-2</v>
      </c>
      <c r="BG438" s="9">
        <f t="shared" si="346"/>
        <v>-1.5</v>
      </c>
      <c r="BH438" s="9">
        <f t="shared" si="347"/>
        <v>-3.5500000000000007</v>
      </c>
      <c r="BI438" s="9">
        <f t="shared" si="348"/>
        <v>-5.3999999999999986</v>
      </c>
      <c r="BJ438" s="9">
        <f t="shared" si="349"/>
        <v>-3.75</v>
      </c>
    </row>
    <row r="439" spans="1:62" x14ac:dyDescent="0.2">
      <c r="A439" s="9">
        <f>data!M440-data!M439</f>
        <v>0.33080000000001064</v>
      </c>
      <c r="B439" s="9">
        <f>data!C440-data!C439</f>
        <v>2.3100000000000005</v>
      </c>
      <c r="C439" s="9">
        <f>data!D440-data!D439</f>
        <v>0.35249999999999915</v>
      </c>
      <c r="D439" s="10">
        <f>data!B440-data!B439</f>
        <v>5.7500000000000107E-2</v>
      </c>
      <c r="E439" s="9">
        <f>data!E439-data!G439</f>
        <v>1.1791000000000003</v>
      </c>
      <c r="F439" s="9">
        <f>(data!E439-data!F439)-(data!G439-data!H439)</f>
        <v>1.0549000000000002</v>
      </c>
      <c r="G439" s="9">
        <f t="shared" si="300"/>
        <v>9.7099999999999964E-2</v>
      </c>
      <c r="H439" s="9">
        <f t="shared" si="301"/>
        <v>6.9000000000000172E-2</v>
      </c>
      <c r="I439" s="9">
        <f>IF(data!M440&gt; 111.81,1,0)</f>
        <v>0</v>
      </c>
      <c r="J439" s="9">
        <f t="shared" si="302"/>
        <v>1</v>
      </c>
      <c r="K439" s="9">
        <f t="shared" si="303"/>
        <v>0</v>
      </c>
      <c r="L439" s="9">
        <f t="shared" si="304"/>
        <v>0.33080000000001064</v>
      </c>
      <c r="M439" s="9">
        <f>data!J439</f>
        <v>-18</v>
      </c>
      <c r="N439" s="9">
        <f>data!I439</f>
        <v>-64</v>
      </c>
      <c r="O439" s="9">
        <f>data!L439</f>
        <v>-76.8</v>
      </c>
      <c r="P439" s="9">
        <f>data!K439</f>
        <v>-43.25</v>
      </c>
      <c r="Q439" s="9">
        <f>data!R439</f>
        <v>-26.5</v>
      </c>
      <c r="R439" s="9">
        <f t="shared" si="305"/>
        <v>1.5124999999999993</v>
      </c>
      <c r="S439" s="9">
        <f t="shared" si="306"/>
        <v>0.30000000000000071</v>
      </c>
      <c r="T439" s="9">
        <f t="shared" si="307"/>
        <v>-3</v>
      </c>
      <c r="U439" s="9">
        <f t="shared" si="308"/>
        <v>-3.8500000000000014</v>
      </c>
      <c r="V439" s="9">
        <f t="shared" si="309"/>
        <v>-3.3999999999999986</v>
      </c>
      <c r="W439" s="9">
        <f t="shared" si="310"/>
        <v>-4</v>
      </c>
      <c r="X439" s="9">
        <f t="shared" si="311"/>
        <v>-2.6000000000000014</v>
      </c>
      <c r="Y439" s="9">
        <f t="shared" si="312"/>
        <v>-1.1000000000000014</v>
      </c>
      <c r="Z439" s="9">
        <f t="shared" si="313"/>
        <v>-1.5</v>
      </c>
      <c r="AA439" s="9">
        <f t="shared" si="314"/>
        <v>2.5</v>
      </c>
      <c r="AB439" s="9">
        <f t="shared" si="315"/>
        <v>0.70000000000000284</v>
      </c>
      <c r="AC439" s="9">
        <f t="shared" si="316"/>
        <v>-3.4000000000000057</v>
      </c>
      <c r="AD439" s="9">
        <f t="shared" si="317"/>
        <v>-8.2000000000000028</v>
      </c>
      <c r="AE439" s="9">
        <f t="shared" si="318"/>
        <v>-5.75</v>
      </c>
      <c r="AF439" s="9">
        <f t="shared" si="319"/>
        <v>-7</v>
      </c>
      <c r="AG439" s="9">
        <f t="shared" si="320"/>
        <v>-5.9000000000000057</v>
      </c>
      <c r="AH439" s="9">
        <f t="shared" si="321"/>
        <v>-3.9000000000000057</v>
      </c>
      <c r="AI439" s="9">
        <f t="shared" si="322"/>
        <v>-2.7999999999999972</v>
      </c>
      <c r="AJ439" s="9">
        <f t="shared" si="323"/>
        <v>3.8999999999999915</v>
      </c>
      <c r="AK439" s="9">
        <f t="shared" si="324"/>
        <v>7.7999999999999972</v>
      </c>
      <c r="AL439" s="9">
        <f t="shared" si="325"/>
        <v>8.7999999999999972</v>
      </c>
      <c r="AM439" s="9">
        <f t="shared" si="326"/>
        <v>2.7999999999999972</v>
      </c>
      <c r="AN439" s="9">
        <f t="shared" si="327"/>
        <v>2.7999999999999972</v>
      </c>
      <c r="AO439" s="9">
        <f t="shared" si="328"/>
        <v>1.2999999999999972</v>
      </c>
      <c r="AP439" s="9">
        <f t="shared" si="329"/>
        <v>-0.10000000000000853</v>
      </c>
      <c r="AQ439" s="9">
        <f t="shared" si="330"/>
        <v>2</v>
      </c>
      <c r="AR439" s="9">
        <f t="shared" si="331"/>
        <v>4.1749999999999972</v>
      </c>
      <c r="AS439" s="9">
        <f t="shared" si="332"/>
        <v>0.75</v>
      </c>
      <c r="AT439" s="9">
        <f t="shared" si="333"/>
        <v>6.75</v>
      </c>
      <c r="AU439" s="9">
        <f t="shared" si="334"/>
        <v>9.25</v>
      </c>
      <c r="AV439" s="9">
        <f t="shared" si="335"/>
        <v>3.5499999999999972</v>
      </c>
      <c r="AW439" s="9">
        <f t="shared" si="336"/>
        <v>2.75</v>
      </c>
      <c r="AX439" s="9">
        <f t="shared" si="337"/>
        <v>0.45000000000000284</v>
      </c>
      <c r="AY439" s="9">
        <f t="shared" si="338"/>
        <v>-1.3500000000000014</v>
      </c>
      <c r="AZ439" s="9">
        <f t="shared" si="339"/>
        <v>0.14999999999999858</v>
      </c>
      <c r="BA439" s="9">
        <f t="shared" si="340"/>
        <v>1.75</v>
      </c>
      <c r="BB439" s="9">
        <f t="shared" si="341"/>
        <v>0.375</v>
      </c>
      <c r="BC439" s="9">
        <f t="shared" si="342"/>
        <v>6.1999999999999993</v>
      </c>
      <c r="BD439" s="9">
        <f t="shared" si="343"/>
        <v>8.75</v>
      </c>
      <c r="BE439" s="9">
        <f t="shared" si="344"/>
        <v>3.6999999999999993</v>
      </c>
      <c r="BF439" s="9">
        <f t="shared" si="345"/>
        <v>2.25</v>
      </c>
      <c r="BG439" s="9">
        <f t="shared" si="346"/>
        <v>0.19999999999999929</v>
      </c>
      <c r="BH439" s="9">
        <f t="shared" si="347"/>
        <v>-1.6499999999999986</v>
      </c>
      <c r="BI439" s="9">
        <f t="shared" si="348"/>
        <v>0</v>
      </c>
      <c r="BJ439" s="9">
        <f t="shared" si="349"/>
        <v>1.375</v>
      </c>
    </row>
    <row r="440" spans="1:62" x14ac:dyDescent="0.2">
      <c r="A440" s="9">
        <f>data!M441-data!M440</f>
        <v>-1.0020000000000095</v>
      </c>
      <c r="B440" s="9">
        <f>data!C441-data!C440</f>
        <v>-1.1600000000000001</v>
      </c>
      <c r="C440" s="9">
        <f>data!D441-data!D440</f>
        <v>0.74249999999999972</v>
      </c>
      <c r="D440" s="10">
        <f>data!B441-data!B440</f>
        <v>-0.33250000000000002</v>
      </c>
      <c r="E440" s="9">
        <f>data!E440-data!G440</f>
        <v>1.2762000000000002</v>
      </c>
      <c r="F440" s="9">
        <f>(data!E440-data!F440)-(data!G440-data!H440)</f>
        <v>1.1239000000000003</v>
      </c>
      <c r="G440" s="9">
        <f t="shared" si="300"/>
        <v>4.5599999999999863E-2</v>
      </c>
      <c r="H440" s="9">
        <f t="shared" si="301"/>
        <v>1.619999999999977E-2</v>
      </c>
      <c r="I440" s="9">
        <f>IF(data!M441&gt; 111.81,1,0)</f>
        <v>0</v>
      </c>
      <c r="J440" s="9">
        <f t="shared" si="302"/>
        <v>1</v>
      </c>
      <c r="K440" s="9">
        <f t="shared" si="303"/>
        <v>0</v>
      </c>
      <c r="L440" s="9">
        <f t="shared" si="304"/>
        <v>-1.0020000000000095</v>
      </c>
      <c r="M440" s="9">
        <f>data!J440</f>
        <v>-16.487500000000001</v>
      </c>
      <c r="N440" s="9">
        <f>data!I440</f>
        <v>-61.5</v>
      </c>
      <c r="O440" s="9">
        <f>data!L440</f>
        <v>-72.900000000000006</v>
      </c>
      <c r="P440" s="9">
        <f>data!K440</f>
        <v>-42.5</v>
      </c>
      <c r="Q440" s="9">
        <f>data!R440</f>
        <v>-26.125</v>
      </c>
      <c r="R440" s="9">
        <f t="shared" si="305"/>
        <v>-1.2124999999999986</v>
      </c>
      <c r="S440" s="9">
        <f t="shared" si="306"/>
        <v>-4.5124999999999993</v>
      </c>
      <c r="T440" s="9">
        <f t="shared" si="307"/>
        <v>-5.3625000000000007</v>
      </c>
      <c r="U440" s="9">
        <f t="shared" si="308"/>
        <v>-4.9124999999999979</v>
      </c>
      <c r="V440" s="9">
        <f t="shared" si="309"/>
        <v>-5.5124999999999993</v>
      </c>
      <c r="W440" s="9">
        <f t="shared" si="310"/>
        <v>-4.1125000000000007</v>
      </c>
      <c r="X440" s="9">
        <f t="shared" si="311"/>
        <v>-2.6125000000000007</v>
      </c>
      <c r="Y440" s="9">
        <f t="shared" si="312"/>
        <v>-3.0124999999999993</v>
      </c>
      <c r="Z440" s="9">
        <f t="shared" si="313"/>
        <v>-2.6374999999999993</v>
      </c>
      <c r="AA440" s="9">
        <f t="shared" si="314"/>
        <v>-1.7999999999999972</v>
      </c>
      <c r="AB440" s="9">
        <f t="shared" si="315"/>
        <v>-5.9000000000000057</v>
      </c>
      <c r="AC440" s="9">
        <f t="shared" si="316"/>
        <v>-10.700000000000003</v>
      </c>
      <c r="AD440" s="9">
        <f t="shared" si="317"/>
        <v>-8.25</v>
      </c>
      <c r="AE440" s="9">
        <f t="shared" si="318"/>
        <v>-9.5</v>
      </c>
      <c r="AF440" s="9">
        <f t="shared" si="319"/>
        <v>-8.4000000000000057</v>
      </c>
      <c r="AG440" s="9">
        <f t="shared" si="320"/>
        <v>-6.4000000000000057</v>
      </c>
      <c r="AH440" s="9">
        <f t="shared" si="321"/>
        <v>-5.2999999999999972</v>
      </c>
      <c r="AI440" s="9">
        <f t="shared" si="322"/>
        <v>-3</v>
      </c>
      <c r="AJ440" s="9">
        <f t="shared" si="323"/>
        <v>3.9000000000000057</v>
      </c>
      <c r="AK440" s="9">
        <f t="shared" si="324"/>
        <v>4.9000000000000057</v>
      </c>
      <c r="AL440" s="9">
        <f t="shared" si="325"/>
        <v>-1.0999999999999943</v>
      </c>
      <c r="AM440" s="9">
        <f t="shared" si="326"/>
        <v>-1.0999999999999943</v>
      </c>
      <c r="AN440" s="9">
        <f t="shared" si="327"/>
        <v>-2.5999999999999943</v>
      </c>
      <c r="AO440" s="9">
        <f t="shared" si="328"/>
        <v>-4</v>
      </c>
      <c r="AP440" s="9">
        <f t="shared" si="329"/>
        <v>-1.8999999999999915</v>
      </c>
      <c r="AQ440" s="9">
        <f t="shared" si="330"/>
        <v>0.27500000000000568</v>
      </c>
      <c r="AR440" s="9">
        <f t="shared" si="331"/>
        <v>2.6500000000000057</v>
      </c>
      <c r="AS440" s="9">
        <f t="shared" si="332"/>
        <v>6</v>
      </c>
      <c r="AT440" s="9">
        <f t="shared" si="333"/>
        <v>8.5</v>
      </c>
      <c r="AU440" s="9">
        <f t="shared" si="334"/>
        <v>2.7999999999999972</v>
      </c>
      <c r="AV440" s="9">
        <f t="shared" si="335"/>
        <v>2</v>
      </c>
      <c r="AW440" s="9">
        <f t="shared" si="336"/>
        <v>-0.29999999999999716</v>
      </c>
      <c r="AX440" s="9">
        <f t="shared" si="337"/>
        <v>-2.1000000000000014</v>
      </c>
      <c r="AY440" s="9">
        <f t="shared" si="338"/>
        <v>-0.60000000000000142</v>
      </c>
      <c r="AZ440" s="9">
        <f t="shared" si="339"/>
        <v>1</v>
      </c>
      <c r="BA440" s="9">
        <f t="shared" si="340"/>
        <v>3.25</v>
      </c>
      <c r="BB440" s="9">
        <f t="shared" si="341"/>
        <v>5.8249999999999993</v>
      </c>
      <c r="BC440" s="9">
        <f t="shared" si="342"/>
        <v>8.375</v>
      </c>
      <c r="BD440" s="9">
        <f t="shared" si="343"/>
        <v>3.3249999999999993</v>
      </c>
      <c r="BE440" s="9">
        <f t="shared" si="344"/>
        <v>1.875</v>
      </c>
      <c r="BF440" s="9">
        <f t="shared" si="345"/>
        <v>-0.17500000000000071</v>
      </c>
      <c r="BG440" s="9">
        <f t="shared" si="346"/>
        <v>-2.0249999999999986</v>
      </c>
      <c r="BH440" s="9">
        <f t="shared" si="347"/>
        <v>-0.375</v>
      </c>
      <c r="BI440" s="9">
        <f t="shared" si="348"/>
        <v>1</v>
      </c>
      <c r="BJ440" s="9">
        <f t="shared" si="349"/>
        <v>3.375</v>
      </c>
    </row>
    <row r="441" spans="1:62" x14ac:dyDescent="0.2">
      <c r="A441" s="9">
        <f>data!M442-data!M441</f>
        <v>-0.41700000000000159</v>
      </c>
      <c r="B441" s="9">
        <f>data!C442-data!C441</f>
        <v>2.009999999999998</v>
      </c>
      <c r="C441" s="9">
        <f>data!D442-data!D441</f>
        <v>1.2249999999999996</v>
      </c>
      <c r="D441" s="10">
        <f>data!B442-data!B441</f>
        <v>0.12000000000000011</v>
      </c>
      <c r="E441" s="9">
        <f>data!E441-data!G441</f>
        <v>1.3218000000000001</v>
      </c>
      <c r="F441" s="9">
        <f>(data!E441-data!F441)-(data!G441-data!H441)</f>
        <v>1.1401000000000001</v>
      </c>
      <c r="G441" s="9">
        <f t="shared" si="300"/>
        <v>-1.1299999999999866E-2</v>
      </c>
      <c r="H441" s="9">
        <f t="shared" si="301"/>
        <v>2.6300000000000212E-2</v>
      </c>
      <c r="I441" s="9">
        <f>IF(data!M442&gt; 111.81,1,0)</f>
        <v>0</v>
      </c>
      <c r="J441" s="9">
        <f t="shared" si="302"/>
        <v>1</v>
      </c>
      <c r="K441" s="9">
        <f t="shared" si="303"/>
        <v>0</v>
      </c>
      <c r="L441" s="9">
        <f t="shared" si="304"/>
        <v>-0.41700000000000159</v>
      </c>
      <c r="M441" s="9">
        <f>data!J441</f>
        <v>-17.7</v>
      </c>
      <c r="N441" s="9">
        <f>data!I441</f>
        <v>-63.3</v>
      </c>
      <c r="O441" s="9">
        <f>data!L441</f>
        <v>-69</v>
      </c>
      <c r="P441" s="9">
        <f>data!K441</f>
        <v>-36.5</v>
      </c>
      <c r="Q441" s="9">
        <f>data!R441</f>
        <v>-20.3</v>
      </c>
      <c r="R441" s="9">
        <f t="shared" si="305"/>
        <v>-3.3000000000000007</v>
      </c>
      <c r="S441" s="9">
        <f t="shared" si="306"/>
        <v>-4.1500000000000021</v>
      </c>
      <c r="T441" s="9">
        <f t="shared" si="307"/>
        <v>-3.6999999999999993</v>
      </c>
      <c r="U441" s="9">
        <f t="shared" si="308"/>
        <v>-4.3000000000000007</v>
      </c>
      <c r="V441" s="9">
        <f t="shared" si="309"/>
        <v>-2.9000000000000021</v>
      </c>
      <c r="W441" s="9">
        <f t="shared" si="310"/>
        <v>-1.4000000000000021</v>
      </c>
      <c r="X441" s="9">
        <f t="shared" si="311"/>
        <v>-1.8000000000000007</v>
      </c>
      <c r="Y441" s="9">
        <f t="shared" si="312"/>
        <v>-1.4250000000000007</v>
      </c>
      <c r="Z441" s="9">
        <f t="shared" si="313"/>
        <v>-1.4000000000000021</v>
      </c>
      <c r="AA441" s="9">
        <f t="shared" si="314"/>
        <v>-4.1000000000000085</v>
      </c>
      <c r="AB441" s="9">
        <f t="shared" si="315"/>
        <v>-8.9000000000000057</v>
      </c>
      <c r="AC441" s="9">
        <f t="shared" si="316"/>
        <v>-6.4500000000000028</v>
      </c>
      <c r="AD441" s="9">
        <f t="shared" si="317"/>
        <v>-7.7000000000000028</v>
      </c>
      <c r="AE441" s="9">
        <f t="shared" si="318"/>
        <v>-6.6000000000000085</v>
      </c>
      <c r="AF441" s="9">
        <f t="shared" si="319"/>
        <v>-4.6000000000000085</v>
      </c>
      <c r="AG441" s="9">
        <f t="shared" si="320"/>
        <v>-3.5</v>
      </c>
      <c r="AH441" s="9">
        <f t="shared" si="321"/>
        <v>-1.2000000000000028</v>
      </c>
      <c r="AI441" s="9">
        <f t="shared" si="322"/>
        <v>-2.2000000000000028</v>
      </c>
      <c r="AJ441" s="9">
        <f t="shared" si="323"/>
        <v>1</v>
      </c>
      <c r="AK441" s="9">
        <f t="shared" si="324"/>
        <v>-5</v>
      </c>
      <c r="AL441" s="9">
        <f t="shared" si="325"/>
        <v>-5</v>
      </c>
      <c r="AM441" s="9">
        <f t="shared" si="326"/>
        <v>-6.5</v>
      </c>
      <c r="AN441" s="9">
        <f t="shared" si="327"/>
        <v>-7.9000000000000057</v>
      </c>
      <c r="AO441" s="9">
        <f t="shared" si="328"/>
        <v>-5.7999999999999972</v>
      </c>
      <c r="AP441" s="9">
        <f t="shared" si="329"/>
        <v>-3.625</v>
      </c>
      <c r="AQ441" s="9">
        <f t="shared" si="330"/>
        <v>-1.25</v>
      </c>
      <c r="AR441" s="9">
        <f t="shared" si="331"/>
        <v>-2.5</v>
      </c>
      <c r="AS441" s="9">
        <f t="shared" si="332"/>
        <v>2.5</v>
      </c>
      <c r="AT441" s="9">
        <f t="shared" si="333"/>
        <v>-3.2000000000000028</v>
      </c>
      <c r="AU441" s="9">
        <f t="shared" si="334"/>
        <v>-4</v>
      </c>
      <c r="AV441" s="9">
        <f t="shared" si="335"/>
        <v>-6.2999999999999972</v>
      </c>
      <c r="AW441" s="9">
        <f t="shared" si="336"/>
        <v>-8.1000000000000014</v>
      </c>
      <c r="AX441" s="9">
        <f t="shared" si="337"/>
        <v>-6.6000000000000014</v>
      </c>
      <c r="AY441" s="9">
        <f t="shared" si="338"/>
        <v>-5</v>
      </c>
      <c r="AZ441" s="9">
        <f t="shared" si="339"/>
        <v>-2.75</v>
      </c>
      <c r="BA441" s="9">
        <f t="shared" si="340"/>
        <v>-4</v>
      </c>
      <c r="BB441" s="9">
        <f t="shared" si="341"/>
        <v>2.5500000000000007</v>
      </c>
      <c r="BC441" s="9">
        <f t="shared" si="342"/>
        <v>-2.5</v>
      </c>
      <c r="BD441" s="9">
        <f t="shared" si="343"/>
        <v>-3.9499999999999993</v>
      </c>
      <c r="BE441" s="9">
        <f t="shared" si="344"/>
        <v>-6</v>
      </c>
      <c r="BF441" s="9">
        <f t="shared" si="345"/>
        <v>-7.8499999999999979</v>
      </c>
      <c r="BG441" s="9">
        <f t="shared" si="346"/>
        <v>-6.1999999999999993</v>
      </c>
      <c r="BH441" s="9">
        <f t="shared" si="347"/>
        <v>-4.8249999999999993</v>
      </c>
      <c r="BI441" s="9">
        <f t="shared" si="348"/>
        <v>-2.4499999999999993</v>
      </c>
      <c r="BJ441" s="9">
        <f t="shared" si="349"/>
        <v>-4</v>
      </c>
    </row>
    <row r="442" spans="1:62" x14ac:dyDescent="0.2">
      <c r="A442" s="9">
        <f>data!M443-data!M442</f>
        <v>2.2357000000000085</v>
      </c>
      <c r="B442" s="9">
        <f>data!C443-data!C442</f>
        <v>1.75</v>
      </c>
      <c r="C442" s="9">
        <f>data!D443-data!D442</f>
        <v>0.33250000000000135</v>
      </c>
      <c r="D442" s="10">
        <f>data!B443-data!B442</f>
        <v>-0.53000000000000025</v>
      </c>
      <c r="E442" s="9">
        <f>data!E442-data!G442</f>
        <v>1.3105000000000002</v>
      </c>
      <c r="F442" s="9">
        <f>(data!E442-data!F442)-(data!G442-data!H442)</f>
        <v>1.1664000000000003</v>
      </c>
      <c r="G442" s="9">
        <f t="shared" si="300"/>
        <v>0.34949999999999992</v>
      </c>
      <c r="H442" s="9">
        <f t="shared" si="301"/>
        <v>0.2569999999999999</v>
      </c>
      <c r="I442" s="9">
        <f>IF(data!M443&gt; 111.81,1,0)</f>
        <v>0</v>
      </c>
      <c r="J442" s="9">
        <f t="shared" si="302"/>
        <v>1</v>
      </c>
      <c r="K442" s="9">
        <f t="shared" si="303"/>
        <v>0</v>
      </c>
      <c r="L442" s="9">
        <f t="shared" si="304"/>
        <v>2.2357000000000085</v>
      </c>
      <c r="M442" s="9">
        <f>data!J442</f>
        <v>-21</v>
      </c>
      <c r="N442" s="9">
        <f>data!I442</f>
        <v>-67.400000000000006</v>
      </c>
      <c r="O442" s="9">
        <f>data!L442</f>
        <v>-68</v>
      </c>
      <c r="P442" s="9">
        <f>data!K442</f>
        <v>-34</v>
      </c>
      <c r="Q442" s="9">
        <f>data!R442</f>
        <v>-17.75</v>
      </c>
      <c r="R442" s="9">
        <f t="shared" si="305"/>
        <v>-0.85000000000000142</v>
      </c>
      <c r="S442" s="9">
        <f t="shared" si="306"/>
        <v>-0.39999999999999858</v>
      </c>
      <c r="T442" s="9">
        <f t="shared" si="307"/>
        <v>-1</v>
      </c>
      <c r="U442" s="9">
        <f t="shared" si="308"/>
        <v>0.39999999999999858</v>
      </c>
      <c r="V442" s="9">
        <f t="shared" si="309"/>
        <v>1.8999999999999986</v>
      </c>
      <c r="W442" s="9">
        <f t="shared" si="310"/>
        <v>1.5</v>
      </c>
      <c r="X442" s="9">
        <f t="shared" si="311"/>
        <v>1.875</v>
      </c>
      <c r="Y442" s="9">
        <f t="shared" si="312"/>
        <v>1.8999999999999986</v>
      </c>
      <c r="Z442" s="9">
        <f t="shared" si="313"/>
        <v>2.1000000000000014</v>
      </c>
      <c r="AA442" s="9">
        <f t="shared" si="314"/>
        <v>-4.7999999999999972</v>
      </c>
      <c r="AB442" s="9">
        <f t="shared" si="315"/>
        <v>-2.3499999999999943</v>
      </c>
      <c r="AC442" s="9">
        <f t="shared" si="316"/>
        <v>-3.5999999999999943</v>
      </c>
      <c r="AD442" s="9">
        <f t="shared" si="317"/>
        <v>-2.5</v>
      </c>
      <c r="AE442" s="9">
        <f t="shared" si="318"/>
        <v>-0.5</v>
      </c>
      <c r="AF442" s="9">
        <f t="shared" si="319"/>
        <v>0.60000000000000853</v>
      </c>
      <c r="AG442" s="9">
        <f t="shared" si="320"/>
        <v>2.9000000000000057</v>
      </c>
      <c r="AH442" s="9">
        <f t="shared" si="321"/>
        <v>1.9000000000000057</v>
      </c>
      <c r="AI442" s="9">
        <f t="shared" si="322"/>
        <v>1.3000000000000114</v>
      </c>
      <c r="AJ442" s="9">
        <f t="shared" si="323"/>
        <v>-6</v>
      </c>
      <c r="AK442" s="9">
        <f t="shared" si="324"/>
        <v>-6</v>
      </c>
      <c r="AL442" s="9">
        <f t="shared" si="325"/>
        <v>-7.5</v>
      </c>
      <c r="AM442" s="9">
        <f t="shared" si="326"/>
        <v>-8.9000000000000057</v>
      </c>
      <c r="AN442" s="9">
        <f t="shared" si="327"/>
        <v>-6.7999999999999972</v>
      </c>
      <c r="AO442" s="9">
        <f t="shared" si="328"/>
        <v>-4.625</v>
      </c>
      <c r="AP442" s="9">
        <f t="shared" si="329"/>
        <v>-2.25</v>
      </c>
      <c r="AQ442" s="9">
        <f t="shared" si="330"/>
        <v>-3.5</v>
      </c>
      <c r="AR442" s="9">
        <f t="shared" si="331"/>
        <v>-5.4000000000000057</v>
      </c>
      <c r="AS442" s="9">
        <f t="shared" si="332"/>
        <v>-5.7000000000000028</v>
      </c>
      <c r="AT442" s="9">
        <f t="shared" si="333"/>
        <v>-6.5</v>
      </c>
      <c r="AU442" s="9">
        <f t="shared" si="334"/>
        <v>-8.7999999999999972</v>
      </c>
      <c r="AV442" s="9">
        <f t="shared" si="335"/>
        <v>-10.600000000000001</v>
      </c>
      <c r="AW442" s="9">
        <f t="shared" si="336"/>
        <v>-9.1000000000000014</v>
      </c>
      <c r="AX442" s="9">
        <f t="shared" si="337"/>
        <v>-7.5</v>
      </c>
      <c r="AY442" s="9">
        <f t="shared" si="338"/>
        <v>-5.25</v>
      </c>
      <c r="AZ442" s="9">
        <f t="shared" si="339"/>
        <v>-6.5</v>
      </c>
      <c r="BA442" s="9">
        <f t="shared" si="340"/>
        <v>-8.1000000000000014</v>
      </c>
      <c r="BB442" s="9">
        <f t="shared" si="341"/>
        <v>-5.0500000000000007</v>
      </c>
      <c r="BC442" s="9">
        <f t="shared" si="342"/>
        <v>-6.5</v>
      </c>
      <c r="BD442" s="9">
        <f t="shared" si="343"/>
        <v>-8.5500000000000007</v>
      </c>
      <c r="BE442" s="9">
        <f t="shared" si="344"/>
        <v>-10.399999999999999</v>
      </c>
      <c r="BF442" s="9">
        <f t="shared" si="345"/>
        <v>-8.75</v>
      </c>
      <c r="BG442" s="9">
        <f t="shared" si="346"/>
        <v>-7.375</v>
      </c>
      <c r="BH442" s="9">
        <f t="shared" si="347"/>
        <v>-5</v>
      </c>
      <c r="BI442" s="9">
        <f t="shared" si="348"/>
        <v>-6.5500000000000007</v>
      </c>
      <c r="BJ442" s="9">
        <f t="shared" si="349"/>
        <v>-8.25</v>
      </c>
    </row>
    <row r="443" spans="1:62" x14ac:dyDescent="0.2">
      <c r="A443" s="9">
        <f>data!M444-data!M443</f>
        <v>-0.11960000000000548</v>
      </c>
      <c r="B443" s="9">
        <f>data!C444-data!C443</f>
        <v>-2.0399999999999991</v>
      </c>
      <c r="C443" s="9">
        <f>data!D444-data!D443</f>
        <v>-1.1875</v>
      </c>
      <c r="D443" s="10">
        <f>data!B444-data!B443</f>
        <v>0.26000000000000023</v>
      </c>
      <c r="E443" s="9">
        <f>data!E443-data!G443</f>
        <v>1.6600000000000001</v>
      </c>
      <c r="F443" s="9">
        <f>(data!E443-data!F443)-(data!G443-data!H443)</f>
        <v>1.4234000000000002</v>
      </c>
      <c r="G443" s="9">
        <f t="shared" si="300"/>
        <v>-2.2299999999999986E-2</v>
      </c>
      <c r="H443" s="9">
        <f t="shared" si="301"/>
        <v>-1.4100000000000223E-2</v>
      </c>
      <c r="I443" s="9">
        <f>IF(data!M444&gt; 111.81,1,0)</f>
        <v>0</v>
      </c>
      <c r="J443" s="9">
        <f t="shared" si="302"/>
        <v>1</v>
      </c>
      <c r="K443" s="9">
        <f t="shared" si="303"/>
        <v>0</v>
      </c>
      <c r="L443" s="9">
        <f t="shared" si="304"/>
        <v>-0.11960000000000548</v>
      </c>
      <c r="M443" s="9">
        <f>data!J443</f>
        <v>-21.85</v>
      </c>
      <c r="N443" s="9">
        <f>data!I443</f>
        <v>-72.2</v>
      </c>
      <c r="O443" s="9">
        <f>data!L443</f>
        <v>-74</v>
      </c>
      <c r="P443" s="9">
        <f>data!K443</f>
        <v>-39.700000000000003</v>
      </c>
      <c r="Q443" s="9">
        <f>data!R443</f>
        <v>-22.8</v>
      </c>
      <c r="R443" s="9">
        <f t="shared" si="305"/>
        <v>0.45000000000000284</v>
      </c>
      <c r="S443" s="9">
        <f t="shared" si="306"/>
        <v>-0.14999999999999858</v>
      </c>
      <c r="T443" s="9">
        <f t="shared" si="307"/>
        <v>1.25</v>
      </c>
      <c r="U443" s="9">
        <f t="shared" si="308"/>
        <v>2.75</v>
      </c>
      <c r="V443" s="9">
        <f t="shared" si="309"/>
        <v>2.3500000000000014</v>
      </c>
      <c r="W443" s="9">
        <f t="shared" si="310"/>
        <v>2.7250000000000014</v>
      </c>
      <c r="X443" s="9">
        <f t="shared" si="311"/>
        <v>2.75</v>
      </c>
      <c r="Y443" s="9">
        <f t="shared" si="312"/>
        <v>2.9500000000000028</v>
      </c>
      <c r="Z443" s="9">
        <f t="shared" si="313"/>
        <v>3.3900000000000006</v>
      </c>
      <c r="AA443" s="9">
        <f t="shared" si="314"/>
        <v>2.4500000000000028</v>
      </c>
      <c r="AB443" s="9">
        <f t="shared" si="315"/>
        <v>1.2000000000000028</v>
      </c>
      <c r="AC443" s="9">
        <f t="shared" si="316"/>
        <v>2.2999999999999972</v>
      </c>
      <c r="AD443" s="9">
        <f t="shared" si="317"/>
        <v>4.2999999999999972</v>
      </c>
      <c r="AE443" s="9">
        <f t="shared" si="318"/>
        <v>5.4000000000000057</v>
      </c>
      <c r="AF443" s="9">
        <f t="shared" si="319"/>
        <v>7.7000000000000028</v>
      </c>
      <c r="AG443" s="9">
        <f t="shared" si="320"/>
        <v>6.7000000000000028</v>
      </c>
      <c r="AH443" s="9">
        <f t="shared" si="321"/>
        <v>6.1000000000000085</v>
      </c>
      <c r="AI443" s="9">
        <f t="shared" si="322"/>
        <v>5.2000000000000028</v>
      </c>
      <c r="AJ443" s="9">
        <f t="shared" si="323"/>
        <v>0</v>
      </c>
      <c r="AK443" s="9">
        <f t="shared" si="324"/>
        <v>-1.5</v>
      </c>
      <c r="AL443" s="9">
        <f t="shared" si="325"/>
        <v>-2.9000000000000057</v>
      </c>
      <c r="AM443" s="9">
        <f t="shared" si="326"/>
        <v>-0.79999999999999716</v>
      </c>
      <c r="AN443" s="9">
        <f t="shared" si="327"/>
        <v>1.375</v>
      </c>
      <c r="AO443" s="9">
        <f t="shared" si="328"/>
        <v>3.75</v>
      </c>
      <c r="AP443" s="9">
        <f t="shared" si="329"/>
        <v>2.5</v>
      </c>
      <c r="AQ443" s="9">
        <f t="shared" si="330"/>
        <v>0.59999999999999432</v>
      </c>
      <c r="AR443" s="9">
        <f t="shared" si="331"/>
        <v>0.5</v>
      </c>
      <c r="AS443" s="9">
        <f t="shared" si="332"/>
        <v>-0.79999999999999716</v>
      </c>
      <c r="AT443" s="9">
        <f t="shared" si="333"/>
        <v>-3.0999999999999943</v>
      </c>
      <c r="AU443" s="9">
        <f t="shared" si="334"/>
        <v>-4.8999999999999986</v>
      </c>
      <c r="AV443" s="9">
        <f t="shared" si="335"/>
        <v>-3.3999999999999986</v>
      </c>
      <c r="AW443" s="9">
        <f t="shared" si="336"/>
        <v>-1.7999999999999972</v>
      </c>
      <c r="AX443" s="9">
        <f t="shared" si="337"/>
        <v>0.45000000000000284</v>
      </c>
      <c r="AY443" s="9">
        <f t="shared" si="338"/>
        <v>-0.79999999999999716</v>
      </c>
      <c r="AZ443" s="9">
        <f t="shared" si="339"/>
        <v>-2.3999999999999986</v>
      </c>
      <c r="BA443" s="9">
        <f t="shared" si="340"/>
        <v>-2.5999999999999943</v>
      </c>
      <c r="BB443" s="9">
        <f t="shared" si="341"/>
        <v>-1.4499999999999993</v>
      </c>
      <c r="BC443" s="9">
        <f t="shared" si="342"/>
        <v>-3.5</v>
      </c>
      <c r="BD443" s="9">
        <f t="shared" si="343"/>
        <v>-5.3499999999999979</v>
      </c>
      <c r="BE443" s="9">
        <f t="shared" si="344"/>
        <v>-3.6999999999999993</v>
      </c>
      <c r="BF443" s="9">
        <f t="shared" si="345"/>
        <v>-2.3249999999999993</v>
      </c>
      <c r="BG443" s="9">
        <f t="shared" si="346"/>
        <v>5.0000000000000711E-2</v>
      </c>
      <c r="BH443" s="9">
        <f t="shared" si="347"/>
        <v>-1.5</v>
      </c>
      <c r="BI443" s="9">
        <f t="shared" si="348"/>
        <v>-3.1999999999999993</v>
      </c>
      <c r="BJ443" s="9">
        <f t="shared" si="349"/>
        <v>-3.5</v>
      </c>
    </row>
    <row r="444" spans="1:62" x14ac:dyDescent="0.2">
      <c r="A444" s="9">
        <f>data!M445-data!M444</f>
        <v>0.75920000000000698</v>
      </c>
      <c r="B444" s="9">
        <f>data!C445-data!C444</f>
        <v>-1.9699999999999989</v>
      </c>
      <c r="C444" s="9">
        <f>data!D445-data!D444</f>
        <v>-0.27749999999999986</v>
      </c>
      <c r="D444" s="10">
        <f>data!B445-data!B444</f>
        <v>0.12749999999999995</v>
      </c>
      <c r="E444" s="9">
        <f>data!E444-data!G444</f>
        <v>1.6377000000000002</v>
      </c>
      <c r="F444" s="9">
        <f>(data!E444-data!F444)-(data!G444-data!H444)</f>
        <v>1.4093</v>
      </c>
      <c r="G444" s="9">
        <f t="shared" si="300"/>
        <v>0.24739999999999984</v>
      </c>
      <c r="H444" s="9">
        <f t="shared" si="301"/>
        <v>0.21399999999999997</v>
      </c>
      <c r="I444" s="9">
        <f>IF(data!M445&gt; 111.81,1,0)</f>
        <v>0</v>
      </c>
      <c r="J444" s="9">
        <f t="shared" si="302"/>
        <v>1</v>
      </c>
      <c r="K444" s="9">
        <f t="shared" si="303"/>
        <v>0</v>
      </c>
      <c r="L444" s="9">
        <f t="shared" si="304"/>
        <v>0.75920000000000698</v>
      </c>
      <c r="M444" s="9">
        <f>data!J444</f>
        <v>-21.4</v>
      </c>
      <c r="N444" s="9">
        <f>data!I444</f>
        <v>-69.75</v>
      </c>
      <c r="O444" s="9">
        <f>data!L444</f>
        <v>-74</v>
      </c>
      <c r="P444" s="9">
        <f>data!K444</f>
        <v>-40.5</v>
      </c>
      <c r="Q444" s="9">
        <f>data!R444</f>
        <v>-24.25</v>
      </c>
      <c r="R444" s="9">
        <f t="shared" si="305"/>
        <v>-0.60000000000000142</v>
      </c>
      <c r="S444" s="9">
        <f t="shared" si="306"/>
        <v>0.79999999999999716</v>
      </c>
      <c r="T444" s="9">
        <f t="shared" si="307"/>
        <v>2.2999999999999972</v>
      </c>
      <c r="U444" s="9">
        <f t="shared" si="308"/>
        <v>1.8999999999999986</v>
      </c>
      <c r="V444" s="9">
        <f t="shared" si="309"/>
        <v>2.2749999999999986</v>
      </c>
      <c r="W444" s="9">
        <f t="shared" si="310"/>
        <v>2.2999999999999972</v>
      </c>
      <c r="X444" s="9">
        <f t="shared" si="311"/>
        <v>2.5</v>
      </c>
      <c r="Y444" s="9">
        <f t="shared" si="312"/>
        <v>2.9399999999999977</v>
      </c>
      <c r="Z444" s="9">
        <f t="shared" si="313"/>
        <v>4</v>
      </c>
      <c r="AA444" s="9">
        <f t="shared" si="314"/>
        <v>-1.25</v>
      </c>
      <c r="AB444" s="9">
        <f t="shared" si="315"/>
        <v>-0.15000000000000568</v>
      </c>
      <c r="AC444" s="9">
        <f t="shared" si="316"/>
        <v>1.8499999999999943</v>
      </c>
      <c r="AD444" s="9">
        <f t="shared" si="317"/>
        <v>2.9500000000000028</v>
      </c>
      <c r="AE444" s="9">
        <f t="shared" si="318"/>
        <v>5.25</v>
      </c>
      <c r="AF444" s="9">
        <f t="shared" si="319"/>
        <v>4.25</v>
      </c>
      <c r="AG444" s="9">
        <f t="shared" si="320"/>
        <v>3.6500000000000057</v>
      </c>
      <c r="AH444" s="9">
        <f t="shared" si="321"/>
        <v>2.75</v>
      </c>
      <c r="AI444" s="9">
        <f t="shared" si="322"/>
        <v>3.75</v>
      </c>
      <c r="AJ444" s="9">
        <f t="shared" si="323"/>
        <v>-1.5</v>
      </c>
      <c r="AK444" s="9">
        <f t="shared" si="324"/>
        <v>-2.9000000000000057</v>
      </c>
      <c r="AL444" s="9">
        <f t="shared" si="325"/>
        <v>-0.79999999999999716</v>
      </c>
      <c r="AM444" s="9">
        <f t="shared" si="326"/>
        <v>1.375</v>
      </c>
      <c r="AN444" s="9">
        <f t="shared" si="327"/>
        <v>3.75</v>
      </c>
      <c r="AO444" s="9">
        <f t="shared" si="328"/>
        <v>2.5</v>
      </c>
      <c r="AP444" s="9">
        <f t="shared" si="329"/>
        <v>0.59999999999999432</v>
      </c>
      <c r="AQ444" s="9">
        <f t="shared" si="330"/>
        <v>0.5</v>
      </c>
      <c r="AR444" s="9">
        <f t="shared" si="331"/>
        <v>1</v>
      </c>
      <c r="AS444" s="9">
        <f t="shared" si="332"/>
        <v>-2.2999999999999972</v>
      </c>
      <c r="AT444" s="9">
        <f t="shared" si="333"/>
        <v>-4.1000000000000014</v>
      </c>
      <c r="AU444" s="9">
        <f t="shared" si="334"/>
        <v>-2.6000000000000014</v>
      </c>
      <c r="AV444" s="9">
        <f t="shared" si="335"/>
        <v>-1</v>
      </c>
      <c r="AW444" s="9">
        <f t="shared" si="336"/>
        <v>1.25</v>
      </c>
      <c r="AX444" s="9">
        <f t="shared" si="337"/>
        <v>0</v>
      </c>
      <c r="AY444" s="9">
        <f t="shared" si="338"/>
        <v>-1.6000000000000014</v>
      </c>
      <c r="AZ444" s="9">
        <f t="shared" si="339"/>
        <v>-1.7999999999999972</v>
      </c>
      <c r="BA444" s="9">
        <f t="shared" si="340"/>
        <v>-1.6000000000000014</v>
      </c>
      <c r="BB444" s="9">
        <f t="shared" si="341"/>
        <v>-2.0500000000000007</v>
      </c>
      <c r="BC444" s="9">
        <f t="shared" si="342"/>
        <v>-3.8999999999999986</v>
      </c>
      <c r="BD444" s="9">
        <f t="shared" si="343"/>
        <v>-2.25</v>
      </c>
      <c r="BE444" s="9">
        <f t="shared" si="344"/>
        <v>-0.875</v>
      </c>
      <c r="BF444" s="9">
        <f t="shared" si="345"/>
        <v>1.5</v>
      </c>
      <c r="BG444" s="9">
        <f t="shared" si="346"/>
        <v>-5.0000000000000711E-2</v>
      </c>
      <c r="BH444" s="9">
        <f t="shared" si="347"/>
        <v>-1.75</v>
      </c>
      <c r="BI444" s="9">
        <f t="shared" si="348"/>
        <v>-2.0500000000000007</v>
      </c>
      <c r="BJ444" s="9">
        <f t="shared" si="349"/>
        <v>-1.8500000000000014</v>
      </c>
    </row>
    <row r="445" spans="1:62" x14ac:dyDescent="0.2">
      <c r="A445" s="9">
        <f>data!M446-data!M445</f>
        <v>-1.061000000000007</v>
      </c>
      <c r="B445" s="9">
        <f>data!C446-data!C445</f>
        <v>-1.0500000000000007</v>
      </c>
      <c r="C445" s="9">
        <f>data!D446-data!D445</f>
        <v>-3.5000000000000142E-2</v>
      </c>
      <c r="D445" s="10">
        <f>data!B446-data!B445</f>
        <v>0.31499999999999995</v>
      </c>
      <c r="E445" s="9">
        <f>data!E445-data!G445</f>
        <v>1.8851</v>
      </c>
      <c r="F445" s="9">
        <f>(data!E445-data!F445)-(data!G445-data!H445)</f>
        <v>1.6233</v>
      </c>
      <c r="G445" s="9">
        <f t="shared" si="300"/>
        <v>-0.11999999999999988</v>
      </c>
      <c r="H445" s="9">
        <f t="shared" si="301"/>
        <v>-7.0199999999999818E-2</v>
      </c>
      <c r="I445" s="9">
        <f>IF(data!M446&gt; 111.81,1,0)</f>
        <v>0</v>
      </c>
      <c r="J445" s="9">
        <f t="shared" si="302"/>
        <v>1</v>
      </c>
      <c r="K445" s="9">
        <f t="shared" si="303"/>
        <v>0</v>
      </c>
      <c r="L445" s="9">
        <f t="shared" si="304"/>
        <v>-1.061000000000007</v>
      </c>
      <c r="M445" s="9">
        <f>data!J445</f>
        <v>-22</v>
      </c>
      <c r="N445" s="9">
        <f>data!I445</f>
        <v>-71</v>
      </c>
      <c r="O445" s="9">
        <f>data!L445</f>
        <v>-75.5</v>
      </c>
      <c r="P445" s="9">
        <f>data!K445</f>
        <v>-42.8</v>
      </c>
      <c r="Q445" s="9">
        <f>data!R445</f>
        <v>-26.3</v>
      </c>
      <c r="R445" s="9">
        <f t="shared" si="305"/>
        <v>1.3999999999999986</v>
      </c>
      <c r="S445" s="9">
        <f t="shared" si="306"/>
        <v>2.8999999999999986</v>
      </c>
      <c r="T445" s="9">
        <f t="shared" si="307"/>
        <v>2.5</v>
      </c>
      <c r="U445" s="9">
        <f t="shared" si="308"/>
        <v>2.875</v>
      </c>
      <c r="V445" s="9">
        <f t="shared" si="309"/>
        <v>2.8999999999999986</v>
      </c>
      <c r="W445" s="9">
        <f t="shared" si="310"/>
        <v>3.1000000000000014</v>
      </c>
      <c r="X445" s="9">
        <f t="shared" si="311"/>
        <v>3.5399999999999991</v>
      </c>
      <c r="Y445" s="9">
        <f t="shared" si="312"/>
        <v>4.6000000000000014</v>
      </c>
      <c r="Z445" s="9">
        <f t="shared" si="313"/>
        <v>4.3999999999999986</v>
      </c>
      <c r="AA445" s="9">
        <f t="shared" si="314"/>
        <v>1.0999999999999943</v>
      </c>
      <c r="AB445" s="9">
        <f t="shared" si="315"/>
        <v>3.0999999999999943</v>
      </c>
      <c r="AC445" s="9">
        <f t="shared" si="316"/>
        <v>4.2000000000000028</v>
      </c>
      <c r="AD445" s="9">
        <f t="shared" si="317"/>
        <v>6.5</v>
      </c>
      <c r="AE445" s="9">
        <f t="shared" si="318"/>
        <v>5.5</v>
      </c>
      <c r="AF445" s="9">
        <f t="shared" si="319"/>
        <v>4.9000000000000057</v>
      </c>
      <c r="AG445" s="9">
        <f t="shared" si="320"/>
        <v>4</v>
      </c>
      <c r="AH445" s="9">
        <f t="shared" si="321"/>
        <v>5</v>
      </c>
      <c r="AI445" s="9">
        <f t="shared" si="322"/>
        <v>7.6000000000000014</v>
      </c>
      <c r="AJ445" s="9">
        <f t="shared" si="323"/>
        <v>-1.4000000000000057</v>
      </c>
      <c r="AK445" s="9">
        <f t="shared" si="324"/>
        <v>0.70000000000000284</v>
      </c>
      <c r="AL445" s="9">
        <f t="shared" si="325"/>
        <v>2.875</v>
      </c>
      <c r="AM445" s="9">
        <f t="shared" si="326"/>
        <v>5.25</v>
      </c>
      <c r="AN445" s="9">
        <f t="shared" si="327"/>
        <v>4</v>
      </c>
      <c r="AO445" s="9">
        <f t="shared" si="328"/>
        <v>2.0999999999999943</v>
      </c>
      <c r="AP445" s="9">
        <f t="shared" si="329"/>
        <v>2</v>
      </c>
      <c r="AQ445" s="9">
        <f t="shared" si="330"/>
        <v>2.5</v>
      </c>
      <c r="AR445" s="9">
        <f t="shared" si="331"/>
        <v>5.9000000000000057</v>
      </c>
      <c r="AS445" s="9">
        <f t="shared" si="332"/>
        <v>-1.8000000000000043</v>
      </c>
      <c r="AT445" s="9">
        <f t="shared" si="333"/>
        <v>-0.30000000000000426</v>
      </c>
      <c r="AU445" s="9">
        <f t="shared" si="334"/>
        <v>1.2999999999999972</v>
      </c>
      <c r="AV445" s="9">
        <f t="shared" si="335"/>
        <v>3.5499999999999972</v>
      </c>
      <c r="AW445" s="9">
        <f t="shared" si="336"/>
        <v>2.2999999999999972</v>
      </c>
      <c r="AX445" s="9">
        <f t="shared" si="337"/>
        <v>0.69999999999999574</v>
      </c>
      <c r="AY445" s="9">
        <f t="shared" si="338"/>
        <v>0.5</v>
      </c>
      <c r="AZ445" s="9">
        <f t="shared" si="339"/>
        <v>0.69999999999999574</v>
      </c>
      <c r="BA445" s="9">
        <f t="shared" si="340"/>
        <v>1.1999999999999957</v>
      </c>
      <c r="BB445" s="9">
        <f t="shared" si="341"/>
        <v>-1.8499999999999979</v>
      </c>
      <c r="BC445" s="9">
        <f t="shared" si="342"/>
        <v>-0.19999999999999929</v>
      </c>
      <c r="BD445" s="9">
        <f t="shared" si="343"/>
        <v>1.1750000000000007</v>
      </c>
      <c r="BE445" s="9">
        <f t="shared" si="344"/>
        <v>3.5500000000000007</v>
      </c>
      <c r="BF445" s="9">
        <f t="shared" si="345"/>
        <v>2</v>
      </c>
      <c r="BG445" s="9">
        <f t="shared" si="346"/>
        <v>0.30000000000000071</v>
      </c>
      <c r="BH445" s="9">
        <f t="shared" si="347"/>
        <v>0</v>
      </c>
      <c r="BI445" s="9">
        <f t="shared" si="348"/>
        <v>0.19999999999999929</v>
      </c>
      <c r="BJ445" s="9">
        <f t="shared" si="349"/>
        <v>0.69999999999999929</v>
      </c>
    </row>
    <row r="446" spans="1:62" x14ac:dyDescent="0.2">
      <c r="A446" s="9">
        <f>data!M447-data!M446</f>
        <v>-0.52700000000000102</v>
      </c>
      <c r="B446" s="9">
        <f>data!C447-data!C446</f>
        <v>-1.3000000000000007</v>
      </c>
      <c r="C446" s="9">
        <f>data!D447-data!D446</f>
        <v>-1.1074999999999999</v>
      </c>
      <c r="D446" s="10">
        <f>data!B447-data!B446</f>
        <v>0.31000000000000005</v>
      </c>
      <c r="E446" s="9">
        <f>data!E446-data!G446</f>
        <v>1.7651000000000001</v>
      </c>
      <c r="F446" s="9">
        <f>(data!E446-data!F446)-(data!G446-data!H446)</f>
        <v>1.5531000000000001</v>
      </c>
      <c r="G446" s="9">
        <f t="shared" si="300"/>
        <v>-9.0200000000000058E-2</v>
      </c>
      <c r="H446" s="9">
        <f t="shared" si="301"/>
        <v>-5.3399999999999892E-2</v>
      </c>
      <c r="I446" s="9">
        <f>IF(data!M447&gt; 111.81,1,0)</f>
        <v>0</v>
      </c>
      <c r="J446" s="9">
        <f t="shared" si="302"/>
        <v>1</v>
      </c>
      <c r="K446" s="9">
        <f t="shared" si="303"/>
        <v>0</v>
      </c>
      <c r="L446" s="9">
        <f t="shared" si="304"/>
        <v>-0.52700000000000102</v>
      </c>
      <c r="M446" s="9">
        <f>data!J446</f>
        <v>-20.6</v>
      </c>
      <c r="N446" s="9">
        <f>data!I446</f>
        <v>-69.900000000000006</v>
      </c>
      <c r="O446" s="9">
        <f>data!L446</f>
        <v>-76.900000000000006</v>
      </c>
      <c r="P446" s="9">
        <f>data!K446</f>
        <v>-44.6</v>
      </c>
      <c r="Q446" s="9">
        <f>data!R446</f>
        <v>-28.15</v>
      </c>
      <c r="R446" s="9">
        <f t="shared" si="305"/>
        <v>1.5</v>
      </c>
      <c r="S446" s="9">
        <f t="shared" si="306"/>
        <v>1.1000000000000014</v>
      </c>
      <c r="T446" s="9">
        <f t="shared" si="307"/>
        <v>1.4750000000000014</v>
      </c>
      <c r="U446" s="9">
        <f t="shared" si="308"/>
        <v>1.5</v>
      </c>
      <c r="V446" s="9">
        <f t="shared" si="309"/>
        <v>1.7000000000000028</v>
      </c>
      <c r="W446" s="9">
        <f t="shared" si="310"/>
        <v>2.1400000000000006</v>
      </c>
      <c r="X446" s="9">
        <f t="shared" si="311"/>
        <v>3.2000000000000028</v>
      </c>
      <c r="Y446" s="9">
        <f t="shared" si="312"/>
        <v>3</v>
      </c>
      <c r="Z446" s="9">
        <f t="shared" si="313"/>
        <v>3.1000000000000014</v>
      </c>
      <c r="AA446" s="9">
        <f t="shared" si="314"/>
        <v>2</v>
      </c>
      <c r="AB446" s="9">
        <f t="shared" si="315"/>
        <v>3.1000000000000085</v>
      </c>
      <c r="AC446" s="9">
        <f t="shared" si="316"/>
        <v>5.4000000000000057</v>
      </c>
      <c r="AD446" s="9">
        <f t="shared" si="317"/>
        <v>4.4000000000000057</v>
      </c>
      <c r="AE446" s="9">
        <f t="shared" si="318"/>
        <v>3.8000000000000114</v>
      </c>
      <c r="AF446" s="9">
        <f t="shared" si="319"/>
        <v>2.9000000000000057</v>
      </c>
      <c r="AG446" s="9">
        <f t="shared" si="320"/>
        <v>3.9000000000000057</v>
      </c>
      <c r="AH446" s="9">
        <f t="shared" si="321"/>
        <v>6.5000000000000071</v>
      </c>
      <c r="AI446" s="9">
        <f t="shared" si="322"/>
        <v>5.1000000000000085</v>
      </c>
      <c r="AJ446" s="9">
        <f t="shared" si="323"/>
        <v>2.1000000000000085</v>
      </c>
      <c r="AK446" s="9">
        <f t="shared" si="324"/>
        <v>4.2750000000000057</v>
      </c>
      <c r="AL446" s="9">
        <f t="shared" si="325"/>
        <v>6.6500000000000057</v>
      </c>
      <c r="AM446" s="9">
        <f t="shared" si="326"/>
        <v>5.4000000000000057</v>
      </c>
      <c r="AN446" s="9">
        <f t="shared" si="327"/>
        <v>3.5</v>
      </c>
      <c r="AO446" s="9">
        <f t="shared" si="328"/>
        <v>3.4000000000000057</v>
      </c>
      <c r="AP446" s="9">
        <f t="shared" si="329"/>
        <v>3.9000000000000057</v>
      </c>
      <c r="AQ446" s="9">
        <f t="shared" si="330"/>
        <v>7.3000000000000114</v>
      </c>
      <c r="AR446" s="9">
        <f t="shared" si="331"/>
        <v>3.0250000000000057</v>
      </c>
      <c r="AS446" s="9">
        <f t="shared" si="332"/>
        <v>1.5</v>
      </c>
      <c r="AT446" s="9">
        <f t="shared" si="333"/>
        <v>3.1000000000000014</v>
      </c>
      <c r="AU446" s="9">
        <f t="shared" si="334"/>
        <v>5.3500000000000014</v>
      </c>
      <c r="AV446" s="9">
        <f t="shared" si="335"/>
        <v>4.1000000000000014</v>
      </c>
      <c r="AW446" s="9">
        <f t="shared" si="336"/>
        <v>2.5</v>
      </c>
      <c r="AX446" s="9">
        <f t="shared" si="337"/>
        <v>2.3000000000000043</v>
      </c>
      <c r="AY446" s="9">
        <f t="shared" si="338"/>
        <v>2.5</v>
      </c>
      <c r="AZ446" s="9">
        <f t="shared" si="339"/>
        <v>3</v>
      </c>
      <c r="BA446" s="9">
        <f t="shared" si="340"/>
        <v>-0.77499999999999858</v>
      </c>
      <c r="BB446" s="9">
        <f t="shared" si="341"/>
        <v>1.6499999999999986</v>
      </c>
      <c r="BC446" s="9">
        <f t="shared" si="342"/>
        <v>3.0249999999999986</v>
      </c>
      <c r="BD446" s="9">
        <f t="shared" si="343"/>
        <v>5.3999999999999986</v>
      </c>
      <c r="BE446" s="9">
        <f t="shared" si="344"/>
        <v>3.8499999999999979</v>
      </c>
      <c r="BF446" s="9">
        <f t="shared" si="345"/>
        <v>2.1499999999999986</v>
      </c>
      <c r="BG446" s="9">
        <f t="shared" si="346"/>
        <v>1.8499999999999979</v>
      </c>
      <c r="BH446" s="9">
        <f t="shared" si="347"/>
        <v>2.0499999999999972</v>
      </c>
      <c r="BI446" s="9">
        <f t="shared" si="348"/>
        <v>2.5499999999999972</v>
      </c>
      <c r="BJ446" s="9">
        <f t="shared" si="349"/>
        <v>-1.6000000000000014</v>
      </c>
    </row>
    <row r="447" spans="1:62" x14ac:dyDescent="0.2">
      <c r="A447" s="9">
        <f>data!M448-data!M447</f>
        <v>-0.30639999999999645</v>
      </c>
      <c r="B447" s="9">
        <f>data!C448-data!C447</f>
        <v>0.18000000000000149</v>
      </c>
      <c r="C447" s="9">
        <f>data!D448-data!D447</f>
        <v>-0.45000000000000107</v>
      </c>
      <c r="D447" s="10">
        <f>data!B448-data!B447</f>
        <v>3.4999999999999698E-2</v>
      </c>
      <c r="E447" s="9">
        <f>data!E447-data!G447</f>
        <v>1.6749000000000001</v>
      </c>
      <c r="F447" s="9">
        <f>(data!E447-data!F447)-(data!G447-data!H447)</f>
        <v>1.4997000000000003</v>
      </c>
      <c r="G447" s="9">
        <f t="shared" si="300"/>
        <v>0.10549999999999971</v>
      </c>
      <c r="H447" s="9">
        <f t="shared" si="301"/>
        <v>9.2999999999999527E-2</v>
      </c>
      <c r="I447" s="9">
        <f>IF(data!M448&gt; 111.81,1,0)</f>
        <v>0</v>
      </c>
      <c r="J447" s="9">
        <f t="shared" si="302"/>
        <v>1</v>
      </c>
      <c r="K447" s="9">
        <f t="shared" si="303"/>
        <v>0</v>
      </c>
      <c r="L447" s="9">
        <f t="shared" si="304"/>
        <v>-0.30639999999999645</v>
      </c>
      <c r="M447" s="9">
        <f>data!J447</f>
        <v>-19.100000000000001</v>
      </c>
      <c r="N447" s="9">
        <f>data!I447</f>
        <v>-67.900000000000006</v>
      </c>
      <c r="O447" s="9">
        <f>data!L447</f>
        <v>-74.8</v>
      </c>
      <c r="P447" s="9">
        <f>data!K447</f>
        <v>-43.1</v>
      </c>
      <c r="Q447" s="9">
        <f>data!R447</f>
        <v>-26.5</v>
      </c>
      <c r="R447" s="9">
        <f t="shared" si="305"/>
        <v>-0.39999999999999858</v>
      </c>
      <c r="S447" s="9">
        <f t="shared" si="306"/>
        <v>-2.4999999999998579E-2</v>
      </c>
      <c r="T447" s="9">
        <f t="shared" si="307"/>
        <v>0</v>
      </c>
      <c r="U447" s="9">
        <f t="shared" si="308"/>
        <v>0.20000000000000284</v>
      </c>
      <c r="V447" s="9">
        <f t="shared" si="309"/>
        <v>0.64000000000000057</v>
      </c>
      <c r="W447" s="9">
        <f t="shared" si="310"/>
        <v>1.7000000000000028</v>
      </c>
      <c r="X447" s="9">
        <f t="shared" si="311"/>
        <v>1.5</v>
      </c>
      <c r="Y447" s="9">
        <f t="shared" si="312"/>
        <v>1.6000000000000014</v>
      </c>
      <c r="Z447" s="9">
        <f t="shared" si="313"/>
        <v>1.3000000000000007</v>
      </c>
      <c r="AA447" s="9">
        <f t="shared" si="314"/>
        <v>1.1000000000000085</v>
      </c>
      <c r="AB447" s="9">
        <f t="shared" si="315"/>
        <v>3.4000000000000057</v>
      </c>
      <c r="AC447" s="9">
        <f t="shared" si="316"/>
        <v>2.4000000000000057</v>
      </c>
      <c r="AD447" s="9">
        <f t="shared" si="317"/>
        <v>1.8000000000000114</v>
      </c>
      <c r="AE447" s="9">
        <f t="shared" si="318"/>
        <v>0.90000000000000568</v>
      </c>
      <c r="AF447" s="9">
        <f t="shared" si="319"/>
        <v>1.9000000000000057</v>
      </c>
      <c r="AG447" s="9">
        <f t="shared" si="320"/>
        <v>4.5000000000000071</v>
      </c>
      <c r="AH447" s="9">
        <f t="shared" si="321"/>
        <v>3.1000000000000085</v>
      </c>
      <c r="AI447" s="9">
        <f t="shared" si="322"/>
        <v>4.9000000000000057</v>
      </c>
      <c r="AJ447" s="9">
        <f t="shared" si="323"/>
        <v>2.1749999999999972</v>
      </c>
      <c r="AK447" s="9">
        <f t="shared" si="324"/>
        <v>4.5499999999999972</v>
      </c>
      <c r="AL447" s="9">
        <f t="shared" si="325"/>
        <v>3.2999999999999972</v>
      </c>
      <c r="AM447" s="9">
        <f t="shared" si="326"/>
        <v>1.3999999999999915</v>
      </c>
      <c r="AN447" s="9">
        <f t="shared" si="327"/>
        <v>1.2999999999999972</v>
      </c>
      <c r="AO447" s="9">
        <f t="shared" si="328"/>
        <v>1.7999999999999972</v>
      </c>
      <c r="AP447" s="9">
        <f t="shared" si="329"/>
        <v>5.2000000000000028</v>
      </c>
      <c r="AQ447" s="9">
        <f t="shared" si="330"/>
        <v>0.92499999999999716</v>
      </c>
      <c r="AR447" s="9">
        <f t="shared" si="331"/>
        <v>2.3999999999999915</v>
      </c>
      <c r="AS447" s="9">
        <f t="shared" si="332"/>
        <v>1.6000000000000014</v>
      </c>
      <c r="AT447" s="9">
        <f t="shared" si="333"/>
        <v>3.8500000000000014</v>
      </c>
      <c r="AU447" s="9">
        <f t="shared" si="334"/>
        <v>2.6000000000000014</v>
      </c>
      <c r="AV447" s="9">
        <f t="shared" si="335"/>
        <v>1</v>
      </c>
      <c r="AW447" s="9">
        <f t="shared" si="336"/>
        <v>0.80000000000000426</v>
      </c>
      <c r="AX447" s="9">
        <f t="shared" si="337"/>
        <v>1</v>
      </c>
      <c r="AY447" s="9">
        <f t="shared" si="338"/>
        <v>1.5</v>
      </c>
      <c r="AZ447" s="9">
        <f t="shared" si="339"/>
        <v>-2.2749999999999986</v>
      </c>
      <c r="BA447" s="9">
        <f t="shared" si="340"/>
        <v>-1.1999999999999957</v>
      </c>
      <c r="BB447" s="9">
        <f t="shared" si="341"/>
        <v>1.375</v>
      </c>
      <c r="BC447" s="9">
        <f t="shared" si="342"/>
        <v>3.75</v>
      </c>
      <c r="BD447" s="9">
        <f t="shared" si="343"/>
        <v>2.1999999999999993</v>
      </c>
      <c r="BE447" s="9">
        <f t="shared" si="344"/>
        <v>0.5</v>
      </c>
      <c r="BF447" s="9">
        <f t="shared" si="345"/>
        <v>0.19999999999999929</v>
      </c>
      <c r="BG447" s="9">
        <f t="shared" si="346"/>
        <v>0.39999999999999858</v>
      </c>
      <c r="BH447" s="9">
        <f t="shared" si="347"/>
        <v>0.89999999999999858</v>
      </c>
      <c r="BI447" s="9">
        <f t="shared" si="348"/>
        <v>-3.25</v>
      </c>
      <c r="BJ447" s="9">
        <f t="shared" si="349"/>
        <v>-2.5625</v>
      </c>
    </row>
    <row r="448" spans="1:62" x14ac:dyDescent="0.2">
      <c r="A448" s="9">
        <f>data!M449-data!M448</f>
        <v>0.40940000000000509</v>
      </c>
      <c r="B448" s="9">
        <f>data!C449-data!C448</f>
        <v>-0.74000000000000021</v>
      </c>
      <c r="C448" s="9">
        <f>data!D449-data!D448</f>
        <v>-0.21499999999999986</v>
      </c>
      <c r="D448" s="10">
        <f>data!B449-data!B448</f>
        <v>-0.4674999999999998</v>
      </c>
      <c r="E448" s="9">
        <f>data!E448-data!G448</f>
        <v>1.7803999999999998</v>
      </c>
      <c r="F448" s="9">
        <f>(data!E448-data!F448)-(data!G448-data!H448)</f>
        <v>1.5926999999999998</v>
      </c>
      <c r="G448" s="9">
        <f t="shared" si="300"/>
        <v>-1.3999999999996238E-3</v>
      </c>
      <c r="H448" s="9">
        <f t="shared" si="301"/>
        <v>4.9000000000001265E-3</v>
      </c>
      <c r="I448" s="9">
        <f>IF(data!M449&gt; 111.81,1,0)</f>
        <v>0</v>
      </c>
      <c r="J448" s="9">
        <f t="shared" si="302"/>
        <v>1</v>
      </c>
      <c r="K448" s="9">
        <f t="shared" si="303"/>
        <v>0</v>
      </c>
      <c r="L448" s="9">
        <f t="shared" si="304"/>
        <v>0.40940000000000509</v>
      </c>
      <c r="M448" s="9">
        <f>data!J448</f>
        <v>-19.5</v>
      </c>
      <c r="N448" s="9">
        <f>data!I448</f>
        <v>-66.8</v>
      </c>
      <c r="O448" s="9">
        <f>data!L448</f>
        <v>-72.625</v>
      </c>
      <c r="P448" s="9">
        <f>data!K448</f>
        <v>-41.5</v>
      </c>
      <c r="Q448" s="9">
        <f>data!R448</f>
        <v>-25.125</v>
      </c>
      <c r="R448" s="9">
        <f t="shared" si="305"/>
        <v>0.375</v>
      </c>
      <c r="S448" s="9">
        <f t="shared" si="306"/>
        <v>0.39999999999999858</v>
      </c>
      <c r="T448" s="9">
        <f t="shared" si="307"/>
        <v>0.60000000000000142</v>
      </c>
      <c r="U448" s="9">
        <f t="shared" si="308"/>
        <v>1.0399999999999991</v>
      </c>
      <c r="V448" s="9">
        <f t="shared" si="309"/>
        <v>2.1000000000000014</v>
      </c>
      <c r="W448" s="9">
        <f t="shared" si="310"/>
        <v>1.8999999999999986</v>
      </c>
      <c r="X448" s="9">
        <f t="shared" si="311"/>
        <v>2</v>
      </c>
      <c r="Y448" s="9">
        <f t="shared" si="312"/>
        <v>1.6999999999999993</v>
      </c>
      <c r="Z448" s="9">
        <f t="shared" si="313"/>
        <v>1.6999999999999993</v>
      </c>
      <c r="AA448" s="9">
        <f t="shared" si="314"/>
        <v>2.2999999999999972</v>
      </c>
      <c r="AB448" s="9">
        <f t="shared" si="315"/>
        <v>1.2999999999999972</v>
      </c>
      <c r="AC448" s="9">
        <f t="shared" si="316"/>
        <v>0.70000000000000284</v>
      </c>
      <c r="AD448" s="9">
        <f t="shared" si="317"/>
        <v>-0.20000000000000284</v>
      </c>
      <c r="AE448" s="9">
        <f t="shared" si="318"/>
        <v>0.79999999999999716</v>
      </c>
      <c r="AF448" s="9">
        <f t="shared" si="319"/>
        <v>3.3999999999999986</v>
      </c>
      <c r="AG448" s="9">
        <f t="shared" si="320"/>
        <v>2</v>
      </c>
      <c r="AH448" s="9">
        <f t="shared" si="321"/>
        <v>3.7999999999999972</v>
      </c>
      <c r="AI448" s="9">
        <f t="shared" si="322"/>
        <v>5.3999999999999986</v>
      </c>
      <c r="AJ448" s="9">
        <f t="shared" si="323"/>
        <v>2.375</v>
      </c>
      <c r="AK448" s="9">
        <f t="shared" si="324"/>
        <v>1.125</v>
      </c>
      <c r="AL448" s="9">
        <f t="shared" si="325"/>
        <v>-0.77500000000000568</v>
      </c>
      <c r="AM448" s="9">
        <f t="shared" si="326"/>
        <v>-0.875</v>
      </c>
      <c r="AN448" s="9">
        <f t="shared" si="327"/>
        <v>-0.375</v>
      </c>
      <c r="AO448" s="9">
        <f t="shared" si="328"/>
        <v>3.0250000000000057</v>
      </c>
      <c r="AP448" s="9">
        <f t="shared" si="329"/>
        <v>-1.25</v>
      </c>
      <c r="AQ448" s="9">
        <f t="shared" si="330"/>
        <v>0.22499999999999432</v>
      </c>
      <c r="AR448" s="9">
        <f t="shared" si="331"/>
        <v>2.125</v>
      </c>
      <c r="AS448" s="9">
        <f t="shared" si="332"/>
        <v>2.25</v>
      </c>
      <c r="AT448" s="9">
        <f t="shared" si="333"/>
        <v>1</v>
      </c>
      <c r="AU448" s="9">
        <f t="shared" si="334"/>
        <v>-0.60000000000000142</v>
      </c>
      <c r="AV448" s="9">
        <f t="shared" si="335"/>
        <v>-0.79999999999999716</v>
      </c>
      <c r="AW448" s="9">
        <f t="shared" si="336"/>
        <v>-0.60000000000000142</v>
      </c>
      <c r="AX448" s="9">
        <f t="shared" si="337"/>
        <v>-0.10000000000000142</v>
      </c>
      <c r="AY448" s="9">
        <f t="shared" si="338"/>
        <v>-3.875</v>
      </c>
      <c r="AZ448" s="9">
        <f t="shared" si="339"/>
        <v>-2.7999999999999972</v>
      </c>
      <c r="BA448" s="9">
        <f t="shared" si="340"/>
        <v>-1.5</v>
      </c>
      <c r="BB448" s="9">
        <f t="shared" si="341"/>
        <v>2.375</v>
      </c>
      <c r="BC448" s="9">
        <f t="shared" si="342"/>
        <v>0.82499999999999929</v>
      </c>
      <c r="BD448" s="9">
        <f t="shared" si="343"/>
        <v>-0.875</v>
      </c>
      <c r="BE448" s="9">
        <f t="shared" si="344"/>
        <v>-1.1750000000000007</v>
      </c>
      <c r="BF448" s="9">
        <f t="shared" si="345"/>
        <v>-0.97500000000000142</v>
      </c>
      <c r="BG448" s="9">
        <f t="shared" si="346"/>
        <v>-0.47500000000000142</v>
      </c>
      <c r="BH448" s="9">
        <f t="shared" si="347"/>
        <v>-4.625</v>
      </c>
      <c r="BI448" s="9">
        <f t="shared" si="348"/>
        <v>-3.9375</v>
      </c>
      <c r="BJ448" s="9">
        <f t="shared" si="349"/>
        <v>-1.875</v>
      </c>
    </row>
    <row r="449" spans="1:62" x14ac:dyDescent="0.2">
      <c r="A449" s="9">
        <f>data!M450-data!M449</f>
        <v>-0.73950000000000671</v>
      </c>
      <c r="B449" s="9">
        <f>data!C450-data!C449</f>
        <v>1.4299999999999997</v>
      </c>
      <c r="C449" s="9">
        <f>data!D450-data!D449</f>
        <v>-0.15499999999999936</v>
      </c>
      <c r="D449" s="10">
        <f>data!B450-data!B449</f>
        <v>0.44499999999999984</v>
      </c>
      <c r="E449" s="9">
        <f>data!E449-data!G449</f>
        <v>1.7790000000000001</v>
      </c>
      <c r="F449" s="9">
        <f>(data!E449-data!F449)-(data!G449-data!H449)</f>
        <v>1.5975999999999999</v>
      </c>
      <c r="G449" s="9">
        <f t="shared" si="300"/>
        <v>4.7399999999999665E-2</v>
      </c>
      <c r="H449" s="9">
        <f t="shared" si="301"/>
        <v>3.2999999999999918E-2</v>
      </c>
      <c r="I449" s="9">
        <f>IF(data!M450&gt; 111.81,1,0)</f>
        <v>0</v>
      </c>
      <c r="J449" s="9">
        <f t="shared" si="302"/>
        <v>1</v>
      </c>
      <c r="K449" s="9">
        <f t="shared" si="303"/>
        <v>0</v>
      </c>
      <c r="L449" s="9">
        <f t="shared" si="304"/>
        <v>-0.73950000000000671</v>
      </c>
      <c r="M449" s="9">
        <f>data!J449</f>
        <v>-19.125</v>
      </c>
      <c r="N449" s="9">
        <f>data!I449</f>
        <v>-64.5</v>
      </c>
      <c r="O449" s="9">
        <f>data!L449</f>
        <v>-70.25</v>
      </c>
      <c r="P449" s="9">
        <f>data!K449</f>
        <v>-39.25</v>
      </c>
      <c r="Q449" s="9">
        <f>data!R449</f>
        <v>-22.75</v>
      </c>
      <c r="R449" s="9">
        <f t="shared" si="305"/>
        <v>2.4999999999998579E-2</v>
      </c>
      <c r="S449" s="9">
        <f t="shared" si="306"/>
        <v>0.22500000000000142</v>
      </c>
      <c r="T449" s="9">
        <f t="shared" si="307"/>
        <v>0.66499999999999915</v>
      </c>
      <c r="U449" s="9">
        <f t="shared" si="308"/>
        <v>1.7250000000000014</v>
      </c>
      <c r="V449" s="9">
        <f t="shared" si="309"/>
        <v>1.5249999999999986</v>
      </c>
      <c r="W449" s="9">
        <f t="shared" si="310"/>
        <v>1.625</v>
      </c>
      <c r="X449" s="9">
        <f t="shared" si="311"/>
        <v>1.3249999999999993</v>
      </c>
      <c r="Y449" s="9">
        <f t="shared" si="312"/>
        <v>1.3249999999999993</v>
      </c>
      <c r="Z449" s="9">
        <f t="shared" si="313"/>
        <v>0.22500000000000142</v>
      </c>
      <c r="AA449" s="9">
        <f t="shared" si="314"/>
        <v>-1</v>
      </c>
      <c r="AB449" s="9">
        <f t="shared" si="315"/>
        <v>-1.5999999999999943</v>
      </c>
      <c r="AC449" s="9">
        <f t="shared" si="316"/>
        <v>-2.5</v>
      </c>
      <c r="AD449" s="9">
        <f t="shared" si="317"/>
        <v>-1.5</v>
      </c>
      <c r="AE449" s="9">
        <f t="shared" si="318"/>
        <v>1.1000000000000014</v>
      </c>
      <c r="AF449" s="9">
        <f t="shared" si="319"/>
        <v>-0.29999999999999716</v>
      </c>
      <c r="AG449" s="9">
        <f t="shared" si="320"/>
        <v>1.5</v>
      </c>
      <c r="AH449" s="9">
        <f t="shared" si="321"/>
        <v>3.1000000000000014</v>
      </c>
      <c r="AI449" s="9">
        <f t="shared" si="322"/>
        <v>3.7000000000000028</v>
      </c>
      <c r="AJ449" s="9">
        <f t="shared" si="323"/>
        <v>-1.25</v>
      </c>
      <c r="AK449" s="9">
        <f t="shared" si="324"/>
        <v>-3.1500000000000057</v>
      </c>
      <c r="AL449" s="9">
        <f t="shared" si="325"/>
        <v>-3.25</v>
      </c>
      <c r="AM449" s="9">
        <f t="shared" si="326"/>
        <v>-2.75</v>
      </c>
      <c r="AN449" s="9">
        <f t="shared" si="327"/>
        <v>0.65000000000000568</v>
      </c>
      <c r="AO449" s="9">
        <f t="shared" si="328"/>
        <v>-3.625</v>
      </c>
      <c r="AP449" s="9">
        <f t="shared" si="329"/>
        <v>-2.1500000000000057</v>
      </c>
      <c r="AQ449" s="9">
        <f t="shared" si="330"/>
        <v>-0.25</v>
      </c>
      <c r="AR449" s="9">
        <f t="shared" si="331"/>
        <v>-0.25</v>
      </c>
      <c r="AS449" s="9">
        <f t="shared" si="332"/>
        <v>-1.25</v>
      </c>
      <c r="AT449" s="9">
        <f t="shared" si="333"/>
        <v>-2.8500000000000014</v>
      </c>
      <c r="AU449" s="9">
        <f t="shared" si="334"/>
        <v>-3.0499999999999972</v>
      </c>
      <c r="AV449" s="9">
        <f t="shared" si="335"/>
        <v>-2.8500000000000014</v>
      </c>
      <c r="AW449" s="9">
        <f t="shared" si="336"/>
        <v>-2.3500000000000014</v>
      </c>
      <c r="AX449" s="9">
        <f t="shared" si="337"/>
        <v>-6.125</v>
      </c>
      <c r="AY449" s="9">
        <f t="shared" si="338"/>
        <v>-5.0499999999999972</v>
      </c>
      <c r="AZ449" s="9">
        <f t="shared" si="339"/>
        <v>-3.75</v>
      </c>
      <c r="BA449" s="9">
        <f t="shared" si="340"/>
        <v>-3.5499999999999972</v>
      </c>
      <c r="BB449" s="9">
        <f t="shared" si="341"/>
        <v>-1.5500000000000007</v>
      </c>
      <c r="BC449" s="9">
        <f t="shared" si="342"/>
        <v>-3.25</v>
      </c>
      <c r="BD449" s="9">
        <f t="shared" si="343"/>
        <v>-3.5500000000000007</v>
      </c>
      <c r="BE449" s="9">
        <f t="shared" si="344"/>
        <v>-3.3500000000000014</v>
      </c>
      <c r="BF449" s="9">
        <f t="shared" si="345"/>
        <v>-2.8500000000000014</v>
      </c>
      <c r="BG449" s="9">
        <f t="shared" si="346"/>
        <v>-7</v>
      </c>
      <c r="BH449" s="9">
        <f t="shared" si="347"/>
        <v>-6.3125</v>
      </c>
      <c r="BI449" s="9">
        <f t="shared" si="348"/>
        <v>-4.25</v>
      </c>
      <c r="BJ449" s="9">
        <f t="shared" si="349"/>
        <v>-4.5500000000000007</v>
      </c>
    </row>
    <row r="450" spans="1:62" x14ac:dyDescent="0.2">
      <c r="A450" s="9">
        <f>data!M451-data!M450</f>
        <v>0.58610000000000184</v>
      </c>
      <c r="B450" s="9">
        <f>data!C451-data!C450</f>
        <v>0.95999999999999908</v>
      </c>
      <c r="C450" s="9">
        <f>data!D451-data!D450</f>
        <v>-3.0000000000001137E-2</v>
      </c>
      <c r="D450" s="10">
        <f>data!B451-data!B450</f>
        <v>-4.4999999999999929E-2</v>
      </c>
      <c r="E450" s="9">
        <f>data!E450-data!G450</f>
        <v>1.8263999999999998</v>
      </c>
      <c r="F450" s="9">
        <f>(data!E450-data!F450)-(data!G450-data!H450)</f>
        <v>1.6305999999999998</v>
      </c>
      <c r="G450" s="9">
        <f t="shared" si="300"/>
        <v>0.24670000000000036</v>
      </c>
      <c r="H450" s="9">
        <f t="shared" si="301"/>
        <v>0.20590000000000019</v>
      </c>
      <c r="I450" s="9">
        <f>IF(data!M451&gt; 111.81,1,0)</f>
        <v>0</v>
      </c>
      <c r="J450" s="9">
        <f t="shared" si="302"/>
        <v>1</v>
      </c>
      <c r="K450" s="9">
        <f t="shared" si="303"/>
        <v>0</v>
      </c>
      <c r="L450" s="9">
        <f t="shared" si="304"/>
        <v>0.58610000000000184</v>
      </c>
      <c r="M450" s="9">
        <f>data!J450</f>
        <v>-19.100000000000001</v>
      </c>
      <c r="N450" s="9">
        <f>data!I450</f>
        <v>-65.5</v>
      </c>
      <c r="O450" s="9">
        <f>data!L450</f>
        <v>-71.5</v>
      </c>
      <c r="P450" s="9">
        <f>data!K450</f>
        <v>-40.5</v>
      </c>
      <c r="Q450" s="9">
        <f>data!R450</f>
        <v>-24.3</v>
      </c>
      <c r="R450" s="9">
        <f t="shared" si="305"/>
        <v>0.20000000000000284</v>
      </c>
      <c r="S450" s="9">
        <f t="shared" si="306"/>
        <v>0.64000000000000057</v>
      </c>
      <c r="T450" s="9">
        <f t="shared" si="307"/>
        <v>1.7000000000000028</v>
      </c>
      <c r="U450" s="9">
        <f t="shared" si="308"/>
        <v>1.5</v>
      </c>
      <c r="V450" s="9">
        <f t="shared" si="309"/>
        <v>1.6000000000000014</v>
      </c>
      <c r="W450" s="9">
        <f t="shared" si="310"/>
        <v>1.3000000000000007</v>
      </c>
      <c r="X450" s="9">
        <f t="shared" si="311"/>
        <v>1.3000000000000007</v>
      </c>
      <c r="Y450" s="9">
        <f t="shared" si="312"/>
        <v>0.20000000000000284</v>
      </c>
      <c r="Z450" s="9">
        <f t="shared" si="313"/>
        <v>1.8000000000000007</v>
      </c>
      <c r="AA450" s="9">
        <f t="shared" si="314"/>
        <v>-0.59999999999999432</v>
      </c>
      <c r="AB450" s="9">
        <f t="shared" si="315"/>
        <v>-1.5</v>
      </c>
      <c r="AC450" s="9">
        <f t="shared" si="316"/>
        <v>-0.5</v>
      </c>
      <c r="AD450" s="9">
        <f t="shared" si="317"/>
        <v>2.1000000000000014</v>
      </c>
      <c r="AE450" s="9">
        <f t="shared" si="318"/>
        <v>0.70000000000000284</v>
      </c>
      <c r="AF450" s="9">
        <f t="shared" si="319"/>
        <v>2.5</v>
      </c>
      <c r="AG450" s="9">
        <f t="shared" si="320"/>
        <v>4.1000000000000014</v>
      </c>
      <c r="AH450" s="9">
        <f t="shared" si="321"/>
        <v>4.7000000000000028</v>
      </c>
      <c r="AI450" s="9">
        <f t="shared" si="322"/>
        <v>6</v>
      </c>
      <c r="AJ450" s="9">
        <f t="shared" si="323"/>
        <v>-1.9000000000000057</v>
      </c>
      <c r="AK450" s="9">
        <f t="shared" si="324"/>
        <v>-2</v>
      </c>
      <c r="AL450" s="9">
        <f t="shared" si="325"/>
        <v>-1.5</v>
      </c>
      <c r="AM450" s="9">
        <f t="shared" si="326"/>
        <v>1.9000000000000057</v>
      </c>
      <c r="AN450" s="9">
        <f t="shared" si="327"/>
        <v>-2.375</v>
      </c>
      <c r="AO450" s="9">
        <f t="shared" si="328"/>
        <v>-0.90000000000000568</v>
      </c>
      <c r="AP450" s="9">
        <f t="shared" si="329"/>
        <v>1</v>
      </c>
      <c r="AQ450" s="9">
        <f t="shared" si="330"/>
        <v>1</v>
      </c>
      <c r="AR450" s="9">
        <f t="shared" si="331"/>
        <v>2.0999999999999943</v>
      </c>
      <c r="AS450" s="9">
        <f t="shared" si="332"/>
        <v>-1.6000000000000014</v>
      </c>
      <c r="AT450" s="9">
        <f t="shared" si="333"/>
        <v>-1.7999999999999972</v>
      </c>
      <c r="AU450" s="9">
        <f t="shared" si="334"/>
        <v>-1.6000000000000014</v>
      </c>
      <c r="AV450" s="9">
        <f t="shared" si="335"/>
        <v>-1.1000000000000014</v>
      </c>
      <c r="AW450" s="9">
        <f t="shared" si="336"/>
        <v>-4.875</v>
      </c>
      <c r="AX450" s="9">
        <f t="shared" si="337"/>
        <v>-3.7999999999999972</v>
      </c>
      <c r="AY450" s="9">
        <f t="shared" si="338"/>
        <v>-2.5</v>
      </c>
      <c r="AZ450" s="9">
        <f t="shared" si="339"/>
        <v>-2.2999999999999972</v>
      </c>
      <c r="BA450" s="9">
        <f t="shared" si="340"/>
        <v>-0.5</v>
      </c>
      <c r="BB450" s="9">
        <f t="shared" si="341"/>
        <v>-1.6999999999999993</v>
      </c>
      <c r="BC450" s="9">
        <f t="shared" si="342"/>
        <v>-2</v>
      </c>
      <c r="BD450" s="9">
        <f t="shared" si="343"/>
        <v>-1.8000000000000007</v>
      </c>
      <c r="BE450" s="9">
        <f t="shared" si="344"/>
        <v>-1.3000000000000007</v>
      </c>
      <c r="BF450" s="9">
        <f t="shared" si="345"/>
        <v>-5.4499999999999993</v>
      </c>
      <c r="BG450" s="9">
        <f t="shared" si="346"/>
        <v>-4.7624999999999993</v>
      </c>
      <c r="BH450" s="9">
        <f t="shared" si="347"/>
        <v>-2.6999999999999993</v>
      </c>
      <c r="BI450" s="9">
        <f t="shared" si="348"/>
        <v>-3</v>
      </c>
      <c r="BJ450" s="9">
        <f t="shared" si="349"/>
        <v>-1.3000000000000007</v>
      </c>
    </row>
    <row r="451" spans="1:62" x14ac:dyDescent="0.2">
      <c r="A451" s="9">
        <f>data!M452-data!M451</f>
        <v>0.52110000000000412</v>
      </c>
      <c r="B451" s="9">
        <f>data!C452-data!C451</f>
        <v>-0.38999999999999879</v>
      </c>
      <c r="C451" s="9">
        <f>data!D452-data!D451</f>
        <v>0.46750000000000114</v>
      </c>
      <c r="D451" s="10">
        <f>data!B452-data!B451</f>
        <v>-0.32750000000000012</v>
      </c>
      <c r="E451" s="9">
        <f>data!E451-data!G451</f>
        <v>2.0731000000000002</v>
      </c>
      <c r="F451" s="9">
        <f>(data!E451-data!F451)-(data!G451-data!H451)</f>
        <v>1.8365</v>
      </c>
      <c r="G451" s="9">
        <f t="shared" ref="G451:G514" si="350">E452-E451</f>
        <v>-2.7500000000000302E-2</v>
      </c>
      <c r="H451" s="9">
        <f t="shared" ref="H451:H514" si="351">F452-F451</f>
        <v>-5.400000000000027E-2</v>
      </c>
      <c r="I451" s="9">
        <f>IF(data!M452&gt; 111.81,1,0)</f>
        <v>0</v>
      </c>
      <c r="J451" s="9">
        <f t="shared" ref="J451:J514" si="352">1-I451</f>
        <v>1</v>
      </c>
      <c r="K451" s="9">
        <f t="shared" ref="K451:K514" si="353">A451*I451</f>
        <v>0</v>
      </c>
      <c r="L451" s="9">
        <f t="shared" ref="L451:L514" si="354">A451*J451</f>
        <v>0.52110000000000412</v>
      </c>
      <c r="M451" s="9">
        <f>data!J451</f>
        <v>-18.899999999999999</v>
      </c>
      <c r="N451" s="9">
        <f>data!I451</f>
        <v>-66.099999999999994</v>
      </c>
      <c r="O451" s="9">
        <f>data!L451</f>
        <v>-73.400000000000006</v>
      </c>
      <c r="P451" s="9">
        <f>data!K451</f>
        <v>-42.1</v>
      </c>
      <c r="Q451" s="9">
        <f>data!R451</f>
        <v>-26</v>
      </c>
      <c r="R451" s="9">
        <f t="shared" ref="R451:R514" si="355">M452-M451</f>
        <v>0.43999999999999773</v>
      </c>
      <c r="S451" s="9">
        <f t="shared" ref="S451:S514" si="356">M453-M451</f>
        <v>1.5</v>
      </c>
      <c r="T451" s="9">
        <f t="shared" ref="T451:T514" si="357">M454-M451</f>
        <v>1.2999999999999972</v>
      </c>
      <c r="U451" s="9">
        <f t="shared" ref="U451:U514" si="358">M455-M451</f>
        <v>1.3999999999999986</v>
      </c>
      <c r="V451" s="9">
        <f t="shared" ref="V451:V514" si="359">M456-M451</f>
        <v>1.0999999999999979</v>
      </c>
      <c r="W451" s="9">
        <f t="shared" ref="W451:W514" si="360">M457-M451</f>
        <v>1.0999999999999979</v>
      </c>
      <c r="X451" s="9">
        <f t="shared" ref="X451:X514" si="361">M458-M451</f>
        <v>0</v>
      </c>
      <c r="Y451" s="9">
        <f t="shared" ref="Y451:Y514" si="362">M459-M451</f>
        <v>1.5999999999999979</v>
      </c>
      <c r="Z451" s="9">
        <f t="shared" ref="Z451:Z514" si="363">M460-M451</f>
        <v>3.0999999999999979</v>
      </c>
      <c r="AA451" s="9">
        <f t="shared" ref="AA451:AA514" si="364">N452-N451</f>
        <v>-0.90000000000000568</v>
      </c>
      <c r="AB451" s="9">
        <f t="shared" ref="AB451:AB514" si="365">N453-N451</f>
        <v>9.9999999999994316E-2</v>
      </c>
      <c r="AC451" s="9">
        <f t="shared" ref="AC451:AC514" si="366">N454-N451</f>
        <v>2.6999999999999957</v>
      </c>
      <c r="AD451" s="9">
        <f t="shared" ref="AD451:AD514" si="367">N455-N451</f>
        <v>1.2999999999999972</v>
      </c>
      <c r="AE451" s="9">
        <f t="shared" ref="AE451:AE514" si="368">N456-N451</f>
        <v>3.0999999999999943</v>
      </c>
      <c r="AF451" s="9">
        <f t="shared" ref="AF451:AF514" si="369">N457-N451</f>
        <v>4.6999999999999957</v>
      </c>
      <c r="AG451" s="9">
        <f t="shared" ref="AG451:AG514" si="370">N458-N451</f>
        <v>5.2999999999999972</v>
      </c>
      <c r="AH451" s="9">
        <f t="shared" ref="AH451:AH514" si="371">N459-N451</f>
        <v>6.5999999999999943</v>
      </c>
      <c r="AI451" s="9">
        <f t="shared" ref="AI451:AI514" si="372">N460-N451</f>
        <v>9.0999999999999943</v>
      </c>
      <c r="AJ451" s="9">
        <f t="shared" ref="AJ451:AJ514" si="373">O452-O451</f>
        <v>-9.9999999999994316E-2</v>
      </c>
      <c r="AK451" s="9">
        <f t="shared" ref="AK451:AK514" si="374">O453-O451</f>
        <v>0.40000000000000568</v>
      </c>
      <c r="AL451" s="9">
        <f t="shared" ref="AL451:AL514" si="375">O454-O451</f>
        <v>3.8000000000000114</v>
      </c>
      <c r="AM451" s="9">
        <f t="shared" ref="AM451:AM514" si="376">O455-O451</f>
        <v>-0.47499999999999432</v>
      </c>
      <c r="AN451" s="9">
        <f t="shared" ref="AN451:AN514" si="377">O456-O451</f>
        <v>1</v>
      </c>
      <c r="AO451" s="9">
        <f t="shared" ref="AO451:AO514" si="378">O457-O451</f>
        <v>2.9000000000000057</v>
      </c>
      <c r="AP451" s="9">
        <f t="shared" ref="AP451:AP514" si="379">O458-O451</f>
        <v>2.9000000000000057</v>
      </c>
      <c r="AQ451" s="9">
        <f t="shared" ref="AQ451:AQ514" si="380">O459-O451</f>
        <v>4</v>
      </c>
      <c r="AR451" s="9">
        <f t="shared" ref="AR451:AR514" si="381">O460-O451</f>
        <v>7</v>
      </c>
      <c r="AS451" s="9">
        <f t="shared" ref="AS451:AS514" si="382">P452 - P451</f>
        <v>-0.19999999999999574</v>
      </c>
      <c r="AT451" s="9">
        <f t="shared" ref="AT451:AT514" si="383">P453 - P451</f>
        <v>0</v>
      </c>
      <c r="AU451" s="9">
        <f t="shared" ref="AU451:AU514" si="384">P454 - P451</f>
        <v>0.5</v>
      </c>
      <c r="AV451" s="9">
        <f t="shared" ref="AV451:AV514" si="385">P455 - P451</f>
        <v>-3.2749999999999986</v>
      </c>
      <c r="AW451" s="9">
        <f t="shared" ref="AW451:AW514" si="386">P456 - P451</f>
        <v>-2.1999999999999957</v>
      </c>
      <c r="AX451" s="9">
        <f t="shared" ref="AX451:AX514" si="387">P457 - P451</f>
        <v>-0.89999999999999858</v>
      </c>
      <c r="AY451" s="9">
        <f t="shared" ref="AY451:AY514" si="388">P458 - P451</f>
        <v>-0.69999999999999574</v>
      </c>
      <c r="AZ451" s="9">
        <f t="shared" ref="AZ451:AZ514" si="389">P459 - P451</f>
        <v>1.1000000000000014</v>
      </c>
      <c r="BA451" s="9">
        <f t="shared" ref="BA451:BA514" si="390">P460 - P451</f>
        <v>4.3000000000000043</v>
      </c>
      <c r="BB451" s="9">
        <f t="shared" ref="BB451:BB514" si="391">Q452 - Q451</f>
        <v>-0.30000000000000071</v>
      </c>
      <c r="BC451" s="9">
        <f t="shared" ref="BC451:BC514" si="392">Q453 - Q451</f>
        <v>-0.10000000000000142</v>
      </c>
      <c r="BD451" s="9">
        <f t="shared" ref="BD451:BD514" si="393">Q454 - Q451</f>
        <v>0.39999999999999858</v>
      </c>
      <c r="BE451" s="9">
        <f t="shared" ref="BE451:BE514" si="394">Q455 - Q451</f>
        <v>-3.75</v>
      </c>
      <c r="BF451" s="9">
        <f t="shared" ref="BF451:BF514" si="395">Q456 - Q451</f>
        <v>-3.0625</v>
      </c>
      <c r="BG451" s="9">
        <f t="shared" ref="BG451:BG514" si="396">Q457 - Q451</f>
        <v>-1</v>
      </c>
      <c r="BH451" s="9">
        <f t="shared" ref="BH451:BH514" si="397">Q458 - Q451</f>
        <v>-1.3000000000000007</v>
      </c>
      <c r="BI451" s="9">
        <f t="shared" ref="BI451:BI514" si="398">Q459 - Q451</f>
        <v>0.39999999999999858</v>
      </c>
      <c r="BJ451" s="9">
        <f t="shared" ref="BJ451:BJ514" si="399">Q460 - Q451</f>
        <v>3.5</v>
      </c>
    </row>
    <row r="452" spans="1:62" x14ac:dyDescent="0.2">
      <c r="A452" s="9">
        <f>data!M453-data!M452</f>
        <v>0.80749999999999034</v>
      </c>
      <c r="B452" s="9">
        <f>data!C453-data!C452</f>
        <v>3.0300000000000011</v>
      </c>
      <c r="C452" s="9">
        <f>data!D453-data!D452</f>
        <v>0.45749999999999957</v>
      </c>
      <c r="D452" s="10">
        <f>data!B453-data!B452</f>
        <v>-0.10749999999999993</v>
      </c>
      <c r="E452" s="9">
        <f>data!E452-data!G452</f>
        <v>2.0455999999999999</v>
      </c>
      <c r="F452" s="9">
        <f>(data!E452-data!F452)-(data!G452-data!H452)</f>
        <v>1.7824999999999998</v>
      </c>
      <c r="G452" s="9">
        <f t="shared" si="350"/>
        <v>2.330000000000032E-2</v>
      </c>
      <c r="H452" s="9">
        <f t="shared" si="351"/>
        <v>-9.2999999999996419E-3</v>
      </c>
      <c r="I452" s="9">
        <f>IF(data!M453&gt; 111.81,1,0)</f>
        <v>0</v>
      </c>
      <c r="J452" s="9">
        <f t="shared" si="352"/>
        <v>1</v>
      </c>
      <c r="K452" s="9">
        <f t="shared" si="353"/>
        <v>0</v>
      </c>
      <c r="L452" s="9">
        <f t="shared" si="354"/>
        <v>0.80749999999999034</v>
      </c>
      <c r="M452" s="9">
        <f>data!J452</f>
        <v>-18.46</v>
      </c>
      <c r="N452" s="9">
        <f>data!I452</f>
        <v>-67</v>
      </c>
      <c r="O452" s="9">
        <f>data!L452</f>
        <v>-73.5</v>
      </c>
      <c r="P452" s="9">
        <f>data!K452</f>
        <v>-42.3</v>
      </c>
      <c r="Q452" s="9">
        <f>data!R452</f>
        <v>-26.3</v>
      </c>
      <c r="R452" s="9">
        <f t="shared" si="355"/>
        <v>1.0600000000000023</v>
      </c>
      <c r="S452" s="9">
        <f t="shared" si="356"/>
        <v>0.85999999999999943</v>
      </c>
      <c r="T452" s="9">
        <f t="shared" si="357"/>
        <v>0.96000000000000085</v>
      </c>
      <c r="U452" s="9">
        <f t="shared" si="358"/>
        <v>0.66000000000000014</v>
      </c>
      <c r="V452" s="9">
        <f t="shared" si="359"/>
        <v>0.66000000000000014</v>
      </c>
      <c r="W452" s="9">
        <f t="shared" si="360"/>
        <v>-0.43999999999999773</v>
      </c>
      <c r="X452" s="9">
        <f t="shared" si="361"/>
        <v>1.1600000000000001</v>
      </c>
      <c r="Y452" s="9">
        <f t="shared" si="362"/>
        <v>2.66</v>
      </c>
      <c r="Z452" s="9">
        <f t="shared" si="363"/>
        <v>2.16</v>
      </c>
      <c r="AA452" s="9">
        <f t="shared" si="364"/>
        <v>1</v>
      </c>
      <c r="AB452" s="9">
        <f t="shared" si="365"/>
        <v>3.6000000000000014</v>
      </c>
      <c r="AC452" s="9">
        <f t="shared" si="366"/>
        <v>2.2000000000000028</v>
      </c>
      <c r="AD452" s="9">
        <f t="shared" si="367"/>
        <v>4</v>
      </c>
      <c r="AE452" s="9">
        <f t="shared" si="368"/>
        <v>5.6000000000000014</v>
      </c>
      <c r="AF452" s="9">
        <f t="shared" si="369"/>
        <v>6.2000000000000028</v>
      </c>
      <c r="AG452" s="9">
        <f t="shared" si="370"/>
        <v>7.5</v>
      </c>
      <c r="AH452" s="9">
        <f t="shared" si="371"/>
        <v>10</v>
      </c>
      <c r="AI452" s="9">
        <f t="shared" si="372"/>
        <v>12</v>
      </c>
      <c r="AJ452" s="9">
        <f t="shared" si="373"/>
        <v>0.5</v>
      </c>
      <c r="AK452" s="9">
        <f t="shared" si="374"/>
        <v>3.9000000000000057</v>
      </c>
      <c r="AL452" s="9">
        <f t="shared" si="375"/>
        <v>-0.375</v>
      </c>
      <c r="AM452" s="9">
        <f t="shared" si="376"/>
        <v>1.0999999999999943</v>
      </c>
      <c r="AN452" s="9">
        <f t="shared" si="377"/>
        <v>3</v>
      </c>
      <c r="AO452" s="9">
        <f t="shared" si="378"/>
        <v>3</v>
      </c>
      <c r="AP452" s="9">
        <f t="shared" si="379"/>
        <v>4.0999999999999943</v>
      </c>
      <c r="AQ452" s="9">
        <f t="shared" si="380"/>
        <v>7.0999999999999943</v>
      </c>
      <c r="AR452" s="9">
        <f t="shared" si="381"/>
        <v>9.4500000000000028</v>
      </c>
      <c r="AS452" s="9">
        <f t="shared" si="382"/>
        <v>0.19999999999999574</v>
      </c>
      <c r="AT452" s="9">
        <f t="shared" si="383"/>
        <v>0.69999999999999574</v>
      </c>
      <c r="AU452" s="9">
        <f t="shared" si="384"/>
        <v>-3.0750000000000028</v>
      </c>
      <c r="AV452" s="9">
        <f t="shared" si="385"/>
        <v>-2</v>
      </c>
      <c r="AW452" s="9">
        <f t="shared" si="386"/>
        <v>-0.70000000000000284</v>
      </c>
      <c r="AX452" s="9">
        <f t="shared" si="387"/>
        <v>-0.5</v>
      </c>
      <c r="AY452" s="9">
        <f t="shared" si="388"/>
        <v>1.2999999999999972</v>
      </c>
      <c r="AZ452" s="9">
        <f t="shared" si="389"/>
        <v>4.5</v>
      </c>
      <c r="BA452" s="9">
        <f t="shared" si="390"/>
        <v>6.7999999999999972</v>
      </c>
      <c r="BB452" s="9">
        <f t="shared" si="391"/>
        <v>0.19999999999999929</v>
      </c>
      <c r="BC452" s="9">
        <f t="shared" si="392"/>
        <v>0.69999999999999929</v>
      </c>
      <c r="BD452" s="9">
        <f t="shared" si="393"/>
        <v>-3.4499999999999993</v>
      </c>
      <c r="BE452" s="9">
        <f t="shared" si="394"/>
        <v>-2.7624999999999993</v>
      </c>
      <c r="BF452" s="9">
        <f t="shared" si="395"/>
        <v>-0.69999999999999929</v>
      </c>
      <c r="BG452" s="9">
        <f t="shared" si="396"/>
        <v>-1</v>
      </c>
      <c r="BH452" s="9">
        <f t="shared" si="397"/>
        <v>0.69999999999999929</v>
      </c>
      <c r="BI452" s="9">
        <f t="shared" si="398"/>
        <v>3.8000000000000007</v>
      </c>
      <c r="BJ452" s="9">
        <f t="shared" si="399"/>
        <v>6.1000000000000014</v>
      </c>
    </row>
    <row r="453" spans="1:62" x14ac:dyDescent="0.2">
      <c r="A453" s="9">
        <f>data!M454-data!M453</f>
        <v>-0.50539999999999452</v>
      </c>
      <c r="B453" s="9">
        <f>data!C454-data!C453</f>
        <v>-1.1600000000000019</v>
      </c>
      <c r="C453" s="9">
        <f>data!D454-data!D453</f>
        <v>-0.29749999999999943</v>
      </c>
      <c r="D453" s="10">
        <f>data!B454-data!B453</f>
        <v>0.26000000000000023</v>
      </c>
      <c r="E453" s="9">
        <f>data!E453-data!G453</f>
        <v>2.0689000000000002</v>
      </c>
      <c r="F453" s="9">
        <f>(data!E453-data!F453)-(data!G453-data!H453)</f>
        <v>1.7732000000000001</v>
      </c>
      <c r="G453" s="9">
        <f t="shared" si="350"/>
        <v>8.7299999999999933E-2</v>
      </c>
      <c r="H453" s="9">
        <f t="shared" si="351"/>
        <v>3.8499999999999979E-2</v>
      </c>
      <c r="I453" s="9">
        <f>IF(data!M454&gt; 111.81,1,0)</f>
        <v>0</v>
      </c>
      <c r="J453" s="9">
        <f t="shared" si="352"/>
        <v>1</v>
      </c>
      <c r="K453" s="9">
        <f t="shared" si="353"/>
        <v>0</v>
      </c>
      <c r="L453" s="9">
        <f t="shared" si="354"/>
        <v>-0.50539999999999452</v>
      </c>
      <c r="M453" s="9">
        <f>data!J453</f>
        <v>-17.399999999999999</v>
      </c>
      <c r="N453" s="9">
        <f>data!I453</f>
        <v>-66</v>
      </c>
      <c r="O453" s="9">
        <f>data!L453</f>
        <v>-73</v>
      </c>
      <c r="P453" s="9">
        <f>data!K453</f>
        <v>-42.1</v>
      </c>
      <c r="Q453" s="9">
        <f>data!R453</f>
        <v>-26.1</v>
      </c>
      <c r="R453" s="9">
        <f t="shared" si="355"/>
        <v>-0.20000000000000284</v>
      </c>
      <c r="S453" s="9">
        <f t="shared" si="356"/>
        <v>-0.10000000000000142</v>
      </c>
      <c r="T453" s="9">
        <f t="shared" si="357"/>
        <v>-0.40000000000000213</v>
      </c>
      <c r="U453" s="9">
        <f t="shared" si="358"/>
        <v>-0.40000000000000213</v>
      </c>
      <c r="V453" s="9">
        <f t="shared" si="359"/>
        <v>-1.5</v>
      </c>
      <c r="W453" s="9">
        <f t="shared" si="360"/>
        <v>9.9999999999997868E-2</v>
      </c>
      <c r="X453" s="9">
        <f t="shared" si="361"/>
        <v>1.5999999999999979</v>
      </c>
      <c r="Y453" s="9">
        <f t="shared" si="362"/>
        <v>1.0999999999999979</v>
      </c>
      <c r="Z453" s="9">
        <f t="shared" si="363"/>
        <v>0.29999999999999716</v>
      </c>
      <c r="AA453" s="9">
        <f t="shared" si="364"/>
        <v>2.6000000000000014</v>
      </c>
      <c r="AB453" s="9">
        <f t="shared" si="365"/>
        <v>1.2000000000000028</v>
      </c>
      <c r="AC453" s="9">
        <f t="shared" si="366"/>
        <v>3</v>
      </c>
      <c r="AD453" s="9">
        <f t="shared" si="367"/>
        <v>4.6000000000000014</v>
      </c>
      <c r="AE453" s="9">
        <f t="shared" si="368"/>
        <v>5.2000000000000028</v>
      </c>
      <c r="AF453" s="9">
        <f t="shared" si="369"/>
        <v>6.5</v>
      </c>
      <c r="AG453" s="9">
        <f t="shared" si="370"/>
        <v>9</v>
      </c>
      <c r="AH453" s="9">
        <f t="shared" si="371"/>
        <v>11</v>
      </c>
      <c r="AI453" s="9">
        <f t="shared" si="372"/>
        <v>6.5499999999999972</v>
      </c>
      <c r="AJ453" s="9">
        <f t="shared" si="373"/>
        <v>3.4000000000000057</v>
      </c>
      <c r="AK453" s="9">
        <f t="shared" si="374"/>
        <v>-0.875</v>
      </c>
      <c r="AL453" s="9">
        <f t="shared" si="375"/>
        <v>0.59999999999999432</v>
      </c>
      <c r="AM453" s="9">
        <f t="shared" si="376"/>
        <v>2.5</v>
      </c>
      <c r="AN453" s="9">
        <f t="shared" si="377"/>
        <v>2.5</v>
      </c>
      <c r="AO453" s="9">
        <f t="shared" si="378"/>
        <v>3.5999999999999943</v>
      </c>
      <c r="AP453" s="9">
        <f t="shared" si="379"/>
        <v>6.5999999999999943</v>
      </c>
      <c r="AQ453" s="9">
        <f t="shared" si="380"/>
        <v>8.9500000000000028</v>
      </c>
      <c r="AR453" s="9">
        <f t="shared" si="381"/>
        <v>6.0499999999999972</v>
      </c>
      <c r="AS453" s="9">
        <f t="shared" si="382"/>
        <v>0.5</v>
      </c>
      <c r="AT453" s="9">
        <f t="shared" si="383"/>
        <v>-3.2749999999999986</v>
      </c>
      <c r="AU453" s="9">
        <f t="shared" si="384"/>
        <v>-2.1999999999999957</v>
      </c>
      <c r="AV453" s="9">
        <f t="shared" si="385"/>
        <v>-0.89999999999999858</v>
      </c>
      <c r="AW453" s="9">
        <f t="shared" si="386"/>
        <v>-0.69999999999999574</v>
      </c>
      <c r="AX453" s="9">
        <f t="shared" si="387"/>
        <v>1.1000000000000014</v>
      </c>
      <c r="AY453" s="9">
        <f t="shared" si="388"/>
        <v>4.3000000000000043</v>
      </c>
      <c r="AZ453" s="9">
        <f t="shared" si="389"/>
        <v>6.6000000000000014</v>
      </c>
      <c r="BA453" s="9">
        <f t="shared" si="390"/>
        <v>3.7000000000000028</v>
      </c>
      <c r="BB453" s="9">
        <f t="shared" si="391"/>
        <v>0.5</v>
      </c>
      <c r="BC453" s="9">
        <f t="shared" si="392"/>
        <v>-3.6499999999999986</v>
      </c>
      <c r="BD453" s="9">
        <f t="shared" si="393"/>
        <v>-2.9624999999999986</v>
      </c>
      <c r="BE453" s="9">
        <f t="shared" si="394"/>
        <v>-0.89999999999999858</v>
      </c>
      <c r="BF453" s="9">
        <f t="shared" si="395"/>
        <v>-1.1999999999999993</v>
      </c>
      <c r="BG453" s="9">
        <f t="shared" si="396"/>
        <v>0.5</v>
      </c>
      <c r="BH453" s="9">
        <f t="shared" si="397"/>
        <v>3.6000000000000014</v>
      </c>
      <c r="BI453" s="9">
        <f t="shared" si="398"/>
        <v>5.9000000000000021</v>
      </c>
      <c r="BJ453" s="9">
        <f t="shared" si="399"/>
        <v>3.5</v>
      </c>
    </row>
    <row r="454" spans="1:62" x14ac:dyDescent="0.2">
      <c r="A454" s="9">
        <f>data!M455-data!M454</f>
        <v>-0.58209999999999695</v>
      </c>
      <c r="B454" s="9">
        <f>data!C455-data!C454</f>
        <v>-1.6899999999999995</v>
      </c>
      <c r="C454" s="9">
        <f>data!D455-data!D454</f>
        <v>-0.60749999999999993</v>
      </c>
      <c r="D454" s="10">
        <f>data!B455-data!B454</f>
        <v>-0.14000000000000012</v>
      </c>
      <c r="E454" s="9">
        <f>data!E454-data!G454</f>
        <v>2.1562000000000001</v>
      </c>
      <c r="F454" s="9">
        <f>(data!E454-data!F454)-(data!G454-data!H454)</f>
        <v>1.8117000000000001</v>
      </c>
      <c r="G454" s="9">
        <f t="shared" si="350"/>
        <v>5.3999999999998494E-3</v>
      </c>
      <c r="H454" s="9">
        <f t="shared" si="351"/>
        <v>2.8699999999999726E-2</v>
      </c>
      <c r="I454" s="9">
        <f>IF(data!M455&gt; 111.81,1,0)</f>
        <v>0</v>
      </c>
      <c r="J454" s="9">
        <f t="shared" si="352"/>
        <v>1</v>
      </c>
      <c r="K454" s="9">
        <f t="shared" si="353"/>
        <v>0</v>
      </c>
      <c r="L454" s="9">
        <f t="shared" si="354"/>
        <v>-0.58209999999999695</v>
      </c>
      <c r="M454" s="9">
        <f>data!J454</f>
        <v>-17.600000000000001</v>
      </c>
      <c r="N454" s="9">
        <f>data!I454</f>
        <v>-63.4</v>
      </c>
      <c r="O454" s="9">
        <f>data!L454</f>
        <v>-69.599999999999994</v>
      </c>
      <c r="P454" s="9">
        <f>data!K454</f>
        <v>-41.6</v>
      </c>
      <c r="Q454" s="9">
        <f>data!R454</f>
        <v>-25.6</v>
      </c>
      <c r="R454" s="9">
        <f t="shared" si="355"/>
        <v>0.10000000000000142</v>
      </c>
      <c r="S454" s="9">
        <f t="shared" si="356"/>
        <v>-0.19999999999999929</v>
      </c>
      <c r="T454" s="9">
        <f t="shared" si="357"/>
        <v>-0.19999999999999929</v>
      </c>
      <c r="U454" s="9">
        <f t="shared" si="358"/>
        <v>-1.2999999999999972</v>
      </c>
      <c r="V454" s="9">
        <f t="shared" si="359"/>
        <v>0.30000000000000071</v>
      </c>
      <c r="W454" s="9">
        <f t="shared" si="360"/>
        <v>1.8000000000000007</v>
      </c>
      <c r="X454" s="9">
        <f t="shared" si="361"/>
        <v>1.3000000000000007</v>
      </c>
      <c r="Y454" s="9">
        <f t="shared" si="362"/>
        <v>0.5</v>
      </c>
      <c r="Z454" s="9">
        <f t="shared" si="363"/>
        <v>0.60000000000000142</v>
      </c>
      <c r="AA454" s="9">
        <f t="shared" si="364"/>
        <v>-1.3999999999999986</v>
      </c>
      <c r="AB454" s="9">
        <f t="shared" si="365"/>
        <v>0.39999999999999858</v>
      </c>
      <c r="AC454" s="9">
        <f t="shared" si="366"/>
        <v>2</v>
      </c>
      <c r="AD454" s="9">
        <f t="shared" si="367"/>
        <v>2.6000000000000014</v>
      </c>
      <c r="AE454" s="9">
        <f t="shared" si="368"/>
        <v>3.8999999999999986</v>
      </c>
      <c r="AF454" s="9">
        <f t="shared" si="369"/>
        <v>6.3999999999999986</v>
      </c>
      <c r="AG454" s="9">
        <f t="shared" si="370"/>
        <v>8.3999999999999986</v>
      </c>
      <c r="AH454" s="9">
        <f t="shared" si="371"/>
        <v>3.9499999999999957</v>
      </c>
      <c r="AI454" s="9">
        <f t="shared" si="372"/>
        <v>4.8999999999999986</v>
      </c>
      <c r="AJ454" s="9">
        <f t="shared" si="373"/>
        <v>-4.2750000000000057</v>
      </c>
      <c r="AK454" s="9">
        <f t="shared" si="374"/>
        <v>-2.8000000000000114</v>
      </c>
      <c r="AL454" s="9">
        <f t="shared" si="375"/>
        <v>-0.90000000000000568</v>
      </c>
      <c r="AM454" s="9">
        <f t="shared" si="376"/>
        <v>-0.90000000000000568</v>
      </c>
      <c r="AN454" s="9">
        <f t="shared" si="377"/>
        <v>0.19999999999998863</v>
      </c>
      <c r="AO454" s="9">
        <f t="shared" si="378"/>
        <v>3.1999999999999886</v>
      </c>
      <c r="AP454" s="9">
        <f t="shared" si="379"/>
        <v>5.5499999999999972</v>
      </c>
      <c r="AQ454" s="9">
        <f t="shared" si="380"/>
        <v>2.6499999999999915</v>
      </c>
      <c r="AR454" s="9">
        <f t="shared" si="381"/>
        <v>2.5999999999999943</v>
      </c>
      <c r="AS454" s="9">
        <f t="shared" si="382"/>
        <v>-3.7749999999999986</v>
      </c>
      <c r="AT454" s="9">
        <f t="shared" si="383"/>
        <v>-2.6999999999999957</v>
      </c>
      <c r="AU454" s="9">
        <f t="shared" si="384"/>
        <v>-1.3999999999999986</v>
      </c>
      <c r="AV454" s="9">
        <f t="shared" si="385"/>
        <v>-1.1999999999999957</v>
      </c>
      <c r="AW454" s="9">
        <f t="shared" si="386"/>
        <v>0.60000000000000142</v>
      </c>
      <c r="AX454" s="9">
        <f t="shared" si="387"/>
        <v>3.8000000000000043</v>
      </c>
      <c r="AY454" s="9">
        <f t="shared" si="388"/>
        <v>6.1000000000000014</v>
      </c>
      <c r="AZ454" s="9">
        <f t="shared" si="389"/>
        <v>3.2000000000000028</v>
      </c>
      <c r="BA454" s="9">
        <f t="shared" si="390"/>
        <v>3.3000000000000043</v>
      </c>
      <c r="BB454" s="9">
        <f t="shared" si="391"/>
        <v>-4.1499999999999986</v>
      </c>
      <c r="BC454" s="9">
        <f t="shared" si="392"/>
        <v>-3.4624999999999986</v>
      </c>
      <c r="BD454" s="9">
        <f t="shared" si="393"/>
        <v>-1.3999999999999986</v>
      </c>
      <c r="BE454" s="9">
        <f t="shared" si="394"/>
        <v>-1.6999999999999993</v>
      </c>
      <c r="BF454" s="9">
        <f t="shared" si="395"/>
        <v>0</v>
      </c>
      <c r="BG454" s="9">
        <f t="shared" si="396"/>
        <v>3.1000000000000014</v>
      </c>
      <c r="BH454" s="9">
        <f t="shared" si="397"/>
        <v>5.4000000000000021</v>
      </c>
      <c r="BI454" s="9">
        <f t="shared" si="398"/>
        <v>3</v>
      </c>
      <c r="BJ454" s="9">
        <f t="shared" si="399"/>
        <v>2.6000000000000014</v>
      </c>
    </row>
    <row r="455" spans="1:62" x14ac:dyDescent="0.2">
      <c r="A455" s="9">
        <f>data!M456-data!M455</f>
        <v>-1.0617000000000019</v>
      </c>
      <c r="B455" s="9">
        <f>data!C456-data!C455</f>
        <v>-1.0400000000000009</v>
      </c>
      <c r="C455" s="9">
        <f>data!D456-data!D455</f>
        <v>-0.47500000000000142</v>
      </c>
      <c r="D455" s="10">
        <f>data!B456-data!B455</f>
        <v>0.20000000000000018</v>
      </c>
      <c r="E455" s="9">
        <f>data!E455-data!G455</f>
        <v>2.1616</v>
      </c>
      <c r="F455" s="9">
        <f>(data!E455-data!F455)-(data!G455-data!H455)</f>
        <v>1.8403999999999998</v>
      </c>
      <c r="G455" s="9">
        <f t="shared" si="350"/>
        <v>-0.11790000000000012</v>
      </c>
      <c r="H455" s="9">
        <f t="shared" si="351"/>
        <v>-3.1099999999999905E-2</v>
      </c>
      <c r="I455" s="9">
        <f>IF(data!M456&gt; 111.81,1,0)</f>
        <v>0</v>
      </c>
      <c r="J455" s="9">
        <f t="shared" si="352"/>
        <v>1</v>
      </c>
      <c r="K455" s="9">
        <f t="shared" si="353"/>
        <v>0</v>
      </c>
      <c r="L455" s="9">
        <f t="shared" si="354"/>
        <v>-1.0617000000000019</v>
      </c>
      <c r="M455" s="9">
        <f>data!J455</f>
        <v>-17.5</v>
      </c>
      <c r="N455" s="9">
        <f>data!I455</f>
        <v>-64.8</v>
      </c>
      <c r="O455" s="9">
        <f>data!L455</f>
        <v>-73.875</v>
      </c>
      <c r="P455" s="9">
        <f>data!K455</f>
        <v>-45.375</v>
      </c>
      <c r="Q455" s="9">
        <f>data!R455</f>
        <v>-29.75</v>
      </c>
      <c r="R455" s="9">
        <f t="shared" si="355"/>
        <v>-0.30000000000000071</v>
      </c>
      <c r="S455" s="9">
        <f t="shared" si="356"/>
        <v>-0.30000000000000071</v>
      </c>
      <c r="T455" s="9">
        <f t="shared" si="357"/>
        <v>-1.3999999999999986</v>
      </c>
      <c r="U455" s="9">
        <f t="shared" si="358"/>
        <v>0.19999999999999929</v>
      </c>
      <c r="V455" s="9">
        <f t="shared" si="359"/>
        <v>1.6999999999999993</v>
      </c>
      <c r="W455" s="9">
        <f t="shared" si="360"/>
        <v>1.1999999999999993</v>
      </c>
      <c r="X455" s="9">
        <f t="shared" si="361"/>
        <v>0.39999999999999858</v>
      </c>
      <c r="Y455" s="9">
        <f t="shared" si="362"/>
        <v>0.5</v>
      </c>
      <c r="Z455" s="9">
        <f t="shared" si="363"/>
        <v>1.1999999999999993</v>
      </c>
      <c r="AA455" s="9">
        <f t="shared" si="364"/>
        <v>1.7999999999999972</v>
      </c>
      <c r="AB455" s="9">
        <f t="shared" si="365"/>
        <v>3.3999999999999986</v>
      </c>
      <c r="AC455" s="9">
        <f t="shared" si="366"/>
        <v>4</v>
      </c>
      <c r="AD455" s="9">
        <f t="shared" si="367"/>
        <v>5.2999999999999972</v>
      </c>
      <c r="AE455" s="9">
        <f t="shared" si="368"/>
        <v>7.7999999999999972</v>
      </c>
      <c r="AF455" s="9">
        <f t="shared" si="369"/>
        <v>9.7999999999999972</v>
      </c>
      <c r="AG455" s="9">
        <f t="shared" si="370"/>
        <v>5.3499999999999943</v>
      </c>
      <c r="AH455" s="9">
        <f t="shared" si="371"/>
        <v>6.2999999999999972</v>
      </c>
      <c r="AI455" s="9">
        <f t="shared" si="372"/>
        <v>7.2999999999999972</v>
      </c>
      <c r="AJ455" s="9">
        <f t="shared" si="373"/>
        <v>1.4749999999999943</v>
      </c>
      <c r="AK455" s="9">
        <f t="shared" si="374"/>
        <v>3.375</v>
      </c>
      <c r="AL455" s="9">
        <f t="shared" si="375"/>
        <v>3.375</v>
      </c>
      <c r="AM455" s="9">
        <f t="shared" si="376"/>
        <v>4.4749999999999943</v>
      </c>
      <c r="AN455" s="9">
        <f t="shared" si="377"/>
        <v>7.4749999999999943</v>
      </c>
      <c r="AO455" s="9">
        <f t="shared" si="378"/>
        <v>9.8250000000000028</v>
      </c>
      <c r="AP455" s="9">
        <f t="shared" si="379"/>
        <v>6.9249999999999972</v>
      </c>
      <c r="AQ455" s="9">
        <f t="shared" si="380"/>
        <v>6.875</v>
      </c>
      <c r="AR455" s="9">
        <f t="shared" si="381"/>
        <v>6.4749999999999943</v>
      </c>
      <c r="AS455" s="9">
        <f t="shared" si="382"/>
        <v>1.0750000000000028</v>
      </c>
      <c r="AT455" s="9">
        <f t="shared" si="383"/>
        <v>2.375</v>
      </c>
      <c r="AU455" s="9">
        <f t="shared" si="384"/>
        <v>2.5750000000000028</v>
      </c>
      <c r="AV455" s="9">
        <f t="shared" si="385"/>
        <v>4.375</v>
      </c>
      <c r="AW455" s="9">
        <f t="shared" si="386"/>
        <v>7.5750000000000028</v>
      </c>
      <c r="AX455" s="9">
        <f t="shared" si="387"/>
        <v>9.875</v>
      </c>
      <c r="AY455" s="9">
        <f t="shared" si="388"/>
        <v>6.9750000000000014</v>
      </c>
      <c r="AZ455" s="9">
        <f t="shared" si="389"/>
        <v>7.0750000000000028</v>
      </c>
      <c r="BA455" s="9">
        <f t="shared" si="390"/>
        <v>7.375</v>
      </c>
      <c r="BB455" s="9">
        <f t="shared" si="391"/>
        <v>0.6875</v>
      </c>
      <c r="BC455" s="9">
        <f t="shared" si="392"/>
        <v>2.75</v>
      </c>
      <c r="BD455" s="9">
        <f t="shared" si="393"/>
        <v>2.4499999999999993</v>
      </c>
      <c r="BE455" s="9">
        <f t="shared" si="394"/>
        <v>4.1499999999999986</v>
      </c>
      <c r="BF455" s="9">
        <f t="shared" si="395"/>
        <v>7.25</v>
      </c>
      <c r="BG455" s="9">
        <f t="shared" si="396"/>
        <v>9.5500000000000007</v>
      </c>
      <c r="BH455" s="9">
        <f t="shared" si="397"/>
        <v>7.1499999999999986</v>
      </c>
      <c r="BI455" s="9">
        <f t="shared" si="398"/>
        <v>6.75</v>
      </c>
      <c r="BJ455" s="9">
        <f t="shared" si="399"/>
        <v>6.6499999999999986</v>
      </c>
    </row>
    <row r="456" spans="1:62" x14ac:dyDescent="0.2">
      <c r="A456" s="9">
        <f>data!M457-data!M456</f>
        <v>0.36979999999999791</v>
      </c>
      <c r="B456" s="9">
        <f>data!C457-data!C456</f>
        <v>2.3400000000000016</v>
      </c>
      <c r="C456" s="9">
        <f>data!D457-data!D456</f>
        <v>-0.41749999999999865</v>
      </c>
      <c r="D456" s="10">
        <f>data!B457-data!B456</f>
        <v>-0.10499999999999998</v>
      </c>
      <c r="E456" s="9">
        <f>data!E456-data!G456</f>
        <v>2.0436999999999999</v>
      </c>
      <c r="F456" s="9">
        <f>(data!E456-data!F456)-(data!G456-data!H456)</f>
        <v>1.8092999999999999</v>
      </c>
      <c r="G456" s="9">
        <f t="shared" si="350"/>
        <v>-9.6200000000000063E-2</v>
      </c>
      <c r="H456" s="9">
        <f t="shared" si="351"/>
        <v>-0.10119999999999996</v>
      </c>
      <c r="I456" s="9">
        <f>IF(data!M457&gt; 111.81,1,0)</f>
        <v>0</v>
      </c>
      <c r="J456" s="9">
        <f t="shared" si="352"/>
        <v>1</v>
      </c>
      <c r="K456" s="9">
        <f t="shared" si="353"/>
        <v>0</v>
      </c>
      <c r="L456" s="9">
        <f t="shared" si="354"/>
        <v>0.36979999999999791</v>
      </c>
      <c r="M456" s="9">
        <f>data!J456</f>
        <v>-17.8</v>
      </c>
      <c r="N456" s="9">
        <f>data!I456</f>
        <v>-63</v>
      </c>
      <c r="O456" s="9">
        <f>data!L456</f>
        <v>-72.400000000000006</v>
      </c>
      <c r="P456" s="9">
        <f>data!K456</f>
        <v>-44.3</v>
      </c>
      <c r="Q456" s="9">
        <f>data!R456</f>
        <v>-29.0625</v>
      </c>
      <c r="R456" s="9">
        <f t="shared" si="355"/>
        <v>0</v>
      </c>
      <c r="S456" s="9">
        <f t="shared" si="356"/>
        <v>-1.0999999999999979</v>
      </c>
      <c r="T456" s="9">
        <f t="shared" si="357"/>
        <v>0.5</v>
      </c>
      <c r="U456" s="9">
        <f t="shared" si="358"/>
        <v>2</v>
      </c>
      <c r="V456" s="9">
        <f t="shared" si="359"/>
        <v>1.5</v>
      </c>
      <c r="W456" s="9">
        <f t="shared" si="360"/>
        <v>0.69999999999999929</v>
      </c>
      <c r="X456" s="9">
        <f t="shared" si="361"/>
        <v>0.80000000000000071</v>
      </c>
      <c r="Y456" s="9">
        <f t="shared" si="362"/>
        <v>1.5</v>
      </c>
      <c r="Z456" s="9">
        <f t="shared" si="363"/>
        <v>3.2000000000000011</v>
      </c>
      <c r="AA456" s="9">
        <f t="shared" si="364"/>
        <v>1.6000000000000014</v>
      </c>
      <c r="AB456" s="9">
        <f t="shared" si="365"/>
        <v>2.2000000000000028</v>
      </c>
      <c r="AC456" s="9">
        <f t="shared" si="366"/>
        <v>3.5</v>
      </c>
      <c r="AD456" s="9">
        <f t="shared" si="367"/>
        <v>6</v>
      </c>
      <c r="AE456" s="9">
        <f t="shared" si="368"/>
        <v>8</v>
      </c>
      <c r="AF456" s="9">
        <f t="shared" si="369"/>
        <v>3.5499999999999972</v>
      </c>
      <c r="AG456" s="9">
        <f t="shared" si="370"/>
        <v>4.5</v>
      </c>
      <c r="AH456" s="9">
        <f t="shared" si="371"/>
        <v>5.5</v>
      </c>
      <c r="AI456" s="9">
        <f t="shared" si="372"/>
        <v>7</v>
      </c>
      <c r="AJ456" s="9">
        <f t="shared" si="373"/>
        <v>1.9000000000000057</v>
      </c>
      <c r="AK456" s="9">
        <f t="shared" si="374"/>
        <v>1.9000000000000057</v>
      </c>
      <c r="AL456" s="9">
        <f t="shared" si="375"/>
        <v>3</v>
      </c>
      <c r="AM456" s="9">
        <f t="shared" si="376"/>
        <v>6</v>
      </c>
      <c r="AN456" s="9">
        <f t="shared" si="377"/>
        <v>8.3500000000000085</v>
      </c>
      <c r="AO456" s="9">
        <f t="shared" si="378"/>
        <v>5.4500000000000028</v>
      </c>
      <c r="AP456" s="9">
        <f t="shared" si="379"/>
        <v>5.4000000000000057</v>
      </c>
      <c r="AQ456" s="9">
        <f t="shared" si="380"/>
        <v>5</v>
      </c>
      <c r="AR456" s="9">
        <f t="shared" si="381"/>
        <v>5.3000000000000114</v>
      </c>
      <c r="AS456" s="9">
        <f t="shared" si="382"/>
        <v>1.2999999999999972</v>
      </c>
      <c r="AT456" s="9">
        <f t="shared" si="383"/>
        <v>1.5</v>
      </c>
      <c r="AU456" s="9">
        <f t="shared" si="384"/>
        <v>3.2999999999999972</v>
      </c>
      <c r="AV456" s="9">
        <f t="shared" si="385"/>
        <v>6.5</v>
      </c>
      <c r="AW456" s="9">
        <f t="shared" si="386"/>
        <v>8.7999999999999972</v>
      </c>
      <c r="AX456" s="9">
        <f t="shared" si="387"/>
        <v>5.8999999999999986</v>
      </c>
      <c r="AY456" s="9">
        <f t="shared" si="388"/>
        <v>6</v>
      </c>
      <c r="AZ456" s="9">
        <f t="shared" si="389"/>
        <v>6.2999999999999972</v>
      </c>
      <c r="BA456" s="9">
        <f t="shared" si="390"/>
        <v>7.2999999999999972</v>
      </c>
      <c r="BB456" s="9">
        <f t="shared" si="391"/>
        <v>2.0625</v>
      </c>
      <c r="BC456" s="9">
        <f t="shared" si="392"/>
        <v>1.7624999999999993</v>
      </c>
      <c r="BD456" s="9">
        <f t="shared" si="393"/>
        <v>3.4624999999999986</v>
      </c>
      <c r="BE456" s="9">
        <f t="shared" si="394"/>
        <v>6.5625</v>
      </c>
      <c r="BF456" s="9">
        <f t="shared" si="395"/>
        <v>8.8625000000000007</v>
      </c>
      <c r="BG456" s="9">
        <f t="shared" si="396"/>
        <v>6.4624999999999986</v>
      </c>
      <c r="BH456" s="9">
        <f t="shared" si="397"/>
        <v>6.0625</v>
      </c>
      <c r="BI456" s="9">
        <f t="shared" si="398"/>
        <v>5.9624999999999986</v>
      </c>
      <c r="BJ456" s="9">
        <f t="shared" si="399"/>
        <v>6.9624999999999986</v>
      </c>
    </row>
    <row r="457" spans="1:62" x14ac:dyDescent="0.2">
      <c r="A457" s="9">
        <f>data!M458-data!M457</f>
        <v>-0.32779999999999632</v>
      </c>
      <c r="B457" s="9">
        <f>data!C458-data!C457</f>
        <v>1.2799999999999976</v>
      </c>
      <c r="C457" s="9">
        <f>data!D458-data!D457</f>
        <v>-0.3125</v>
      </c>
      <c r="D457" s="10">
        <f>data!B458-data!B457</f>
        <v>0.26499999999999968</v>
      </c>
      <c r="E457" s="9">
        <f>data!E457-data!G457</f>
        <v>1.9474999999999998</v>
      </c>
      <c r="F457" s="9">
        <f>(data!E457-data!F457)-(data!G457-data!H457)</f>
        <v>1.7081</v>
      </c>
      <c r="G457" s="9">
        <f t="shared" si="350"/>
        <v>5.0200000000000022E-2</v>
      </c>
      <c r="H457" s="9">
        <f t="shared" si="351"/>
        <v>5.4399999999999782E-2</v>
      </c>
      <c r="I457" s="9">
        <f>IF(data!M458&gt; 111.81,1,0)</f>
        <v>0</v>
      </c>
      <c r="J457" s="9">
        <f t="shared" si="352"/>
        <v>1</v>
      </c>
      <c r="K457" s="9">
        <f t="shared" si="353"/>
        <v>0</v>
      </c>
      <c r="L457" s="9">
        <f t="shared" si="354"/>
        <v>-0.32779999999999632</v>
      </c>
      <c r="M457" s="9">
        <f>data!J457</f>
        <v>-17.8</v>
      </c>
      <c r="N457" s="9">
        <f>data!I457</f>
        <v>-61.4</v>
      </c>
      <c r="O457" s="9">
        <f>data!L457</f>
        <v>-70.5</v>
      </c>
      <c r="P457" s="9">
        <f>data!K457</f>
        <v>-43</v>
      </c>
      <c r="Q457" s="9">
        <f>data!R457</f>
        <v>-27</v>
      </c>
      <c r="R457" s="9">
        <f t="shared" si="355"/>
        <v>-1.0999999999999979</v>
      </c>
      <c r="S457" s="9">
        <f t="shared" si="356"/>
        <v>0.5</v>
      </c>
      <c r="T457" s="9">
        <f t="shared" si="357"/>
        <v>2</v>
      </c>
      <c r="U457" s="9">
        <f t="shared" si="358"/>
        <v>1.5</v>
      </c>
      <c r="V457" s="9">
        <f t="shared" si="359"/>
        <v>0.69999999999999929</v>
      </c>
      <c r="W457" s="9">
        <f t="shared" si="360"/>
        <v>0.80000000000000071</v>
      </c>
      <c r="X457" s="9">
        <f t="shared" si="361"/>
        <v>1.5</v>
      </c>
      <c r="Y457" s="9">
        <f t="shared" si="362"/>
        <v>3.2000000000000011</v>
      </c>
      <c r="Z457" s="9">
        <f t="shared" si="363"/>
        <v>2.4000000000000004</v>
      </c>
      <c r="AA457" s="9">
        <f t="shared" si="364"/>
        <v>0.60000000000000142</v>
      </c>
      <c r="AB457" s="9">
        <f t="shared" si="365"/>
        <v>1.8999999999999986</v>
      </c>
      <c r="AC457" s="9">
        <f t="shared" si="366"/>
        <v>4.3999999999999986</v>
      </c>
      <c r="AD457" s="9">
        <f t="shared" si="367"/>
        <v>6.3999999999999986</v>
      </c>
      <c r="AE457" s="9">
        <f t="shared" si="368"/>
        <v>1.9499999999999957</v>
      </c>
      <c r="AF457" s="9">
        <f t="shared" si="369"/>
        <v>2.8999999999999986</v>
      </c>
      <c r="AG457" s="9">
        <f t="shared" si="370"/>
        <v>3.8999999999999986</v>
      </c>
      <c r="AH457" s="9">
        <f t="shared" si="371"/>
        <v>5.3999999999999986</v>
      </c>
      <c r="AI457" s="9">
        <f t="shared" si="372"/>
        <v>5.3999999999999986</v>
      </c>
      <c r="AJ457" s="9">
        <f t="shared" si="373"/>
        <v>0</v>
      </c>
      <c r="AK457" s="9">
        <f t="shared" si="374"/>
        <v>1.0999999999999943</v>
      </c>
      <c r="AL457" s="9">
        <f t="shared" si="375"/>
        <v>4.0999999999999943</v>
      </c>
      <c r="AM457" s="9">
        <f t="shared" si="376"/>
        <v>6.4500000000000028</v>
      </c>
      <c r="AN457" s="9">
        <f t="shared" si="377"/>
        <v>3.5499999999999972</v>
      </c>
      <c r="AO457" s="9">
        <f t="shared" si="378"/>
        <v>3.5</v>
      </c>
      <c r="AP457" s="9">
        <f t="shared" si="379"/>
        <v>3.0999999999999943</v>
      </c>
      <c r="AQ457" s="9">
        <f t="shared" si="380"/>
        <v>3.4000000000000057</v>
      </c>
      <c r="AR457" s="9">
        <f t="shared" si="381"/>
        <v>3.2000000000000028</v>
      </c>
      <c r="AS457" s="9">
        <f t="shared" si="382"/>
        <v>0.20000000000000284</v>
      </c>
      <c r="AT457" s="9">
        <f t="shared" si="383"/>
        <v>2</v>
      </c>
      <c r="AU457" s="9">
        <f t="shared" si="384"/>
        <v>5.2000000000000028</v>
      </c>
      <c r="AV457" s="9">
        <f t="shared" si="385"/>
        <v>7.5</v>
      </c>
      <c r="AW457" s="9">
        <f t="shared" si="386"/>
        <v>4.6000000000000014</v>
      </c>
      <c r="AX457" s="9">
        <f t="shared" si="387"/>
        <v>4.7000000000000028</v>
      </c>
      <c r="AY457" s="9">
        <f t="shared" si="388"/>
        <v>5</v>
      </c>
      <c r="AZ457" s="9">
        <f t="shared" si="389"/>
        <v>6</v>
      </c>
      <c r="BA457" s="9">
        <f t="shared" si="390"/>
        <v>6</v>
      </c>
      <c r="BB457" s="9">
        <f t="shared" si="391"/>
        <v>-0.30000000000000071</v>
      </c>
      <c r="BC457" s="9">
        <f t="shared" si="392"/>
        <v>1.3999999999999986</v>
      </c>
      <c r="BD457" s="9">
        <f t="shared" si="393"/>
        <v>4.5</v>
      </c>
      <c r="BE457" s="9">
        <f t="shared" si="394"/>
        <v>6.8000000000000007</v>
      </c>
      <c r="BF457" s="9">
        <f t="shared" si="395"/>
        <v>4.3999999999999986</v>
      </c>
      <c r="BG457" s="9">
        <f t="shared" si="396"/>
        <v>4</v>
      </c>
      <c r="BH457" s="9">
        <f t="shared" si="397"/>
        <v>3.8999999999999986</v>
      </c>
      <c r="BI457" s="9">
        <f t="shared" si="398"/>
        <v>4.8999999999999986</v>
      </c>
      <c r="BJ457" s="9">
        <f t="shared" si="399"/>
        <v>5.1999999999999993</v>
      </c>
    </row>
    <row r="458" spans="1:62" x14ac:dyDescent="0.2">
      <c r="A458" s="9">
        <f>data!M459-data!M458</f>
        <v>0.20709999999999695</v>
      </c>
      <c r="B458" s="9">
        <f>data!C459-data!C458</f>
        <v>-1.0199999999999978</v>
      </c>
      <c r="C458" s="9">
        <f>data!D459-data!D458</f>
        <v>-0.24500000000000099</v>
      </c>
      <c r="D458" s="10">
        <f>data!B459-data!B458</f>
        <v>0.20000000000000018</v>
      </c>
      <c r="E458" s="9">
        <f>data!E458-data!G458</f>
        <v>1.9976999999999998</v>
      </c>
      <c r="F458" s="9">
        <f>(data!E458-data!F458)-(data!G458-data!H458)</f>
        <v>1.7624999999999997</v>
      </c>
      <c r="G458" s="9">
        <f t="shared" si="350"/>
        <v>3.74000000000001E-2</v>
      </c>
      <c r="H458" s="9">
        <f t="shared" si="351"/>
        <v>2.1500000000000519E-2</v>
      </c>
      <c r="I458" s="9">
        <f>IF(data!M459&gt; 111.81,1,0)</f>
        <v>0</v>
      </c>
      <c r="J458" s="9">
        <f t="shared" si="352"/>
        <v>1</v>
      </c>
      <c r="K458" s="9">
        <f t="shared" si="353"/>
        <v>0</v>
      </c>
      <c r="L458" s="9">
        <f t="shared" si="354"/>
        <v>0.20709999999999695</v>
      </c>
      <c r="M458" s="9">
        <f>data!J458</f>
        <v>-18.899999999999999</v>
      </c>
      <c r="N458" s="9">
        <f>data!I458</f>
        <v>-60.8</v>
      </c>
      <c r="O458" s="9">
        <f>data!L458</f>
        <v>-70.5</v>
      </c>
      <c r="P458" s="9">
        <f>data!K458</f>
        <v>-42.8</v>
      </c>
      <c r="Q458" s="9">
        <f>data!R458</f>
        <v>-27.3</v>
      </c>
      <c r="R458" s="9">
        <f t="shared" si="355"/>
        <v>1.5999999999999979</v>
      </c>
      <c r="S458" s="9">
        <f t="shared" si="356"/>
        <v>3.0999999999999979</v>
      </c>
      <c r="T458" s="9">
        <f t="shared" si="357"/>
        <v>2.5999999999999979</v>
      </c>
      <c r="U458" s="9">
        <f t="shared" si="358"/>
        <v>1.7999999999999972</v>
      </c>
      <c r="V458" s="9">
        <f t="shared" si="359"/>
        <v>1.8999999999999986</v>
      </c>
      <c r="W458" s="9">
        <f t="shared" si="360"/>
        <v>2.5999999999999979</v>
      </c>
      <c r="X458" s="9">
        <f t="shared" si="361"/>
        <v>4.2999999999999989</v>
      </c>
      <c r="Y458" s="9">
        <f t="shared" si="362"/>
        <v>3.4999999999999982</v>
      </c>
      <c r="Z458" s="9">
        <f t="shared" si="363"/>
        <v>3.5499999999999989</v>
      </c>
      <c r="AA458" s="9">
        <f t="shared" si="364"/>
        <v>1.2999999999999972</v>
      </c>
      <c r="AB458" s="9">
        <f t="shared" si="365"/>
        <v>3.7999999999999972</v>
      </c>
      <c r="AC458" s="9">
        <f t="shared" si="366"/>
        <v>5.7999999999999972</v>
      </c>
      <c r="AD458" s="9">
        <f t="shared" si="367"/>
        <v>1.3499999999999943</v>
      </c>
      <c r="AE458" s="9">
        <f t="shared" si="368"/>
        <v>2.2999999999999972</v>
      </c>
      <c r="AF458" s="9">
        <f t="shared" si="369"/>
        <v>3.2999999999999972</v>
      </c>
      <c r="AG458" s="9">
        <f t="shared" si="370"/>
        <v>4.7999999999999972</v>
      </c>
      <c r="AH458" s="9">
        <f t="shared" si="371"/>
        <v>4.7999999999999972</v>
      </c>
      <c r="AI458" s="9">
        <f t="shared" si="372"/>
        <v>4.5</v>
      </c>
      <c r="AJ458" s="9">
        <f t="shared" si="373"/>
        <v>1.0999999999999943</v>
      </c>
      <c r="AK458" s="9">
        <f t="shared" si="374"/>
        <v>4.0999999999999943</v>
      </c>
      <c r="AL458" s="9">
        <f t="shared" si="375"/>
        <v>6.4500000000000028</v>
      </c>
      <c r="AM458" s="9">
        <f t="shared" si="376"/>
        <v>3.5499999999999972</v>
      </c>
      <c r="AN458" s="9">
        <f t="shared" si="377"/>
        <v>3.5</v>
      </c>
      <c r="AO458" s="9">
        <f t="shared" si="378"/>
        <v>3.0999999999999943</v>
      </c>
      <c r="AP458" s="9">
        <f t="shared" si="379"/>
        <v>3.4000000000000057</v>
      </c>
      <c r="AQ458" s="9">
        <f t="shared" si="380"/>
        <v>3.2000000000000028</v>
      </c>
      <c r="AR458" s="9">
        <f t="shared" si="381"/>
        <v>2.375</v>
      </c>
      <c r="AS458" s="9">
        <f t="shared" si="382"/>
        <v>1.7999999999999972</v>
      </c>
      <c r="AT458" s="9">
        <f t="shared" si="383"/>
        <v>5</v>
      </c>
      <c r="AU458" s="9">
        <f t="shared" si="384"/>
        <v>7.2999999999999972</v>
      </c>
      <c r="AV458" s="9">
        <f t="shared" si="385"/>
        <v>4.3999999999999986</v>
      </c>
      <c r="AW458" s="9">
        <f t="shared" si="386"/>
        <v>4.5</v>
      </c>
      <c r="AX458" s="9">
        <f t="shared" si="387"/>
        <v>4.7999999999999972</v>
      </c>
      <c r="AY458" s="9">
        <f t="shared" si="388"/>
        <v>5.7999999999999972</v>
      </c>
      <c r="AZ458" s="9">
        <f t="shared" si="389"/>
        <v>5.7999999999999972</v>
      </c>
      <c r="BA458" s="9">
        <f t="shared" si="390"/>
        <v>5</v>
      </c>
      <c r="BB458" s="9">
        <f t="shared" si="391"/>
        <v>1.6999999999999993</v>
      </c>
      <c r="BC458" s="9">
        <f t="shared" si="392"/>
        <v>4.8000000000000007</v>
      </c>
      <c r="BD458" s="9">
        <f t="shared" si="393"/>
        <v>7.1000000000000014</v>
      </c>
      <c r="BE458" s="9">
        <f t="shared" si="394"/>
        <v>4.6999999999999993</v>
      </c>
      <c r="BF458" s="9">
        <f t="shared" si="395"/>
        <v>4.3000000000000007</v>
      </c>
      <c r="BG458" s="9">
        <f t="shared" si="396"/>
        <v>4.1999999999999993</v>
      </c>
      <c r="BH458" s="9">
        <f t="shared" si="397"/>
        <v>5.1999999999999993</v>
      </c>
      <c r="BI458" s="9">
        <f t="shared" si="398"/>
        <v>5.5</v>
      </c>
      <c r="BJ458" s="9">
        <f t="shared" si="399"/>
        <v>5.1999999999999993</v>
      </c>
    </row>
    <row r="459" spans="1:62" x14ac:dyDescent="0.2">
      <c r="A459" s="9">
        <f>data!M460-data!M459</f>
        <v>-0.85509999999999309</v>
      </c>
      <c r="B459" s="9">
        <f>data!C460-data!C459</f>
        <v>-2.6800000000000015</v>
      </c>
      <c r="C459" s="9">
        <f>data!D460-data!D459</f>
        <v>-1.1349999999999998</v>
      </c>
      <c r="D459" s="10">
        <f>data!B460-data!B459</f>
        <v>0.62749999999999995</v>
      </c>
      <c r="E459" s="9">
        <f>data!E459-data!G459</f>
        <v>2.0350999999999999</v>
      </c>
      <c r="F459" s="9">
        <f>(data!E459-data!F459)-(data!G459-data!H459)</f>
        <v>1.7840000000000003</v>
      </c>
      <c r="G459" s="9">
        <f t="shared" si="350"/>
        <v>-7.2399999999999798E-2</v>
      </c>
      <c r="H459" s="9">
        <f t="shared" si="351"/>
        <v>-2.7900000000000258E-2</v>
      </c>
      <c r="I459" s="9">
        <f>IF(data!M460&gt; 111.81,1,0)</f>
        <v>0</v>
      </c>
      <c r="J459" s="9">
        <f t="shared" si="352"/>
        <v>1</v>
      </c>
      <c r="K459" s="9">
        <f t="shared" si="353"/>
        <v>0</v>
      </c>
      <c r="L459" s="9">
        <f t="shared" si="354"/>
        <v>-0.85509999999999309</v>
      </c>
      <c r="M459" s="9">
        <f>data!J459</f>
        <v>-17.3</v>
      </c>
      <c r="N459" s="9">
        <f>data!I459</f>
        <v>-59.5</v>
      </c>
      <c r="O459" s="9">
        <f>data!L459</f>
        <v>-69.400000000000006</v>
      </c>
      <c r="P459" s="9">
        <f>data!K459</f>
        <v>-41</v>
      </c>
      <c r="Q459" s="9">
        <f>data!R459</f>
        <v>-25.6</v>
      </c>
      <c r="R459" s="9">
        <f t="shared" si="355"/>
        <v>1.5</v>
      </c>
      <c r="S459" s="9">
        <f t="shared" si="356"/>
        <v>1</v>
      </c>
      <c r="T459" s="9">
        <f t="shared" si="357"/>
        <v>0.19999999999999929</v>
      </c>
      <c r="U459" s="9">
        <f t="shared" si="358"/>
        <v>0.30000000000000071</v>
      </c>
      <c r="V459" s="9">
        <f t="shared" si="359"/>
        <v>1</v>
      </c>
      <c r="W459" s="9">
        <f t="shared" si="360"/>
        <v>2.7000000000000011</v>
      </c>
      <c r="X459" s="9">
        <f t="shared" si="361"/>
        <v>1.9000000000000004</v>
      </c>
      <c r="Y459" s="9">
        <f t="shared" si="362"/>
        <v>1.9500000000000011</v>
      </c>
      <c r="Z459" s="9">
        <f t="shared" si="363"/>
        <v>2.8000000000000007</v>
      </c>
      <c r="AA459" s="9">
        <f t="shared" si="364"/>
        <v>2.5</v>
      </c>
      <c r="AB459" s="9">
        <f t="shared" si="365"/>
        <v>4.5</v>
      </c>
      <c r="AC459" s="9">
        <f t="shared" si="366"/>
        <v>4.9999999999997158E-2</v>
      </c>
      <c r="AD459" s="9">
        <f t="shared" si="367"/>
        <v>1</v>
      </c>
      <c r="AE459" s="9">
        <f t="shared" si="368"/>
        <v>2</v>
      </c>
      <c r="AF459" s="9">
        <f t="shared" si="369"/>
        <v>3.5</v>
      </c>
      <c r="AG459" s="9">
        <f t="shared" si="370"/>
        <v>3.5</v>
      </c>
      <c r="AH459" s="9">
        <f t="shared" si="371"/>
        <v>3.2000000000000028</v>
      </c>
      <c r="AI459" s="9">
        <f t="shared" si="372"/>
        <v>2.5</v>
      </c>
      <c r="AJ459" s="9">
        <f t="shared" si="373"/>
        <v>3</v>
      </c>
      <c r="AK459" s="9">
        <f t="shared" si="374"/>
        <v>5.3500000000000085</v>
      </c>
      <c r="AL459" s="9">
        <f t="shared" si="375"/>
        <v>2.4500000000000028</v>
      </c>
      <c r="AM459" s="9">
        <f t="shared" si="376"/>
        <v>2.4000000000000057</v>
      </c>
      <c r="AN459" s="9">
        <f t="shared" si="377"/>
        <v>2</v>
      </c>
      <c r="AO459" s="9">
        <f t="shared" si="378"/>
        <v>2.3000000000000114</v>
      </c>
      <c r="AP459" s="9">
        <f t="shared" si="379"/>
        <v>2.1000000000000085</v>
      </c>
      <c r="AQ459" s="9">
        <f t="shared" si="380"/>
        <v>1.2750000000000057</v>
      </c>
      <c r="AR459" s="9">
        <f t="shared" si="381"/>
        <v>0.80000000000001137</v>
      </c>
      <c r="AS459" s="9">
        <f t="shared" si="382"/>
        <v>3.2000000000000028</v>
      </c>
      <c r="AT459" s="9">
        <f t="shared" si="383"/>
        <v>5.5</v>
      </c>
      <c r="AU459" s="9">
        <f t="shared" si="384"/>
        <v>2.6000000000000014</v>
      </c>
      <c r="AV459" s="9">
        <f t="shared" si="385"/>
        <v>2.7000000000000028</v>
      </c>
      <c r="AW459" s="9">
        <f t="shared" si="386"/>
        <v>3</v>
      </c>
      <c r="AX459" s="9">
        <f t="shared" si="387"/>
        <v>4</v>
      </c>
      <c r="AY459" s="9">
        <f t="shared" si="388"/>
        <v>4</v>
      </c>
      <c r="AZ459" s="9">
        <f t="shared" si="389"/>
        <v>3.2000000000000028</v>
      </c>
      <c r="BA459" s="9">
        <f t="shared" si="390"/>
        <v>3</v>
      </c>
      <c r="BB459" s="9">
        <f t="shared" si="391"/>
        <v>3.1000000000000014</v>
      </c>
      <c r="BC459" s="9">
        <f t="shared" si="392"/>
        <v>5.4000000000000021</v>
      </c>
      <c r="BD459" s="9">
        <f t="shared" si="393"/>
        <v>3</v>
      </c>
      <c r="BE459" s="9">
        <f t="shared" si="394"/>
        <v>2.6000000000000014</v>
      </c>
      <c r="BF459" s="9">
        <f t="shared" si="395"/>
        <v>2.5</v>
      </c>
      <c r="BG459" s="9">
        <f t="shared" si="396"/>
        <v>3.5</v>
      </c>
      <c r="BH459" s="9">
        <f t="shared" si="397"/>
        <v>3.8000000000000007</v>
      </c>
      <c r="BI459" s="9">
        <f t="shared" si="398"/>
        <v>3.5</v>
      </c>
      <c r="BJ459" s="9">
        <f t="shared" si="399"/>
        <v>3.2000000000000028</v>
      </c>
    </row>
    <row r="460" spans="1:62" x14ac:dyDescent="0.2">
      <c r="A460" s="9">
        <f>data!M461-data!M460</f>
        <v>0.16339999999999577</v>
      </c>
      <c r="B460" s="9">
        <f>data!C461-data!C460</f>
        <v>5.0000000000000711E-2</v>
      </c>
      <c r="C460" s="9">
        <f>data!D461-data!D460</f>
        <v>-0.41000000000000014</v>
      </c>
      <c r="D460" s="10">
        <f>data!B461-data!B460</f>
        <v>-0.16749999999999998</v>
      </c>
      <c r="E460" s="9">
        <f>data!E460-data!G460</f>
        <v>1.9627000000000001</v>
      </c>
      <c r="F460" s="9">
        <f>(data!E460-data!F460)-(data!G460-data!H460)</f>
        <v>1.7561</v>
      </c>
      <c r="G460" s="9">
        <f t="shared" si="350"/>
        <v>-6.5900000000000292E-2</v>
      </c>
      <c r="H460" s="9">
        <f t="shared" si="351"/>
        <v>-6.1200000000000365E-2</v>
      </c>
      <c r="I460" s="9">
        <f>IF(data!M461&gt; 111.81,1,0)</f>
        <v>0</v>
      </c>
      <c r="J460" s="9">
        <f t="shared" si="352"/>
        <v>1</v>
      </c>
      <c r="K460" s="9">
        <f t="shared" si="353"/>
        <v>0</v>
      </c>
      <c r="L460" s="9">
        <f t="shared" si="354"/>
        <v>0.16339999999999577</v>
      </c>
      <c r="M460" s="9">
        <f>data!J460</f>
        <v>-15.8</v>
      </c>
      <c r="N460" s="9">
        <f>data!I460</f>
        <v>-57</v>
      </c>
      <c r="O460" s="9">
        <f>data!L460</f>
        <v>-66.400000000000006</v>
      </c>
      <c r="P460" s="9">
        <f>data!K460</f>
        <v>-37.799999999999997</v>
      </c>
      <c r="Q460" s="9">
        <f>data!R460</f>
        <v>-22.5</v>
      </c>
      <c r="R460" s="9">
        <f t="shared" si="355"/>
        <v>-0.5</v>
      </c>
      <c r="S460" s="9">
        <f t="shared" si="356"/>
        <v>-1.3000000000000007</v>
      </c>
      <c r="T460" s="9">
        <f t="shared" si="357"/>
        <v>-1.1999999999999993</v>
      </c>
      <c r="U460" s="9">
        <f t="shared" si="358"/>
        <v>-0.5</v>
      </c>
      <c r="V460" s="9">
        <f t="shared" si="359"/>
        <v>1.2000000000000011</v>
      </c>
      <c r="W460" s="9">
        <f t="shared" si="360"/>
        <v>0.40000000000000036</v>
      </c>
      <c r="X460" s="9">
        <f t="shared" si="361"/>
        <v>0.45000000000000107</v>
      </c>
      <c r="Y460" s="9">
        <f t="shared" si="362"/>
        <v>1.3000000000000007</v>
      </c>
      <c r="Z460" s="9">
        <f t="shared" si="363"/>
        <v>2.9000000000000004</v>
      </c>
      <c r="AA460" s="9">
        <f t="shared" si="364"/>
        <v>2</v>
      </c>
      <c r="AB460" s="9">
        <f t="shared" si="365"/>
        <v>-2.4500000000000028</v>
      </c>
      <c r="AC460" s="9">
        <f t="shared" si="366"/>
        <v>-1.5</v>
      </c>
      <c r="AD460" s="9">
        <f t="shared" si="367"/>
        <v>-0.5</v>
      </c>
      <c r="AE460" s="9">
        <f t="shared" si="368"/>
        <v>1</v>
      </c>
      <c r="AF460" s="9">
        <f t="shared" si="369"/>
        <v>1</v>
      </c>
      <c r="AG460" s="9">
        <f t="shared" si="370"/>
        <v>0.70000000000000284</v>
      </c>
      <c r="AH460" s="9">
        <f t="shared" si="371"/>
        <v>0</v>
      </c>
      <c r="AI460" s="9">
        <f t="shared" si="372"/>
        <v>2</v>
      </c>
      <c r="AJ460" s="9">
        <f t="shared" si="373"/>
        <v>2.3500000000000085</v>
      </c>
      <c r="AK460" s="9">
        <f t="shared" si="374"/>
        <v>-0.54999999999999716</v>
      </c>
      <c r="AL460" s="9">
        <f t="shared" si="375"/>
        <v>-0.59999999999999432</v>
      </c>
      <c r="AM460" s="9">
        <f t="shared" si="376"/>
        <v>-1</v>
      </c>
      <c r="AN460" s="9">
        <f t="shared" si="377"/>
        <v>-0.69999999999998863</v>
      </c>
      <c r="AO460" s="9">
        <f t="shared" si="378"/>
        <v>-0.89999999999999147</v>
      </c>
      <c r="AP460" s="9">
        <f t="shared" si="379"/>
        <v>-1.7249999999999943</v>
      </c>
      <c r="AQ460" s="9">
        <f t="shared" si="380"/>
        <v>-2.1999999999999886</v>
      </c>
      <c r="AR460" s="9">
        <f t="shared" si="381"/>
        <v>-0.72499999999999432</v>
      </c>
      <c r="AS460" s="9">
        <f t="shared" si="382"/>
        <v>2.2999999999999972</v>
      </c>
      <c r="AT460" s="9">
        <f t="shared" si="383"/>
        <v>-0.60000000000000142</v>
      </c>
      <c r="AU460" s="9">
        <f t="shared" si="384"/>
        <v>-0.5</v>
      </c>
      <c r="AV460" s="9">
        <f t="shared" si="385"/>
        <v>-0.20000000000000284</v>
      </c>
      <c r="AW460" s="9">
        <f t="shared" si="386"/>
        <v>0.79999999999999716</v>
      </c>
      <c r="AX460" s="9">
        <f t="shared" si="387"/>
        <v>0.79999999999999716</v>
      </c>
      <c r="AY460" s="9">
        <f t="shared" si="388"/>
        <v>0</v>
      </c>
      <c r="AZ460" s="9">
        <f t="shared" si="389"/>
        <v>-0.20000000000000284</v>
      </c>
      <c r="BA460" s="9">
        <f t="shared" si="390"/>
        <v>1.2999999999999972</v>
      </c>
      <c r="BB460" s="9">
        <f t="shared" si="391"/>
        <v>2.3000000000000007</v>
      </c>
      <c r="BC460" s="9">
        <f t="shared" si="392"/>
        <v>-0.10000000000000142</v>
      </c>
      <c r="BD460" s="9">
        <f t="shared" si="393"/>
        <v>-0.5</v>
      </c>
      <c r="BE460" s="9">
        <f t="shared" si="394"/>
        <v>-0.60000000000000142</v>
      </c>
      <c r="BF460" s="9">
        <f t="shared" si="395"/>
        <v>0.39999999999999858</v>
      </c>
      <c r="BG460" s="9">
        <f t="shared" si="396"/>
        <v>0.69999999999999929</v>
      </c>
      <c r="BH460" s="9">
        <f t="shared" si="397"/>
        <v>0.39999999999999858</v>
      </c>
      <c r="BI460" s="9">
        <f t="shared" si="398"/>
        <v>0.10000000000000142</v>
      </c>
      <c r="BJ460" s="9">
        <f t="shared" si="399"/>
        <v>1.5</v>
      </c>
    </row>
    <row r="461" spans="1:62" x14ac:dyDescent="0.2">
      <c r="A461" s="9">
        <f>data!M462-data!M461</f>
        <v>0.99269999999999925</v>
      </c>
      <c r="B461" s="9">
        <f>data!C462-data!C461</f>
        <v>0.1899999999999995</v>
      </c>
      <c r="C461" s="9">
        <f>data!D462-data!D461</f>
        <v>0.41000000000000014</v>
      </c>
      <c r="D461" s="10">
        <f>data!B462-data!B461</f>
        <v>-0.37000000000000011</v>
      </c>
      <c r="E461" s="9">
        <f>data!E461-data!G461</f>
        <v>1.8967999999999998</v>
      </c>
      <c r="F461" s="9">
        <f>(data!E461-data!F461)-(data!G461-data!H461)</f>
        <v>1.6948999999999996</v>
      </c>
      <c r="G461" s="9">
        <f t="shared" si="350"/>
        <v>0.13100000000000023</v>
      </c>
      <c r="H461" s="9">
        <f t="shared" si="351"/>
        <v>0.11680000000000046</v>
      </c>
      <c r="I461" s="9">
        <f>IF(data!M462&gt; 111.81,1,0)</f>
        <v>0</v>
      </c>
      <c r="J461" s="9">
        <f t="shared" si="352"/>
        <v>1</v>
      </c>
      <c r="K461" s="9">
        <f t="shared" si="353"/>
        <v>0</v>
      </c>
      <c r="L461" s="9">
        <f t="shared" si="354"/>
        <v>0.99269999999999925</v>
      </c>
      <c r="M461" s="9">
        <f>data!J461</f>
        <v>-16.3</v>
      </c>
      <c r="N461" s="9">
        <f>data!I461</f>
        <v>-55</v>
      </c>
      <c r="O461" s="9">
        <f>data!L461</f>
        <v>-64.05</v>
      </c>
      <c r="P461" s="9">
        <f>data!K461</f>
        <v>-35.5</v>
      </c>
      <c r="Q461" s="9">
        <f>data!R461</f>
        <v>-20.2</v>
      </c>
      <c r="R461" s="9">
        <f t="shared" si="355"/>
        <v>-0.80000000000000071</v>
      </c>
      <c r="S461" s="9">
        <f t="shared" si="356"/>
        <v>-0.69999999999999929</v>
      </c>
      <c r="T461" s="9">
        <f t="shared" si="357"/>
        <v>0</v>
      </c>
      <c r="U461" s="9">
        <f t="shared" si="358"/>
        <v>1.7000000000000011</v>
      </c>
      <c r="V461" s="9">
        <f t="shared" si="359"/>
        <v>0.90000000000000036</v>
      </c>
      <c r="W461" s="9">
        <f t="shared" si="360"/>
        <v>0.95000000000000107</v>
      </c>
      <c r="X461" s="9">
        <f t="shared" si="361"/>
        <v>1.8000000000000007</v>
      </c>
      <c r="Y461" s="9">
        <f t="shared" si="362"/>
        <v>3.4000000000000004</v>
      </c>
      <c r="Z461" s="9">
        <f t="shared" si="363"/>
        <v>4.09</v>
      </c>
      <c r="AA461" s="9">
        <f t="shared" si="364"/>
        <v>-4.4500000000000028</v>
      </c>
      <c r="AB461" s="9">
        <f t="shared" si="365"/>
        <v>-3.5</v>
      </c>
      <c r="AC461" s="9">
        <f t="shared" si="366"/>
        <v>-2.5</v>
      </c>
      <c r="AD461" s="9">
        <f t="shared" si="367"/>
        <v>-1</v>
      </c>
      <c r="AE461" s="9">
        <f t="shared" si="368"/>
        <v>-1</v>
      </c>
      <c r="AF461" s="9">
        <f t="shared" si="369"/>
        <v>-1.2999999999999972</v>
      </c>
      <c r="AG461" s="9">
        <f t="shared" si="370"/>
        <v>-2</v>
      </c>
      <c r="AH461" s="9">
        <f t="shared" si="371"/>
        <v>0</v>
      </c>
      <c r="AI461" s="9">
        <f t="shared" si="372"/>
        <v>1.75</v>
      </c>
      <c r="AJ461" s="9">
        <f t="shared" si="373"/>
        <v>-2.9000000000000057</v>
      </c>
      <c r="AK461" s="9">
        <f t="shared" si="374"/>
        <v>-2.9500000000000028</v>
      </c>
      <c r="AL461" s="9">
        <f t="shared" si="375"/>
        <v>-3.3500000000000085</v>
      </c>
      <c r="AM461" s="9">
        <f t="shared" si="376"/>
        <v>-3.0499999999999972</v>
      </c>
      <c r="AN461" s="9">
        <f t="shared" si="377"/>
        <v>-3.25</v>
      </c>
      <c r="AO461" s="9">
        <f t="shared" si="378"/>
        <v>-4.0750000000000028</v>
      </c>
      <c r="AP461" s="9">
        <f t="shared" si="379"/>
        <v>-4.5499999999999972</v>
      </c>
      <c r="AQ461" s="9">
        <f t="shared" si="380"/>
        <v>-3.0750000000000028</v>
      </c>
      <c r="AR461" s="9">
        <f t="shared" si="381"/>
        <v>-2.2000000000000028</v>
      </c>
      <c r="AS461" s="9">
        <f t="shared" si="382"/>
        <v>-2.8999999999999986</v>
      </c>
      <c r="AT461" s="9">
        <f t="shared" si="383"/>
        <v>-2.7999999999999972</v>
      </c>
      <c r="AU461" s="9">
        <f t="shared" si="384"/>
        <v>-2.5</v>
      </c>
      <c r="AV461" s="9">
        <f t="shared" si="385"/>
        <v>-1.5</v>
      </c>
      <c r="AW461" s="9">
        <f t="shared" si="386"/>
        <v>-1.5</v>
      </c>
      <c r="AX461" s="9">
        <f t="shared" si="387"/>
        <v>-2.2999999999999972</v>
      </c>
      <c r="AY461" s="9">
        <f t="shared" si="388"/>
        <v>-2.5</v>
      </c>
      <c r="AZ461" s="9">
        <f t="shared" si="389"/>
        <v>-1</v>
      </c>
      <c r="BA461" s="9">
        <f t="shared" si="390"/>
        <v>-1.0499999999999972</v>
      </c>
      <c r="BB461" s="9">
        <f t="shared" si="391"/>
        <v>-2.4000000000000021</v>
      </c>
      <c r="BC461" s="9">
        <f t="shared" si="392"/>
        <v>-2.8000000000000007</v>
      </c>
      <c r="BD461" s="9">
        <f t="shared" si="393"/>
        <v>-2.9000000000000021</v>
      </c>
      <c r="BE461" s="9">
        <f t="shared" si="394"/>
        <v>-1.9000000000000021</v>
      </c>
      <c r="BF461" s="9">
        <f t="shared" si="395"/>
        <v>-1.6000000000000014</v>
      </c>
      <c r="BG461" s="9">
        <f t="shared" si="396"/>
        <v>-1.9000000000000021</v>
      </c>
      <c r="BH461" s="9">
        <f t="shared" si="397"/>
        <v>-2.1999999999999993</v>
      </c>
      <c r="BI461" s="9">
        <f t="shared" si="398"/>
        <v>-0.80000000000000071</v>
      </c>
      <c r="BJ461" s="9">
        <f t="shared" si="399"/>
        <v>-1.0500000000000007</v>
      </c>
    </row>
    <row r="462" spans="1:62" x14ac:dyDescent="0.2">
      <c r="A462" s="9">
        <f>data!M463-data!M462</f>
        <v>0.50690000000000168</v>
      </c>
      <c r="B462" s="9">
        <f>data!C463-data!C462</f>
        <v>-0.37999999999999901</v>
      </c>
      <c r="C462" s="9">
        <f>data!D463-data!D462</f>
        <v>0.26750000000000007</v>
      </c>
      <c r="D462" s="10">
        <f>data!B463-data!B462</f>
        <v>-0.15749999999999975</v>
      </c>
      <c r="E462" s="9">
        <f>data!E462-data!G462</f>
        <v>2.0278</v>
      </c>
      <c r="F462" s="9">
        <f>(data!E462-data!F462)-(data!G462-data!H462)</f>
        <v>1.8117000000000001</v>
      </c>
      <c r="G462" s="9">
        <f t="shared" si="350"/>
        <v>0.13090000000000002</v>
      </c>
      <c r="H462" s="9">
        <f t="shared" si="351"/>
        <v>0.12619999999999987</v>
      </c>
      <c r="I462" s="9">
        <f>IF(data!M463&gt; 111.81,1,0)</f>
        <v>0</v>
      </c>
      <c r="J462" s="9">
        <f t="shared" si="352"/>
        <v>1</v>
      </c>
      <c r="K462" s="9">
        <f t="shared" si="353"/>
        <v>0</v>
      </c>
      <c r="L462" s="9">
        <f t="shared" si="354"/>
        <v>0.50690000000000168</v>
      </c>
      <c r="M462" s="9">
        <f>data!J462</f>
        <v>-17.100000000000001</v>
      </c>
      <c r="N462" s="9">
        <f>data!I462</f>
        <v>-59.45</v>
      </c>
      <c r="O462" s="9">
        <f>data!L462</f>
        <v>-66.95</v>
      </c>
      <c r="P462" s="9">
        <f>data!K462</f>
        <v>-38.4</v>
      </c>
      <c r="Q462" s="9">
        <f>data!R462</f>
        <v>-22.6</v>
      </c>
      <c r="R462" s="9">
        <f t="shared" si="355"/>
        <v>0.10000000000000142</v>
      </c>
      <c r="S462" s="9">
        <f t="shared" si="356"/>
        <v>0.80000000000000071</v>
      </c>
      <c r="T462" s="9">
        <f t="shared" si="357"/>
        <v>2.5000000000000018</v>
      </c>
      <c r="U462" s="9">
        <f t="shared" si="358"/>
        <v>1.7000000000000011</v>
      </c>
      <c r="V462" s="9">
        <f t="shared" si="359"/>
        <v>1.7500000000000018</v>
      </c>
      <c r="W462" s="9">
        <f t="shared" si="360"/>
        <v>2.6000000000000014</v>
      </c>
      <c r="X462" s="9">
        <f t="shared" si="361"/>
        <v>4.2000000000000011</v>
      </c>
      <c r="Y462" s="9">
        <f t="shared" si="362"/>
        <v>4.8900000000000006</v>
      </c>
      <c r="Z462" s="9">
        <f t="shared" si="363"/>
        <v>5.3950000000000014</v>
      </c>
      <c r="AA462" s="9">
        <f t="shared" si="364"/>
        <v>0.95000000000000284</v>
      </c>
      <c r="AB462" s="9">
        <f t="shared" si="365"/>
        <v>1.9500000000000028</v>
      </c>
      <c r="AC462" s="9">
        <f t="shared" si="366"/>
        <v>3.4500000000000028</v>
      </c>
      <c r="AD462" s="9">
        <f t="shared" si="367"/>
        <v>3.4500000000000028</v>
      </c>
      <c r="AE462" s="9">
        <f t="shared" si="368"/>
        <v>3.1500000000000057</v>
      </c>
      <c r="AF462" s="9">
        <f t="shared" si="369"/>
        <v>2.4500000000000028</v>
      </c>
      <c r="AG462" s="9">
        <f t="shared" si="370"/>
        <v>4.4500000000000028</v>
      </c>
      <c r="AH462" s="9">
        <f t="shared" si="371"/>
        <v>6.2000000000000028</v>
      </c>
      <c r="AI462" s="9">
        <f t="shared" si="372"/>
        <v>7.1500000000000057</v>
      </c>
      <c r="AJ462" s="9">
        <f t="shared" si="373"/>
        <v>-4.9999999999997158E-2</v>
      </c>
      <c r="AK462" s="9">
        <f t="shared" si="374"/>
        <v>-0.45000000000000284</v>
      </c>
      <c r="AL462" s="9">
        <f t="shared" si="375"/>
        <v>-0.14999999999999147</v>
      </c>
      <c r="AM462" s="9">
        <f t="shared" si="376"/>
        <v>-0.34999999999999432</v>
      </c>
      <c r="AN462" s="9">
        <f t="shared" si="377"/>
        <v>-1.1749999999999972</v>
      </c>
      <c r="AO462" s="9">
        <f t="shared" si="378"/>
        <v>-1.6499999999999915</v>
      </c>
      <c r="AP462" s="9">
        <f t="shared" si="379"/>
        <v>-0.17499999999999716</v>
      </c>
      <c r="AQ462" s="9">
        <f t="shared" si="380"/>
        <v>0.70000000000000284</v>
      </c>
      <c r="AR462" s="9">
        <f t="shared" si="381"/>
        <v>0.85000000000000853</v>
      </c>
      <c r="AS462" s="9">
        <f t="shared" si="382"/>
        <v>0.10000000000000142</v>
      </c>
      <c r="AT462" s="9">
        <f t="shared" si="383"/>
        <v>0.39999999999999858</v>
      </c>
      <c r="AU462" s="9">
        <f t="shared" si="384"/>
        <v>1.3999999999999986</v>
      </c>
      <c r="AV462" s="9">
        <f t="shared" si="385"/>
        <v>1.3999999999999986</v>
      </c>
      <c r="AW462" s="9">
        <f t="shared" si="386"/>
        <v>0.60000000000000142</v>
      </c>
      <c r="AX462" s="9">
        <f t="shared" si="387"/>
        <v>0.39999999999999858</v>
      </c>
      <c r="AY462" s="9">
        <f t="shared" si="388"/>
        <v>1.8999999999999986</v>
      </c>
      <c r="AZ462" s="9">
        <f t="shared" si="389"/>
        <v>1.8500000000000014</v>
      </c>
      <c r="BA462" s="9">
        <f t="shared" si="390"/>
        <v>1.6000000000000014</v>
      </c>
      <c r="BB462" s="9">
        <f t="shared" si="391"/>
        <v>-0.39999999999999858</v>
      </c>
      <c r="BC462" s="9">
        <f t="shared" si="392"/>
        <v>-0.5</v>
      </c>
      <c r="BD462" s="9">
        <f t="shared" si="393"/>
        <v>0.5</v>
      </c>
      <c r="BE462" s="9">
        <f t="shared" si="394"/>
        <v>0.80000000000000071</v>
      </c>
      <c r="BF462" s="9">
        <f t="shared" si="395"/>
        <v>0.5</v>
      </c>
      <c r="BG462" s="9">
        <f t="shared" si="396"/>
        <v>0.20000000000000284</v>
      </c>
      <c r="BH462" s="9">
        <f t="shared" si="397"/>
        <v>1.6000000000000014</v>
      </c>
      <c r="BI462" s="9">
        <f t="shared" si="398"/>
        <v>1.3500000000000014</v>
      </c>
      <c r="BJ462" s="9">
        <f t="shared" si="399"/>
        <v>1.3500000000000014</v>
      </c>
    </row>
    <row r="463" spans="1:62" x14ac:dyDescent="0.2">
      <c r="A463" s="9">
        <f>data!M464-data!M463</f>
        <v>-0.37650000000000716</v>
      </c>
      <c r="B463" s="9">
        <f>data!C464-data!C463</f>
        <v>-0.71000000000000085</v>
      </c>
      <c r="C463" s="9">
        <f>data!D464-data!D463</f>
        <v>0.34249999999999936</v>
      </c>
      <c r="D463" s="10">
        <f>data!B464-data!B463</f>
        <v>0.22499999999999987</v>
      </c>
      <c r="E463" s="9">
        <f>data!E463-data!G463</f>
        <v>2.1587000000000001</v>
      </c>
      <c r="F463" s="9">
        <f>(data!E463-data!F463)-(data!G463-data!H463)</f>
        <v>1.9379</v>
      </c>
      <c r="G463" s="9">
        <f t="shared" si="350"/>
        <v>-8.4400000000000031E-2</v>
      </c>
      <c r="H463" s="9">
        <f t="shared" si="351"/>
        <v>-6.6799999999999971E-2</v>
      </c>
      <c r="I463" s="9">
        <f>IF(data!M464&gt; 111.81,1,0)</f>
        <v>0</v>
      </c>
      <c r="J463" s="9">
        <f t="shared" si="352"/>
        <v>1</v>
      </c>
      <c r="K463" s="9">
        <f t="shared" si="353"/>
        <v>0</v>
      </c>
      <c r="L463" s="9">
        <f t="shared" si="354"/>
        <v>-0.37650000000000716</v>
      </c>
      <c r="M463" s="9">
        <f>data!J463</f>
        <v>-17</v>
      </c>
      <c r="N463" s="9">
        <f>data!I463</f>
        <v>-58.5</v>
      </c>
      <c r="O463" s="9">
        <f>data!L463</f>
        <v>-67</v>
      </c>
      <c r="P463" s="9">
        <f>data!K463</f>
        <v>-38.299999999999997</v>
      </c>
      <c r="Q463" s="9">
        <f>data!R463</f>
        <v>-23</v>
      </c>
      <c r="R463" s="9">
        <f t="shared" si="355"/>
        <v>0.69999999999999929</v>
      </c>
      <c r="S463" s="9">
        <f t="shared" si="356"/>
        <v>2.4000000000000004</v>
      </c>
      <c r="T463" s="9">
        <f t="shared" si="357"/>
        <v>1.5999999999999996</v>
      </c>
      <c r="U463" s="9">
        <f t="shared" si="358"/>
        <v>1.6500000000000004</v>
      </c>
      <c r="V463" s="9">
        <f t="shared" si="359"/>
        <v>2.5</v>
      </c>
      <c r="W463" s="9">
        <f t="shared" si="360"/>
        <v>4.0999999999999996</v>
      </c>
      <c r="X463" s="9">
        <f t="shared" si="361"/>
        <v>4.7899999999999991</v>
      </c>
      <c r="Y463" s="9">
        <f t="shared" si="362"/>
        <v>5.2949999999999999</v>
      </c>
      <c r="Z463" s="9">
        <f t="shared" si="363"/>
        <v>4.5</v>
      </c>
      <c r="AA463" s="9">
        <f t="shared" si="364"/>
        <v>1</v>
      </c>
      <c r="AB463" s="9">
        <f t="shared" si="365"/>
        <v>2.5</v>
      </c>
      <c r="AC463" s="9">
        <f t="shared" si="366"/>
        <v>2.5</v>
      </c>
      <c r="AD463" s="9">
        <f t="shared" si="367"/>
        <v>2.2000000000000028</v>
      </c>
      <c r="AE463" s="9">
        <f t="shared" si="368"/>
        <v>1.5</v>
      </c>
      <c r="AF463" s="9">
        <f t="shared" si="369"/>
        <v>3.5</v>
      </c>
      <c r="AG463" s="9">
        <f t="shared" si="370"/>
        <v>5.25</v>
      </c>
      <c r="AH463" s="9">
        <f t="shared" si="371"/>
        <v>6.2000000000000028</v>
      </c>
      <c r="AI463" s="9">
        <f t="shared" si="372"/>
        <v>7.3999999999999986</v>
      </c>
      <c r="AJ463" s="9">
        <f t="shared" si="373"/>
        <v>-0.40000000000000568</v>
      </c>
      <c r="AK463" s="9">
        <f t="shared" si="374"/>
        <v>-9.9999999999994316E-2</v>
      </c>
      <c r="AL463" s="9">
        <f t="shared" si="375"/>
        <v>-0.29999999999999716</v>
      </c>
      <c r="AM463" s="9">
        <f t="shared" si="376"/>
        <v>-1.125</v>
      </c>
      <c r="AN463" s="9">
        <f t="shared" si="377"/>
        <v>-1.5999999999999943</v>
      </c>
      <c r="AO463" s="9">
        <f t="shared" si="378"/>
        <v>-0.125</v>
      </c>
      <c r="AP463" s="9">
        <f t="shared" si="379"/>
        <v>0.75</v>
      </c>
      <c r="AQ463" s="9">
        <f t="shared" si="380"/>
        <v>0.90000000000000568</v>
      </c>
      <c r="AR463" s="9">
        <f t="shared" si="381"/>
        <v>1</v>
      </c>
      <c r="AS463" s="9">
        <f t="shared" si="382"/>
        <v>0.29999999999999716</v>
      </c>
      <c r="AT463" s="9">
        <f t="shared" si="383"/>
        <v>1.2999999999999972</v>
      </c>
      <c r="AU463" s="9">
        <f t="shared" si="384"/>
        <v>1.2999999999999972</v>
      </c>
      <c r="AV463" s="9">
        <f t="shared" si="385"/>
        <v>0.5</v>
      </c>
      <c r="AW463" s="9">
        <f t="shared" si="386"/>
        <v>0.29999999999999716</v>
      </c>
      <c r="AX463" s="9">
        <f t="shared" si="387"/>
        <v>1.7999999999999972</v>
      </c>
      <c r="AY463" s="9">
        <f t="shared" si="388"/>
        <v>1.75</v>
      </c>
      <c r="AZ463" s="9">
        <f t="shared" si="389"/>
        <v>1.5</v>
      </c>
      <c r="BA463" s="9">
        <f t="shared" si="390"/>
        <v>0.89999999999999858</v>
      </c>
      <c r="BB463" s="9">
        <f t="shared" si="391"/>
        <v>-0.10000000000000142</v>
      </c>
      <c r="BC463" s="9">
        <f t="shared" si="392"/>
        <v>0.89999999999999858</v>
      </c>
      <c r="BD463" s="9">
        <f t="shared" si="393"/>
        <v>1.1999999999999993</v>
      </c>
      <c r="BE463" s="9">
        <f t="shared" si="394"/>
        <v>0.89999999999999858</v>
      </c>
      <c r="BF463" s="9">
        <f t="shared" si="395"/>
        <v>0.60000000000000142</v>
      </c>
      <c r="BG463" s="9">
        <f t="shared" si="396"/>
        <v>2</v>
      </c>
      <c r="BH463" s="9">
        <f t="shared" si="397"/>
        <v>1.75</v>
      </c>
      <c r="BI463" s="9">
        <f t="shared" si="398"/>
        <v>1.75</v>
      </c>
      <c r="BJ463" s="9">
        <f t="shared" si="399"/>
        <v>1.25</v>
      </c>
    </row>
    <row r="464" spans="1:62" x14ac:dyDescent="0.2">
      <c r="A464" s="9">
        <f>data!M465-data!M464</f>
        <v>0.13439999999999941</v>
      </c>
      <c r="B464" s="9">
        <f>data!C465-data!C464</f>
        <v>7.0000000000000284E-2</v>
      </c>
      <c r="C464" s="9">
        <f>data!D465-data!D464</f>
        <v>7.5000000000001066E-2</v>
      </c>
      <c r="D464" s="10">
        <f>data!B465-data!B464</f>
        <v>-0.34499999999999997</v>
      </c>
      <c r="E464" s="9">
        <f>data!E464-data!G464</f>
        <v>2.0743</v>
      </c>
      <c r="F464" s="9">
        <f>(data!E464-data!F464)-(data!G464-data!H464)</f>
        <v>1.8711</v>
      </c>
      <c r="G464" s="9">
        <f t="shared" si="350"/>
        <v>4.5399999999999885E-2</v>
      </c>
      <c r="H464" s="9">
        <f t="shared" si="351"/>
        <v>6.7200000000000149E-2</v>
      </c>
      <c r="I464" s="9">
        <f>IF(data!M465&gt; 111.81,1,0)</f>
        <v>0</v>
      </c>
      <c r="J464" s="9">
        <f t="shared" si="352"/>
        <v>1</v>
      </c>
      <c r="K464" s="9">
        <f t="shared" si="353"/>
        <v>0</v>
      </c>
      <c r="L464" s="9">
        <f t="shared" si="354"/>
        <v>0.13439999999999941</v>
      </c>
      <c r="M464" s="9">
        <f>data!J464</f>
        <v>-16.3</v>
      </c>
      <c r="N464" s="9">
        <f>data!I464</f>
        <v>-57.5</v>
      </c>
      <c r="O464" s="9">
        <f>data!L464</f>
        <v>-67.400000000000006</v>
      </c>
      <c r="P464" s="9">
        <f>data!K464</f>
        <v>-38</v>
      </c>
      <c r="Q464" s="9">
        <f>data!R464</f>
        <v>-23.1</v>
      </c>
      <c r="R464" s="9">
        <f t="shared" si="355"/>
        <v>1.7000000000000011</v>
      </c>
      <c r="S464" s="9">
        <f t="shared" si="356"/>
        <v>0.90000000000000036</v>
      </c>
      <c r="T464" s="9">
        <f t="shared" si="357"/>
        <v>0.95000000000000107</v>
      </c>
      <c r="U464" s="9">
        <f t="shared" si="358"/>
        <v>1.8000000000000007</v>
      </c>
      <c r="V464" s="9">
        <f t="shared" si="359"/>
        <v>3.4000000000000004</v>
      </c>
      <c r="W464" s="9">
        <f t="shared" si="360"/>
        <v>4.09</v>
      </c>
      <c r="X464" s="9">
        <f t="shared" si="361"/>
        <v>4.5950000000000006</v>
      </c>
      <c r="Y464" s="9">
        <f t="shared" si="362"/>
        <v>3.8000000000000007</v>
      </c>
      <c r="Z464" s="9">
        <f t="shared" si="363"/>
        <v>4.5950000000000006</v>
      </c>
      <c r="AA464" s="9">
        <f t="shared" si="364"/>
        <v>1.5</v>
      </c>
      <c r="AB464" s="9">
        <f t="shared" si="365"/>
        <v>1.5</v>
      </c>
      <c r="AC464" s="9">
        <f t="shared" si="366"/>
        <v>1.2000000000000028</v>
      </c>
      <c r="AD464" s="9">
        <f t="shared" si="367"/>
        <v>0.5</v>
      </c>
      <c r="AE464" s="9">
        <f t="shared" si="368"/>
        <v>2.5</v>
      </c>
      <c r="AF464" s="9">
        <f t="shared" si="369"/>
        <v>4.25</v>
      </c>
      <c r="AG464" s="9">
        <f t="shared" si="370"/>
        <v>5.2000000000000028</v>
      </c>
      <c r="AH464" s="9">
        <f t="shared" si="371"/>
        <v>6.3999999999999986</v>
      </c>
      <c r="AI464" s="9">
        <f t="shared" si="372"/>
        <v>9</v>
      </c>
      <c r="AJ464" s="9">
        <f t="shared" si="373"/>
        <v>0.30000000000001137</v>
      </c>
      <c r="AK464" s="9">
        <f t="shared" si="374"/>
        <v>0.10000000000000853</v>
      </c>
      <c r="AL464" s="9">
        <f t="shared" si="375"/>
        <v>-0.72499999999999432</v>
      </c>
      <c r="AM464" s="9">
        <f t="shared" si="376"/>
        <v>-1.1999999999999886</v>
      </c>
      <c r="AN464" s="9">
        <f t="shared" si="377"/>
        <v>0.27500000000000568</v>
      </c>
      <c r="AO464" s="9">
        <f t="shared" si="378"/>
        <v>1.1500000000000057</v>
      </c>
      <c r="AP464" s="9">
        <f t="shared" si="379"/>
        <v>1.3000000000000114</v>
      </c>
      <c r="AQ464" s="9">
        <f t="shared" si="380"/>
        <v>1.4000000000000057</v>
      </c>
      <c r="AR464" s="9">
        <f t="shared" si="381"/>
        <v>4.9000000000000057</v>
      </c>
      <c r="AS464" s="9">
        <f t="shared" si="382"/>
        <v>1</v>
      </c>
      <c r="AT464" s="9">
        <f t="shared" si="383"/>
        <v>1</v>
      </c>
      <c r="AU464" s="9">
        <f t="shared" si="384"/>
        <v>0.20000000000000284</v>
      </c>
      <c r="AV464" s="9">
        <f t="shared" si="385"/>
        <v>0</v>
      </c>
      <c r="AW464" s="9">
        <f t="shared" si="386"/>
        <v>1.5</v>
      </c>
      <c r="AX464" s="9">
        <f t="shared" si="387"/>
        <v>1.4500000000000028</v>
      </c>
      <c r="AY464" s="9">
        <f t="shared" si="388"/>
        <v>1.2000000000000028</v>
      </c>
      <c r="AZ464" s="9">
        <f t="shared" si="389"/>
        <v>0.60000000000000142</v>
      </c>
      <c r="BA464" s="9">
        <f t="shared" si="390"/>
        <v>1.7000000000000028</v>
      </c>
      <c r="BB464" s="9">
        <f t="shared" si="391"/>
        <v>1</v>
      </c>
      <c r="BC464" s="9">
        <f t="shared" si="392"/>
        <v>1.3000000000000007</v>
      </c>
      <c r="BD464" s="9">
        <f t="shared" si="393"/>
        <v>1</v>
      </c>
      <c r="BE464" s="9">
        <f t="shared" si="394"/>
        <v>0.70000000000000284</v>
      </c>
      <c r="BF464" s="9">
        <f t="shared" si="395"/>
        <v>2.1000000000000014</v>
      </c>
      <c r="BG464" s="9">
        <f t="shared" si="396"/>
        <v>1.8500000000000014</v>
      </c>
      <c r="BH464" s="9">
        <f t="shared" si="397"/>
        <v>1.8500000000000014</v>
      </c>
      <c r="BI464" s="9">
        <f t="shared" si="398"/>
        <v>1.3500000000000014</v>
      </c>
      <c r="BJ464" s="9">
        <f t="shared" si="399"/>
        <v>2.1000000000000014</v>
      </c>
    </row>
    <row r="465" spans="1:62" x14ac:dyDescent="0.2">
      <c r="A465" s="9">
        <f>data!M466-data!M465</f>
        <v>0.20929999999999893</v>
      </c>
      <c r="B465" s="9">
        <f>data!C466-data!C465</f>
        <v>1.4399999999999995</v>
      </c>
      <c r="C465" s="9">
        <f>data!D466-data!D465</f>
        <v>-6.0000000000000497E-2</v>
      </c>
      <c r="D465" s="10">
        <f>data!B466-data!B465</f>
        <v>-1.5000000000000124E-2</v>
      </c>
      <c r="E465" s="9">
        <f>data!E465-data!G465</f>
        <v>2.1196999999999999</v>
      </c>
      <c r="F465" s="9">
        <f>(data!E465-data!F465)-(data!G465-data!H465)</f>
        <v>1.9383000000000001</v>
      </c>
      <c r="G465" s="9">
        <f t="shared" si="350"/>
        <v>2.4799999999999933E-2</v>
      </c>
      <c r="H465" s="9">
        <f t="shared" si="351"/>
        <v>8.799999999999697E-3</v>
      </c>
      <c r="I465" s="9">
        <f>IF(data!M466&gt; 111.81,1,0)</f>
        <v>0</v>
      </c>
      <c r="J465" s="9">
        <f t="shared" si="352"/>
        <v>1</v>
      </c>
      <c r="K465" s="9">
        <f t="shared" si="353"/>
        <v>0</v>
      </c>
      <c r="L465" s="9">
        <f t="shared" si="354"/>
        <v>0.20929999999999893</v>
      </c>
      <c r="M465" s="9">
        <f>data!J465</f>
        <v>-14.6</v>
      </c>
      <c r="N465" s="9">
        <f>data!I465</f>
        <v>-56</v>
      </c>
      <c r="O465" s="9">
        <f>data!L465</f>
        <v>-67.099999999999994</v>
      </c>
      <c r="P465" s="9">
        <f>data!K465</f>
        <v>-37</v>
      </c>
      <c r="Q465" s="9">
        <f>data!R465</f>
        <v>-22.1</v>
      </c>
      <c r="R465" s="9">
        <f t="shared" si="355"/>
        <v>-0.80000000000000071</v>
      </c>
      <c r="S465" s="9">
        <f t="shared" si="356"/>
        <v>-0.75</v>
      </c>
      <c r="T465" s="9">
        <f t="shared" si="357"/>
        <v>9.9999999999999645E-2</v>
      </c>
      <c r="U465" s="9">
        <f t="shared" si="358"/>
        <v>1.6999999999999993</v>
      </c>
      <c r="V465" s="9">
        <f t="shared" si="359"/>
        <v>2.3899999999999988</v>
      </c>
      <c r="W465" s="9">
        <f t="shared" si="360"/>
        <v>2.8949999999999996</v>
      </c>
      <c r="X465" s="9">
        <f t="shared" si="361"/>
        <v>2.0999999999999996</v>
      </c>
      <c r="Y465" s="9">
        <f t="shared" si="362"/>
        <v>2.8949999999999996</v>
      </c>
      <c r="Z465" s="9">
        <f t="shared" si="363"/>
        <v>-1.9000000000000004</v>
      </c>
      <c r="AA465" s="9">
        <f t="shared" si="364"/>
        <v>0</v>
      </c>
      <c r="AB465" s="9">
        <f t="shared" si="365"/>
        <v>-0.29999999999999716</v>
      </c>
      <c r="AC465" s="9">
        <f t="shared" si="366"/>
        <v>-1</v>
      </c>
      <c r="AD465" s="9">
        <f t="shared" si="367"/>
        <v>1</v>
      </c>
      <c r="AE465" s="9">
        <f t="shared" si="368"/>
        <v>2.75</v>
      </c>
      <c r="AF465" s="9">
        <f t="shared" si="369"/>
        <v>3.7000000000000028</v>
      </c>
      <c r="AG465" s="9">
        <f t="shared" si="370"/>
        <v>4.8999999999999986</v>
      </c>
      <c r="AH465" s="9">
        <f t="shared" si="371"/>
        <v>7.5</v>
      </c>
      <c r="AI465" s="9">
        <f t="shared" si="372"/>
        <v>4.7999999999999972</v>
      </c>
      <c r="AJ465" s="9">
        <f t="shared" si="373"/>
        <v>-0.20000000000000284</v>
      </c>
      <c r="AK465" s="9">
        <f t="shared" si="374"/>
        <v>-1.0250000000000057</v>
      </c>
      <c r="AL465" s="9">
        <f t="shared" si="375"/>
        <v>-1.5</v>
      </c>
      <c r="AM465" s="9">
        <f t="shared" si="376"/>
        <v>-2.5000000000005684E-2</v>
      </c>
      <c r="AN465" s="9">
        <f t="shared" si="377"/>
        <v>0.84999999999999432</v>
      </c>
      <c r="AO465" s="9">
        <f t="shared" si="378"/>
        <v>1</v>
      </c>
      <c r="AP465" s="9">
        <f t="shared" si="379"/>
        <v>1.0999999999999943</v>
      </c>
      <c r="AQ465" s="9">
        <f t="shared" si="380"/>
        <v>4.5999999999999943</v>
      </c>
      <c r="AR465" s="9">
        <f t="shared" si="381"/>
        <v>4.0499999999999972</v>
      </c>
      <c r="AS465" s="9">
        <f t="shared" si="382"/>
        <v>0</v>
      </c>
      <c r="AT465" s="9">
        <f t="shared" si="383"/>
        <v>-0.79999999999999716</v>
      </c>
      <c r="AU465" s="9">
        <f t="shared" si="384"/>
        <v>-1</v>
      </c>
      <c r="AV465" s="9">
        <f t="shared" si="385"/>
        <v>0.5</v>
      </c>
      <c r="AW465" s="9">
        <f t="shared" si="386"/>
        <v>0.45000000000000284</v>
      </c>
      <c r="AX465" s="9">
        <f t="shared" si="387"/>
        <v>0.20000000000000284</v>
      </c>
      <c r="AY465" s="9">
        <f t="shared" si="388"/>
        <v>-0.39999999999999858</v>
      </c>
      <c r="AZ465" s="9">
        <f t="shared" si="389"/>
        <v>0.70000000000000284</v>
      </c>
      <c r="BA465" s="9">
        <f t="shared" si="390"/>
        <v>-2</v>
      </c>
      <c r="BB465" s="9">
        <f t="shared" si="391"/>
        <v>0.30000000000000071</v>
      </c>
      <c r="BC465" s="9">
        <f t="shared" si="392"/>
        <v>0</v>
      </c>
      <c r="BD465" s="9">
        <f t="shared" si="393"/>
        <v>-0.29999999999999716</v>
      </c>
      <c r="BE465" s="9">
        <f t="shared" si="394"/>
        <v>1.1000000000000014</v>
      </c>
      <c r="BF465" s="9">
        <f t="shared" si="395"/>
        <v>0.85000000000000142</v>
      </c>
      <c r="BG465" s="9">
        <f t="shared" si="396"/>
        <v>0.85000000000000142</v>
      </c>
      <c r="BH465" s="9">
        <f t="shared" si="397"/>
        <v>0.35000000000000142</v>
      </c>
      <c r="BI465" s="9">
        <f t="shared" si="398"/>
        <v>1.1000000000000014</v>
      </c>
      <c r="BJ465" s="9">
        <f t="shared" si="399"/>
        <v>-1.6999999999999993</v>
      </c>
    </row>
    <row r="466" spans="1:62" x14ac:dyDescent="0.2">
      <c r="A466" s="9">
        <f>data!M467-data!M466</f>
        <v>-0.22459999999999525</v>
      </c>
      <c r="B466" s="9">
        <f>data!C467-data!C466</f>
        <v>8.9999999999999858E-2</v>
      </c>
      <c r="C466" s="9">
        <f>data!D467-data!D466</f>
        <v>0.15499999999999936</v>
      </c>
      <c r="D466" s="10">
        <f>data!B467-data!B466</f>
        <v>-1.2499999999999734E-2</v>
      </c>
      <c r="E466" s="9">
        <f>data!E466-data!G466</f>
        <v>2.1444999999999999</v>
      </c>
      <c r="F466" s="9">
        <f>(data!E466-data!F466)-(data!G466-data!H466)</f>
        <v>1.9470999999999998</v>
      </c>
      <c r="G466" s="9">
        <f t="shared" si="350"/>
        <v>4.7800000000000509E-2</v>
      </c>
      <c r="H466" s="9">
        <f t="shared" si="351"/>
        <v>2.4600000000000177E-2</v>
      </c>
      <c r="I466" s="9">
        <f>IF(data!M467&gt; 111.81,1,0)</f>
        <v>0</v>
      </c>
      <c r="J466" s="9">
        <f t="shared" si="352"/>
        <v>1</v>
      </c>
      <c r="K466" s="9">
        <f t="shared" si="353"/>
        <v>0</v>
      </c>
      <c r="L466" s="9">
        <f t="shared" si="354"/>
        <v>-0.22459999999999525</v>
      </c>
      <c r="M466" s="9">
        <f>data!J466</f>
        <v>-15.4</v>
      </c>
      <c r="N466" s="9">
        <f>data!I466</f>
        <v>-56</v>
      </c>
      <c r="O466" s="9">
        <f>data!L466</f>
        <v>-67.3</v>
      </c>
      <c r="P466" s="9">
        <f>data!K466</f>
        <v>-37</v>
      </c>
      <c r="Q466" s="9">
        <f>data!R466</f>
        <v>-21.8</v>
      </c>
      <c r="R466" s="9">
        <f t="shared" si="355"/>
        <v>5.0000000000000711E-2</v>
      </c>
      <c r="S466" s="9">
        <f t="shared" si="356"/>
        <v>0.90000000000000036</v>
      </c>
      <c r="T466" s="9">
        <f t="shared" si="357"/>
        <v>2.5</v>
      </c>
      <c r="U466" s="9">
        <f t="shared" si="358"/>
        <v>3.1899999999999995</v>
      </c>
      <c r="V466" s="9">
        <f t="shared" si="359"/>
        <v>3.6950000000000003</v>
      </c>
      <c r="W466" s="9">
        <f t="shared" si="360"/>
        <v>2.9000000000000004</v>
      </c>
      <c r="X466" s="9">
        <f t="shared" si="361"/>
        <v>3.6950000000000003</v>
      </c>
      <c r="Y466" s="9">
        <f t="shared" si="362"/>
        <v>-1.0999999999999996</v>
      </c>
      <c r="Z466" s="9">
        <f t="shared" si="363"/>
        <v>-0.44500000000000028</v>
      </c>
      <c r="AA466" s="9">
        <f t="shared" si="364"/>
        <v>-0.29999999999999716</v>
      </c>
      <c r="AB466" s="9">
        <f t="shared" si="365"/>
        <v>-1</v>
      </c>
      <c r="AC466" s="9">
        <f t="shared" si="366"/>
        <v>1</v>
      </c>
      <c r="AD466" s="9">
        <f t="shared" si="367"/>
        <v>2.75</v>
      </c>
      <c r="AE466" s="9">
        <f t="shared" si="368"/>
        <v>3.7000000000000028</v>
      </c>
      <c r="AF466" s="9">
        <f t="shared" si="369"/>
        <v>4.8999999999999986</v>
      </c>
      <c r="AG466" s="9">
        <f t="shared" si="370"/>
        <v>7.5</v>
      </c>
      <c r="AH466" s="9">
        <f t="shared" si="371"/>
        <v>4.7999999999999972</v>
      </c>
      <c r="AI466" s="9">
        <f t="shared" si="372"/>
        <v>4.2000000000000028</v>
      </c>
      <c r="AJ466" s="9">
        <f t="shared" si="373"/>
        <v>-0.82500000000000284</v>
      </c>
      <c r="AK466" s="9">
        <f t="shared" si="374"/>
        <v>-1.2999999999999972</v>
      </c>
      <c r="AL466" s="9">
        <f t="shared" si="375"/>
        <v>0.17499999999999716</v>
      </c>
      <c r="AM466" s="9">
        <f t="shared" si="376"/>
        <v>1.0499999999999972</v>
      </c>
      <c r="AN466" s="9">
        <f t="shared" si="377"/>
        <v>1.2000000000000028</v>
      </c>
      <c r="AO466" s="9">
        <f t="shared" si="378"/>
        <v>1.2999999999999972</v>
      </c>
      <c r="AP466" s="9">
        <f t="shared" si="379"/>
        <v>4.7999999999999972</v>
      </c>
      <c r="AQ466" s="9">
        <f t="shared" si="380"/>
        <v>4.25</v>
      </c>
      <c r="AR466" s="9">
        <f t="shared" si="381"/>
        <v>4.5</v>
      </c>
      <c r="AS466" s="9">
        <f t="shared" si="382"/>
        <v>-0.79999999999999716</v>
      </c>
      <c r="AT466" s="9">
        <f t="shared" si="383"/>
        <v>-1</v>
      </c>
      <c r="AU466" s="9">
        <f t="shared" si="384"/>
        <v>0.5</v>
      </c>
      <c r="AV466" s="9">
        <f t="shared" si="385"/>
        <v>0.45000000000000284</v>
      </c>
      <c r="AW466" s="9">
        <f t="shared" si="386"/>
        <v>0.20000000000000284</v>
      </c>
      <c r="AX466" s="9">
        <f t="shared" si="387"/>
        <v>-0.39999999999999858</v>
      </c>
      <c r="AY466" s="9">
        <f t="shared" si="388"/>
        <v>0.70000000000000284</v>
      </c>
      <c r="AZ466" s="9">
        <f t="shared" si="389"/>
        <v>-2</v>
      </c>
      <c r="BA466" s="9">
        <f t="shared" si="390"/>
        <v>-4</v>
      </c>
      <c r="BB466" s="9">
        <f t="shared" si="391"/>
        <v>-0.30000000000000071</v>
      </c>
      <c r="BC466" s="9">
        <f t="shared" si="392"/>
        <v>-0.59999999999999787</v>
      </c>
      <c r="BD466" s="9">
        <f t="shared" si="393"/>
        <v>0.80000000000000071</v>
      </c>
      <c r="BE466" s="9">
        <f t="shared" si="394"/>
        <v>0.55000000000000071</v>
      </c>
      <c r="BF466" s="9">
        <f t="shared" si="395"/>
        <v>0.55000000000000071</v>
      </c>
      <c r="BG466" s="9">
        <f t="shared" si="396"/>
        <v>5.0000000000000711E-2</v>
      </c>
      <c r="BH466" s="9">
        <f t="shared" si="397"/>
        <v>0.80000000000000071</v>
      </c>
      <c r="BI466" s="9">
        <f t="shared" si="398"/>
        <v>-2</v>
      </c>
      <c r="BJ466" s="9">
        <f t="shared" si="399"/>
        <v>-4.0999999999999979</v>
      </c>
    </row>
    <row r="467" spans="1:62" x14ac:dyDescent="0.2">
      <c r="A467" s="9">
        <f>data!M468-data!M467</f>
        <v>-4.769999999999186E-2</v>
      </c>
      <c r="B467" s="9">
        <f>data!C468-data!C467</f>
        <v>1.9700000000000006</v>
      </c>
      <c r="C467" s="9">
        <f>data!D468-data!D467</f>
        <v>0.42500000000000071</v>
      </c>
      <c r="D467" s="10">
        <f>data!B468-data!B467</f>
        <v>-0.10750000000000037</v>
      </c>
      <c r="E467" s="9">
        <f>data!E467-data!G467</f>
        <v>2.1923000000000004</v>
      </c>
      <c r="F467" s="9">
        <f>(data!E467-data!F467)-(data!G467-data!H467)</f>
        <v>1.9717</v>
      </c>
      <c r="G467" s="9">
        <f t="shared" si="350"/>
        <v>-1.8700000000000383E-2</v>
      </c>
      <c r="H467" s="9">
        <f t="shared" si="351"/>
        <v>-2.9299999999999882E-2</v>
      </c>
      <c r="I467" s="9">
        <f>IF(data!M468&gt; 111.81,1,0)</f>
        <v>0</v>
      </c>
      <c r="J467" s="9">
        <f t="shared" si="352"/>
        <v>1</v>
      </c>
      <c r="K467" s="9">
        <f t="shared" si="353"/>
        <v>0</v>
      </c>
      <c r="L467" s="9">
        <f t="shared" si="354"/>
        <v>-4.769999999999186E-2</v>
      </c>
      <c r="M467" s="9">
        <f>data!J467</f>
        <v>-15.35</v>
      </c>
      <c r="N467" s="9">
        <f>data!I467</f>
        <v>-56.3</v>
      </c>
      <c r="O467" s="9">
        <f>data!L467</f>
        <v>-68.125</v>
      </c>
      <c r="P467" s="9">
        <f>data!K467</f>
        <v>-37.799999999999997</v>
      </c>
      <c r="Q467" s="9">
        <f>data!R467</f>
        <v>-22.1</v>
      </c>
      <c r="R467" s="9">
        <f t="shared" si="355"/>
        <v>0.84999999999999964</v>
      </c>
      <c r="S467" s="9">
        <f t="shared" si="356"/>
        <v>2.4499999999999993</v>
      </c>
      <c r="T467" s="9">
        <f t="shared" si="357"/>
        <v>3.1399999999999988</v>
      </c>
      <c r="U467" s="9">
        <f t="shared" si="358"/>
        <v>3.6449999999999996</v>
      </c>
      <c r="V467" s="9">
        <f t="shared" si="359"/>
        <v>2.8499999999999996</v>
      </c>
      <c r="W467" s="9">
        <f t="shared" si="360"/>
        <v>3.6449999999999996</v>
      </c>
      <c r="X467" s="9">
        <f t="shared" si="361"/>
        <v>-1.1500000000000004</v>
      </c>
      <c r="Y467" s="9">
        <f t="shared" si="362"/>
        <v>-0.49500000000000099</v>
      </c>
      <c r="Z467" s="9">
        <f t="shared" si="363"/>
        <v>-0.64499999999999957</v>
      </c>
      <c r="AA467" s="9">
        <f t="shared" si="364"/>
        <v>-0.70000000000000284</v>
      </c>
      <c r="AB467" s="9">
        <f t="shared" si="365"/>
        <v>1.2999999999999972</v>
      </c>
      <c r="AC467" s="9">
        <f t="shared" si="366"/>
        <v>3.0499999999999972</v>
      </c>
      <c r="AD467" s="9">
        <f t="shared" si="367"/>
        <v>4</v>
      </c>
      <c r="AE467" s="9">
        <f t="shared" si="368"/>
        <v>5.1999999999999957</v>
      </c>
      <c r="AF467" s="9">
        <f t="shared" si="369"/>
        <v>7.7999999999999972</v>
      </c>
      <c r="AG467" s="9">
        <f t="shared" si="370"/>
        <v>5.0999999999999943</v>
      </c>
      <c r="AH467" s="9">
        <f t="shared" si="371"/>
        <v>4.5</v>
      </c>
      <c r="AI467" s="9">
        <f t="shared" si="372"/>
        <v>5</v>
      </c>
      <c r="AJ467" s="9">
        <f t="shared" si="373"/>
        <v>-0.47499999999999432</v>
      </c>
      <c r="AK467" s="9">
        <f t="shared" si="374"/>
        <v>1</v>
      </c>
      <c r="AL467" s="9">
        <f t="shared" si="375"/>
        <v>1.875</v>
      </c>
      <c r="AM467" s="9">
        <f t="shared" si="376"/>
        <v>2.0250000000000057</v>
      </c>
      <c r="AN467" s="9">
        <f t="shared" si="377"/>
        <v>2.125</v>
      </c>
      <c r="AO467" s="9">
        <f t="shared" si="378"/>
        <v>5.625</v>
      </c>
      <c r="AP467" s="9">
        <f t="shared" si="379"/>
        <v>5.0750000000000028</v>
      </c>
      <c r="AQ467" s="9">
        <f t="shared" si="380"/>
        <v>5.3250000000000028</v>
      </c>
      <c r="AR467" s="9">
        <f t="shared" si="381"/>
        <v>6.2250000000000014</v>
      </c>
      <c r="AS467" s="9">
        <f t="shared" si="382"/>
        <v>-0.20000000000000284</v>
      </c>
      <c r="AT467" s="9">
        <f t="shared" si="383"/>
        <v>1.2999999999999972</v>
      </c>
      <c r="AU467" s="9">
        <f t="shared" si="384"/>
        <v>1.25</v>
      </c>
      <c r="AV467" s="9">
        <f t="shared" si="385"/>
        <v>1</v>
      </c>
      <c r="AW467" s="9">
        <f t="shared" si="386"/>
        <v>0.39999999999999858</v>
      </c>
      <c r="AX467" s="9">
        <f t="shared" si="387"/>
        <v>1.5</v>
      </c>
      <c r="AY467" s="9">
        <f t="shared" si="388"/>
        <v>-1.2000000000000028</v>
      </c>
      <c r="AZ467" s="9">
        <f t="shared" si="389"/>
        <v>-3.2000000000000028</v>
      </c>
      <c r="BA467" s="9">
        <f t="shared" si="390"/>
        <v>-4.1000000000000014</v>
      </c>
      <c r="BB467" s="9">
        <f t="shared" si="391"/>
        <v>-0.29999999999999716</v>
      </c>
      <c r="BC467" s="9">
        <f t="shared" si="392"/>
        <v>1.1000000000000014</v>
      </c>
      <c r="BD467" s="9">
        <f t="shared" si="393"/>
        <v>0.85000000000000142</v>
      </c>
      <c r="BE467" s="9">
        <f t="shared" si="394"/>
        <v>0.85000000000000142</v>
      </c>
      <c r="BF467" s="9">
        <f t="shared" si="395"/>
        <v>0.35000000000000142</v>
      </c>
      <c r="BG467" s="9">
        <f t="shared" si="396"/>
        <v>1.1000000000000014</v>
      </c>
      <c r="BH467" s="9">
        <f t="shared" si="397"/>
        <v>-1.6999999999999993</v>
      </c>
      <c r="BI467" s="9">
        <f t="shared" si="398"/>
        <v>-3.7999999999999972</v>
      </c>
      <c r="BJ467" s="9">
        <f t="shared" si="399"/>
        <v>-5.3499999999999979</v>
      </c>
    </row>
    <row r="468" spans="1:62" x14ac:dyDescent="0.2">
      <c r="A468" s="9">
        <f>data!M469-data!M468</f>
        <v>0.36430000000000007</v>
      </c>
      <c r="B468" s="9">
        <f>data!C469-data!C468</f>
        <v>-1.9700000000000006</v>
      </c>
      <c r="C468" s="9">
        <f>data!D469-data!D468</f>
        <v>-0.48499999999999943</v>
      </c>
      <c r="D468" s="10">
        <f>data!B469-data!B468</f>
        <v>0.50250000000000017</v>
      </c>
      <c r="E468" s="9">
        <f>data!E468-data!G468</f>
        <v>2.1736</v>
      </c>
      <c r="F468" s="9">
        <f>(data!E468-data!F468)-(data!G468-data!H468)</f>
        <v>1.9424000000000001</v>
      </c>
      <c r="G468" s="9">
        <f t="shared" si="350"/>
        <v>3.8999999999999702E-2</v>
      </c>
      <c r="H468" s="9">
        <f t="shared" si="351"/>
        <v>-1.6400000000000414E-2</v>
      </c>
      <c r="I468" s="9">
        <f>IF(data!M469&gt; 111.81,1,0)</f>
        <v>0</v>
      </c>
      <c r="J468" s="9">
        <f t="shared" si="352"/>
        <v>1</v>
      </c>
      <c r="K468" s="9">
        <f t="shared" si="353"/>
        <v>0</v>
      </c>
      <c r="L468" s="9">
        <f t="shared" si="354"/>
        <v>0.36430000000000007</v>
      </c>
      <c r="M468" s="9">
        <f>data!J468</f>
        <v>-14.5</v>
      </c>
      <c r="N468" s="9">
        <f>data!I468</f>
        <v>-57</v>
      </c>
      <c r="O468" s="9">
        <f>data!L468</f>
        <v>-68.599999999999994</v>
      </c>
      <c r="P468" s="9">
        <f>data!K468</f>
        <v>-38</v>
      </c>
      <c r="Q468" s="9">
        <f>data!R468</f>
        <v>-22.4</v>
      </c>
      <c r="R468" s="9">
        <f t="shared" si="355"/>
        <v>1.5999999999999996</v>
      </c>
      <c r="S468" s="9">
        <f t="shared" si="356"/>
        <v>2.2899999999999991</v>
      </c>
      <c r="T468" s="9">
        <f t="shared" si="357"/>
        <v>2.7949999999999999</v>
      </c>
      <c r="U468" s="9">
        <f t="shared" si="358"/>
        <v>2</v>
      </c>
      <c r="V468" s="9">
        <f t="shared" si="359"/>
        <v>2.7949999999999999</v>
      </c>
      <c r="W468" s="9">
        <f t="shared" si="360"/>
        <v>-2</v>
      </c>
      <c r="X468" s="9">
        <f t="shared" si="361"/>
        <v>-1.3450000000000006</v>
      </c>
      <c r="Y468" s="9">
        <f t="shared" si="362"/>
        <v>-1.4949999999999992</v>
      </c>
      <c r="Z468" s="9">
        <f t="shared" si="363"/>
        <v>-0.5</v>
      </c>
      <c r="AA468" s="9">
        <f t="shared" si="364"/>
        <v>2</v>
      </c>
      <c r="AB468" s="9">
        <f t="shared" si="365"/>
        <v>3.75</v>
      </c>
      <c r="AC468" s="9">
        <f t="shared" si="366"/>
        <v>4.7000000000000028</v>
      </c>
      <c r="AD468" s="9">
        <f t="shared" si="367"/>
        <v>5.8999999999999986</v>
      </c>
      <c r="AE468" s="9">
        <f t="shared" si="368"/>
        <v>8.5</v>
      </c>
      <c r="AF468" s="9">
        <f t="shared" si="369"/>
        <v>5.7999999999999972</v>
      </c>
      <c r="AG468" s="9">
        <f t="shared" si="370"/>
        <v>5.2000000000000028</v>
      </c>
      <c r="AH468" s="9">
        <f t="shared" si="371"/>
        <v>5.7000000000000028</v>
      </c>
      <c r="AI468" s="9">
        <f t="shared" si="372"/>
        <v>7.5</v>
      </c>
      <c r="AJ468" s="9">
        <f t="shared" si="373"/>
        <v>1.4749999999999943</v>
      </c>
      <c r="AK468" s="9">
        <f t="shared" si="374"/>
        <v>2.3499999999999943</v>
      </c>
      <c r="AL468" s="9">
        <f t="shared" si="375"/>
        <v>2.5</v>
      </c>
      <c r="AM468" s="9">
        <f t="shared" si="376"/>
        <v>2.5999999999999943</v>
      </c>
      <c r="AN468" s="9">
        <f t="shared" si="377"/>
        <v>6.0999999999999943</v>
      </c>
      <c r="AO468" s="9">
        <f t="shared" si="378"/>
        <v>5.5499999999999972</v>
      </c>
      <c r="AP468" s="9">
        <f t="shared" si="379"/>
        <v>5.7999999999999972</v>
      </c>
      <c r="AQ468" s="9">
        <f t="shared" si="380"/>
        <v>6.6999999999999957</v>
      </c>
      <c r="AR468" s="9">
        <f t="shared" si="381"/>
        <v>8.5999999999999943</v>
      </c>
      <c r="AS468" s="9">
        <f t="shared" si="382"/>
        <v>1.5</v>
      </c>
      <c r="AT468" s="9">
        <f t="shared" si="383"/>
        <v>1.4500000000000028</v>
      </c>
      <c r="AU468" s="9">
        <f t="shared" si="384"/>
        <v>1.2000000000000028</v>
      </c>
      <c r="AV468" s="9">
        <f t="shared" si="385"/>
        <v>0.60000000000000142</v>
      </c>
      <c r="AW468" s="9">
        <f t="shared" si="386"/>
        <v>1.7000000000000028</v>
      </c>
      <c r="AX468" s="9">
        <f t="shared" si="387"/>
        <v>-1</v>
      </c>
      <c r="AY468" s="9">
        <f t="shared" si="388"/>
        <v>-3</v>
      </c>
      <c r="AZ468" s="9">
        <f t="shared" si="389"/>
        <v>-3.8999999999999986</v>
      </c>
      <c r="BA468" s="9">
        <f t="shared" si="390"/>
        <v>-3.5</v>
      </c>
      <c r="BB468" s="9">
        <f t="shared" si="391"/>
        <v>1.3999999999999986</v>
      </c>
      <c r="BC468" s="9">
        <f t="shared" si="392"/>
        <v>1.1499999999999986</v>
      </c>
      <c r="BD468" s="9">
        <f t="shared" si="393"/>
        <v>1.1499999999999986</v>
      </c>
      <c r="BE468" s="9">
        <f t="shared" si="394"/>
        <v>0.64999999999999858</v>
      </c>
      <c r="BF468" s="9">
        <f t="shared" si="395"/>
        <v>1.3999999999999986</v>
      </c>
      <c r="BG468" s="9">
        <f t="shared" si="396"/>
        <v>-1.4000000000000021</v>
      </c>
      <c r="BH468" s="9">
        <f t="shared" si="397"/>
        <v>-3.5</v>
      </c>
      <c r="BI468" s="9">
        <f t="shared" si="398"/>
        <v>-5.0500000000000007</v>
      </c>
      <c r="BJ468" s="9">
        <f t="shared" si="399"/>
        <v>-4.1000000000000014</v>
      </c>
    </row>
    <row r="469" spans="1:62" x14ac:dyDescent="0.2">
      <c r="A469" s="9">
        <f>data!M470-data!M469</f>
        <v>-1.9300000000001205E-2</v>
      </c>
      <c r="B469" s="9">
        <f>data!C470-data!C469</f>
        <v>-1.3299999999999983</v>
      </c>
      <c r="C469" s="9">
        <f>data!D470-data!D469</f>
        <v>0.30499999999999972</v>
      </c>
      <c r="D469" s="10">
        <f>data!B470-data!B469</f>
        <v>0.17749999999999999</v>
      </c>
      <c r="E469" s="9">
        <f>data!E469-data!G469</f>
        <v>2.2125999999999997</v>
      </c>
      <c r="F469" s="9">
        <f>(data!E469-data!F469)-(data!G469-data!H469)</f>
        <v>1.9259999999999997</v>
      </c>
      <c r="G469" s="9">
        <f t="shared" si="350"/>
        <v>8.7400000000000144E-2</v>
      </c>
      <c r="H469" s="9">
        <f t="shared" si="351"/>
        <v>7.160000000000033E-2</v>
      </c>
      <c r="I469" s="9">
        <f>IF(data!M470&gt; 111.81,1,0)</f>
        <v>0</v>
      </c>
      <c r="J469" s="9">
        <f t="shared" si="352"/>
        <v>1</v>
      </c>
      <c r="K469" s="9">
        <f t="shared" si="353"/>
        <v>0</v>
      </c>
      <c r="L469" s="9">
        <f t="shared" si="354"/>
        <v>-1.9300000000001205E-2</v>
      </c>
      <c r="M469" s="9">
        <f>data!J469</f>
        <v>-12.9</v>
      </c>
      <c r="N469" s="9">
        <f>data!I469</f>
        <v>-55</v>
      </c>
      <c r="O469" s="9">
        <f>data!L469</f>
        <v>-67.125</v>
      </c>
      <c r="P469" s="9">
        <f>data!K469</f>
        <v>-36.5</v>
      </c>
      <c r="Q469" s="9">
        <f>data!R469</f>
        <v>-21</v>
      </c>
      <c r="R469" s="9">
        <f t="shared" si="355"/>
        <v>0.6899999999999995</v>
      </c>
      <c r="S469" s="9">
        <f t="shared" si="356"/>
        <v>1.1950000000000003</v>
      </c>
      <c r="T469" s="9">
        <f t="shared" si="357"/>
        <v>0.40000000000000036</v>
      </c>
      <c r="U469" s="9">
        <f t="shared" si="358"/>
        <v>1.1950000000000003</v>
      </c>
      <c r="V469" s="9">
        <f t="shared" si="359"/>
        <v>-3.5999999999999996</v>
      </c>
      <c r="W469" s="9">
        <f t="shared" si="360"/>
        <v>-2.9450000000000003</v>
      </c>
      <c r="X469" s="9">
        <f t="shared" si="361"/>
        <v>-3.0949999999999989</v>
      </c>
      <c r="Y469" s="9">
        <f t="shared" si="362"/>
        <v>-2.0999999999999996</v>
      </c>
      <c r="Z469" s="9">
        <f t="shared" si="363"/>
        <v>-1.9000000000000004</v>
      </c>
      <c r="AA469" s="9">
        <f t="shared" si="364"/>
        <v>1.75</v>
      </c>
      <c r="AB469" s="9">
        <f t="shared" si="365"/>
        <v>2.7000000000000028</v>
      </c>
      <c r="AC469" s="9">
        <f t="shared" si="366"/>
        <v>3.8999999999999986</v>
      </c>
      <c r="AD469" s="9">
        <f t="shared" si="367"/>
        <v>6.5</v>
      </c>
      <c r="AE469" s="9">
        <f t="shared" si="368"/>
        <v>3.7999999999999972</v>
      </c>
      <c r="AF469" s="9">
        <f t="shared" si="369"/>
        <v>3.2000000000000028</v>
      </c>
      <c r="AG469" s="9">
        <f t="shared" si="370"/>
        <v>3.7000000000000028</v>
      </c>
      <c r="AH469" s="9">
        <f t="shared" si="371"/>
        <v>5.5</v>
      </c>
      <c r="AI469" s="9">
        <f t="shared" si="372"/>
        <v>6.1000000000000014</v>
      </c>
      <c r="AJ469" s="9">
        <f t="shared" si="373"/>
        <v>0.875</v>
      </c>
      <c r="AK469" s="9">
        <f t="shared" si="374"/>
        <v>1.0250000000000057</v>
      </c>
      <c r="AL469" s="9">
        <f t="shared" si="375"/>
        <v>1.125</v>
      </c>
      <c r="AM469" s="9">
        <f t="shared" si="376"/>
        <v>4.625</v>
      </c>
      <c r="AN469" s="9">
        <f t="shared" si="377"/>
        <v>4.0750000000000028</v>
      </c>
      <c r="AO469" s="9">
        <f t="shared" si="378"/>
        <v>4.3250000000000028</v>
      </c>
      <c r="AP469" s="9">
        <f t="shared" si="379"/>
        <v>5.2250000000000014</v>
      </c>
      <c r="AQ469" s="9">
        <f t="shared" si="380"/>
        <v>7.125</v>
      </c>
      <c r="AR469" s="9">
        <f t="shared" si="381"/>
        <v>8.2250000000000014</v>
      </c>
      <c r="AS469" s="9">
        <f t="shared" si="382"/>
        <v>-4.9999999999997158E-2</v>
      </c>
      <c r="AT469" s="9">
        <f t="shared" si="383"/>
        <v>-0.29999999999999716</v>
      </c>
      <c r="AU469" s="9">
        <f t="shared" si="384"/>
        <v>-0.89999999999999858</v>
      </c>
      <c r="AV469" s="9">
        <f t="shared" si="385"/>
        <v>0.20000000000000284</v>
      </c>
      <c r="AW469" s="9">
        <f t="shared" si="386"/>
        <v>-2.5</v>
      </c>
      <c r="AX469" s="9">
        <f t="shared" si="387"/>
        <v>-4.5</v>
      </c>
      <c r="AY469" s="9">
        <f t="shared" si="388"/>
        <v>-5.3999999999999986</v>
      </c>
      <c r="AZ469" s="9">
        <f t="shared" si="389"/>
        <v>-5</v>
      </c>
      <c r="BA469" s="9">
        <f t="shared" si="390"/>
        <v>-3.5</v>
      </c>
      <c r="BB469" s="9">
        <f t="shared" si="391"/>
        <v>-0.25</v>
      </c>
      <c r="BC469" s="9">
        <f t="shared" si="392"/>
        <v>-0.25</v>
      </c>
      <c r="BD469" s="9">
        <f t="shared" si="393"/>
        <v>-0.75</v>
      </c>
      <c r="BE469" s="9">
        <f t="shared" si="394"/>
        <v>0</v>
      </c>
      <c r="BF469" s="9">
        <f t="shared" si="395"/>
        <v>-2.8000000000000007</v>
      </c>
      <c r="BG469" s="9">
        <f t="shared" si="396"/>
        <v>-4.8999999999999986</v>
      </c>
      <c r="BH469" s="9">
        <f t="shared" si="397"/>
        <v>-6.4499999999999993</v>
      </c>
      <c r="BI469" s="9">
        <f t="shared" si="398"/>
        <v>-5.5</v>
      </c>
      <c r="BJ469" s="9">
        <f t="shared" si="399"/>
        <v>-4.3999999999999986</v>
      </c>
    </row>
    <row r="470" spans="1:62" x14ac:dyDescent="0.2">
      <c r="A470" s="9">
        <f>data!M471-data!M470</f>
        <v>0.15119999999998868</v>
      </c>
      <c r="B470" s="9">
        <f>data!C471-data!C470</f>
        <v>1.2999999999999989</v>
      </c>
      <c r="C470" s="9">
        <f>data!D471-data!D470</f>
        <v>-0.29499999999999993</v>
      </c>
      <c r="D470" s="10">
        <f>data!B471-data!B470</f>
        <v>0.2350000000000001</v>
      </c>
      <c r="E470" s="9">
        <f>data!E470-data!G470</f>
        <v>2.2999999999999998</v>
      </c>
      <c r="F470" s="9">
        <f>(data!E470-data!F470)-(data!G470-data!H470)</f>
        <v>1.9976</v>
      </c>
      <c r="G470" s="9">
        <f t="shared" si="350"/>
        <v>-4.1199999999999903E-2</v>
      </c>
      <c r="H470" s="9">
        <f t="shared" si="351"/>
        <v>-4.6300000000000008E-2</v>
      </c>
      <c r="I470" s="9">
        <f>IF(data!M471&gt; 111.81,1,0)</f>
        <v>0</v>
      </c>
      <c r="J470" s="9">
        <f t="shared" si="352"/>
        <v>1</v>
      </c>
      <c r="K470" s="9">
        <f t="shared" si="353"/>
        <v>0</v>
      </c>
      <c r="L470" s="9">
        <f t="shared" si="354"/>
        <v>0.15119999999998868</v>
      </c>
      <c r="M470" s="9">
        <f>data!J470</f>
        <v>-12.21</v>
      </c>
      <c r="N470" s="9">
        <f>data!I470</f>
        <v>-53.25</v>
      </c>
      <c r="O470" s="9">
        <f>data!L470</f>
        <v>-66.25</v>
      </c>
      <c r="P470" s="9">
        <f>data!K470</f>
        <v>-36.549999999999997</v>
      </c>
      <c r="Q470" s="9">
        <f>data!R470</f>
        <v>-21.25</v>
      </c>
      <c r="R470" s="9">
        <f t="shared" si="355"/>
        <v>0.50500000000000078</v>
      </c>
      <c r="S470" s="9">
        <f t="shared" si="356"/>
        <v>-0.28999999999999915</v>
      </c>
      <c r="T470" s="9">
        <f t="shared" si="357"/>
        <v>0.50500000000000078</v>
      </c>
      <c r="U470" s="9">
        <f t="shared" si="358"/>
        <v>-4.2899999999999991</v>
      </c>
      <c r="V470" s="9">
        <f t="shared" si="359"/>
        <v>-3.6349999999999998</v>
      </c>
      <c r="W470" s="9">
        <f t="shared" si="360"/>
        <v>-3.7849999999999984</v>
      </c>
      <c r="X470" s="9">
        <f t="shared" si="361"/>
        <v>-2.7899999999999991</v>
      </c>
      <c r="Y470" s="9">
        <f t="shared" si="362"/>
        <v>-2.59</v>
      </c>
      <c r="Z470" s="9">
        <f t="shared" si="363"/>
        <v>-2.7899999999999991</v>
      </c>
      <c r="AA470" s="9">
        <f t="shared" si="364"/>
        <v>0.95000000000000284</v>
      </c>
      <c r="AB470" s="9">
        <f t="shared" si="365"/>
        <v>2.1499999999999986</v>
      </c>
      <c r="AC470" s="9">
        <f t="shared" si="366"/>
        <v>4.75</v>
      </c>
      <c r="AD470" s="9">
        <f t="shared" si="367"/>
        <v>2.0499999999999972</v>
      </c>
      <c r="AE470" s="9">
        <f t="shared" si="368"/>
        <v>1.4500000000000028</v>
      </c>
      <c r="AF470" s="9">
        <f t="shared" si="369"/>
        <v>1.9500000000000028</v>
      </c>
      <c r="AG470" s="9">
        <f t="shared" si="370"/>
        <v>3.75</v>
      </c>
      <c r="AH470" s="9">
        <f t="shared" si="371"/>
        <v>4.3500000000000014</v>
      </c>
      <c r="AI470" s="9">
        <f t="shared" si="372"/>
        <v>5.4500000000000028</v>
      </c>
      <c r="AJ470" s="9">
        <f t="shared" si="373"/>
        <v>0.15000000000000568</v>
      </c>
      <c r="AK470" s="9">
        <f t="shared" si="374"/>
        <v>0.25</v>
      </c>
      <c r="AL470" s="9">
        <f t="shared" si="375"/>
        <v>3.75</v>
      </c>
      <c r="AM470" s="9">
        <f t="shared" si="376"/>
        <v>3.2000000000000028</v>
      </c>
      <c r="AN470" s="9">
        <f t="shared" si="377"/>
        <v>3.4500000000000028</v>
      </c>
      <c r="AO470" s="9">
        <f t="shared" si="378"/>
        <v>4.3500000000000014</v>
      </c>
      <c r="AP470" s="9">
        <f t="shared" si="379"/>
        <v>6.25</v>
      </c>
      <c r="AQ470" s="9">
        <f t="shared" si="380"/>
        <v>7.3500000000000014</v>
      </c>
      <c r="AR470" s="9">
        <f t="shared" si="381"/>
        <v>8.75</v>
      </c>
      <c r="AS470" s="9">
        <f t="shared" si="382"/>
        <v>-0.25</v>
      </c>
      <c r="AT470" s="9">
        <f t="shared" si="383"/>
        <v>-0.85000000000000142</v>
      </c>
      <c r="AU470" s="9">
        <f t="shared" si="384"/>
        <v>0.25</v>
      </c>
      <c r="AV470" s="9">
        <f t="shared" si="385"/>
        <v>-2.4500000000000028</v>
      </c>
      <c r="AW470" s="9">
        <f t="shared" si="386"/>
        <v>-4.4500000000000028</v>
      </c>
      <c r="AX470" s="9">
        <f t="shared" si="387"/>
        <v>-5.3500000000000014</v>
      </c>
      <c r="AY470" s="9">
        <f t="shared" si="388"/>
        <v>-4.9500000000000028</v>
      </c>
      <c r="AZ470" s="9">
        <f t="shared" si="389"/>
        <v>-3.4500000000000028</v>
      </c>
      <c r="BA470" s="9">
        <f t="shared" si="390"/>
        <v>-1.7000000000000028</v>
      </c>
      <c r="BB470" s="9">
        <f t="shared" si="391"/>
        <v>0</v>
      </c>
      <c r="BC470" s="9">
        <f t="shared" si="392"/>
        <v>-0.5</v>
      </c>
      <c r="BD470" s="9">
        <f t="shared" si="393"/>
        <v>0.25</v>
      </c>
      <c r="BE470" s="9">
        <f t="shared" si="394"/>
        <v>-2.5500000000000007</v>
      </c>
      <c r="BF470" s="9">
        <f t="shared" si="395"/>
        <v>-4.6499999999999986</v>
      </c>
      <c r="BG470" s="9">
        <f t="shared" si="396"/>
        <v>-6.1999999999999993</v>
      </c>
      <c r="BH470" s="9">
        <f t="shared" si="397"/>
        <v>-5.25</v>
      </c>
      <c r="BI470" s="9">
        <f t="shared" si="398"/>
        <v>-4.1499999999999986</v>
      </c>
      <c r="BJ470" s="9">
        <f t="shared" si="399"/>
        <v>-3</v>
      </c>
    </row>
    <row r="471" spans="1:62" x14ac:dyDescent="0.2">
      <c r="A471" s="9">
        <f>data!M472-data!M471</f>
        <v>0.15149999999999864</v>
      </c>
      <c r="B471" s="9">
        <f>data!C472-data!C471</f>
        <v>-1.6199999999999992</v>
      </c>
      <c r="C471" s="9">
        <f>data!D472-data!D471</f>
        <v>-0.71000000000000085</v>
      </c>
      <c r="D471" s="10">
        <f>data!B472-data!B471</f>
        <v>-3.7500000000000089E-2</v>
      </c>
      <c r="E471" s="9">
        <f>data!E471-data!G471</f>
        <v>2.2587999999999999</v>
      </c>
      <c r="F471" s="9">
        <f>(data!E471-data!F471)-(data!G471-data!H471)</f>
        <v>1.9513</v>
      </c>
      <c r="G471" s="9">
        <f t="shared" si="350"/>
        <v>-9.7900000000000098E-2</v>
      </c>
      <c r="H471" s="9">
        <f t="shared" si="351"/>
        <v>-6.2300000000000022E-2</v>
      </c>
      <c r="I471" s="9">
        <f>IF(data!M472&gt; 111.81,1,0)</f>
        <v>0</v>
      </c>
      <c r="J471" s="9">
        <f t="shared" si="352"/>
        <v>1</v>
      </c>
      <c r="K471" s="9">
        <f t="shared" si="353"/>
        <v>0</v>
      </c>
      <c r="L471" s="9">
        <f t="shared" si="354"/>
        <v>0.15149999999999864</v>
      </c>
      <c r="M471" s="9">
        <f>data!J471</f>
        <v>-11.705</v>
      </c>
      <c r="N471" s="9">
        <f>data!I471</f>
        <v>-52.3</v>
      </c>
      <c r="O471" s="9">
        <f>data!L471</f>
        <v>-66.099999999999994</v>
      </c>
      <c r="P471" s="9">
        <f>data!K471</f>
        <v>-36.799999999999997</v>
      </c>
      <c r="Q471" s="9">
        <f>data!R471</f>
        <v>-21.25</v>
      </c>
      <c r="R471" s="9">
        <f t="shared" si="355"/>
        <v>-0.79499999999999993</v>
      </c>
      <c r="S471" s="9">
        <f t="shared" si="356"/>
        <v>0</v>
      </c>
      <c r="T471" s="9">
        <f t="shared" si="357"/>
        <v>-4.7949999999999999</v>
      </c>
      <c r="U471" s="9">
        <f t="shared" si="358"/>
        <v>-4.1400000000000006</v>
      </c>
      <c r="V471" s="9">
        <f t="shared" si="359"/>
        <v>-4.2899999999999991</v>
      </c>
      <c r="W471" s="9">
        <f t="shared" si="360"/>
        <v>-3.2949999999999999</v>
      </c>
      <c r="X471" s="9">
        <f t="shared" si="361"/>
        <v>-3.0950000000000006</v>
      </c>
      <c r="Y471" s="9">
        <f t="shared" si="362"/>
        <v>-3.2949999999999999</v>
      </c>
      <c r="Z471" s="9">
        <f t="shared" si="363"/>
        <v>-1.2349999999999994</v>
      </c>
      <c r="AA471" s="9">
        <f t="shared" si="364"/>
        <v>1.1999999999999957</v>
      </c>
      <c r="AB471" s="9">
        <f t="shared" si="365"/>
        <v>3.7999999999999972</v>
      </c>
      <c r="AC471" s="9">
        <f t="shared" si="366"/>
        <v>1.0999999999999943</v>
      </c>
      <c r="AD471" s="9">
        <f t="shared" si="367"/>
        <v>0.5</v>
      </c>
      <c r="AE471" s="9">
        <f t="shared" si="368"/>
        <v>1</v>
      </c>
      <c r="AF471" s="9">
        <f t="shared" si="369"/>
        <v>2.7999999999999972</v>
      </c>
      <c r="AG471" s="9">
        <f t="shared" si="370"/>
        <v>3.3999999999999986</v>
      </c>
      <c r="AH471" s="9">
        <f t="shared" si="371"/>
        <v>4.5</v>
      </c>
      <c r="AI471" s="9">
        <f t="shared" si="372"/>
        <v>6.2999999999999972</v>
      </c>
      <c r="AJ471" s="9">
        <f t="shared" si="373"/>
        <v>9.9999999999994316E-2</v>
      </c>
      <c r="AK471" s="9">
        <f t="shared" si="374"/>
        <v>3.5999999999999943</v>
      </c>
      <c r="AL471" s="9">
        <f t="shared" si="375"/>
        <v>3.0499999999999972</v>
      </c>
      <c r="AM471" s="9">
        <f t="shared" si="376"/>
        <v>3.2999999999999972</v>
      </c>
      <c r="AN471" s="9">
        <f t="shared" si="377"/>
        <v>4.1999999999999957</v>
      </c>
      <c r="AO471" s="9">
        <f t="shared" si="378"/>
        <v>6.0999999999999943</v>
      </c>
      <c r="AP471" s="9">
        <f t="shared" si="379"/>
        <v>7.1999999999999957</v>
      </c>
      <c r="AQ471" s="9">
        <f t="shared" si="380"/>
        <v>8.5999999999999943</v>
      </c>
      <c r="AR471" s="9">
        <f t="shared" si="381"/>
        <v>9.7999999999999972</v>
      </c>
      <c r="AS471" s="9">
        <f t="shared" si="382"/>
        <v>-0.60000000000000142</v>
      </c>
      <c r="AT471" s="9">
        <f t="shared" si="383"/>
        <v>0.5</v>
      </c>
      <c r="AU471" s="9">
        <f t="shared" si="384"/>
        <v>-2.2000000000000028</v>
      </c>
      <c r="AV471" s="9">
        <f t="shared" si="385"/>
        <v>-4.2000000000000028</v>
      </c>
      <c r="AW471" s="9">
        <f t="shared" si="386"/>
        <v>-5.1000000000000014</v>
      </c>
      <c r="AX471" s="9">
        <f t="shared" si="387"/>
        <v>-4.7000000000000028</v>
      </c>
      <c r="AY471" s="9">
        <f t="shared" si="388"/>
        <v>-3.2000000000000028</v>
      </c>
      <c r="AZ471" s="9">
        <f t="shared" si="389"/>
        <v>-1.4500000000000028</v>
      </c>
      <c r="BA471" s="9">
        <f t="shared" si="390"/>
        <v>-0.70000000000000284</v>
      </c>
      <c r="BB471" s="9">
        <f t="shared" si="391"/>
        <v>-0.5</v>
      </c>
      <c r="BC471" s="9">
        <f t="shared" si="392"/>
        <v>0.25</v>
      </c>
      <c r="BD471" s="9">
        <f t="shared" si="393"/>
        <v>-2.5500000000000007</v>
      </c>
      <c r="BE471" s="9">
        <f t="shared" si="394"/>
        <v>-4.6499999999999986</v>
      </c>
      <c r="BF471" s="9">
        <f t="shared" si="395"/>
        <v>-6.1999999999999993</v>
      </c>
      <c r="BG471" s="9">
        <f t="shared" si="396"/>
        <v>-5.25</v>
      </c>
      <c r="BH471" s="9">
        <f t="shared" si="397"/>
        <v>-4.1499999999999986</v>
      </c>
      <c r="BI471" s="9">
        <f t="shared" si="398"/>
        <v>-3</v>
      </c>
      <c r="BJ471" s="9">
        <f t="shared" si="399"/>
        <v>-2.3500000000000014</v>
      </c>
    </row>
    <row r="472" spans="1:62" x14ac:dyDescent="0.2">
      <c r="A472" s="9">
        <f>data!M473-data!M472</f>
        <v>0.58010000000000161</v>
      </c>
      <c r="B472" s="9">
        <f>data!C473-data!C472</f>
        <v>0.29999999999999893</v>
      </c>
      <c r="C472" s="9">
        <f>data!D473-data!D472</f>
        <v>-0.21249999999999858</v>
      </c>
      <c r="D472" s="10">
        <f>data!B473-data!B472</f>
        <v>6.7500000000000115E-2</v>
      </c>
      <c r="E472" s="9">
        <f>data!E472-data!G472</f>
        <v>2.1608999999999998</v>
      </c>
      <c r="F472" s="9">
        <f>(data!E472-data!F472)-(data!G472-data!H472)</f>
        <v>1.889</v>
      </c>
      <c r="G472" s="9">
        <f t="shared" si="350"/>
        <v>-1.0499999999999954E-2</v>
      </c>
      <c r="H472" s="9">
        <f t="shared" si="351"/>
        <v>-2.6800000000000157E-2</v>
      </c>
      <c r="I472" s="9">
        <f>IF(data!M473&gt; 111.81,1,0)</f>
        <v>0</v>
      </c>
      <c r="J472" s="9">
        <f t="shared" si="352"/>
        <v>1</v>
      </c>
      <c r="K472" s="9">
        <f t="shared" si="353"/>
        <v>0</v>
      </c>
      <c r="L472" s="9">
        <f t="shared" si="354"/>
        <v>0.58010000000000161</v>
      </c>
      <c r="M472" s="9">
        <f>data!J472</f>
        <v>-12.5</v>
      </c>
      <c r="N472" s="9">
        <f>data!I472</f>
        <v>-51.1</v>
      </c>
      <c r="O472" s="9">
        <f>data!L472</f>
        <v>-66</v>
      </c>
      <c r="P472" s="9">
        <f>data!K472</f>
        <v>-37.4</v>
      </c>
      <c r="Q472" s="9">
        <f>data!R472</f>
        <v>-21.75</v>
      </c>
      <c r="R472" s="9">
        <f t="shared" si="355"/>
        <v>0.79499999999999993</v>
      </c>
      <c r="S472" s="9">
        <f t="shared" si="356"/>
        <v>-4</v>
      </c>
      <c r="T472" s="9">
        <f t="shared" si="357"/>
        <v>-3.3450000000000006</v>
      </c>
      <c r="U472" s="9">
        <f t="shared" si="358"/>
        <v>-3.4949999999999992</v>
      </c>
      <c r="V472" s="9">
        <f t="shared" si="359"/>
        <v>-2.5</v>
      </c>
      <c r="W472" s="9">
        <f t="shared" si="360"/>
        <v>-2.3000000000000007</v>
      </c>
      <c r="X472" s="9">
        <f t="shared" si="361"/>
        <v>-2.5</v>
      </c>
      <c r="Y472" s="9">
        <f t="shared" si="362"/>
        <v>-0.4399999999999995</v>
      </c>
      <c r="Z472" s="9">
        <f t="shared" si="363"/>
        <v>-1.5</v>
      </c>
      <c r="AA472" s="9">
        <f t="shared" si="364"/>
        <v>2.6000000000000014</v>
      </c>
      <c r="AB472" s="9">
        <f t="shared" si="365"/>
        <v>-0.10000000000000142</v>
      </c>
      <c r="AC472" s="9">
        <f t="shared" si="366"/>
        <v>-0.69999999999999574</v>
      </c>
      <c r="AD472" s="9">
        <f t="shared" si="367"/>
        <v>-0.19999999999999574</v>
      </c>
      <c r="AE472" s="9">
        <f t="shared" si="368"/>
        <v>1.6000000000000014</v>
      </c>
      <c r="AF472" s="9">
        <f t="shared" si="369"/>
        <v>2.2000000000000028</v>
      </c>
      <c r="AG472" s="9">
        <f t="shared" si="370"/>
        <v>3.3000000000000043</v>
      </c>
      <c r="AH472" s="9">
        <f t="shared" si="371"/>
        <v>5.1000000000000014</v>
      </c>
      <c r="AI472" s="9">
        <f t="shared" si="372"/>
        <v>5.6000000000000014</v>
      </c>
      <c r="AJ472" s="9">
        <f t="shared" si="373"/>
        <v>3.5</v>
      </c>
      <c r="AK472" s="9">
        <f t="shared" si="374"/>
        <v>2.9500000000000028</v>
      </c>
      <c r="AL472" s="9">
        <f t="shared" si="375"/>
        <v>3.2000000000000028</v>
      </c>
      <c r="AM472" s="9">
        <f t="shared" si="376"/>
        <v>4.1000000000000014</v>
      </c>
      <c r="AN472" s="9">
        <f t="shared" si="377"/>
        <v>6</v>
      </c>
      <c r="AO472" s="9">
        <f t="shared" si="378"/>
        <v>7.1000000000000014</v>
      </c>
      <c r="AP472" s="9">
        <f t="shared" si="379"/>
        <v>8.5</v>
      </c>
      <c r="AQ472" s="9">
        <f t="shared" si="380"/>
        <v>9.7000000000000028</v>
      </c>
      <c r="AR472" s="9">
        <f t="shared" si="381"/>
        <v>10.549999999999997</v>
      </c>
      <c r="AS472" s="9">
        <f t="shared" si="382"/>
        <v>1.1000000000000014</v>
      </c>
      <c r="AT472" s="9">
        <f t="shared" si="383"/>
        <v>-1.6000000000000014</v>
      </c>
      <c r="AU472" s="9">
        <f t="shared" si="384"/>
        <v>-3.6000000000000014</v>
      </c>
      <c r="AV472" s="9">
        <f t="shared" si="385"/>
        <v>-4.5</v>
      </c>
      <c r="AW472" s="9">
        <f t="shared" si="386"/>
        <v>-4.1000000000000014</v>
      </c>
      <c r="AX472" s="9">
        <f t="shared" si="387"/>
        <v>-2.6000000000000014</v>
      </c>
      <c r="AY472" s="9">
        <f t="shared" si="388"/>
        <v>-0.85000000000000142</v>
      </c>
      <c r="AZ472" s="9">
        <f t="shared" si="389"/>
        <v>-0.10000000000000142</v>
      </c>
      <c r="BA472" s="9">
        <f t="shared" si="390"/>
        <v>0</v>
      </c>
      <c r="BB472" s="9">
        <f t="shared" si="391"/>
        <v>0.75</v>
      </c>
      <c r="BC472" s="9">
        <f t="shared" si="392"/>
        <v>-2.0500000000000007</v>
      </c>
      <c r="BD472" s="9">
        <f t="shared" si="393"/>
        <v>-4.1499999999999986</v>
      </c>
      <c r="BE472" s="9">
        <f t="shared" si="394"/>
        <v>-5.6999999999999993</v>
      </c>
      <c r="BF472" s="9">
        <f t="shared" si="395"/>
        <v>-4.75</v>
      </c>
      <c r="BG472" s="9">
        <f t="shared" si="396"/>
        <v>-3.6499999999999986</v>
      </c>
      <c r="BH472" s="9">
        <f t="shared" si="397"/>
        <v>-2.5</v>
      </c>
      <c r="BI472" s="9">
        <f t="shared" si="398"/>
        <v>-1.8500000000000014</v>
      </c>
      <c r="BJ472" s="9">
        <f t="shared" si="399"/>
        <v>-2.25</v>
      </c>
    </row>
    <row r="473" spans="1:62" x14ac:dyDescent="0.2">
      <c r="A473" s="9">
        <f>data!M474-data!M473</f>
        <v>0.27090000000001169</v>
      </c>
      <c r="B473" s="9">
        <f>data!C474-data!C473</f>
        <v>5.7000000000000011</v>
      </c>
      <c r="C473" s="9">
        <f>data!D474-data!D473</f>
        <v>1.0199999999999996</v>
      </c>
      <c r="D473" s="10">
        <f>data!B474-data!B473</f>
        <v>-0.14750000000000019</v>
      </c>
      <c r="E473" s="9">
        <f>data!E473-data!G473</f>
        <v>2.1503999999999999</v>
      </c>
      <c r="F473" s="9">
        <f>(data!E473-data!F473)-(data!G473-data!H473)</f>
        <v>1.8621999999999999</v>
      </c>
      <c r="G473" s="9">
        <f t="shared" si="350"/>
        <v>-6.2399999999999789E-2</v>
      </c>
      <c r="H473" s="9">
        <f t="shared" si="351"/>
        <v>-1.6700000000000159E-2</v>
      </c>
      <c r="I473" s="9">
        <f>IF(data!M474&gt; 111.81,1,0)</f>
        <v>0</v>
      </c>
      <c r="J473" s="9">
        <f t="shared" si="352"/>
        <v>1</v>
      </c>
      <c r="K473" s="9">
        <f t="shared" si="353"/>
        <v>0</v>
      </c>
      <c r="L473" s="9">
        <f t="shared" si="354"/>
        <v>0.27090000000001169</v>
      </c>
      <c r="M473" s="9">
        <f>data!J473</f>
        <v>-11.705</v>
      </c>
      <c r="N473" s="9">
        <f>data!I473</f>
        <v>-48.5</v>
      </c>
      <c r="O473" s="9">
        <f>data!L473</f>
        <v>-62.5</v>
      </c>
      <c r="P473" s="9">
        <f>data!K473</f>
        <v>-36.299999999999997</v>
      </c>
      <c r="Q473" s="9">
        <f>data!R473</f>
        <v>-21</v>
      </c>
      <c r="R473" s="9">
        <f t="shared" si="355"/>
        <v>-4.7949999999999999</v>
      </c>
      <c r="S473" s="9">
        <f t="shared" si="356"/>
        <v>-4.1400000000000006</v>
      </c>
      <c r="T473" s="9">
        <f t="shared" si="357"/>
        <v>-4.2899999999999991</v>
      </c>
      <c r="U473" s="9">
        <f t="shared" si="358"/>
        <v>-3.2949999999999999</v>
      </c>
      <c r="V473" s="9">
        <f t="shared" si="359"/>
        <v>-3.0950000000000006</v>
      </c>
      <c r="W473" s="9">
        <f t="shared" si="360"/>
        <v>-3.2949999999999999</v>
      </c>
      <c r="X473" s="9">
        <f t="shared" si="361"/>
        <v>-1.2349999999999994</v>
      </c>
      <c r="Y473" s="9">
        <f t="shared" si="362"/>
        <v>-2.2949999999999999</v>
      </c>
      <c r="Z473" s="9">
        <f t="shared" si="363"/>
        <v>-2.5449999999999999</v>
      </c>
      <c r="AA473" s="9">
        <f t="shared" si="364"/>
        <v>-2.7000000000000028</v>
      </c>
      <c r="AB473" s="9">
        <f t="shared" si="365"/>
        <v>-3.2999999999999972</v>
      </c>
      <c r="AC473" s="9">
        <f t="shared" si="366"/>
        <v>-2.7999999999999972</v>
      </c>
      <c r="AD473" s="9">
        <f t="shared" si="367"/>
        <v>-1</v>
      </c>
      <c r="AE473" s="9">
        <f t="shared" si="368"/>
        <v>-0.39999999999999858</v>
      </c>
      <c r="AF473" s="9">
        <f t="shared" si="369"/>
        <v>0.70000000000000284</v>
      </c>
      <c r="AG473" s="9">
        <f t="shared" si="370"/>
        <v>2.5</v>
      </c>
      <c r="AH473" s="9">
        <f t="shared" si="371"/>
        <v>3</v>
      </c>
      <c r="AI473" s="9">
        <f t="shared" si="372"/>
        <v>5.5</v>
      </c>
      <c r="AJ473" s="9">
        <f t="shared" si="373"/>
        <v>-0.54999999999999716</v>
      </c>
      <c r="AK473" s="9">
        <f t="shared" si="374"/>
        <v>-0.29999999999999716</v>
      </c>
      <c r="AL473" s="9">
        <f t="shared" si="375"/>
        <v>0.60000000000000142</v>
      </c>
      <c r="AM473" s="9">
        <f t="shared" si="376"/>
        <v>2.5</v>
      </c>
      <c r="AN473" s="9">
        <f t="shared" si="377"/>
        <v>3.6000000000000014</v>
      </c>
      <c r="AO473" s="9">
        <f t="shared" si="378"/>
        <v>5</v>
      </c>
      <c r="AP473" s="9">
        <f t="shared" si="379"/>
        <v>6.2000000000000028</v>
      </c>
      <c r="AQ473" s="9">
        <f t="shared" si="380"/>
        <v>7.0499999999999972</v>
      </c>
      <c r="AR473" s="9">
        <f t="shared" si="381"/>
        <v>9.25</v>
      </c>
      <c r="AS473" s="9">
        <f t="shared" si="382"/>
        <v>-2.7000000000000028</v>
      </c>
      <c r="AT473" s="9">
        <f t="shared" si="383"/>
        <v>-4.7000000000000028</v>
      </c>
      <c r="AU473" s="9">
        <f t="shared" si="384"/>
        <v>-5.6000000000000014</v>
      </c>
      <c r="AV473" s="9">
        <f t="shared" si="385"/>
        <v>-5.2000000000000028</v>
      </c>
      <c r="AW473" s="9">
        <f t="shared" si="386"/>
        <v>-3.7000000000000028</v>
      </c>
      <c r="AX473" s="9">
        <f t="shared" si="387"/>
        <v>-1.9500000000000028</v>
      </c>
      <c r="AY473" s="9">
        <f t="shared" si="388"/>
        <v>-1.2000000000000028</v>
      </c>
      <c r="AZ473" s="9">
        <f t="shared" si="389"/>
        <v>-1.1000000000000014</v>
      </c>
      <c r="BA473" s="9">
        <f t="shared" si="390"/>
        <v>1</v>
      </c>
      <c r="BB473" s="9">
        <f t="shared" si="391"/>
        <v>-2.8000000000000007</v>
      </c>
      <c r="BC473" s="9">
        <f t="shared" si="392"/>
        <v>-4.8999999999999986</v>
      </c>
      <c r="BD473" s="9">
        <f t="shared" si="393"/>
        <v>-6.4499999999999993</v>
      </c>
      <c r="BE473" s="9">
        <f t="shared" si="394"/>
        <v>-5.5</v>
      </c>
      <c r="BF473" s="9">
        <f t="shared" si="395"/>
        <v>-4.3999999999999986</v>
      </c>
      <c r="BG473" s="9">
        <f t="shared" si="396"/>
        <v>-3.25</v>
      </c>
      <c r="BH473" s="9">
        <f t="shared" si="397"/>
        <v>-2.6000000000000014</v>
      </c>
      <c r="BI473" s="9">
        <f t="shared" si="398"/>
        <v>-3</v>
      </c>
      <c r="BJ473" s="9">
        <f t="shared" si="399"/>
        <v>-1.25</v>
      </c>
    </row>
    <row r="474" spans="1:62" x14ac:dyDescent="0.2">
      <c r="A474" s="9">
        <f>data!M475-data!M474</f>
        <v>0.32189999999999941</v>
      </c>
      <c r="B474" s="9">
        <f>data!C475-data!C474</f>
        <v>0.26999999999999957</v>
      </c>
      <c r="C474" s="9">
        <f>data!D475-data!D474</f>
        <v>-0.39250000000000007</v>
      </c>
      <c r="D474" s="10">
        <f>data!B475-data!B474</f>
        <v>0.13000000000000012</v>
      </c>
      <c r="E474" s="9">
        <f>data!E474-data!G474</f>
        <v>2.0880000000000001</v>
      </c>
      <c r="F474" s="9">
        <f>(data!E474-data!F474)-(data!G474-data!H474)</f>
        <v>1.8454999999999997</v>
      </c>
      <c r="G474" s="9">
        <f t="shared" si="350"/>
        <v>-6.0999999999999943E-2</v>
      </c>
      <c r="H474" s="9">
        <f t="shared" si="351"/>
        <v>-6.3199999999999701E-2</v>
      </c>
      <c r="I474" s="9">
        <f>IF(data!M475&gt; 111.81,1,0)</f>
        <v>0</v>
      </c>
      <c r="J474" s="9">
        <f t="shared" si="352"/>
        <v>1</v>
      </c>
      <c r="K474" s="9">
        <f t="shared" si="353"/>
        <v>0</v>
      </c>
      <c r="L474" s="9">
        <f t="shared" si="354"/>
        <v>0.32189999999999941</v>
      </c>
      <c r="M474" s="9">
        <f>data!J474</f>
        <v>-16.5</v>
      </c>
      <c r="N474" s="9">
        <f>data!I474</f>
        <v>-51.2</v>
      </c>
      <c r="O474" s="9">
        <f>data!L474</f>
        <v>-63.05</v>
      </c>
      <c r="P474" s="9">
        <f>data!K474</f>
        <v>-39</v>
      </c>
      <c r="Q474" s="9">
        <f>data!R474</f>
        <v>-23.8</v>
      </c>
      <c r="R474" s="9">
        <f t="shared" si="355"/>
        <v>0.65499999999999936</v>
      </c>
      <c r="S474" s="9">
        <f t="shared" si="356"/>
        <v>0.50500000000000078</v>
      </c>
      <c r="T474" s="9">
        <f t="shared" si="357"/>
        <v>1.5</v>
      </c>
      <c r="U474" s="9">
        <f t="shared" si="358"/>
        <v>1.6999999999999993</v>
      </c>
      <c r="V474" s="9">
        <f t="shared" si="359"/>
        <v>1.5</v>
      </c>
      <c r="W474" s="9">
        <f t="shared" si="360"/>
        <v>3.5600000000000005</v>
      </c>
      <c r="X474" s="9">
        <f t="shared" si="361"/>
        <v>2.5</v>
      </c>
      <c r="Y474" s="9">
        <f t="shared" si="362"/>
        <v>2.25</v>
      </c>
      <c r="Z474" s="9">
        <f t="shared" si="363"/>
        <v>2.875</v>
      </c>
      <c r="AA474" s="9">
        <f t="shared" si="364"/>
        <v>-0.59999999999999432</v>
      </c>
      <c r="AB474" s="9">
        <f t="shared" si="365"/>
        <v>-9.9999999999994316E-2</v>
      </c>
      <c r="AC474" s="9">
        <f t="shared" si="366"/>
        <v>1.7000000000000028</v>
      </c>
      <c r="AD474" s="9">
        <f t="shared" si="367"/>
        <v>2.3000000000000043</v>
      </c>
      <c r="AE474" s="9">
        <f t="shared" si="368"/>
        <v>3.4000000000000057</v>
      </c>
      <c r="AF474" s="9">
        <f t="shared" si="369"/>
        <v>5.2000000000000028</v>
      </c>
      <c r="AG474" s="9">
        <f t="shared" si="370"/>
        <v>5.7000000000000028</v>
      </c>
      <c r="AH474" s="9">
        <f t="shared" si="371"/>
        <v>8.2000000000000028</v>
      </c>
      <c r="AI474" s="9">
        <f t="shared" si="372"/>
        <v>6.4000000000000057</v>
      </c>
      <c r="AJ474" s="9">
        <f t="shared" si="373"/>
        <v>0.25</v>
      </c>
      <c r="AK474" s="9">
        <f t="shared" si="374"/>
        <v>1.1499999999999986</v>
      </c>
      <c r="AL474" s="9">
        <f t="shared" si="375"/>
        <v>3.0499999999999972</v>
      </c>
      <c r="AM474" s="9">
        <f t="shared" si="376"/>
        <v>4.1499999999999986</v>
      </c>
      <c r="AN474" s="9">
        <f t="shared" si="377"/>
        <v>5.5499999999999972</v>
      </c>
      <c r="AO474" s="9">
        <f t="shared" si="378"/>
        <v>6.75</v>
      </c>
      <c r="AP474" s="9">
        <f t="shared" si="379"/>
        <v>7.5999999999999943</v>
      </c>
      <c r="AQ474" s="9">
        <f t="shared" si="380"/>
        <v>9.7999999999999972</v>
      </c>
      <c r="AR474" s="9">
        <f t="shared" si="381"/>
        <v>8.25</v>
      </c>
      <c r="AS474" s="9">
        <f t="shared" si="382"/>
        <v>-2</v>
      </c>
      <c r="AT474" s="9">
        <f t="shared" si="383"/>
        <v>-2.8999999999999986</v>
      </c>
      <c r="AU474" s="9">
        <f t="shared" si="384"/>
        <v>-2.5</v>
      </c>
      <c r="AV474" s="9">
        <f t="shared" si="385"/>
        <v>-1</v>
      </c>
      <c r="AW474" s="9">
        <f t="shared" si="386"/>
        <v>0.75</v>
      </c>
      <c r="AX474" s="9">
        <f t="shared" si="387"/>
        <v>1.5</v>
      </c>
      <c r="AY474" s="9">
        <f t="shared" si="388"/>
        <v>1.6000000000000014</v>
      </c>
      <c r="AZ474" s="9">
        <f t="shared" si="389"/>
        <v>3.7000000000000028</v>
      </c>
      <c r="BA474" s="9">
        <f t="shared" si="390"/>
        <v>2</v>
      </c>
      <c r="BB474" s="9">
        <f t="shared" si="391"/>
        <v>-2.0999999999999979</v>
      </c>
      <c r="BC474" s="9">
        <f t="shared" si="392"/>
        <v>-3.6499999999999986</v>
      </c>
      <c r="BD474" s="9">
        <f t="shared" si="393"/>
        <v>-2.6999999999999993</v>
      </c>
      <c r="BE474" s="9">
        <f t="shared" si="394"/>
        <v>-1.5999999999999979</v>
      </c>
      <c r="BF474" s="9">
        <f t="shared" si="395"/>
        <v>-0.44999999999999929</v>
      </c>
      <c r="BG474" s="9">
        <f t="shared" si="396"/>
        <v>0.19999999999999929</v>
      </c>
      <c r="BH474" s="9">
        <f t="shared" si="397"/>
        <v>-0.19999999999999929</v>
      </c>
      <c r="BI474" s="9">
        <f t="shared" si="398"/>
        <v>1.5500000000000007</v>
      </c>
      <c r="BJ474" s="9">
        <f t="shared" si="399"/>
        <v>-0.32499999999999929</v>
      </c>
    </row>
    <row r="475" spans="1:62" x14ac:dyDescent="0.2">
      <c r="A475" s="9">
        <f>data!M476-data!M475</f>
        <v>-0.43170000000000641</v>
      </c>
      <c r="B475" s="9">
        <f>data!C476-data!C475</f>
        <v>-3.120000000000001</v>
      </c>
      <c r="C475" s="9">
        <f>data!D476-data!D475</f>
        <v>-0.17999999999999972</v>
      </c>
      <c r="D475" s="10">
        <f>data!B476-data!B475</f>
        <v>6.7499999999999893E-2</v>
      </c>
      <c r="E475" s="9">
        <f>data!E475-data!G475</f>
        <v>2.0270000000000001</v>
      </c>
      <c r="F475" s="9">
        <f>(data!E475-data!F475)-(data!G475-data!H475)</f>
        <v>1.7823</v>
      </c>
      <c r="G475" s="9">
        <f t="shared" si="350"/>
        <v>4.0899999999999714E-2</v>
      </c>
      <c r="H475" s="9">
        <f t="shared" si="351"/>
        <v>5.4200000000000026E-2</v>
      </c>
      <c r="I475" s="9">
        <f>IF(data!M476&gt; 111.81,1,0)</f>
        <v>0</v>
      </c>
      <c r="J475" s="9">
        <f t="shared" si="352"/>
        <v>1</v>
      </c>
      <c r="K475" s="9">
        <f t="shared" si="353"/>
        <v>0</v>
      </c>
      <c r="L475" s="9">
        <f t="shared" si="354"/>
        <v>-0.43170000000000641</v>
      </c>
      <c r="M475" s="9">
        <f>data!J475</f>
        <v>-15.845000000000001</v>
      </c>
      <c r="N475" s="9">
        <f>data!I475</f>
        <v>-51.8</v>
      </c>
      <c r="O475" s="9">
        <f>data!L475</f>
        <v>-62.8</v>
      </c>
      <c r="P475" s="9">
        <f>data!K475</f>
        <v>-41</v>
      </c>
      <c r="Q475" s="9">
        <f>data!R475</f>
        <v>-25.9</v>
      </c>
      <c r="R475" s="9">
        <f t="shared" si="355"/>
        <v>-0.14999999999999858</v>
      </c>
      <c r="S475" s="9">
        <f t="shared" si="356"/>
        <v>0.84500000000000064</v>
      </c>
      <c r="T475" s="9">
        <f t="shared" si="357"/>
        <v>1.0449999999999999</v>
      </c>
      <c r="U475" s="9">
        <f t="shared" si="358"/>
        <v>0.84500000000000064</v>
      </c>
      <c r="V475" s="9">
        <f t="shared" si="359"/>
        <v>2.9050000000000011</v>
      </c>
      <c r="W475" s="9">
        <f t="shared" si="360"/>
        <v>1.8450000000000006</v>
      </c>
      <c r="X475" s="9">
        <f t="shared" si="361"/>
        <v>1.5950000000000006</v>
      </c>
      <c r="Y475" s="9">
        <f t="shared" si="362"/>
        <v>2.2200000000000006</v>
      </c>
      <c r="Z475" s="9">
        <f t="shared" si="363"/>
        <v>1.0950000000000006</v>
      </c>
      <c r="AA475" s="9">
        <f t="shared" si="364"/>
        <v>0.5</v>
      </c>
      <c r="AB475" s="9">
        <f t="shared" si="365"/>
        <v>2.2999999999999972</v>
      </c>
      <c r="AC475" s="9">
        <f t="shared" si="366"/>
        <v>2.8999999999999986</v>
      </c>
      <c r="AD475" s="9">
        <f t="shared" si="367"/>
        <v>4</v>
      </c>
      <c r="AE475" s="9">
        <f t="shared" si="368"/>
        <v>5.7999999999999972</v>
      </c>
      <c r="AF475" s="9">
        <f t="shared" si="369"/>
        <v>6.2999999999999972</v>
      </c>
      <c r="AG475" s="9">
        <f t="shared" si="370"/>
        <v>8.7999999999999972</v>
      </c>
      <c r="AH475" s="9">
        <f t="shared" si="371"/>
        <v>7</v>
      </c>
      <c r="AI475" s="9">
        <f t="shared" si="372"/>
        <v>3.7999999999999972</v>
      </c>
      <c r="AJ475" s="9">
        <f t="shared" si="373"/>
        <v>0.89999999999999858</v>
      </c>
      <c r="AK475" s="9">
        <f t="shared" si="374"/>
        <v>2.7999999999999972</v>
      </c>
      <c r="AL475" s="9">
        <f t="shared" si="375"/>
        <v>3.8999999999999986</v>
      </c>
      <c r="AM475" s="9">
        <f t="shared" si="376"/>
        <v>5.2999999999999972</v>
      </c>
      <c r="AN475" s="9">
        <f t="shared" si="377"/>
        <v>6.5</v>
      </c>
      <c r="AO475" s="9">
        <f t="shared" si="378"/>
        <v>7.3499999999999943</v>
      </c>
      <c r="AP475" s="9">
        <f t="shared" si="379"/>
        <v>9.5499999999999972</v>
      </c>
      <c r="AQ475" s="9">
        <f t="shared" si="380"/>
        <v>8</v>
      </c>
      <c r="AR475" s="9">
        <f t="shared" si="381"/>
        <v>4.2999999999999972</v>
      </c>
      <c r="AS475" s="9">
        <f t="shared" si="382"/>
        <v>-0.89999999999999858</v>
      </c>
      <c r="AT475" s="9">
        <f t="shared" si="383"/>
        <v>-0.5</v>
      </c>
      <c r="AU475" s="9">
        <f t="shared" si="384"/>
        <v>1</v>
      </c>
      <c r="AV475" s="9">
        <f t="shared" si="385"/>
        <v>2.75</v>
      </c>
      <c r="AW475" s="9">
        <f t="shared" si="386"/>
        <v>3.5</v>
      </c>
      <c r="AX475" s="9">
        <f t="shared" si="387"/>
        <v>3.6000000000000014</v>
      </c>
      <c r="AY475" s="9">
        <f t="shared" si="388"/>
        <v>5.7000000000000028</v>
      </c>
      <c r="AZ475" s="9">
        <f t="shared" si="389"/>
        <v>4</v>
      </c>
      <c r="BA475" s="9">
        <f t="shared" si="390"/>
        <v>-0.5</v>
      </c>
      <c r="BB475" s="9">
        <f t="shared" si="391"/>
        <v>-1.5500000000000007</v>
      </c>
      <c r="BC475" s="9">
        <f t="shared" si="392"/>
        <v>-0.60000000000000142</v>
      </c>
      <c r="BD475" s="9">
        <f t="shared" si="393"/>
        <v>0.5</v>
      </c>
      <c r="BE475" s="9">
        <f t="shared" si="394"/>
        <v>1.6499999999999986</v>
      </c>
      <c r="BF475" s="9">
        <f t="shared" si="395"/>
        <v>2.2999999999999972</v>
      </c>
      <c r="BG475" s="9">
        <f t="shared" si="396"/>
        <v>1.8999999999999986</v>
      </c>
      <c r="BH475" s="9">
        <f t="shared" si="397"/>
        <v>3.6499999999999986</v>
      </c>
      <c r="BI475" s="9">
        <f t="shared" si="398"/>
        <v>1.7749999999999986</v>
      </c>
      <c r="BJ475" s="9">
        <f t="shared" si="399"/>
        <v>-2.8500000000000014</v>
      </c>
    </row>
    <row r="476" spans="1:62" x14ac:dyDescent="0.2">
      <c r="A476" s="9">
        <f>data!M477-data!M476</f>
        <v>-0.47459999999999525</v>
      </c>
      <c r="B476" s="9">
        <f>data!C477-data!C476</f>
        <v>-1.7199999999999989</v>
      </c>
      <c r="C476" s="9">
        <f>data!D477-data!D476</f>
        <v>-0.36000000000000121</v>
      </c>
      <c r="D476" s="10">
        <f>data!B477-data!B476</f>
        <v>-8.7499999999999911E-2</v>
      </c>
      <c r="E476" s="9">
        <f>data!E476-data!G476</f>
        <v>2.0678999999999998</v>
      </c>
      <c r="F476" s="9">
        <f>(data!E476-data!F476)-(data!G476-data!H476)</f>
        <v>1.8365</v>
      </c>
      <c r="G476" s="9">
        <f t="shared" si="350"/>
        <v>8.0900000000000194E-2</v>
      </c>
      <c r="H476" s="9">
        <f t="shared" si="351"/>
        <v>6.9600000000000106E-2</v>
      </c>
      <c r="I476" s="9">
        <f>IF(data!M477&gt; 111.81,1,0)</f>
        <v>0</v>
      </c>
      <c r="J476" s="9">
        <f t="shared" si="352"/>
        <v>1</v>
      </c>
      <c r="K476" s="9">
        <f t="shared" si="353"/>
        <v>0</v>
      </c>
      <c r="L476" s="9">
        <f t="shared" si="354"/>
        <v>-0.47459999999999525</v>
      </c>
      <c r="M476" s="9">
        <f>data!J476</f>
        <v>-15.994999999999999</v>
      </c>
      <c r="N476" s="9">
        <f>data!I476</f>
        <v>-51.3</v>
      </c>
      <c r="O476" s="9">
        <f>data!L476</f>
        <v>-61.9</v>
      </c>
      <c r="P476" s="9">
        <f>data!K476</f>
        <v>-41.9</v>
      </c>
      <c r="Q476" s="9">
        <f>data!R476</f>
        <v>-27.45</v>
      </c>
      <c r="R476" s="9">
        <f t="shared" si="355"/>
        <v>0.99499999999999922</v>
      </c>
      <c r="S476" s="9">
        <f t="shared" si="356"/>
        <v>1.1949999999999985</v>
      </c>
      <c r="T476" s="9">
        <f t="shared" si="357"/>
        <v>0.99499999999999922</v>
      </c>
      <c r="U476" s="9">
        <f t="shared" si="358"/>
        <v>3.0549999999999997</v>
      </c>
      <c r="V476" s="9">
        <f t="shared" si="359"/>
        <v>1.9949999999999992</v>
      </c>
      <c r="W476" s="9">
        <f t="shared" si="360"/>
        <v>1.7449999999999992</v>
      </c>
      <c r="X476" s="9">
        <f t="shared" si="361"/>
        <v>2.3699999999999992</v>
      </c>
      <c r="Y476" s="9">
        <f t="shared" si="362"/>
        <v>1.2449999999999992</v>
      </c>
      <c r="Z476" s="9">
        <f t="shared" si="363"/>
        <v>1.1949999999999985</v>
      </c>
      <c r="AA476" s="9">
        <f t="shared" si="364"/>
        <v>1.7999999999999972</v>
      </c>
      <c r="AB476" s="9">
        <f t="shared" si="365"/>
        <v>2.3999999999999986</v>
      </c>
      <c r="AC476" s="9">
        <f t="shared" si="366"/>
        <v>3.5</v>
      </c>
      <c r="AD476" s="9">
        <f t="shared" si="367"/>
        <v>5.2999999999999972</v>
      </c>
      <c r="AE476" s="9">
        <f t="shared" si="368"/>
        <v>5.7999999999999972</v>
      </c>
      <c r="AF476" s="9">
        <f t="shared" si="369"/>
        <v>8.2999999999999972</v>
      </c>
      <c r="AG476" s="9">
        <f t="shared" si="370"/>
        <v>6.5</v>
      </c>
      <c r="AH476" s="9">
        <f t="shared" si="371"/>
        <v>3.2999999999999972</v>
      </c>
      <c r="AI476" s="9">
        <f t="shared" si="372"/>
        <v>5.2999999999999972</v>
      </c>
      <c r="AJ476" s="9">
        <f t="shared" si="373"/>
        <v>1.8999999999999986</v>
      </c>
      <c r="AK476" s="9">
        <f t="shared" si="374"/>
        <v>3</v>
      </c>
      <c r="AL476" s="9">
        <f t="shared" si="375"/>
        <v>4.3999999999999986</v>
      </c>
      <c r="AM476" s="9">
        <f t="shared" si="376"/>
        <v>5.6000000000000014</v>
      </c>
      <c r="AN476" s="9">
        <f t="shared" si="377"/>
        <v>6.4499999999999957</v>
      </c>
      <c r="AO476" s="9">
        <f t="shared" si="378"/>
        <v>8.6499999999999986</v>
      </c>
      <c r="AP476" s="9">
        <f t="shared" si="379"/>
        <v>7.1000000000000014</v>
      </c>
      <c r="AQ476" s="9">
        <f t="shared" si="380"/>
        <v>3.3999999999999986</v>
      </c>
      <c r="AR476" s="9">
        <f t="shared" si="381"/>
        <v>3.8999999999999986</v>
      </c>
      <c r="AS476" s="9">
        <f t="shared" si="382"/>
        <v>0.39999999999999858</v>
      </c>
      <c r="AT476" s="9">
        <f t="shared" si="383"/>
        <v>1.8999999999999986</v>
      </c>
      <c r="AU476" s="9">
        <f t="shared" si="384"/>
        <v>3.6499999999999986</v>
      </c>
      <c r="AV476" s="9">
        <f t="shared" si="385"/>
        <v>4.3999999999999986</v>
      </c>
      <c r="AW476" s="9">
        <f t="shared" si="386"/>
        <v>4.5</v>
      </c>
      <c r="AX476" s="9">
        <f t="shared" si="387"/>
        <v>6.6000000000000014</v>
      </c>
      <c r="AY476" s="9">
        <f t="shared" si="388"/>
        <v>4.8999999999999986</v>
      </c>
      <c r="AZ476" s="9">
        <f t="shared" si="389"/>
        <v>0.39999999999999858</v>
      </c>
      <c r="BA476" s="9">
        <f t="shared" si="390"/>
        <v>0.39999999999999858</v>
      </c>
      <c r="BB476" s="9">
        <f t="shared" si="391"/>
        <v>0.94999999999999929</v>
      </c>
      <c r="BC476" s="9">
        <f t="shared" si="392"/>
        <v>2.0500000000000007</v>
      </c>
      <c r="BD476" s="9">
        <f t="shared" si="393"/>
        <v>3.1999999999999993</v>
      </c>
      <c r="BE476" s="9">
        <f t="shared" si="394"/>
        <v>3.8499999999999979</v>
      </c>
      <c r="BF476" s="9">
        <f t="shared" si="395"/>
        <v>3.4499999999999993</v>
      </c>
      <c r="BG476" s="9">
        <f t="shared" si="396"/>
        <v>5.1999999999999993</v>
      </c>
      <c r="BH476" s="9">
        <f t="shared" si="397"/>
        <v>3.3249999999999993</v>
      </c>
      <c r="BI476" s="9">
        <f t="shared" si="398"/>
        <v>-1.3000000000000007</v>
      </c>
      <c r="BJ476" s="9">
        <f t="shared" si="399"/>
        <v>-1.3000000000000007</v>
      </c>
    </row>
    <row r="477" spans="1:62" x14ac:dyDescent="0.2">
      <c r="A477" s="9">
        <f>data!M478-data!M477</f>
        <v>0.38599999999999568</v>
      </c>
      <c r="B477" s="9">
        <f>data!C478-data!C477</f>
        <v>1.1099999999999994</v>
      </c>
      <c r="C477" s="9">
        <f>data!D478-data!D477</f>
        <v>-0.16249999999999964</v>
      </c>
      <c r="D477" s="10">
        <f>data!B478-data!B477</f>
        <v>-0.14749999999999996</v>
      </c>
      <c r="E477" s="9">
        <f>data!E477-data!G477</f>
        <v>2.1488</v>
      </c>
      <c r="F477" s="9">
        <f>(data!E477-data!F477)-(data!G477-data!H477)</f>
        <v>1.9061000000000001</v>
      </c>
      <c r="G477" s="9">
        <f t="shared" si="350"/>
        <v>-1.4800000000000146E-2</v>
      </c>
      <c r="H477" s="9">
        <f t="shared" si="351"/>
        <v>-1.4300000000000201E-2</v>
      </c>
      <c r="I477" s="9">
        <f>IF(data!M478&gt; 111.81,1,0)</f>
        <v>0</v>
      </c>
      <c r="J477" s="9">
        <f t="shared" si="352"/>
        <v>1</v>
      </c>
      <c r="K477" s="9">
        <f t="shared" si="353"/>
        <v>0</v>
      </c>
      <c r="L477" s="9">
        <f t="shared" si="354"/>
        <v>0.38599999999999568</v>
      </c>
      <c r="M477" s="9">
        <f>data!J477</f>
        <v>-15</v>
      </c>
      <c r="N477" s="9">
        <f>data!I477</f>
        <v>-49.5</v>
      </c>
      <c r="O477" s="9">
        <f>data!L477</f>
        <v>-60</v>
      </c>
      <c r="P477" s="9">
        <f>data!K477</f>
        <v>-41.5</v>
      </c>
      <c r="Q477" s="9">
        <f>data!R477</f>
        <v>-26.5</v>
      </c>
      <c r="R477" s="9">
        <f t="shared" si="355"/>
        <v>0.19999999999999929</v>
      </c>
      <c r="S477" s="9">
        <f t="shared" si="356"/>
        <v>0</v>
      </c>
      <c r="T477" s="9">
        <f t="shared" si="357"/>
        <v>2.0600000000000005</v>
      </c>
      <c r="U477" s="9">
        <f t="shared" si="358"/>
        <v>1</v>
      </c>
      <c r="V477" s="9">
        <f t="shared" si="359"/>
        <v>0.75</v>
      </c>
      <c r="W477" s="9">
        <f t="shared" si="360"/>
        <v>1.375</v>
      </c>
      <c r="X477" s="9">
        <f t="shared" si="361"/>
        <v>0.25</v>
      </c>
      <c r="Y477" s="9">
        <f t="shared" si="362"/>
        <v>0.19999999999999929</v>
      </c>
      <c r="Z477" s="9">
        <f t="shared" si="363"/>
        <v>0.5</v>
      </c>
      <c r="AA477" s="9">
        <f t="shared" si="364"/>
        <v>0.60000000000000142</v>
      </c>
      <c r="AB477" s="9">
        <f t="shared" si="365"/>
        <v>1.7000000000000028</v>
      </c>
      <c r="AC477" s="9">
        <f t="shared" si="366"/>
        <v>3.5</v>
      </c>
      <c r="AD477" s="9">
        <f t="shared" si="367"/>
        <v>4</v>
      </c>
      <c r="AE477" s="9">
        <f t="shared" si="368"/>
        <v>6.5</v>
      </c>
      <c r="AF477" s="9">
        <f t="shared" si="369"/>
        <v>4.7000000000000028</v>
      </c>
      <c r="AG477" s="9">
        <f t="shared" si="370"/>
        <v>1.5</v>
      </c>
      <c r="AH477" s="9">
        <f t="shared" si="371"/>
        <v>3.5</v>
      </c>
      <c r="AI477" s="9">
        <f t="shared" si="372"/>
        <v>5.8125</v>
      </c>
      <c r="AJ477" s="9">
        <f t="shared" si="373"/>
        <v>1.1000000000000014</v>
      </c>
      <c r="AK477" s="9">
        <f t="shared" si="374"/>
        <v>2.5</v>
      </c>
      <c r="AL477" s="9">
        <f t="shared" si="375"/>
        <v>3.7000000000000028</v>
      </c>
      <c r="AM477" s="9">
        <f t="shared" si="376"/>
        <v>4.5499999999999972</v>
      </c>
      <c r="AN477" s="9">
        <f t="shared" si="377"/>
        <v>6.75</v>
      </c>
      <c r="AO477" s="9">
        <f t="shared" si="378"/>
        <v>5.2000000000000028</v>
      </c>
      <c r="AP477" s="9">
        <f t="shared" si="379"/>
        <v>1.5</v>
      </c>
      <c r="AQ477" s="9">
        <f t="shared" si="380"/>
        <v>2</v>
      </c>
      <c r="AR477" s="9">
        <f t="shared" si="381"/>
        <v>3.125</v>
      </c>
      <c r="AS477" s="9">
        <f t="shared" si="382"/>
        <v>1.5</v>
      </c>
      <c r="AT477" s="9">
        <f t="shared" si="383"/>
        <v>3.25</v>
      </c>
      <c r="AU477" s="9">
        <f t="shared" si="384"/>
        <v>4</v>
      </c>
      <c r="AV477" s="9">
        <f t="shared" si="385"/>
        <v>4.1000000000000014</v>
      </c>
      <c r="AW477" s="9">
        <f t="shared" si="386"/>
        <v>6.2000000000000028</v>
      </c>
      <c r="AX477" s="9">
        <f t="shared" si="387"/>
        <v>4.5</v>
      </c>
      <c r="AY477" s="9">
        <f t="shared" si="388"/>
        <v>0</v>
      </c>
      <c r="AZ477" s="9">
        <f t="shared" si="389"/>
        <v>0</v>
      </c>
      <c r="BA477" s="9">
        <f t="shared" si="390"/>
        <v>1.25</v>
      </c>
      <c r="BB477" s="9">
        <f t="shared" si="391"/>
        <v>1.1000000000000014</v>
      </c>
      <c r="BC477" s="9">
        <f t="shared" si="392"/>
        <v>2.25</v>
      </c>
      <c r="BD477" s="9">
        <f t="shared" si="393"/>
        <v>2.8999999999999986</v>
      </c>
      <c r="BE477" s="9">
        <f t="shared" si="394"/>
        <v>2.5</v>
      </c>
      <c r="BF477" s="9">
        <f t="shared" si="395"/>
        <v>4.25</v>
      </c>
      <c r="BG477" s="9">
        <f t="shared" si="396"/>
        <v>2.375</v>
      </c>
      <c r="BH477" s="9">
        <f t="shared" si="397"/>
        <v>-2.25</v>
      </c>
      <c r="BI477" s="9">
        <f t="shared" si="398"/>
        <v>-2.25</v>
      </c>
      <c r="BJ477" s="9">
        <f t="shared" si="399"/>
        <v>-0.5</v>
      </c>
    </row>
    <row r="478" spans="1:62" x14ac:dyDescent="0.2">
      <c r="A478" s="9">
        <f>data!M479-data!M478</f>
        <v>-0.26919999999999789</v>
      </c>
      <c r="B478" s="9">
        <f>data!C479-data!C478</f>
        <v>-0.67999999999999972</v>
      </c>
      <c r="C478" s="9">
        <f>data!D479-data!D478</f>
        <v>-0.18249999999999922</v>
      </c>
      <c r="D478" s="10">
        <f>data!B479-data!B478</f>
        <v>-0.15749999999999997</v>
      </c>
      <c r="E478" s="9">
        <f>data!E478-data!G478</f>
        <v>2.1339999999999999</v>
      </c>
      <c r="F478" s="9">
        <f>(data!E478-data!F478)-(data!G478-data!H478)</f>
        <v>1.8917999999999999</v>
      </c>
      <c r="G478" s="9">
        <f t="shared" si="350"/>
        <v>-6.7399999999999682E-2</v>
      </c>
      <c r="H478" s="9">
        <f t="shared" si="351"/>
        <v>-7.3099999999999721E-2</v>
      </c>
      <c r="I478" s="9">
        <f>IF(data!M479&gt; 111.81,1,0)</f>
        <v>0</v>
      </c>
      <c r="J478" s="9">
        <f t="shared" si="352"/>
        <v>1</v>
      </c>
      <c r="K478" s="9">
        <f t="shared" si="353"/>
        <v>0</v>
      </c>
      <c r="L478" s="9">
        <f t="shared" si="354"/>
        <v>-0.26919999999999789</v>
      </c>
      <c r="M478" s="9">
        <f>data!J478</f>
        <v>-14.8</v>
      </c>
      <c r="N478" s="9">
        <f>data!I478</f>
        <v>-48.9</v>
      </c>
      <c r="O478" s="9">
        <f>data!L478</f>
        <v>-58.9</v>
      </c>
      <c r="P478" s="9">
        <f>data!K478</f>
        <v>-40</v>
      </c>
      <c r="Q478" s="9">
        <f>data!R478</f>
        <v>-25.4</v>
      </c>
      <c r="R478" s="9">
        <f t="shared" si="355"/>
        <v>-0.19999999999999929</v>
      </c>
      <c r="S478" s="9">
        <f t="shared" si="356"/>
        <v>1.8600000000000012</v>
      </c>
      <c r="T478" s="9">
        <f t="shared" si="357"/>
        <v>0.80000000000000071</v>
      </c>
      <c r="U478" s="9">
        <f t="shared" si="358"/>
        <v>0.55000000000000071</v>
      </c>
      <c r="V478" s="9">
        <f t="shared" si="359"/>
        <v>1.1750000000000007</v>
      </c>
      <c r="W478" s="9">
        <f t="shared" si="360"/>
        <v>5.0000000000000711E-2</v>
      </c>
      <c r="X478" s="9">
        <f t="shared" si="361"/>
        <v>0</v>
      </c>
      <c r="Y478" s="9">
        <f t="shared" si="362"/>
        <v>0.30000000000000071</v>
      </c>
      <c r="Z478" s="9">
        <f t="shared" si="363"/>
        <v>-1.0999999999999996</v>
      </c>
      <c r="AA478" s="9">
        <f t="shared" si="364"/>
        <v>1.1000000000000014</v>
      </c>
      <c r="AB478" s="9">
        <f t="shared" si="365"/>
        <v>2.8999999999999986</v>
      </c>
      <c r="AC478" s="9">
        <f t="shared" si="366"/>
        <v>3.3999999999999986</v>
      </c>
      <c r="AD478" s="9">
        <f t="shared" si="367"/>
        <v>5.8999999999999986</v>
      </c>
      <c r="AE478" s="9">
        <f t="shared" si="368"/>
        <v>4.1000000000000014</v>
      </c>
      <c r="AF478" s="9">
        <f t="shared" si="369"/>
        <v>0.89999999999999858</v>
      </c>
      <c r="AG478" s="9">
        <f t="shared" si="370"/>
        <v>2.8999999999999986</v>
      </c>
      <c r="AH478" s="9">
        <f t="shared" si="371"/>
        <v>5.2124999999999986</v>
      </c>
      <c r="AI478" s="9">
        <f t="shared" si="372"/>
        <v>6.8999999999999986</v>
      </c>
      <c r="AJ478" s="9">
        <f t="shared" si="373"/>
        <v>1.3999999999999986</v>
      </c>
      <c r="AK478" s="9">
        <f t="shared" si="374"/>
        <v>2.6000000000000014</v>
      </c>
      <c r="AL478" s="9">
        <f t="shared" si="375"/>
        <v>3.4499999999999957</v>
      </c>
      <c r="AM478" s="9">
        <f t="shared" si="376"/>
        <v>5.6499999999999986</v>
      </c>
      <c r="AN478" s="9">
        <f t="shared" si="377"/>
        <v>4.1000000000000014</v>
      </c>
      <c r="AO478" s="9">
        <f t="shared" si="378"/>
        <v>0.39999999999999858</v>
      </c>
      <c r="AP478" s="9">
        <f t="shared" si="379"/>
        <v>0.89999999999999858</v>
      </c>
      <c r="AQ478" s="9">
        <f t="shared" si="380"/>
        <v>2.0249999999999986</v>
      </c>
      <c r="AR478" s="9">
        <f t="shared" si="381"/>
        <v>6.6499999999999986</v>
      </c>
      <c r="AS478" s="9">
        <f t="shared" si="382"/>
        <v>1.75</v>
      </c>
      <c r="AT478" s="9">
        <f t="shared" si="383"/>
        <v>2.5</v>
      </c>
      <c r="AU478" s="9">
        <f t="shared" si="384"/>
        <v>2.6000000000000014</v>
      </c>
      <c r="AV478" s="9">
        <f t="shared" si="385"/>
        <v>4.7000000000000028</v>
      </c>
      <c r="AW478" s="9">
        <f t="shared" si="386"/>
        <v>3</v>
      </c>
      <c r="AX478" s="9">
        <f t="shared" si="387"/>
        <v>-1.5</v>
      </c>
      <c r="AY478" s="9">
        <f t="shared" si="388"/>
        <v>-1.5</v>
      </c>
      <c r="AZ478" s="9">
        <f t="shared" si="389"/>
        <v>-0.25</v>
      </c>
      <c r="BA478" s="9">
        <f t="shared" si="390"/>
        <v>3.2000000000000028</v>
      </c>
      <c r="BB478" s="9">
        <f t="shared" si="391"/>
        <v>1.1499999999999986</v>
      </c>
      <c r="BC478" s="9">
        <f t="shared" si="392"/>
        <v>1.7999999999999972</v>
      </c>
      <c r="BD478" s="9">
        <f t="shared" si="393"/>
        <v>1.3999999999999986</v>
      </c>
      <c r="BE478" s="9">
        <f t="shared" si="394"/>
        <v>3.1499999999999986</v>
      </c>
      <c r="BF478" s="9">
        <f t="shared" si="395"/>
        <v>1.2749999999999986</v>
      </c>
      <c r="BG478" s="9">
        <f t="shared" si="396"/>
        <v>-3.3500000000000014</v>
      </c>
      <c r="BH478" s="9">
        <f t="shared" si="397"/>
        <v>-3.3500000000000014</v>
      </c>
      <c r="BI478" s="9">
        <f t="shared" si="398"/>
        <v>-1.6000000000000014</v>
      </c>
      <c r="BJ478" s="9">
        <f t="shared" si="399"/>
        <v>9.9999999999997868E-2</v>
      </c>
    </row>
    <row r="479" spans="1:62" x14ac:dyDescent="0.2">
      <c r="A479" s="9">
        <f>data!M480-data!M479</f>
        <v>-0.13469999999999516</v>
      </c>
      <c r="B479" s="9">
        <f>data!C480-data!C479</f>
        <v>0.10999999999999943</v>
      </c>
      <c r="C479" s="9">
        <f>data!D480-data!D479</f>
        <v>-0.24000000000000021</v>
      </c>
      <c r="D479" s="10">
        <f>data!B480-data!B479</f>
        <v>0.21999999999999997</v>
      </c>
      <c r="E479" s="9">
        <f>data!E479-data!G479</f>
        <v>2.0666000000000002</v>
      </c>
      <c r="F479" s="9">
        <f>(data!E479-data!F479)-(data!G479-data!H479)</f>
        <v>1.8187000000000002</v>
      </c>
      <c r="G479" s="9">
        <f t="shared" si="350"/>
        <v>9.8300000000000054E-2</v>
      </c>
      <c r="H479" s="9">
        <f t="shared" si="351"/>
        <v>4.6899999999999942E-2</v>
      </c>
      <c r="I479" s="9">
        <f>IF(data!M480&gt; 111.81,1,0)</f>
        <v>0</v>
      </c>
      <c r="J479" s="9">
        <f t="shared" si="352"/>
        <v>1</v>
      </c>
      <c r="K479" s="9">
        <f t="shared" si="353"/>
        <v>0</v>
      </c>
      <c r="L479" s="9">
        <f t="shared" si="354"/>
        <v>-0.13469999999999516</v>
      </c>
      <c r="M479" s="9">
        <f>data!J479</f>
        <v>-15</v>
      </c>
      <c r="N479" s="9">
        <f>data!I479</f>
        <v>-47.8</v>
      </c>
      <c r="O479" s="9">
        <f>data!L479</f>
        <v>-57.5</v>
      </c>
      <c r="P479" s="9">
        <f>data!K479</f>
        <v>-38.25</v>
      </c>
      <c r="Q479" s="9">
        <f>data!R479</f>
        <v>-24.25</v>
      </c>
      <c r="R479" s="9">
        <f t="shared" si="355"/>
        <v>2.0600000000000005</v>
      </c>
      <c r="S479" s="9">
        <f t="shared" si="356"/>
        <v>1</v>
      </c>
      <c r="T479" s="9">
        <f t="shared" si="357"/>
        <v>0.75</v>
      </c>
      <c r="U479" s="9">
        <f t="shared" si="358"/>
        <v>1.375</v>
      </c>
      <c r="V479" s="9">
        <f t="shared" si="359"/>
        <v>0.25</v>
      </c>
      <c r="W479" s="9">
        <f t="shared" si="360"/>
        <v>0.19999999999999929</v>
      </c>
      <c r="X479" s="9">
        <f t="shared" si="361"/>
        <v>0.5</v>
      </c>
      <c r="Y479" s="9">
        <f t="shared" si="362"/>
        <v>-0.90000000000000036</v>
      </c>
      <c r="Z479" s="9">
        <f t="shared" si="363"/>
        <v>-1.8000000000000007</v>
      </c>
      <c r="AA479" s="9">
        <f t="shared" si="364"/>
        <v>1.7999999999999972</v>
      </c>
      <c r="AB479" s="9">
        <f t="shared" si="365"/>
        <v>2.2999999999999972</v>
      </c>
      <c r="AC479" s="9">
        <f t="shared" si="366"/>
        <v>4.7999999999999972</v>
      </c>
      <c r="AD479" s="9">
        <f t="shared" si="367"/>
        <v>3</v>
      </c>
      <c r="AE479" s="9">
        <f t="shared" si="368"/>
        <v>-0.20000000000000284</v>
      </c>
      <c r="AF479" s="9">
        <f t="shared" si="369"/>
        <v>1.7999999999999972</v>
      </c>
      <c r="AG479" s="9">
        <f t="shared" si="370"/>
        <v>4.1124999999999972</v>
      </c>
      <c r="AH479" s="9">
        <f t="shared" si="371"/>
        <v>5.7999999999999972</v>
      </c>
      <c r="AI479" s="9">
        <f t="shared" si="372"/>
        <v>5.1999999999999957</v>
      </c>
      <c r="AJ479" s="9">
        <f t="shared" si="373"/>
        <v>1.2000000000000028</v>
      </c>
      <c r="AK479" s="9">
        <f t="shared" si="374"/>
        <v>2.0499999999999972</v>
      </c>
      <c r="AL479" s="9">
        <f t="shared" si="375"/>
        <v>4.25</v>
      </c>
      <c r="AM479" s="9">
        <f t="shared" si="376"/>
        <v>2.7000000000000028</v>
      </c>
      <c r="AN479" s="9">
        <f t="shared" si="377"/>
        <v>-1</v>
      </c>
      <c r="AO479" s="9">
        <f t="shared" si="378"/>
        <v>-0.5</v>
      </c>
      <c r="AP479" s="9">
        <f t="shared" si="379"/>
        <v>0.625</v>
      </c>
      <c r="AQ479" s="9">
        <f t="shared" si="380"/>
        <v>5.25</v>
      </c>
      <c r="AR479" s="9">
        <f t="shared" si="381"/>
        <v>4.8999999999999986</v>
      </c>
      <c r="AS479" s="9">
        <f t="shared" si="382"/>
        <v>0.75</v>
      </c>
      <c r="AT479" s="9">
        <f t="shared" si="383"/>
        <v>0.85000000000000142</v>
      </c>
      <c r="AU479" s="9">
        <f t="shared" si="384"/>
        <v>2.9500000000000028</v>
      </c>
      <c r="AV479" s="9">
        <f t="shared" si="385"/>
        <v>1.25</v>
      </c>
      <c r="AW479" s="9">
        <f t="shared" si="386"/>
        <v>-3.25</v>
      </c>
      <c r="AX479" s="9">
        <f t="shared" si="387"/>
        <v>-3.25</v>
      </c>
      <c r="AY479" s="9">
        <f t="shared" si="388"/>
        <v>-2</v>
      </c>
      <c r="AZ479" s="9">
        <f t="shared" si="389"/>
        <v>1.4500000000000028</v>
      </c>
      <c r="BA479" s="9">
        <f t="shared" si="390"/>
        <v>1.0499999999999972</v>
      </c>
      <c r="BB479" s="9">
        <f t="shared" si="391"/>
        <v>0.64999999999999858</v>
      </c>
      <c r="BC479" s="9">
        <f t="shared" si="392"/>
        <v>0.25</v>
      </c>
      <c r="BD479" s="9">
        <f t="shared" si="393"/>
        <v>2</v>
      </c>
      <c r="BE479" s="9">
        <f t="shared" si="394"/>
        <v>0.125</v>
      </c>
      <c r="BF479" s="9">
        <f t="shared" si="395"/>
        <v>-4.5</v>
      </c>
      <c r="BG479" s="9">
        <f t="shared" si="396"/>
        <v>-4.5</v>
      </c>
      <c r="BH479" s="9">
        <f t="shared" si="397"/>
        <v>-2.75</v>
      </c>
      <c r="BI479" s="9">
        <f t="shared" si="398"/>
        <v>-1.0500000000000007</v>
      </c>
      <c r="BJ479" s="9">
        <f t="shared" si="399"/>
        <v>-1.5500000000000007</v>
      </c>
    </row>
    <row r="480" spans="1:62" x14ac:dyDescent="0.2">
      <c r="A480" s="9">
        <f>data!M481-data!M480</f>
        <v>-1.0200000000011755E-2</v>
      </c>
      <c r="B480" s="9">
        <f>data!C481-data!C480</f>
        <v>3.7100000000000009</v>
      </c>
      <c r="C480" s="9">
        <f>data!D481-data!D480</f>
        <v>0.21499999999999986</v>
      </c>
      <c r="D480" s="10">
        <f>data!B481-data!B480</f>
        <v>-0.24500000000000011</v>
      </c>
      <c r="E480" s="9">
        <f>data!E480-data!G480</f>
        <v>2.1649000000000003</v>
      </c>
      <c r="F480" s="9">
        <f>(data!E480-data!F480)-(data!G480-data!H480)</f>
        <v>1.8656000000000001</v>
      </c>
      <c r="G480" s="9">
        <f t="shared" si="350"/>
        <v>-0.13060000000000027</v>
      </c>
      <c r="H480" s="9">
        <f t="shared" si="351"/>
        <v>-8.6699999999999999E-2</v>
      </c>
      <c r="I480" s="9">
        <f>IF(data!M481&gt; 111.81,1,0)</f>
        <v>0</v>
      </c>
      <c r="J480" s="9">
        <f t="shared" si="352"/>
        <v>1</v>
      </c>
      <c r="K480" s="9">
        <f t="shared" si="353"/>
        <v>0</v>
      </c>
      <c r="L480" s="9">
        <f t="shared" si="354"/>
        <v>-1.0200000000011755E-2</v>
      </c>
      <c r="M480" s="9">
        <f>data!J480</f>
        <v>-12.94</v>
      </c>
      <c r="N480" s="9">
        <f>data!I480</f>
        <v>-46</v>
      </c>
      <c r="O480" s="9">
        <f>data!L480</f>
        <v>-56.3</v>
      </c>
      <c r="P480" s="9">
        <f>data!K480</f>
        <v>-37.5</v>
      </c>
      <c r="Q480" s="9">
        <f>data!R480</f>
        <v>-23.6</v>
      </c>
      <c r="R480" s="9">
        <f t="shared" si="355"/>
        <v>-1.0600000000000005</v>
      </c>
      <c r="S480" s="9">
        <f t="shared" si="356"/>
        <v>-1.3100000000000005</v>
      </c>
      <c r="T480" s="9">
        <f t="shared" si="357"/>
        <v>-0.6850000000000005</v>
      </c>
      <c r="U480" s="9">
        <f t="shared" si="358"/>
        <v>-1.8100000000000005</v>
      </c>
      <c r="V480" s="9">
        <f t="shared" si="359"/>
        <v>-1.8600000000000012</v>
      </c>
      <c r="W480" s="9">
        <f t="shared" si="360"/>
        <v>-1.5600000000000005</v>
      </c>
      <c r="X480" s="9">
        <f t="shared" si="361"/>
        <v>-2.9600000000000009</v>
      </c>
      <c r="Y480" s="9">
        <f t="shared" si="362"/>
        <v>-3.8600000000000012</v>
      </c>
      <c r="Z480" s="9">
        <f t="shared" si="363"/>
        <v>-4.9599999999999991</v>
      </c>
      <c r="AA480" s="9">
        <f t="shared" si="364"/>
        <v>0.5</v>
      </c>
      <c r="AB480" s="9">
        <f t="shared" si="365"/>
        <v>3</v>
      </c>
      <c r="AC480" s="9">
        <f t="shared" si="366"/>
        <v>1.2000000000000028</v>
      </c>
      <c r="AD480" s="9">
        <f t="shared" si="367"/>
        <v>-2</v>
      </c>
      <c r="AE480" s="9">
        <f t="shared" si="368"/>
        <v>0</v>
      </c>
      <c r="AF480" s="9">
        <f t="shared" si="369"/>
        <v>2.3125</v>
      </c>
      <c r="AG480" s="9">
        <f t="shared" si="370"/>
        <v>4</v>
      </c>
      <c r="AH480" s="9">
        <f t="shared" si="371"/>
        <v>3.3999999999999986</v>
      </c>
      <c r="AI480" s="9">
        <f t="shared" si="372"/>
        <v>1.1000000000000014</v>
      </c>
      <c r="AJ480" s="9">
        <f t="shared" si="373"/>
        <v>0.84999999999999432</v>
      </c>
      <c r="AK480" s="9">
        <f t="shared" si="374"/>
        <v>3.0499999999999972</v>
      </c>
      <c r="AL480" s="9">
        <f t="shared" si="375"/>
        <v>1.5</v>
      </c>
      <c r="AM480" s="9">
        <f t="shared" si="376"/>
        <v>-2.2000000000000028</v>
      </c>
      <c r="AN480" s="9">
        <f t="shared" si="377"/>
        <v>-1.7000000000000028</v>
      </c>
      <c r="AO480" s="9">
        <f t="shared" si="378"/>
        <v>-0.57500000000000284</v>
      </c>
      <c r="AP480" s="9">
        <f t="shared" si="379"/>
        <v>4.0499999999999972</v>
      </c>
      <c r="AQ480" s="9">
        <f t="shared" si="380"/>
        <v>3.6999999999999957</v>
      </c>
      <c r="AR480" s="9">
        <f t="shared" si="381"/>
        <v>1.7999999999999972</v>
      </c>
      <c r="AS480" s="9">
        <f t="shared" si="382"/>
        <v>0.10000000000000142</v>
      </c>
      <c r="AT480" s="9">
        <f t="shared" si="383"/>
        <v>2.2000000000000028</v>
      </c>
      <c r="AU480" s="9">
        <f t="shared" si="384"/>
        <v>0.5</v>
      </c>
      <c r="AV480" s="9">
        <f t="shared" si="385"/>
        <v>-4</v>
      </c>
      <c r="AW480" s="9">
        <f t="shared" si="386"/>
        <v>-4</v>
      </c>
      <c r="AX480" s="9">
        <f t="shared" si="387"/>
        <v>-2.75</v>
      </c>
      <c r="AY480" s="9">
        <f t="shared" si="388"/>
        <v>0.70000000000000284</v>
      </c>
      <c r="AZ480" s="9">
        <f t="shared" si="389"/>
        <v>0.29999999999999716</v>
      </c>
      <c r="BA480" s="9">
        <f t="shared" si="390"/>
        <v>-1.1000000000000014</v>
      </c>
      <c r="BB480" s="9">
        <f t="shared" si="391"/>
        <v>-0.39999999999999858</v>
      </c>
      <c r="BC480" s="9">
        <f t="shared" si="392"/>
        <v>1.3500000000000014</v>
      </c>
      <c r="BD480" s="9">
        <f t="shared" si="393"/>
        <v>-0.52499999999999858</v>
      </c>
      <c r="BE480" s="9">
        <f t="shared" si="394"/>
        <v>-5.1499999999999986</v>
      </c>
      <c r="BF480" s="9">
        <f t="shared" si="395"/>
        <v>-5.1499999999999986</v>
      </c>
      <c r="BG480" s="9">
        <f t="shared" si="396"/>
        <v>-3.3999999999999986</v>
      </c>
      <c r="BH480" s="9">
        <f t="shared" si="397"/>
        <v>-1.6999999999999993</v>
      </c>
      <c r="BI480" s="9">
        <f t="shared" si="398"/>
        <v>-2.1999999999999993</v>
      </c>
      <c r="BJ480" s="9">
        <f t="shared" si="399"/>
        <v>-3.6999999999999993</v>
      </c>
    </row>
    <row r="481" spans="1:62" x14ac:dyDescent="0.2">
      <c r="A481" s="9">
        <f>data!M482-data!M481</f>
        <v>0.61169999999999902</v>
      </c>
      <c r="B481" s="9">
        <f>data!C482-data!C481</f>
        <v>-2.8200000000000003</v>
      </c>
      <c r="C481" s="9">
        <f>data!D482-data!D481</f>
        <v>-0.51999999999999957</v>
      </c>
      <c r="D481" s="10">
        <f>data!B482-data!B481</f>
        <v>0.10499999999999998</v>
      </c>
      <c r="E481" s="9">
        <f>data!E481-data!G481</f>
        <v>2.0343</v>
      </c>
      <c r="F481" s="9">
        <f>(data!E481-data!F481)-(data!G481-data!H481)</f>
        <v>1.7789000000000001</v>
      </c>
      <c r="G481" s="9">
        <f t="shared" si="350"/>
        <v>0.11430000000000007</v>
      </c>
      <c r="H481" s="9">
        <f t="shared" si="351"/>
        <v>1.2199999999999767E-2</v>
      </c>
      <c r="I481" s="9">
        <f>IF(data!M482&gt; 111.81,1,0)</f>
        <v>0</v>
      </c>
      <c r="J481" s="9">
        <f t="shared" si="352"/>
        <v>1</v>
      </c>
      <c r="K481" s="9">
        <f t="shared" si="353"/>
        <v>0</v>
      </c>
      <c r="L481" s="9">
        <f t="shared" si="354"/>
        <v>0.61169999999999902</v>
      </c>
      <c r="M481" s="9">
        <f>data!J481</f>
        <v>-14</v>
      </c>
      <c r="N481" s="9">
        <f>data!I481</f>
        <v>-45.5</v>
      </c>
      <c r="O481" s="9">
        <f>data!L481</f>
        <v>-55.45</v>
      </c>
      <c r="P481" s="9">
        <f>data!K481</f>
        <v>-37.4</v>
      </c>
      <c r="Q481" s="9">
        <f>data!R481</f>
        <v>-24</v>
      </c>
      <c r="R481" s="9">
        <f t="shared" si="355"/>
        <v>-0.25</v>
      </c>
      <c r="S481" s="9">
        <f t="shared" si="356"/>
        <v>0.375</v>
      </c>
      <c r="T481" s="9">
        <f t="shared" si="357"/>
        <v>-0.75</v>
      </c>
      <c r="U481" s="9">
        <f t="shared" si="358"/>
        <v>-0.80000000000000071</v>
      </c>
      <c r="V481" s="9">
        <f t="shared" si="359"/>
        <v>-0.5</v>
      </c>
      <c r="W481" s="9">
        <f t="shared" si="360"/>
        <v>-1.9000000000000004</v>
      </c>
      <c r="X481" s="9">
        <f t="shared" si="361"/>
        <v>-2.8000000000000007</v>
      </c>
      <c r="Y481" s="9">
        <f t="shared" si="362"/>
        <v>-3.8999999999999986</v>
      </c>
      <c r="Z481" s="9">
        <f t="shared" si="363"/>
        <v>-5.25</v>
      </c>
      <c r="AA481" s="9">
        <f t="shared" si="364"/>
        <v>2.5</v>
      </c>
      <c r="AB481" s="9">
        <f t="shared" si="365"/>
        <v>0.70000000000000284</v>
      </c>
      <c r="AC481" s="9">
        <f t="shared" si="366"/>
        <v>-2.5</v>
      </c>
      <c r="AD481" s="9">
        <f t="shared" si="367"/>
        <v>-0.5</v>
      </c>
      <c r="AE481" s="9">
        <f t="shared" si="368"/>
        <v>1.8125</v>
      </c>
      <c r="AF481" s="9">
        <f t="shared" si="369"/>
        <v>3.5</v>
      </c>
      <c r="AG481" s="9">
        <f t="shared" si="370"/>
        <v>2.8999999999999986</v>
      </c>
      <c r="AH481" s="9">
        <f t="shared" si="371"/>
        <v>0.60000000000000142</v>
      </c>
      <c r="AI481" s="9">
        <f t="shared" si="372"/>
        <v>-0.70000000000000284</v>
      </c>
      <c r="AJ481" s="9">
        <f t="shared" si="373"/>
        <v>2.2000000000000028</v>
      </c>
      <c r="AK481" s="9">
        <f t="shared" si="374"/>
        <v>0.65000000000000568</v>
      </c>
      <c r="AL481" s="9">
        <f t="shared" si="375"/>
        <v>-3.0499999999999972</v>
      </c>
      <c r="AM481" s="9">
        <f t="shared" si="376"/>
        <v>-2.5499999999999972</v>
      </c>
      <c r="AN481" s="9">
        <f t="shared" si="377"/>
        <v>-1.4249999999999972</v>
      </c>
      <c r="AO481" s="9">
        <f t="shared" si="378"/>
        <v>3.2000000000000028</v>
      </c>
      <c r="AP481" s="9">
        <f t="shared" si="379"/>
        <v>2.8500000000000014</v>
      </c>
      <c r="AQ481" s="9">
        <f t="shared" si="380"/>
        <v>0.95000000000000284</v>
      </c>
      <c r="AR481" s="9">
        <f t="shared" si="381"/>
        <v>-0.34999999999999432</v>
      </c>
      <c r="AS481" s="9">
        <f t="shared" si="382"/>
        <v>2.1000000000000014</v>
      </c>
      <c r="AT481" s="9">
        <f t="shared" si="383"/>
        <v>0.39999999999999858</v>
      </c>
      <c r="AU481" s="9">
        <f t="shared" si="384"/>
        <v>-4.1000000000000014</v>
      </c>
      <c r="AV481" s="9">
        <f t="shared" si="385"/>
        <v>-4.1000000000000014</v>
      </c>
      <c r="AW481" s="9">
        <f t="shared" si="386"/>
        <v>-2.8500000000000014</v>
      </c>
      <c r="AX481" s="9">
        <f t="shared" si="387"/>
        <v>0.60000000000000142</v>
      </c>
      <c r="AY481" s="9">
        <f t="shared" si="388"/>
        <v>0.19999999999999574</v>
      </c>
      <c r="AZ481" s="9">
        <f t="shared" si="389"/>
        <v>-1.2000000000000028</v>
      </c>
      <c r="BA481" s="9">
        <f t="shared" si="390"/>
        <v>-2.7000000000000028</v>
      </c>
      <c r="BB481" s="9">
        <f t="shared" si="391"/>
        <v>1.75</v>
      </c>
      <c r="BC481" s="9">
        <f t="shared" si="392"/>
        <v>-0.125</v>
      </c>
      <c r="BD481" s="9">
        <f t="shared" si="393"/>
        <v>-4.75</v>
      </c>
      <c r="BE481" s="9">
        <f t="shared" si="394"/>
        <v>-4.75</v>
      </c>
      <c r="BF481" s="9">
        <f t="shared" si="395"/>
        <v>-3</v>
      </c>
      <c r="BG481" s="9">
        <f t="shared" si="396"/>
        <v>-1.3000000000000007</v>
      </c>
      <c r="BH481" s="9">
        <f t="shared" si="397"/>
        <v>-1.8000000000000007</v>
      </c>
      <c r="BI481" s="9">
        <f t="shared" si="398"/>
        <v>-3.3000000000000007</v>
      </c>
      <c r="BJ481" s="9">
        <f t="shared" si="399"/>
        <v>-4.8999999999999986</v>
      </c>
    </row>
    <row r="482" spans="1:62" x14ac:dyDescent="0.2">
      <c r="A482" s="9">
        <f>data!M483-data!M482</f>
        <v>-0.48639999999998906</v>
      </c>
      <c r="B482" s="9">
        <f>data!C483-data!C482</f>
        <v>-0.58999999999999986</v>
      </c>
      <c r="C482" s="9">
        <f>data!D483-data!D482</f>
        <v>0.59249999999999936</v>
      </c>
      <c r="D482" s="10">
        <f>data!B483-data!B482</f>
        <v>0.32000000000000006</v>
      </c>
      <c r="E482" s="9">
        <f>data!E482-data!G482</f>
        <v>2.1486000000000001</v>
      </c>
      <c r="F482" s="9">
        <f>(data!E482-data!F482)-(data!G482-data!H482)</f>
        <v>1.7910999999999999</v>
      </c>
      <c r="G482" s="9">
        <f t="shared" si="350"/>
        <v>-4.8799999999999955E-2</v>
      </c>
      <c r="H482" s="9">
        <f t="shared" si="351"/>
        <v>-6.5899999999999626E-2</v>
      </c>
      <c r="I482" s="9">
        <f>IF(data!M483&gt; 111.81,1,0)</f>
        <v>0</v>
      </c>
      <c r="J482" s="9">
        <f t="shared" si="352"/>
        <v>1</v>
      </c>
      <c r="K482" s="9">
        <f t="shared" si="353"/>
        <v>0</v>
      </c>
      <c r="L482" s="9">
        <f t="shared" si="354"/>
        <v>-0.48639999999998906</v>
      </c>
      <c r="M482" s="9">
        <f>data!J482</f>
        <v>-14.25</v>
      </c>
      <c r="N482" s="9">
        <f>data!I482</f>
        <v>-43</v>
      </c>
      <c r="O482" s="9">
        <f>data!L482</f>
        <v>-53.25</v>
      </c>
      <c r="P482" s="9">
        <f>data!K482</f>
        <v>-35.299999999999997</v>
      </c>
      <c r="Q482" s="9">
        <f>data!R482</f>
        <v>-22.25</v>
      </c>
      <c r="R482" s="9">
        <f t="shared" si="355"/>
        <v>0.625</v>
      </c>
      <c r="S482" s="9">
        <f t="shared" si="356"/>
        <v>-0.5</v>
      </c>
      <c r="T482" s="9">
        <f t="shared" si="357"/>
        <v>-0.55000000000000071</v>
      </c>
      <c r="U482" s="9">
        <f t="shared" si="358"/>
        <v>-0.25</v>
      </c>
      <c r="V482" s="9">
        <f t="shared" si="359"/>
        <v>-1.6500000000000004</v>
      </c>
      <c r="W482" s="9">
        <f t="shared" si="360"/>
        <v>-2.5500000000000007</v>
      </c>
      <c r="X482" s="9">
        <f t="shared" si="361"/>
        <v>-3.6499999999999986</v>
      </c>
      <c r="Y482" s="9">
        <f t="shared" si="362"/>
        <v>-5</v>
      </c>
      <c r="Z482" s="9">
        <f t="shared" si="363"/>
        <v>-4.75</v>
      </c>
      <c r="AA482" s="9">
        <f t="shared" si="364"/>
        <v>-1.7999999999999972</v>
      </c>
      <c r="AB482" s="9">
        <f t="shared" si="365"/>
        <v>-5</v>
      </c>
      <c r="AC482" s="9">
        <f t="shared" si="366"/>
        <v>-3</v>
      </c>
      <c r="AD482" s="9">
        <f t="shared" si="367"/>
        <v>-0.6875</v>
      </c>
      <c r="AE482" s="9">
        <f t="shared" si="368"/>
        <v>1</v>
      </c>
      <c r="AF482" s="9">
        <f t="shared" si="369"/>
        <v>0.39999999999999858</v>
      </c>
      <c r="AG482" s="9">
        <f t="shared" si="370"/>
        <v>-1.8999999999999986</v>
      </c>
      <c r="AH482" s="9">
        <f t="shared" si="371"/>
        <v>-3.2000000000000028</v>
      </c>
      <c r="AI482" s="9">
        <f t="shared" si="372"/>
        <v>-2.7999999999999972</v>
      </c>
      <c r="AJ482" s="9">
        <f t="shared" si="373"/>
        <v>-1.5499999999999972</v>
      </c>
      <c r="AK482" s="9">
        <f t="shared" si="374"/>
        <v>-5.25</v>
      </c>
      <c r="AL482" s="9">
        <f t="shared" si="375"/>
        <v>-4.75</v>
      </c>
      <c r="AM482" s="9">
        <f t="shared" si="376"/>
        <v>-3.625</v>
      </c>
      <c r="AN482" s="9">
        <f t="shared" si="377"/>
        <v>1</v>
      </c>
      <c r="AO482" s="9">
        <f t="shared" si="378"/>
        <v>0.64999999999999858</v>
      </c>
      <c r="AP482" s="9">
        <f t="shared" si="379"/>
        <v>-1.25</v>
      </c>
      <c r="AQ482" s="9">
        <f t="shared" si="380"/>
        <v>-2.5499999999999972</v>
      </c>
      <c r="AR482" s="9">
        <f t="shared" si="381"/>
        <v>-2.6499999999999986</v>
      </c>
      <c r="AS482" s="9">
        <f t="shared" si="382"/>
        <v>-1.7000000000000028</v>
      </c>
      <c r="AT482" s="9">
        <f t="shared" si="383"/>
        <v>-6.2000000000000028</v>
      </c>
      <c r="AU482" s="9">
        <f t="shared" si="384"/>
        <v>-6.2000000000000028</v>
      </c>
      <c r="AV482" s="9">
        <f t="shared" si="385"/>
        <v>-4.9500000000000028</v>
      </c>
      <c r="AW482" s="9">
        <f t="shared" si="386"/>
        <v>-1.5</v>
      </c>
      <c r="AX482" s="9">
        <f t="shared" si="387"/>
        <v>-1.9000000000000057</v>
      </c>
      <c r="AY482" s="9">
        <f t="shared" si="388"/>
        <v>-3.3000000000000043</v>
      </c>
      <c r="AZ482" s="9">
        <f t="shared" si="389"/>
        <v>-4.8000000000000043</v>
      </c>
      <c r="BA482" s="9">
        <f t="shared" si="390"/>
        <v>-5</v>
      </c>
      <c r="BB482" s="9">
        <f t="shared" si="391"/>
        <v>-1.875</v>
      </c>
      <c r="BC482" s="9">
        <f t="shared" si="392"/>
        <v>-6.5</v>
      </c>
      <c r="BD482" s="9">
        <f t="shared" si="393"/>
        <v>-6.5</v>
      </c>
      <c r="BE482" s="9">
        <f t="shared" si="394"/>
        <v>-4.75</v>
      </c>
      <c r="BF482" s="9">
        <f t="shared" si="395"/>
        <v>-3.0500000000000007</v>
      </c>
      <c r="BG482" s="9">
        <f t="shared" si="396"/>
        <v>-3.5500000000000007</v>
      </c>
      <c r="BH482" s="9">
        <f t="shared" si="397"/>
        <v>-5.0500000000000007</v>
      </c>
      <c r="BI482" s="9">
        <f t="shared" si="398"/>
        <v>-6.6499999999999986</v>
      </c>
      <c r="BJ482" s="9">
        <f t="shared" si="399"/>
        <v>-7.1499999999999986</v>
      </c>
    </row>
    <row r="483" spans="1:62" x14ac:dyDescent="0.2">
      <c r="A483" s="9">
        <f>data!M484-data!M483</f>
        <v>-0.14920000000000755</v>
      </c>
      <c r="B483" s="9">
        <f>data!C484-data!C483</f>
        <v>-0.44999999999999929</v>
      </c>
      <c r="C483" s="9">
        <f>data!D484-data!D483</f>
        <v>-0.77500000000000036</v>
      </c>
      <c r="D483" s="10">
        <f>data!B484-data!B483</f>
        <v>-1.4999999999999902E-2</v>
      </c>
      <c r="E483" s="9">
        <f>data!E483-data!G483</f>
        <v>2.0998000000000001</v>
      </c>
      <c r="F483" s="9">
        <f>(data!E483-data!F483)-(data!G483-data!H483)</f>
        <v>1.7252000000000003</v>
      </c>
      <c r="G483" s="9">
        <f t="shared" si="350"/>
        <v>-2.2100000000000009E-2</v>
      </c>
      <c r="H483" s="9">
        <f t="shared" si="351"/>
        <v>2.1799999999999597E-2</v>
      </c>
      <c r="I483" s="9">
        <f>IF(data!M484&gt; 111.81,1,0)</f>
        <v>0</v>
      </c>
      <c r="J483" s="9">
        <f t="shared" si="352"/>
        <v>1</v>
      </c>
      <c r="K483" s="9">
        <f t="shared" si="353"/>
        <v>0</v>
      </c>
      <c r="L483" s="9">
        <f t="shared" si="354"/>
        <v>-0.14920000000000755</v>
      </c>
      <c r="M483" s="9">
        <f>data!J483</f>
        <v>-13.625</v>
      </c>
      <c r="N483" s="9">
        <f>data!I483</f>
        <v>-44.8</v>
      </c>
      <c r="O483" s="9">
        <f>data!L483</f>
        <v>-54.8</v>
      </c>
      <c r="P483" s="9">
        <f>data!K483</f>
        <v>-37</v>
      </c>
      <c r="Q483" s="9">
        <f>data!R483</f>
        <v>-24.125</v>
      </c>
      <c r="R483" s="9">
        <f t="shared" si="355"/>
        <v>-1.125</v>
      </c>
      <c r="S483" s="9">
        <f t="shared" si="356"/>
        <v>-1.1750000000000007</v>
      </c>
      <c r="T483" s="9">
        <f t="shared" si="357"/>
        <v>-0.875</v>
      </c>
      <c r="U483" s="9">
        <f t="shared" si="358"/>
        <v>-2.2750000000000004</v>
      </c>
      <c r="V483" s="9">
        <f t="shared" si="359"/>
        <v>-3.1750000000000007</v>
      </c>
      <c r="W483" s="9">
        <f t="shared" si="360"/>
        <v>-4.2749999999999986</v>
      </c>
      <c r="X483" s="9">
        <f t="shared" si="361"/>
        <v>-5.625</v>
      </c>
      <c r="Y483" s="9">
        <f t="shared" si="362"/>
        <v>-5.375</v>
      </c>
      <c r="Z483" s="9">
        <f t="shared" si="363"/>
        <v>-4.375</v>
      </c>
      <c r="AA483" s="9">
        <f t="shared" si="364"/>
        <v>-3.2000000000000028</v>
      </c>
      <c r="AB483" s="9">
        <f t="shared" si="365"/>
        <v>-1.2000000000000028</v>
      </c>
      <c r="AC483" s="9">
        <f t="shared" si="366"/>
        <v>1.1124999999999972</v>
      </c>
      <c r="AD483" s="9">
        <f t="shared" si="367"/>
        <v>2.7999999999999972</v>
      </c>
      <c r="AE483" s="9">
        <f t="shared" si="368"/>
        <v>2.1999999999999957</v>
      </c>
      <c r="AF483" s="9">
        <f t="shared" si="369"/>
        <v>-0.10000000000000142</v>
      </c>
      <c r="AG483" s="9">
        <f t="shared" si="370"/>
        <v>-1.4000000000000057</v>
      </c>
      <c r="AH483" s="9">
        <f t="shared" si="371"/>
        <v>-1</v>
      </c>
      <c r="AI483" s="9">
        <f t="shared" si="372"/>
        <v>9.9999999999994316E-2</v>
      </c>
      <c r="AJ483" s="9">
        <f t="shared" si="373"/>
        <v>-3.7000000000000028</v>
      </c>
      <c r="AK483" s="9">
        <f t="shared" si="374"/>
        <v>-3.2000000000000028</v>
      </c>
      <c r="AL483" s="9">
        <f t="shared" si="375"/>
        <v>-2.0750000000000028</v>
      </c>
      <c r="AM483" s="9">
        <f t="shared" si="376"/>
        <v>2.5499999999999972</v>
      </c>
      <c r="AN483" s="9">
        <f t="shared" si="377"/>
        <v>2.1999999999999957</v>
      </c>
      <c r="AO483" s="9">
        <f t="shared" si="378"/>
        <v>0.29999999999999716</v>
      </c>
      <c r="AP483" s="9">
        <f t="shared" si="379"/>
        <v>-1</v>
      </c>
      <c r="AQ483" s="9">
        <f t="shared" si="380"/>
        <v>-1.1000000000000014</v>
      </c>
      <c r="AR483" s="9">
        <f t="shared" si="381"/>
        <v>-0.20000000000000284</v>
      </c>
      <c r="AS483" s="9">
        <f t="shared" si="382"/>
        <v>-4.5</v>
      </c>
      <c r="AT483" s="9">
        <f t="shared" si="383"/>
        <v>-4.5</v>
      </c>
      <c r="AU483" s="9">
        <f t="shared" si="384"/>
        <v>-3.25</v>
      </c>
      <c r="AV483" s="9">
        <f t="shared" si="385"/>
        <v>0.20000000000000284</v>
      </c>
      <c r="AW483" s="9">
        <f t="shared" si="386"/>
        <v>-0.20000000000000284</v>
      </c>
      <c r="AX483" s="9">
        <f t="shared" si="387"/>
        <v>-1.6000000000000014</v>
      </c>
      <c r="AY483" s="9">
        <f t="shared" si="388"/>
        <v>-3.1000000000000014</v>
      </c>
      <c r="AZ483" s="9">
        <f t="shared" si="389"/>
        <v>-3.2999999999999972</v>
      </c>
      <c r="BA483" s="9">
        <f t="shared" si="390"/>
        <v>-3</v>
      </c>
      <c r="BB483" s="9">
        <f t="shared" si="391"/>
        <v>-4.625</v>
      </c>
      <c r="BC483" s="9">
        <f t="shared" si="392"/>
        <v>-4.625</v>
      </c>
      <c r="BD483" s="9">
        <f t="shared" si="393"/>
        <v>-2.875</v>
      </c>
      <c r="BE483" s="9">
        <f t="shared" si="394"/>
        <v>-1.1750000000000007</v>
      </c>
      <c r="BF483" s="9">
        <f t="shared" si="395"/>
        <v>-1.6750000000000007</v>
      </c>
      <c r="BG483" s="9">
        <f t="shared" si="396"/>
        <v>-3.1750000000000007</v>
      </c>
      <c r="BH483" s="9">
        <f t="shared" si="397"/>
        <v>-4.7749999999999986</v>
      </c>
      <c r="BI483" s="9">
        <f t="shared" si="398"/>
        <v>-5.2749999999999986</v>
      </c>
      <c r="BJ483" s="9">
        <f t="shared" si="399"/>
        <v>-4.7749999999999986</v>
      </c>
    </row>
    <row r="484" spans="1:62" x14ac:dyDescent="0.2">
      <c r="A484" s="9">
        <f>data!M485-data!M484</f>
        <v>-0.57959999999999923</v>
      </c>
      <c r="B484" s="9">
        <f>data!C485-data!C484</f>
        <v>3.0700000000000003</v>
      </c>
      <c r="C484" s="9">
        <f>data!D485-data!D484</f>
        <v>-5.2500000000000213E-2</v>
      </c>
      <c r="D484" s="10">
        <f>data!B485-data!B484</f>
        <v>1.0000000000000009E-2</v>
      </c>
      <c r="E484" s="9">
        <f>data!E484-data!G484</f>
        <v>2.0777000000000001</v>
      </c>
      <c r="F484" s="9">
        <f>(data!E484-data!F484)-(data!G484-data!H484)</f>
        <v>1.7469999999999999</v>
      </c>
      <c r="G484" s="9">
        <f t="shared" si="350"/>
        <v>-5.300000000000038E-2</v>
      </c>
      <c r="H484" s="9">
        <f t="shared" si="351"/>
        <v>6.9999999999992291E-4</v>
      </c>
      <c r="I484" s="9">
        <f>IF(data!M485&gt; 111.81,1,0)</f>
        <v>0</v>
      </c>
      <c r="J484" s="9">
        <f t="shared" si="352"/>
        <v>1</v>
      </c>
      <c r="K484" s="9">
        <f t="shared" si="353"/>
        <v>0</v>
      </c>
      <c r="L484" s="9">
        <f t="shared" si="354"/>
        <v>-0.57959999999999923</v>
      </c>
      <c r="M484" s="9">
        <f>data!J484</f>
        <v>-14.75</v>
      </c>
      <c r="N484" s="9">
        <f>data!I484</f>
        <v>-48</v>
      </c>
      <c r="O484" s="9">
        <f>data!L484</f>
        <v>-58.5</v>
      </c>
      <c r="P484" s="9">
        <f>data!K484</f>
        <v>-41.5</v>
      </c>
      <c r="Q484" s="9">
        <f>data!R484</f>
        <v>-28.75</v>
      </c>
      <c r="R484" s="9">
        <f t="shared" si="355"/>
        <v>-5.0000000000000711E-2</v>
      </c>
      <c r="S484" s="9">
        <f t="shared" si="356"/>
        <v>0.25</v>
      </c>
      <c r="T484" s="9">
        <f t="shared" si="357"/>
        <v>-1.1500000000000004</v>
      </c>
      <c r="U484" s="9">
        <f t="shared" si="358"/>
        <v>-2.0500000000000007</v>
      </c>
      <c r="V484" s="9">
        <f t="shared" si="359"/>
        <v>-3.1499999999999986</v>
      </c>
      <c r="W484" s="9">
        <f t="shared" si="360"/>
        <v>-4.5</v>
      </c>
      <c r="X484" s="9">
        <f t="shared" si="361"/>
        <v>-4.25</v>
      </c>
      <c r="Y484" s="9">
        <f t="shared" si="362"/>
        <v>-3.25</v>
      </c>
      <c r="Z484" s="9">
        <f t="shared" si="363"/>
        <v>-2.3999999999999986</v>
      </c>
      <c r="AA484" s="9">
        <f t="shared" si="364"/>
        <v>2</v>
      </c>
      <c r="AB484" s="9">
        <f t="shared" si="365"/>
        <v>4.3125</v>
      </c>
      <c r="AC484" s="9">
        <f t="shared" si="366"/>
        <v>6</v>
      </c>
      <c r="AD484" s="9">
        <f t="shared" si="367"/>
        <v>5.3999999999999986</v>
      </c>
      <c r="AE484" s="9">
        <f t="shared" si="368"/>
        <v>3.1000000000000014</v>
      </c>
      <c r="AF484" s="9">
        <f t="shared" si="369"/>
        <v>1.7999999999999972</v>
      </c>
      <c r="AG484" s="9">
        <f t="shared" si="370"/>
        <v>2.2000000000000028</v>
      </c>
      <c r="AH484" s="9">
        <f t="shared" si="371"/>
        <v>3.2999999999999972</v>
      </c>
      <c r="AI484" s="9">
        <f t="shared" si="372"/>
        <v>4.6000000000000014</v>
      </c>
      <c r="AJ484" s="9">
        <f t="shared" si="373"/>
        <v>0.5</v>
      </c>
      <c r="AK484" s="9">
        <f t="shared" si="374"/>
        <v>1.625</v>
      </c>
      <c r="AL484" s="9">
        <f t="shared" si="375"/>
        <v>6.25</v>
      </c>
      <c r="AM484" s="9">
        <f t="shared" si="376"/>
        <v>5.8999999999999986</v>
      </c>
      <c r="AN484" s="9">
        <f t="shared" si="377"/>
        <v>4</v>
      </c>
      <c r="AO484" s="9">
        <f t="shared" si="378"/>
        <v>2.7000000000000028</v>
      </c>
      <c r="AP484" s="9">
        <f t="shared" si="379"/>
        <v>2.6000000000000014</v>
      </c>
      <c r="AQ484" s="9">
        <f t="shared" si="380"/>
        <v>3.5</v>
      </c>
      <c r="AR484" s="9">
        <f t="shared" si="381"/>
        <v>3.8999999999999986</v>
      </c>
      <c r="AS484" s="9">
        <f t="shared" si="382"/>
        <v>0</v>
      </c>
      <c r="AT484" s="9">
        <f t="shared" si="383"/>
        <v>1.25</v>
      </c>
      <c r="AU484" s="9">
        <f t="shared" si="384"/>
        <v>4.7000000000000028</v>
      </c>
      <c r="AV484" s="9">
        <f t="shared" si="385"/>
        <v>4.2999999999999972</v>
      </c>
      <c r="AW484" s="9">
        <f t="shared" si="386"/>
        <v>2.8999999999999986</v>
      </c>
      <c r="AX484" s="9">
        <f t="shared" si="387"/>
        <v>1.3999999999999986</v>
      </c>
      <c r="AY484" s="9">
        <f t="shared" si="388"/>
        <v>1.2000000000000028</v>
      </c>
      <c r="AZ484" s="9">
        <f t="shared" si="389"/>
        <v>1.5</v>
      </c>
      <c r="BA484" s="9">
        <f t="shared" si="390"/>
        <v>1.3999999999999986</v>
      </c>
      <c r="BB484" s="9">
        <f t="shared" si="391"/>
        <v>0</v>
      </c>
      <c r="BC484" s="9">
        <f t="shared" si="392"/>
        <v>1.75</v>
      </c>
      <c r="BD484" s="9">
        <f t="shared" si="393"/>
        <v>3.4499999999999993</v>
      </c>
      <c r="BE484" s="9">
        <f t="shared" si="394"/>
        <v>2.9499999999999993</v>
      </c>
      <c r="BF484" s="9">
        <f t="shared" si="395"/>
        <v>1.4499999999999993</v>
      </c>
      <c r="BG484" s="9">
        <f t="shared" si="396"/>
        <v>-0.14999999999999858</v>
      </c>
      <c r="BH484" s="9">
        <f t="shared" si="397"/>
        <v>-0.64999999999999858</v>
      </c>
      <c r="BI484" s="9">
        <f t="shared" si="398"/>
        <v>-0.14999999999999858</v>
      </c>
      <c r="BJ484" s="9">
        <f t="shared" si="399"/>
        <v>-0.35000000000000142</v>
      </c>
    </row>
    <row r="485" spans="1:62" x14ac:dyDescent="0.2">
      <c r="A485" s="9">
        <f>data!M486-data!M485</f>
        <v>0.32340000000000657</v>
      </c>
      <c r="B485" s="9">
        <f>data!C486-data!C485</f>
        <v>-3.6700000000000017</v>
      </c>
      <c r="C485" s="9">
        <f>data!D486-data!D485</f>
        <v>-0.3149999999999995</v>
      </c>
      <c r="D485" s="10">
        <f>data!B486-data!B485</f>
        <v>3.2499999999999973E-2</v>
      </c>
      <c r="E485" s="9">
        <f>data!E485-data!G485</f>
        <v>2.0246999999999997</v>
      </c>
      <c r="F485" s="9">
        <f>(data!E485-data!F485)-(data!G485-data!H485)</f>
        <v>1.7476999999999998</v>
      </c>
      <c r="G485" s="9">
        <f t="shared" si="350"/>
        <v>0.1008</v>
      </c>
      <c r="H485" s="9">
        <f t="shared" si="351"/>
        <v>6.5600000000000103E-2</v>
      </c>
      <c r="I485" s="9">
        <f>IF(data!M486&gt; 111.81,1,0)</f>
        <v>0</v>
      </c>
      <c r="J485" s="9">
        <f t="shared" si="352"/>
        <v>1</v>
      </c>
      <c r="K485" s="9">
        <f t="shared" si="353"/>
        <v>0</v>
      </c>
      <c r="L485" s="9">
        <f t="shared" si="354"/>
        <v>0.32340000000000657</v>
      </c>
      <c r="M485" s="9">
        <f>data!J485</f>
        <v>-14.8</v>
      </c>
      <c r="N485" s="9">
        <f>data!I485</f>
        <v>-46</v>
      </c>
      <c r="O485" s="9">
        <f>data!L485</f>
        <v>-58</v>
      </c>
      <c r="P485" s="9">
        <f>data!K485</f>
        <v>-41.5</v>
      </c>
      <c r="Q485" s="9">
        <f>data!R485</f>
        <v>-28.75</v>
      </c>
      <c r="R485" s="9">
        <f t="shared" si="355"/>
        <v>0.30000000000000071</v>
      </c>
      <c r="S485" s="9">
        <f t="shared" si="356"/>
        <v>-1.0999999999999996</v>
      </c>
      <c r="T485" s="9">
        <f t="shared" si="357"/>
        <v>-2</v>
      </c>
      <c r="U485" s="9">
        <f t="shared" si="358"/>
        <v>-3.0999999999999979</v>
      </c>
      <c r="V485" s="9">
        <f t="shared" si="359"/>
        <v>-4.4499999999999993</v>
      </c>
      <c r="W485" s="9">
        <f t="shared" si="360"/>
        <v>-4.1999999999999993</v>
      </c>
      <c r="X485" s="9">
        <f t="shared" si="361"/>
        <v>-3.1999999999999993</v>
      </c>
      <c r="Y485" s="9">
        <f t="shared" si="362"/>
        <v>-2.3499999999999979</v>
      </c>
      <c r="Z485" s="9">
        <f t="shared" si="363"/>
        <v>-2.1999999999999993</v>
      </c>
      <c r="AA485" s="9">
        <f t="shared" si="364"/>
        <v>2.3125</v>
      </c>
      <c r="AB485" s="9">
        <f t="shared" si="365"/>
        <v>4</v>
      </c>
      <c r="AC485" s="9">
        <f t="shared" si="366"/>
        <v>3.3999999999999986</v>
      </c>
      <c r="AD485" s="9">
        <f t="shared" si="367"/>
        <v>1.1000000000000014</v>
      </c>
      <c r="AE485" s="9">
        <f t="shared" si="368"/>
        <v>-0.20000000000000284</v>
      </c>
      <c r="AF485" s="9">
        <f t="shared" si="369"/>
        <v>0.20000000000000284</v>
      </c>
      <c r="AG485" s="9">
        <f t="shared" si="370"/>
        <v>1.2999999999999972</v>
      </c>
      <c r="AH485" s="9">
        <f t="shared" si="371"/>
        <v>2.6000000000000014</v>
      </c>
      <c r="AI485" s="9">
        <f t="shared" si="372"/>
        <v>4.8999999999999986</v>
      </c>
      <c r="AJ485" s="9">
        <f t="shared" si="373"/>
        <v>1.125</v>
      </c>
      <c r="AK485" s="9">
        <f t="shared" si="374"/>
        <v>5.75</v>
      </c>
      <c r="AL485" s="9">
        <f t="shared" si="375"/>
        <v>5.3999999999999986</v>
      </c>
      <c r="AM485" s="9">
        <f t="shared" si="376"/>
        <v>3.5</v>
      </c>
      <c r="AN485" s="9">
        <f t="shared" si="377"/>
        <v>2.2000000000000028</v>
      </c>
      <c r="AO485" s="9">
        <f t="shared" si="378"/>
        <v>2.1000000000000014</v>
      </c>
      <c r="AP485" s="9">
        <f t="shared" si="379"/>
        <v>3</v>
      </c>
      <c r="AQ485" s="9">
        <f t="shared" si="380"/>
        <v>3.3999999999999986</v>
      </c>
      <c r="AR485" s="9">
        <f t="shared" si="381"/>
        <v>4.125</v>
      </c>
      <c r="AS485" s="9">
        <f t="shared" si="382"/>
        <v>1.25</v>
      </c>
      <c r="AT485" s="9">
        <f t="shared" si="383"/>
        <v>4.7000000000000028</v>
      </c>
      <c r="AU485" s="9">
        <f t="shared" si="384"/>
        <v>4.2999999999999972</v>
      </c>
      <c r="AV485" s="9">
        <f t="shared" si="385"/>
        <v>2.8999999999999986</v>
      </c>
      <c r="AW485" s="9">
        <f t="shared" si="386"/>
        <v>1.3999999999999986</v>
      </c>
      <c r="AX485" s="9">
        <f t="shared" si="387"/>
        <v>1.2000000000000028</v>
      </c>
      <c r="AY485" s="9">
        <f t="shared" si="388"/>
        <v>1.5</v>
      </c>
      <c r="AZ485" s="9">
        <f t="shared" si="389"/>
        <v>1.3999999999999986</v>
      </c>
      <c r="BA485" s="9">
        <f t="shared" si="390"/>
        <v>1</v>
      </c>
      <c r="BB485" s="9">
        <f t="shared" si="391"/>
        <v>1.75</v>
      </c>
      <c r="BC485" s="9">
        <f t="shared" si="392"/>
        <v>3.4499999999999993</v>
      </c>
      <c r="BD485" s="9">
        <f t="shared" si="393"/>
        <v>2.9499999999999993</v>
      </c>
      <c r="BE485" s="9">
        <f t="shared" si="394"/>
        <v>1.4499999999999993</v>
      </c>
      <c r="BF485" s="9">
        <f t="shared" si="395"/>
        <v>-0.14999999999999858</v>
      </c>
      <c r="BG485" s="9">
        <f t="shared" si="396"/>
        <v>-0.64999999999999858</v>
      </c>
      <c r="BH485" s="9">
        <f t="shared" si="397"/>
        <v>-0.14999999999999858</v>
      </c>
      <c r="BI485" s="9">
        <f t="shared" si="398"/>
        <v>-0.35000000000000142</v>
      </c>
      <c r="BJ485" s="9">
        <f t="shared" si="399"/>
        <v>-0.81330000000000169</v>
      </c>
    </row>
    <row r="486" spans="1:62" x14ac:dyDescent="0.2">
      <c r="A486" s="9">
        <f>data!M487-data!M486</f>
        <v>0.19939999999999714</v>
      </c>
      <c r="B486" s="9">
        <f>data!C487-data!C486</f>
        <v>0.70000000000000107</v>
      </c>
      <c r="C486" s="9">
        <f>data!D487-data!D486</f>
        <v>-0.64499999999999957</v>
      </c>
      <c r="D486" s="10">
        <f>data!B487-data!B486</f>
        <v>3.2499999999999973E-2</v>
      </c>
      <c r="E486" s="9">
        <f>data!E486-data!G486</f>
        <v>2.1254999999999997</v>
      </c>
      <c r="F486" s="9">
        <f>(data!E486-data!F486)-(data!G486-data!H486)</f>
        <v>1.8132999999999999</v>
      </c>
      <c r="G486" s="9">
        <f t="shared" si="350"/>
        <v>-8.1199999999999495E-2</v>
      </c>
      <c r="H486" s="9">
        <f t="shared" si="351"/>
        <v>-0.11399999999999988</v>
      </c>
      <c r="I486" s="9">
        <f>IF(data!M487&gt; 111.81,1,0)</f>
        <v>0</v>
      </c>
      <c r="J486" s="9">
        <f t="shared" si="352"/>
        <v>1</v>
      </c>
      <c r="K486" s="9">
        <f t="shared" si="353"/>
        <v>0</v>
      </c>
      <c r="L486" s="9">
        <f t="shared" si="354"/>
        <v>0.19939999999999714</v>
      </c>
      <c r="M486" s="9">
        <f>data!J486</f>
        <v>-14.5</v>
      </c>
      <c r="N486" s="9">
        <f>data!I486</f>
        <v>-43.6875</v>
      </c>
      <c r="O486" s="9">
        <f>data!L486</f>
        <v>-56.875</v>
      </c>
      <c r="P486" s="9">
        <f>data!K486</f>
        <v>-40.25</v>
      </c>
      <c r="Q486" s="9">
        <f>data!R486</f>
        <v>-27</v>
      </c>
      <c r="R486" s="9">
        <f t="shared" si="355"/>
        <v>-1.4000000000000004</v>
      </c>
      <c r="S486" s="9">
        <f t="shared" si="356"/>
        <v>-2.3000000000000007</v>
      </c>
      <c r="T486" s="9">
        <f t="shared" si="357"/>
        <v>-3.3999999999999986</v>
      </c>
      <c r="U486" s="9">
        <f t="shared" si="358"/>
        <v>-4.75</v>
      </c>
      <c r="V486" s="9">
        <f t="shared" si="359"/>
        <v>-4.5</v>
      </c>
      <c r="W486" s="9">
        <f t="shared" si="360"/>
        <v>-3.5</v>
      </c>
      <c r="X486" s="9">
        <f t="shared" si="361"/>
        <v>-2.6499999999999986</v>
      </c>
      <c r="Y486" s="9">
        <f t="shared" si="362"/>
        <v>-2.5</v>
      </c>
      <c r="Z486" s="9">
        <f t="shared" si="363"/>
        <v>-1.8000000000000007</v>
      </c>
      <c r="AA486" s="9">
        <f t="shared" si="364"/>
        <v>1.6875</v>
      </c>
      <c r="AB486" s="9">
        <f t="shared" si="365"/>
        <v>1.0874999999999986</v>
      </c>
      <c r="AC486" s="9">
        <f t="shared" si="366"/>
        <v>-1.2124999999999986</v>
      </c>
      <c r="AD486" s="9">
        <f t="shared" si="367"/>
        <v>-2.5125000000000028</v>
      </c>
      <c r="AE486" s="9">
        <f t="shared" si="368"/>
        <v>-2.1124999999999972</v>
      </c>
      <c r="AF486" s="9">
        <f t="shared" si="369"/>
        <v>-1.0125000000000028</v>
      </c>
      <c r="AG486" s="9">
        <f t="shared" si="370"/>
        <v>0.28750000000000142</v>
      </c>
      <c r="AH486" s="9">
        <f t="shared" si="371"/>
        <v>2.5874999999999986</v>
      </c>
      <c r="AI486" s="9">
        <f t="shared" si="372"/>
        <v>1.8875000000000028</v>
      </c>
      <c r="AJ486" s="9">
        <f t="shared" si="373"/>
        <v>4.625</v>
      </c>
      <c r="AK486" s="9">
        <f t="shared" si="374"/>
        <v>4.2749999999999986</v>
      </c>
      <c r="AL486" s="9">
        <f t="shared" si="375"/>
        <v>2.375</v>
      </c>
      <c r="AM486" s="9">
        <f t="shared" si="376"/>
        <v>1.0750000000000028</v>
      </c>
      <c r="AN486" s="9">
        <f t="shared" si="377"/>
        <v>0.97500000000000142</v>
      </c>
      <c r="AO486" s="9">
        <f t="shared" si="378"/>
        <v>1.875</v>
      </c>
      <c r="AP486" s="9">
        <f t="shared" si="379"/>
        <v>2.2749999999999986</v>
      </c>
      <c r="AQ486" s="9">
        <f t="shared" si="380"/>
        <v>3</v>
      </c>
      <c r="AR486" s="9">
        <f t="shared" si="381"/>
        <v>1.5750000000000028</v>
      </c>
      <c r="AS486" s="9">
        <f t="shared" si="382"/>
        <v>3.4500000000000028</v>
      </c>
      <c r="AT486" s="9">
        <f t="shared" si="383"/>
        <v>3.0499999999999972</v>
      </c>
      <c r="AU486" s="9">
        <f t="shared" si="384"/>
        <v>1.6499999999999986</v>
      </c>
      <c r="AV486" s="9">
        <f t="shared" si="385"/>
        <v>0.14999999999999858</v>
      </c>
      <c r="AW486" s="9">
        <f t="shared" si="386"/>
        <v>-4.9999999999997158E-2</v>
      </c>
      <c r="AX486" s="9">
        <f t="shared" si="387"/>
        <v>0.25</v>
      </c>
      <c r="AY486" s="9">
        <f t="shared" si="388"/>
        <v>0.14999999999999858</v>
      </c>
      <c r="AZ486" s="9">
        <f t="shared" si="389"/>
        <v>-0.25</v>
      </c>
      <c r="BA486" s="9">
        <f t="shared" si="390"/>
        <v>-3.5499999999999972</v>
      </c>
      <c r="BB486" s="9">
        <f t="shared" si="391"/>
        <v>1.6999999999999993</v>
      </c>
      <c r="BC486" s="9">
        <f t="shared" si="392"/>
        <v>1.1999999999999993</v>
      </c>
      <c r="BD486" s="9">
        <f t="shared" si="393"/>
        <v>-0.30000000000000071</v>
      </c>
      <c r="BE486" s="9">
        <f t="shared" si="394"/>
        <v>-1.8999999999999986</v>
      </c>
      <c r="BF486" s="9">
        <f t="shared" si="395"/>
        <v>-2.3999999999999986</v>
      </c>
      <c r="BG486" s="9">
        <f t="shared" si="396"/>
        <v>-1.8999999999999986</v>
      </c>
      <c r="BH486" s="9">
        <f t="shared" si="397"/>
        <v>-2.1000000000000014</v>
      </c>
      <c r="BI486" s="9">
        <f t="shared" si="398"/>
        <v>-2.5633000000000017</v>
      </c>
      <c r="BJ486" s="9">
        <f t="shared" si="399"/>
        <v>-6.1000000000000014</v>
      </c>
    </row>
    <row r="487" spans="1:62" x14ac:dyDescent="0.2">
      <c r="A487" s="9">
        <f>data!M488-data!M487</f>
        <v>-0.34409999999999741</v>
      </c>
      <c r="B487" s="9">
        <f>data!C488-data!C487</f>
        <v>-1.1500000000000004</v>
      </c>
      <c r="C487" s="9">
        <f>data!D488-data!D487</f>
        <v>-0.23249999999999993</v>
      </c>
      <c r="D487" s="10">
        <f>data!B488-data!B487</f>
        <v>-4.0000000000000036E-2</v>
      </c>
      <c r="E487" s="9">
        <f>data!E487-data!G487</f>
        <v>2.0443000000000002</v>
      </c>
      <c r="F487" s="9">
        <f>(data!E487-data!F487)-(data!G487-data!H487)</f>
        <v>1.6993</v>
      </c>
      <c r="G487" s="9">
        <f t="shared" si="350"/>
        <v>-6.6000000000000281E-2</v>
      </c>
      <c r="H487" s="9">
        <f t="shared" si="351"/>
        <v>-5.840000000000023E-2</v>
      </c>
      <c r="I487" s="9">
        <f>IF(data!M488&gt; 111.81,1,0)</f>
        <v>0</v>
      </c>
      <c r="J487" s="9">
        <f t="shared" si="352"/>
        <v>1</v>
      </c>
      <c r="K487" s="9">
        <f t="shared" si="353"/>
        <v>0</v>
      </c>
      <c r="L487" s="9">
        <f t="shared" si="354"/>
        <v>-0.34409999999999741</v>
      </c>
      <c r="M487" s="9">
        <f>data!J487</f>
        <v>-15.9</v>
      </c>
      <c r="N487" s="9">
        <f>data!I487</f>
        <v>-42</v>
      </c>
      <c r="O487" s="9">
        <f>data!L487</f>
        <v>-52.25</v>
      </c>
      <c r="P487" s="9">
        <f>data!K487</f>
        <v>-36.799999999999997</v>
      </c>
      <c r="Q487" s="9">
        <f>data!R487</f>
        <v>-25.3</v>
      </c>
      <c r="R487" s="9">
        <f t="shared" si="355"/>
        <v>-0.90000000000000036</v>
      </c>
      <c r="S487" s="9">
        <f t="shared" si="356"/>
        <v>-1.9999999999999982</v>
      </c>
      <c r="T487" s="9">
        <f t="shared" si="357"/>
        <v>-3.3499999999999996</v>
      </c>
      <c r="U487" s="9">
        <f t="shared" si="358"/>
        <v>-3.0999999999999996</v>
      </c>
      <c r="V487" s="9">
        <f t="shared" si="359"/>
        <v>-2.0999999999999996</v>
      </c>
      <c r="W487" s="9">
        <f t="shared" si="360"/>
        <v>-1.2499999999999982</v>
      </c>
      <c r="X487" s="9">
        <f t="shared" si="361"/>
        <v>-1.0999999999999996</v>
      </c>
      <c r="Y487" s="9">
        <f t="shared" si="362"/>
        <v>-0.40000000000000036</v>
      </c>
      <c r="Z487" s="9">
        <f t="shared" si="363"/>
        <v>-0.90000000000000036</v>
      </c>
      <c r="AA487" s="9">
        <f t="shared" si="364"/>
        <v>-0.60000000000000142</v>
      </c>
      <c r="AB487" s="9">
        <f t="shared" si="365"/>
        <v>-2.8999999999999986</v>
      </c>
      <c r="AC487" s="9">
        <f t="shared" si="366"/>
        <v>-4.2000000000000028</v>
      </c>
      <c r="AD487" s="9">
        <f t="shared" si="367"/>
        <v>-3.7999999999999972</v>
      </c>
      <c r="AE487" s="9">
        <f t="shared" si="368"/>
        <v>-2.7000000000000028</v>
      </c>
      <c r="AF487" s="9">
        <f t="shared" si="369"/>
        <v>-1.3999999999999986</v>
      </c>
      <c r="AG487" s="9">
        <f t="shared" si="370"/>
        <v>0.89999999999999858</v>
      </c>
      <c r="AH487" s="9">
        <f t="shared" si="371"/>
        <v>0.20000000000000284</v>
      </c>
      <c r="AI487" s="9">
        <f t="shared" si="372"/>
        <v>1.5</v>
      </c>
      <c r="AJ487" s="9">
        <f t="shared" si="373"/>
        <v>-0.35000000000000142</v>
      </c>
      <c r="AK487" s="9">
        <f t="shared" si="374"/>
        <v>-2.25</v>
      </c>
      <c r="AL487" s="9">
        <f t="shared" si="375"/>
        <v>-3.5499999999999972</v>
      </c>
      <c r="AM487" s="9">
        <f t="shared" si="376"/>
        <v>-3.6499999999999986</v>
      </c>
      <c r="AN487" s="9">
        <f t="shared" si="377"/>
        <v>-2.75</v>
      </c>
      <c r="AO487" s="9">
        <f t="shared" si="378"/>
        <v>-2.3500000000000014</v>
      </c>
      <c r="AP487" s="9">
        <f t="shared" si="379"/>
        <v>-1.625</v>
      </c>
      <c r="AQ487" s="9">
        <f t="shared" si="380"/>
        <v>-3.0499999999999972</v>
      </c>
      <c r="AR487" s="9">
        <f t="shared" si="381"/>
        <v>-2.5</v>
      </c>
      <c r="AS487" s="9">
        <f t="shared" si="382"/>
        <v>-0.40000000000000568</v>
      </c>
      <c r="AT487" s="9">
        <f t="shared" si="383"/>
        <v>-1.8000000000000043</v>
      </c>
      <c r="AU487" s="9">
        <f t="shared" si="384"/>
        <v>-3.3000000000000043</v>
      </c>
      <c r="AV487" s="9">
        <f t="shared" si="385"/>
        <v>-3.5</v>
      </c>
      <c r="AW487" s="9">
        <f t="shared" si="386"/>
        <v>-3.2000000000000028</v>
      </c>
      <c r="AX487" s="9">
        <f t="shared" si="387"/>
        <v>-3.3000000000000043</v>
      </c>
      <c r="AY487" s="9">
        <f t="shared" si="388"/>
        <v>-3.7000000000000028</v>
      </c>
      <c r="AZ487" s="9">
        <f t="shared" si="389"/>
        <v>-7</v>
      </c>
      <c r="BA487" s="9">
        <f t="shared" si="390"/>
        <v>-7.5</v>
      </c>
      <c r="BB487" s="9">
        <f t="shared" si="391"/>
        <v>-0.5</v>
      </c>
      <c r="BC487" s="9">
        <f t="shared" si="392"/>
        <v>-2</v>
      </c>
      <c r="BD487" s="9">
        <f t="shared" si="393"/>
        <v>-3.5999999999999979</v>
      </c>
      <c r="BE487" s="9">
        <f t="shared" si="394"/>
        <v>-4.0999999999999979</v>
      </c>
      <c r="BF487" s="9">
        <f t="shared" si="395"/>
        <v>-3.5999999999999979</v>
      </c>
      <c r="BG487" s="9">
        <f t="shared" si="396"/>
        <v>-3.8000000000000007</v>
      </c>
      <c r="BH487" s="9">
        <f t="shared" si="397"/>
        <v>-4.263300000000001</v>
      </c>
      <c r="BI487" s="9">
        <f t="shared" si="398"/>
        <v>-7.8000000000000007</v>
      </c>
      <c r="BJ487" s="9">
        <f t="shared" si="399"/>
        <v>-8.4499999999999993</v>
      </c>
    </row>
    <row r="488" spans="1:62" x14ac:dyDescent="0.2">
      <c r="A488" s="9">
        <f>data!M489-data!M488</f>
        <v>-0.15680000000000405</v>
      </c>
      <c r="B488" s="9">
        <f>data!C489-data!C488</f>
        <v>9.9999999999997868E-3</v>
      </c>
      <c r="C488" s="9">
        <f>data!D489-data!D488</f>
        <v>-0.47250000000000014</v>
      </c>
      <c r="D488" s="10">
        <f>data!B489-data!B488</f>
        <v>9.4999999999999973E-2</v>
      </c>
      <c r="E488" s="9">
        <f>data!E488-data!G488</f>
        <v>1.9782999999999999</v>
      </c>
      <c r="F488" s="9">
        <f>(data!E488-data!F488)-(data!G488-data!H488)</f>
        <v>1.6408999999999998</v>
      </c>
      <c r="G488" s="9">
        <f t="shared" si="350"/>
        <v>4.1999999999999815E-2</v>
      </c>
      <c r="H488" s="9">
        <f t="shared" si="351"/>
        <v>7.6400000000000023E-2</v>
      </c>
      <c r="I488" s="9">
        <f>IF(data!M489&gt; 111.81,1,0)</f>
        <v>0</v>
      </c>
      <c r="J488" s="9">
        <f t="shared" si="352"/>
        <v>1</v>
      </c>
      <c r="K488" s="9">
        <f t="shared" si="353"/>
        <v>0</v>
      </c>
      <c r="L488" s="9">
        <f t="shared" si="354"/>
        <v>-0.15680000000000405</v>
      </c>
      <c r="M488" s="9">
        <f>data!J488</f>
        <v>-16.8</v>
      </c>
      <c r="N488" s="9">
        <f>data!I488</f>
        <v>-42.6</v>
      </c>
      <c r="O488" s="9">
        <f>data!L488</f>
        <v>-52.6</v>
      </c>
      <c r="P488" s="9">
        <f>data!K488</f>
        <v>-37.200000000000003</v>
      </c>
      <c r="Q488" s="9">
        <f>data!R488</f>
        <v>-25.8</v>
      </c>
      <c r="R488" s="9">
        <f t="shared" si="355"/>
        <v>-1.0999999999999979</v>
      </c>
      <c r="S488" s="9">
        <f t="shared" si="356"/>
        <v>-2.4499999999999993</v>
      </c>
      <c r="T488" s="9">
        <f t="shared" si="357"/>
        <v>-2.1999999999999993</v>
      </c>
      <c r="U488" s="9">
        <f t="shared" si="358"/>
        <v>-1.1999999999999993</v>
      </c>
      <c r="V488" s="9">
        <f t="shared" si="359"/>
        <v>-0.34999999999999787</v>
      </c>
      <c r="W488" s="9">
        <f t="shared" si="360"/>
        <v>-0.19999999999999929</v>
      </c>
      <c r="X488" s="9">
        <f t="shared" si="361"/>
        <v>0.5</v>
      </c>
      <c r="Y488" s="9">
        <f t="shared" si="362"/>
        <v>0</v>
      </c>
      <c r="Z488" s="9">
        <f t="shared" si="363"/>
        <v>-1.4499999999999993</v>
      </c>
      <c r="AA488" s="9">
        <f t="shared" si="364"/>
        <v>-2.2999999999999972</v>
      </c>
      <c r="AB488" s="9">
        <f t="shared" si="365"/>
        <v>-3.6000000000000014</v>
      </c>
      <c r="AC488" s="9">
        <f t="shared" si="366"/>
        <v>-3.1999999999999957</v>
      </c>
      <c r="AD488" s="9">
        <f t="shared" si="367"/>
        <v>-2.1000000000000014</v>
      </c>
      <c r="AE488" s="9">
        <f t="shared" si="368"/>
        <v>-0.79999999999999716</v>
      </c>
      <c r="AF488" s="9">
        <f t="shared" si="369"/>
        <v>1.5</v>
      </c>
      <c r="AG488" s="9">
        <f t="shared" si="370"/>
        <v>0.80000000000000426</v>
      </c>
      <c r="AH488" s="9">
        <f t="shared" si="371"/>
        <v>2.1000000000000014</v>
      </c>
      <c r="AI488" s="9">
        <f t="shared" si="372"/>
        <v>2.8500000000000014</v>
      </c>
      <c r="AJ488" s="9">
        <f t="shared" si="373"/>
        <v>-1.8999999999999986</v>
      </c>
      <c r="AK488" s="9">
        <f t="shared" si="374"/>
        <v>-3.1999999999999957</v>
      </c>
      <c r="AL488" s="9">
        <f t="shared" si="375"/>
        <v>-3.2999999999999972</v>
      </c>
      <c r="AM488" s="9">
        <f t="shared" si="376"/>
        <v>-2.3999999999999986</v>
      </c>
      <c r="AN488" s="9">
        <f t="shared" si="377"/>
        <v>-2</v>
      </c>
      <c r="AO488" s="9">
        <f t="shared" si="378"/>
        <v>-1.2749999999999986</v>
      </c>
      <c r="AP488" s="9">
        <f t="shared" si="379"/>
        <v>-2.6999999999999957</v>
      </c>
      <c r="AQ488" s="9">
        <f t="shared" si="380"/>
        <v>-2.1499999999999986</v>
      </c>
      <c r="AR488" s="9">
        <f t="shared" si="381"/>
        <v>-0.77499999999999858</v>
      </c>
      <c r="AS488" s="9">
        <f t="shared" si="382"/>
        <v>-1.3999999999999986</v>
      </c>
      <c r="AT488" s="9">
        <f t="shared" si="383"/>
        <v>-2.8999999999999986</v>
      </c>
      <c r="AU488" s="9">
        <f t="shared" si="384"/>
        <v>-3.0999999999999943</v>
      </c>
      <c r="AV488" s="9">
        <f t="shared" si="385"/>
        <v>-2.7999999999999972</v>
      </c>
      <c r="AW488" s="9">
        <f t="shared" si="386"/>
        <v>-2.8999999999999986</v>
      </c>
      <c r="AX488" s="9">
        <f t="shared" si="387"/>
        <v>-3.2999999999999972</v>
      </c>
      <c r="AY488" s="9">
        <f t="shared" si="388"/>
        <v>-6.5999999999999943</v>
      </c>
      <c r="AZ488" s="9">
        <f t="shared" si="389"/>
        <v>-7.0999999999999943</v>
      </c>
      <c r="BA488" s="9">
        <f t="shared" si="390"/>
        <v>-6.1749999999999972</v>
      </c>
      <c r="BB488" s="9">
        <f t="shared" si="391"/>
        <v>-1.5</v>
      </c>
      <c r="BC488" s="9">
        <f t="shared" si="392"/>
        <v>-3.0999999999999979</v>
      </c>
      <c r="BD488" s="9">
        <f t="shared" si="393"/>
        <v>-3.5999999999999979</v>
      </c>
      <c r="BE488" s="9">
        <f t="shared" si="394"/>
        <v>-3.0999999999999979</v>
      </c>
      <c r="BF488" s="9">
        <f t="shared" si="395"/>
        <v>-3.3000000000000007</v>
      </c>
      <c r="BG488" s="9">
        <f t="shared" si="396"/>
        <v>-3.763300000000001</v>
      </c>
      <c r="BH488" s="9">
        <f t="shared" si="397"/>
        <v>-7.3000000000000007</v>
      </c>
      <c r="BI488" s="9">
        <f t="shared" si="398"/>
        <v>-7.9499999999999993</v>
      </c>
      <c r="BJ488" s="9">
        <f t="shared" si="399"/>
        <v>-6.9499999999999993</v>
      </c>
    </row>
    <row r="489" spans="1:62" x14ac:dyDescent="0.2">
      <c r="A489" s="9">
        <f>data!M490-data!M489</f>
        <v>-5.4100000000005366E-2</v>
      </c>
      <c r="B489" s="9">
        <f>data!C490-data!C489</f>
        <v>-0.48000000000000043</v>
      </c>
      <c r="C489" s="9">
        <f>data!D490-data!D489</f>
        <v>0.42750000000000021</v>
      </c>
      <c r="D489" s="10">
        <f>data!B490-data!B489</f>
        <v>8.0000000000000071E-2</v>
      </c>
      <c r="E489" s="9">
        <f>data!E489-data!G489</f>
        <v>2.0202999999999998</v>
      </c>
      <c r="F489" s="9">
        <f>(data!E489-data!F489)-(data!G489-data!H489)</f>
        <v>1.7172999999999998</v>
      </c>
      <c r="G489" s="9">
        <f t="shared" si="350"/>
        <v>-7.6199999999999823E-2</v>
      </c>
      <c r="H489" s="9">
        <f t="shared" si="351"/>
        <v>-5.2099999999999591E-2</v>
      </c>
      <c r="I489" s="9">
        <f>IF(data!M490&gt; 111.81,1,0)</f>
        <v>0</v>
      </c>
      <c r="J489" s="9">
        <f t="shared" si="352"/>
        <v>1</v>
      </c>
      <c r="K489" s="9">
        <f t="shared" si="353"/>
        <v>0</v>
      </c>
      <c r="L489" s="9">
        <f t="shared" si="354"/>
        <v>-5.4100000000005366E-2</v>
      </c>
      <c r="M489" s="9">
        <f>data!J489</f>
        <v>-17.899999999999999</v>
      </c>
      <c r="N489" s="9">
        <f>data!I489</f>
        <v>-44.9</v>
      </c>
      <c r="O489" s="9">
        <f>data!L489</f>
        <v>-54.5</v>
      </c>
      <c r="P489" s="9">
        <f>data!K489</f>
        <v>-38.6</v>
      </c>
      <c r="Q489" s="9">
        <f>data!R489</f>
        <v>-27.3</v>
      </c>
      <c r="R489" s="9">
        <f t="shared" si="355"/>
        <v>-1.3500000000000014</v>
      </c>
      <c r="S489" s="9">
        <f t="shared" si="356"/>
        <v>-1.1000000000000014</v>
      </c>
      <c r="T489" s="9">
        <f t="shared" si="357"/>
        <v>-0.10000000000000142</v>
      </c>
      <c r="U489" s="9">
        <f t="shared" si="358"/>
        <v>0.75</v>
      </c>
      <c r="V489" s="9">
        <f t="shared" si="359"/>
        <v>0.89999999999999858</v>
      </c>
      <c r="W489" s="9">
        <f t="shared" si="360"/>
        <v>1.5999999999999979</v>
      </c>
      <c r="X489" s="9">
        <f t="shared" si="361"/>
        <v>1.0999999999999979</v>
      </c>
      <c r="Y489" s="9">
        <f t="shared" si="362"/>
        <v>-0.35000000000000142</v>
      </c>
      <c r="Z489" s="9">
        <f t="shared" si="363"/>
        <v>-1.1000000000000014</v>
      </c>
      <c r="AA489" s="9">
        <f t="shared" si="364"/>
        <v>-1.3000000000000043</v>
      </c>
      <c r="AB489" s="9">
        <f t="shared" si="365"/>
        <v>-0.89999999999999858</v>
      </c>
      <c r="AC489" s="9">
        <f t="shared" si="366"/>
        <v>0.19999999999999574</v>
      </c>
      <c r="AD489" s="9">
        <f t="shared" si="367"/>
        <v>1.5</v>
      </c>
      <c r="AE489" s="9">
        <f t="shared" si="368"/>
        <v>3.7999999999999972</v>
      </c>
      <c r="AF489" s="9">
        <f t="shared" si="369"/>
        <v>3.1000000000000014</v>
      </c>
      <c r="AG489" s="9">
        <f t="shared" si="370"/>
        <v>4.3999999999999986</v>
      </c>
      <c r="AH489" s="9">
        <f t="shared" si="371"/>
        <v>5.1499999999999986</v>
      </c>
      <c r="AI489" s="9">
        <f t="shared" si="372"/>
        <v>6.1000000000000014</v>
      </c>
      <c r="AJ489" s="9">
        <f t="shared" si="373"/>
        <v>-1.2999999999999972</v>
      </c>
      <c r="AK489" s="9">
        <f t="shared" si="374"/>
        <v>-1.3999999999999986</v>
      </c>
      <c r="AL489" s="9">
        <f t="shared" si="375"/>
        <v>-0.5</v>
      </c>
      <c r="AM489" s="9">
        <f t="shared" si="376"/>
        <v>-0.10000000000000142</v>
      </c>
      <c r="AN489" s="9">
        <f t="shared" si="377"/>
        <v>0.625</v>
      </c>
      <c r="AO489" s="9">
        <f t="shared" si="378"/>
        <v>-0.79999999999999716</v>
      </c>
      <c r="AP489" s="9">
        <f t="shared" si="379"/>
        <v>-0.25</v>
      </c>
      <c r="AQ489" s="9">
        <f t="shared" si="380"/>
        <v>1.125</v>
      </c>
      <c r="AR489" s="9">
        <f t="shared" si="381"/>
        <v>3.2000000000000028</v>
      </c>
      <c r="AS489" s="9">
        <f t="shared" si="382"/>
        <v>-1.5</v>
      </c>
      <c r="AT489" s="9">
        <f t="shared" si="383"/>
        <v>-1.6999999999999957</v>
      </c>
      <c r="AU489" s="9">
        <f t="shared" si="384"/>
        <v>-1.3999999999999986</v>
      </c>
      <c r="AV489" s="9">
        <f t="shared" si="385"/>
        <v>-1.5</v>
      </c>
      <c r="AW489" s="9">
        <f t="shared" si="386"/>
        <v>-1.8999999999999986</v>
      </c>
      <c r="AX489" s="9">
        <f t="shared" si="387"/>
        <v>-5.1999999999999957</v>
      </c>
      <c r="AY489" s="9">
        <f t="shared" si="388"/>
        <v>-5.6999999999999957</v>
      </c>
      <c r="AZ489" s="9">
        <f t="shared" si="389"/>
        <v>-4.7749999999999986</v>
      </c>
      <c r="BA489" s="9">
        <f t="shared" si="390"/>
        <v>-2.6999999999999957</v>
      </c>
      <c r="BB489" s="9">
        <f t="shared" si="391"/>
        <v>-1.5999999999999979</v>
      </c>
      <c r="BC489" s="9">
        <f t="shared" si="392"/>
        <v>-2.0999999999999979</v>
      </c>
      <c r="BD489" s="9">
        <f t="shared" si="393"/>
        <v>-1.5999999999999979</v>
      </c>
      <c r="BE489" s="9">
        <f t="shared" si="394"/>
        <v>-1.8000000000000007</v>
      </c>
      <c r="BF489" s="9">
        <f t="shared" si="395"/>
        <v>-2.263300000000001</v>
      </c>
      <c r="BG489" s="9">
        <f t="shared" si="396"/>
        <v>-5.8000000000000007</v>
      </c>
      <c r="BH489" s="9">
        <f t="shared" si="397"/>
        <v>-6.4499999999999993</v>
      </c>
      <c r="BI489" s="9">
        <f t="shared" si="398"/>
        <v>-5.4499999999999993</v>
      </c>
      <c r="BJ489" s="9">
        <f t="shared" si="399"/>
        <v>-3.4499999999999993</v>
      </c>
    </row>
    <row r="490" spans="1:62" x14ac:dyDescent="0.2">
      <c r="A490" s="9">
        <f>data!M491-data!M490</f>
        <v>9.6900000000005093E-2</v>
      </c>
      <c r="B490" s="9">
        <f>data!C491-data!C490</f>
        <v>-1.08</v>
      </c>
      <c r="C490" s="9">
        <f>data!D491-data!D490</f>
        <v>-0.38750000000000018</v>
      </c>
      <c r="D490" s="10">
        <f>data!B491-data!B490</f>
        <v>-0.23750000000000004</v>
      </c>
      <c r="E490" s="9">
        <f>data!E490-data!G490</f>
        <v>1.9440999999999999</v>
      </c>
      <c r="F490" s="9">
        <f>(data!E490-data!F490)-(data!G490-data!H490)</f>
        <v>1.6652000000000002</v>
      </c>
      <c r="G490" s="9">
        <f t="shared" si="350"/>
        <v>9.9999999999988987E-4</v>
      </c>
      <c r="H490" s="9">
        <f t="shared" si="351"/>
        <v>1.5499999999999625E-2</v>
      </c>
      <c r="I490" s="9">
        <f>IF(data!M491&gt; 111.81,1,0)</f>
        <v>0</v>
      </c>
      <c r="J490" s="9">
        <f t="shared" si="352"/>
        <v>1</v>
      </c>
      <c r="K490" s="9">
        <f t="shared" si="353"/>
        <v>0</v>
      </c>
      <c r="L490" s="9">
        <f t="shared" si="354"/>
        <v>9.6900000000005093E-2</v>
      </c>
      <c r="M490" s="9">
        <f>data!J490</f>
        <v>-19.25</v>
      </c>
      <c r="N490" s="9">
        <f>data!I490</f>
        <v>-46.2</v>
      </c>
      <c r="O490" s="9">
        <f>data!L490</f>
        <v>-55.8</v>
      </c>
      <c r="P490" s="9">
        <f>data!K490</f>
        <v>-40.1</v>
      </c>
      <c r="Q490" s="9">
        <f>data!R490</f>
        <v>-28.9</v>
      </c>
      <c r="R490" s="9">
        <f t="shared" si="355"/>
        <v>0.25</v>
      </c>
      <c r="S490" s="9">
        <f t="shared" si="356"/>
        <v>1.25</v>
      </c>
      <c r="T490" s="9">
        <f t="shared" si="357"/>
        <v>2.1000000000000014</v>
      </c>
      <c r="U490" s="9">
        <f t="shared" si="358"/>
        <v>2.25</v>
      </c>
      <c r="V490" s="9">
        <f t="shared" si="359"/>
        <v>2.9499999999999993</v>
      </c>
      <c r="W490" s="9">
        <f t="shared" si="360"/>
        <v>2.4499999999999993</v>
      </c>
      <c r="X490" s="9">
        <f t="shared" si="361"/>
        <v>1</v>
      </c>
      <c r="Y490" s="9">
        <f t="shared" si="362"/>
        <v>0.25</v>
      </c>
      <c r="Z490" s="9">
        <f t="shared" si="363"/>
        <v>-1</v>
      </c>
      <c r="AA490" s="9">
        <f t="shared" si="364"/>
        <v>0.40000000000000568</v>
      </c>
      <c r="AB490" s="9">
        <f t="shared" si="365"/>
        <v>1.5</v>
      </c>
      <c r="AC490" s="9">
        <f t="shared" si="366"/>
        <v>2.8000000000000043</v>
      </c>
      <c r="AD490" s="9">
        <f t="shared" si="367"/>
        <v>5.1000000000000014</v>
      </c>
      <c r="AE490" s="9">
        <f t="shared" si="368"/>
        <v>4.4000000000000057</v>
      </c>
      <c r="AF490" s="9">
        <f t="shared" si="369"/>
        <v>5.7000000000000028</v>
      </c>
      <c r="AG490" s="9">
        <f t="shared" si="370"/>
        <v>6.4500000000000028</v>
      </c>
      <c r="AH490" s="9">
        <f t="shared" si="371"/>
        <v>7.4000000000000057</v>
      </c>
      <c r="AI490" s="9">
        <f t="shared" si="372"/>
        <v>7.2000000000000028</v>
      </c>
      <c r="AJ490" s="9">
        <f t="shared" si="373"/>
        <v>-0.10000000000000142</v>
      </c>
      <c r="AK490" s="9">
        <f t="shared" si="374"/>
        <v>0.79999999999999716</v>
      </c>
      <c r="AL490" s="9">
        <f t="shared" si="375"/>
        <v>1.1999999999999957</v>
      </c>
      <c r="AM490" s="9">
        <f t="shared" si="376"/>
        <v>1.9249999999999972</v>
      </c>
      <c r="AN490" s="9">
        <f t="shared" si="377"/>
        <v>0.5</v>
      </c>
      <c r="AO490" s="9">
        <f t="shared" si="378"/>
        <v>1.0499999999999972</v>
      </c>
      <c r="AP490" s="9">
        <f t="shared" si="379"/>
        <v>2.4249999999999972</v>
      </c>
      <c r="AQ490" s="9">
        <f t="shared" si="380"/>
        <v>4.5</v>
      </c>
      <c r="AR490" s="9">
        <f t="shared" si="381"/>
        <v>5.2999999999999972</v>
      </c>
      <c r="AS490" s="9">
        <f t="shared" si="382"/>
        <v>-0.19999999999999574</v>
      </c>
      <c r="AT490" s="9">
        <f t="shared" si="383"/>
        <v>0.10000000000000142</v>
      </c>
      <c r="AU490" s="9">
        <f t="shared" si="384"/>
        <v>0</v>
      </c>
      <c r="AV490" s="9">
        <f t="shared" si="385"/>
        <v>-0.39999999999999858</v>
      </c>
      <c r="AW490" s="9">
        <f t="shared" si="386"/>
        <v>-3.6999999999999957</v>
      </c>
      <c r="AX490" s="9">
        <f t="shared" si="387"/>
        <v>-4.1999999999999957</v>
      </c>
      <c r="AY490" s="9">
        <f t="shared" si="388"/>
        <v>-3.2749999999999986</v>
      </c>
      <c r="AZ490" s="9">
        <f t="shared" si="389"/>
        <v>-1.1999999999999957</v>
      </c>
      <c r="BA490" s="9">
        <f t="shared" si="390"/>
        <v>-0.39999999999999858</v>
      </c>
      <c r="BB490" s="9">
        <f t="shared" si="391"/>
        <v>-0.5</v>
      </c>
      <c r="BC490" s="9">
        <f t="shared" si="392"/>
        <v>0</v>
      </c>
      <c r="BD490" s="9">
        <f t="shared" si="393"/>
        <v>-0.20000000000000284</v>
      </c>
      <c r="BE490" s="9">
        <f t="shared" si="394"/>
        <v>-0.66330000000000311</v>
      </c>
      <c r="BF490" s="9">
        <f t="shared" si="395"/>
        <v>-4.2000000000000028</v>
      </c>
      <c r="BG490" s="9">
        <f t="shared" si="396"/>
        <v>-4.8500000000000014</v>
      </c>
      <c r="BH490" s="9">
        <f t="shared" si="397"/>
        <v>-3.8500000000000014</v>
      </c>
      <c r="BI490" s="9">
        <f t="shared" si="398"/>
        <v>-1.8500000000000014</v>
      </c>
      <c r="BJ490" s="9">
        <f t="shared" si="399"/>
        <v>-1.1000000000000014</v>
      </c>
    </row>
    <row r="491" spans="1:62" x14ac:dyDescent="0.2">
      <c r="A491" s="9">
        <f>data!M492-data!M491</f>
        <v>5.6399999999996453E-2</v>
      </c>
      <c r="B491" s="9">
        <f>data!C492-data!C491</f>
        <v>4.0000000000000924E-2</v>
      </c>
      <c r="C491" s="9">
        <f>data!D492-data!D491</f>
        <v>-0.33000000000000007</v>
      </c>
      <c r="D491" s="10">
        <f>data!B492-data!B491</f>
        <v>0.24249999999999994</v>
      </c>
      <c r="E491" s="9">
        <f>data!E491-data!G491</f>
        <v>1.9450999999999998</v>
      </c>
      <c r="F491" s="9">
        <f>(data!E491-data!F491)-(data!G491-data!H491)</f>
        <v>1.6806999999999999</v>
      </c>
      <c r="G491" s="9">
        <f t="shared" si="350"/>
        <v>-4.2199999999999571E-2</v>
      </c>
      <c r="H491" s="9">
        <f t="shared" si="351"/>
        <v>-6.5799999999999859E-2</v>
      </c>
      <c r="I491" s="9">
        <f>IF(data!M492&gt; 111.81,1,0)</f>
        <v>0</v>
      </c>
      <c r="J491" s="9">
        <f t="shared" si="352"/>
        <v>1</v>
      </c>
      <c r="K491" s="9">
        <f t="shared" si="353"/>
        <v>0</v>
      </c>
      <c r="L491" s="9">
        <f t="shared" si="354"/>
        <v>5.6399999999996453E-2</v>
      </c>
      <c r="M491" s="9">
        <f>data!J491</f>
        <v>-19</v>
      </c>
      <c r="N491" s="9">
        <f>data!I491</f>
        <v>-45.8</v>
      </c>
      <c r="O491" s="9">
        <f>data!L491</f>
        <v>-55.9</v>
      </c>
      <c r="P491" s="9">
        <f>data!K491</f>
        <v>-40.299999999999997</v>
      </c>
      <c r="Q491" s="9">
        <f>data!R491</f>
        <v>-29.4</v>
      </c>
      <c r="R491" s="9">
        <f t="shared" si="355"/>
        <v>1</v>
      </c>
      <c r="S491" s="9">
        <f t="shared" si="356"/>
        <v>1.8500000000000014</v>
      </c>
      <c r="T491" s="9">
        <f t="shared" si="357"/>
        <v>2</v>
      </c>
      <c r="U491" s="9">
        <f t="shared" si="358"/>
        <v>2.6999999999999993</v>
      </c>
      <c r="V491" s="9">
        <f t="shared" si="359"/>
        <v>2.1999999999999993</v>
      </c>
      <c r="W491" s="9">
        <f t="shared" si="360"/>
        <v>0.75</v>
      </c>
      <c r="X491" s="9">
        <f t="shared" si="361"/>
        <v>0</v>
      </c>
      <c r="Y491" s="9">
        <f t="shared" si="362"/>
        <v>-1.25</v>
      </c>
      <c r="Z491" s="9">
        <f t="shared" si="363"/>
        <v>-2.25</v>
      </c>
      <c r="AA491" s="9">
        <f t="shared" si="364"/>
        <v>1.0999999999999943</v>
      </c>
      <c r="AB491" s="9">
        <f t="shared" si="365"/>
        <v>2.3999999999999986</v>
      </c>
      <c r="AC491" s="9">
        <f t="shared" si="366"/>
        <v>4.6999999999999957</v>
      </c>
      <c r="AD491" s="9">
        <f t="shared" si="367"/>
        <v>4</v>
      </c>
      <c r="AE491" s="9">
        <f t="shared" si="368"/>
        <v>5.2999999999999972</v>
      </c>
      <c r="AF491" s="9">
        <f t="shared" si="369"/>
        <v>6.0499999999999972</v>
      </c>
      <c r="AG491" s="9">
        <f t="shared" si="370"/>
        <v>7</v>
      </c>
      <c r="AH491" s="9">
        <f t="shared" si="371"/>
        <v>6.7999999999999972</v>
      </c>
      <c r="AI491" s="9">
        <f t="shared" si="372"/>
        <v>6.0499999999999972</v>
      </c>
      <c r="AJ491" s="9">
        <f t="shared" si="373"/>
        <v>0.89999999999999858</v>
      </c>
      <c r="AK491" s="9">
        <f t="shared" si="374"/>
        <v>1.2999999999999972</v>
      </c>
      <c r="AL491" s="9">
        <f t="shared" si="375"/>
        <v>2.0249999999999986</v>
      </c>
      <c r="AM491" s="9">
        <f t="shared" si="376"/>
        <v>0.60000000000000142</v>
      </c>
      <c r="AN491" s="9">
        <f t="shared" si="377"/>
        <v>1.1499999999999986</v>
      </c>
      <c r="AO491" s="9">
        <f t="shared" si="378"/>
        <v>2.5249999999999986</v>
      </c>
      <c r="AP491" s="9">
        <f t="shared" si="379"/>
        <v>4.6000000000000014</v>
      </c>
      <c r="AQ491" s="9">
        <f t="shared" si="380"/>
        <v>5.3999999999999986</v>
      </c>
      <c r="AR491" s="9">
        <f t="shared" si="381"/>
        <v>5.5249999999999986</v>
      </c>
      <c r="AS491" s="9">
        <f t="shared" si="382"/>
        <v>0.29999999999999716</v>
      </c>
      <c r="AT491" s="9">
        <f t="shared" si="383"/>
        <v>0.19999999999999574</v>
      </c>
      <c r="AU491" s="9">
        <f t="shared" si="384"/>
        <v>-0.20000000000000284</v>
      </c>
      <c r="AV491" s="9">
        <f t="shared" si="385"/>
        <v>-3.5</v>
      </c>
      <c r="AW491" s="9">
        <f t="shared" si="386"/>
        <v>-4</v>
      </c>
      <c r="AX491" s="9">
        <f t="shared" si="387"/>
        <v>-3.0750000000000028</v>
      </c>
      <c r="AY491" s="9">
        <f t="shared" si="388"/>
        <v>-1</v>
      </c>
      <c r="AZ491" s="9">
        <f t="shared" si="389"/>
        <v>-0.20000000000000284</v>
      </c>
      <c r="BA491" s="9">
        <f t="shared" si="390"/>
        <v>-7.5000000000002842E-2</v>
      </c>
      <c r="BB491" s="9">
        <f t="shared" si="391"/>
        <v>0.5</v>
      </c>
      <c r="BC491" s="9">
        <f t="shared" si="392"/>
        <v>0.29999999999999716</v>
      </c>
      <c r="BD491" s="9">
        <f t="shared" si="393"/>
        <v>-0.16330000000000311</v>
      </c>
      <c r="BE491" s="9">
        <f t="shared" si="394"/>
        <v>-3.7000000000000028</v>
      </c>
      <c r="BF491" s="9">
        <f t="shared" si="395"/>
        <v>-4.3500000000000014</v>
      </c>
      <c r="BG491" s="9">
        <f t="shared" si="396"/>
        <v>-3.3500000000000014</v>
      </c>
      <c r="BH491" s="9">
        <f t="shared" si="397"/>
        <v>-1.3500000000000014</v>
      </c>
      <c r="BI491" s="9">
        <f t="shared" si="398"/>
        <v>-0.60000000000000142</v>
      </c>
      <c r="BJ491" s="9">
        <f t="shared" si="399"/>
        <v>-0.47500000000000142</v>
      </c>
    </row>
    <row r="492" spans="1:62" x14ac:dyDescent="0.2">
      <c r="A492" s="9">
        <f>data!M493-data!M492</f>
        <v>0.14629999999999654</v>
      </c>
      <c r="B492" s="9">
        <f>data!C493-data!C492</f>
        <v>-0.66999999999999993</v>
      </c>
      <c r="C492" s="9">
        <f>data!D493-data!D492</f>
        <v>-5.5000000000000604E-2</v>
      </c>
      <c r="D492" s="10">
        <f>data!B493-data!B492</f>
        <v>4.0000000000000036E-2</v>
      </c>
      <c r="E492" s="9">
        <f>data!E492-data!G492</f>
        <v>1.9029000000000003</v>
      </c>
      <c r="F492" s="9">
        <f>(data!E492-data!F492)-(data!G492-data!H492)</f>
        <v>1.6149</v>
      </c>
      <c r="G492" s="9">
        <f t="shared" si="350"/>
        <v>8.8999999999999746E-2</v>
      </c>
      <c r="H492" s="9">
        <f t="shared" si="351"/>
        <v>6.1199999999999921E-2</v>
      </c>
      <c r="I492" s="9">
        <f>IF(data!M493&gt; 111.81,1,0)</f>
        <v>0</v>
      </c>
      <c r="J492" s="9">
        <f t="shared" si="352"/>
        <v>1</v>
      </c>
      <c r="K492" s="9">
        <f t="shared" si="353"/>
        <v>0</v>
      </c>
      <c r="L492" s="9">
        <f t="shared" si="354"/>
        <v>0.14629999999999654</v>
      </c>
      <c r="M492" s="9">
        <f>data!J492</f>
        <v>-18</v>
      </c>
      <c r="N492" s="9">
        <f>data!I492</f>
        <v>-44.7</v>
      </c>
      <c r="O492" s="9">
        <f>data!L492</f>
        <v>-55</v>
      </c>
      <c r="P492" s="9">
        <f>data!K492</f>
        <v>-40</v>
      </c>
      <c r="Q492" s="9">
        <f>data!R492</f>
        <v>-28.9</v>
      </c>
      <c r="R492" s="9">
        <f t="shared" si="355"/>
        <v>0.85000000000000142</v>
      </c>
      <c r="S492" s="9">
        <f t="shared" si="356"/>
        <v>1</v>
      </c>
      <c r="T492" s="9">
        <f t="shared" si="357"/>
        <v>1.6999999999999993</v>
      </c>
      <c r="U492" s="9">
        <f t="shared" si="358"/>
        <v>1.1999999999999993</v>
      </c>
      <c r="V492" s="9">
        <f t="shared" si="359"/>
        <v>-0.25</v>
      </c>
      <c r="W492" s="9">
        <f t="shared" si="360"/>
        <v>-1</v>
      </c>
      <c r="X492" s="9">
        <f t="shared" si="361"/>
        <v>-2.25</v>
      </c>
      <c r="Y492" s="9">
        <f t="shared" si="362"/>
        <v>-3.25</v>
      </c>
      <c r="Z492" s="9">
        <f t="shared" si="363"/>
        <v>-2</v>
      </c>
      <c r="AA492" s="9">
        <f t="shared" si="364"/>
        <v>1.3000000000000043</v>
      </c>
      <c r="AB492" s="9">
        <f t="shared" si="365"/>
        <v>3.6000000000000014</v>
      </c>
      <c r="AC492" s="9">
        <f t="shared" si="366"/>
        <v>2.9000000000000057</v>
      </c>
      <c r="AD492" s="9">
        <f t="shared" si="367"/>
        <v>4.2000000000000028</v>
      </c>
      <c r="AE492" s="9">
        <f t="shared" si="368"/>
        <v>4.9500000000000028</v>
      </c>
      <c r="AF492" s="9">
        <f t="shared" si="369"/>
        <v>5.9000000000000057</v>
      </c>
      <c r="AG492" s="9">
        <f t="shared" si="370"/>
        <v>5.7000000000000028</v>
      </c>
      <c r="AH492" s="9">
        <f t="shared" si="371"/>
        <v>4.9500000000000028</v>
      </c>
      <c r="AI492" s="9">
        <f t="shared" si="372"/>
        <v>4.9500000000000028</v>
      </c>
      <c r="AJ492" s="9">
        <f t="shared" si="373"/>
        <v>0.39999999999999858</v>
      </c>
      <c r="AK492" s="9">
        <f t="shared" si="374"/>
        <v>1.125</v>
      </c>
      <c r="AL492" s="9">
        <f t="shared" si="375"/>
        <v>-0.29999999999999716</v>
      </c>
      <c r="AM492" s="9">
        <f t="shared" si="376"/>
        <v>0.25</v>
      </c>
      <c r="AN492" s="9">
        <f t="shared" si="377"/>
        <v>1.625</v>
      </c>
      <c r="AO492" s="9">
        <f t="shared" si="378"/>
        <v>3.7000000000000028</v>
      </c>
      <c r="AP492" s="9">
        <f t="shared" si="379"/>
        <v>4.5</v>
      </c>
      <c r="AQ492" s="9">
        <f t="shared" si="380"/>
        <v>4.625</v>
      </c>
      <c r="AR492" s="9">
        <f t="shared" si="381"/>
        <v>5</v>
      </c>
      <c r="AS492" s="9">
        <f t="shared" si="382"/>
        <v>-0.10000000000000142</v>
      </c>
      <c r="AT492" s="9">
        <f t="shared" si="383"/>
        <v>-0.5</v>
      </c>
      <c r="AU492" s="9">
        <f t="shared" si="384"/>
        <v>-3.7999999999999972</v>
      </c>
      <c r="AV492" s="9">
        <f t="shared" si="385"/>
        <v>-4.2999999999999972</v>
      </c>
      <c r="AW492" s="9">
        <f t="shared" si="386"/>
        <v>-3.375</v>
      </c>
      <c r="AX492" s="9">
        <f t="shared" si="387"/>
        <v>-1.2999999999999972</v>
      </c>
      <c r="AY492" s="9">
        <f t="shared" si="388"/>
        <v>-0.5</v>
      </c>
      <c r="AZ492" s="9">
        <f t="shared" si="389"/>
        <v>-0.375</v>
      </c>
      <c r="BA492" s="9">
        <f t="shared" si="390"/>
        <v>-0.5</v>
      </c>
      <c r="BB492" s="9">
        <f t="shared" si="391"/>
        <v>-0.20000000000000284</v>
      </c>
      <c r="BC492" s="9">
        <f t="shared" si="392"/>
        <v>-0.66330000000000311</v>
      </c>
      <c r="BD492" s="9">
        <f t="shared" si="393"/>
        <v>-4.2000000000000028</v>
      </c>
      <c r="BE492" s="9">
        <f t="shared" si="394"/>
        <v>-4.8500000000000014</v>
      </c>
      <c r="BF492" s="9">
        <f t="shared" si="395"/>
        <v>-3.8500000000000014</v>
      </c>
      <c r="BG492" s="9">
        <f t="shared" si="396"/>
        <v>-1.8500000000000014</v>
      </c>
      <c r="BH492" s="9">
        <f t="shared" si="397"/>
        <v>-1.1000000000000014</v>
      </c>
      <c r="BI492" s="9">
        <f t="shared" si="398"/>
        <v>-0.97500000000000142</v>
      </c>
      <c r="BJ492" s="9">
        <f t="shared" si="399"/>
        <v>-1.3500000000000014</v>
      </c>
    </row>
    <row r="493" spans="1:62" x14ac:dyDescent="0.2">
      <c r="A493" s="9">
        <f>data!M494-data!M493</f>
        <v>9.9000000000017963E-3</v>
      </c>
      <c r="B493" s="9">
        <f>data!C494-data!C493</f>
        <v>1.4499999999999993</v>
      </c>
      <c r="C493" s="9">
        <f>data!D494-data!D493</f>
        <v>5.2500000000000213E-2</v>
      </c>
      <c r="D493" s="10">
        <f>data!B494-data!B493</f>
        <v>0.14749999999999996</v>
      </c>
      <c r="E493" s="9">
        <f>data!E493-data!G493</f>
        <v>1.9919</v>
      </c>
      <c r="F493" s="9">
        <f>(data!E493-data!F493)-(data!G493-data!H493)</f>
        <v>1.6760999999999999</v>
      </c>
      <c r="G493" s="9">
        <f t="shared" si="350"/>
        <v>1.3400000000000079E-2</v>
      </c>
      <c r="H493" s="9">
        <f t="shared" si="351"/>
        <v>-4.0100000000000025E-2</v>
      </c>
      <c r="I493" s="9">
        <f>IF(data!M494&gt; 111.81,1,0)</f>
        <v>0</v>
      </c>
      <c r="J493" s="9">
        <f t="shared" si="352"/>
        <v>1</v>
      </c>
      <c r="K493" s="9">
        <f t="shared" si="353"/>
        <v>0</v>
      </c>
      <c r="L493" s="9">
        <f t="shared" si="354"/>
        <v>9.9000000000017963E-3</v>
      </c>
      <c r="M493" s="9">
        <f>data!J493</f>
        <v>-17.149999999999999</v>
      </c>
      <c r="N493" s="9">
        <f>data!I493</f>
        <v>-43.4</v>
      </c>
      <c r="O493" s="9">
        <f>data!L493</f>
        <v>-54.6</v>
      </c>
      <c r="P493" s="9">
        <f>data!K493</f>
        <v>-40.1</v>
      </c>
      <c r="Q493" s="9">
        <f>data!R493</f>
        <v>-29.1</v>
      </c>
      <c r="R493" s="9">
        <f t="shared" si="355"/>
        <v>0.14999999999999858</v>
      </c>
      <c r="S493" s="9">
        <f t="shared" si="356"/>
        <v>0.84999999999999787</v>
      </c>
      <c r="T493" s="9">
        <f t="shared" si="357"/>
        <v>0.34999999999999787</v>
      </c>
      <c r="U493" s="9">
        <f t="shared" si="358"/>
        <v>-1.1000000000000014</v>
      </c>
      <c r="V493" s="9">
        <f t="shared" si="359"/>
        <v>-1.8500000000000014</v>
      </c>
      <c r="W493" s="9">
        <f t="shared" si="360"/>
        <v>-3.1000000000000014</v>
      </c>
      <c r="X493" s="9">
        <f t="shared" si="361"/>
        <v>-4.1000000000000014</v>
      </c>
      <c r="Y493" s="9">
        <f t="shared" si="362"/>
        <v>-2.8500000000000014</v>
      </c>
      <c r="Z493" s="9">
        <f t="shared" si="363"/>
        <v>-4.8500000000000014</v>
      </c>
      <c r="AA493" s="9">
        <f t="shared" si="364"/>
        <v>2.2999999999999972</v>
      </c>
      <c r="AB493" s="9">
        <f t="shared" si="365"/>
        <v>1.6000000000000014</v>
      </c>
      <c r="AC493" s="9">
        <f t="shared" si="366"/>
        <v>2.8999999999999986</v>
      </c>
      <c r="AD493" s="9">
        <f t="shared" si="367"/>
        <v>3.6499999999999986</v>
      </c>
      <c r="AE493" s="9">
        <f t="shared" si="368"/>
        <v>4.6000000000000014</v>
      </c>
      <c r="AF493" s="9">
        <f t="shared" si="369"/>
        <v>4.3999999999999986</v>
      </c>
      <c r="AG493" s="9">
        <f t="shared" si="370"/>
        <v>3.6499999999999986</v>
      </c>
      <c r="AH493" s="9">
        <f t="shared" si="371"/>
        <v>3.6499999999999986</v>
      </c>
      <c r="AI493" s="9">
        <f t="shared" si="372"/>
        <v>-0.89999999999999858</v>
      </c>
      <c r="AJ493" s="9">
        <f t="shared" si="373"/>
        <v>0.72500000000000142</v>
      </c>
      <c r="AK493" s="9">
        <f t="shared" si="374"/>
        <v>-0.69999999999999574</v>
      </c>
      <c r="AL493" s="9">
        <f t="shared" si="375"/>
        <v>-0.14999999999999858</v>
      </c>
      <c r="AM493" s="9">
        <f t="shared" si="376"/>
        <v>1.2250000000000014</v>
      </c>
      <c r="AN493" s="9">
        <f t="shared" si="377"/>
        <v>3.3000000000000043</v>
      </c>
      <c r="AO493" s="9">
        <f t="shared" si="378"/>
        <v>4.1000000000000014</v>
      </c>
      <c r="AP493" s="9">
        <f t="shared" si="379"/>
        <v>4.2250000000000014</v>
      </c>
      <c r="AQ493" s="9">
        <f t="shared" si="380"/>
        <v>4.6000000000000014</v>
      </c>
      <c r="AR493" s="9">
        <f t="shared" si="381"/>
        <v>0.10000000000000142</v>
      </c>
      <c r="AS493" s="9">
        <f t="shared" si="382"/>
        <v>-0.39999999999999858</v>
      </c>
      <c r="AT493" s="9">
        <f t="shared" si="383"/>
        <v>-3.6999999999999957</v>
      </c>
      <c r="AU493" s="9">
        <f t="shared" si="384"/>
        <v>-4.1999999999999957</v>
      </c>
      <c r="AV493" s="9">
        <f t="shared" si="385"/>
        <v>-3.2749999999999986</v>
      </c>
      <c r="AW493" s="9">
        <f t="shared" si="386"/>
        <v>-1.1999999999999957</v>
      </c>
      <c r="AX493" s="9">
        <f t="shared" si="387"/>
        <v>-0.39999999999999858</v>
      </c>
      <c r="AY493" s="9">
        <f t="shared" si="388"/>
        <v>-0.27499999999999858</v>
      </c>
      <c r="AZ493" s="9">
        <f t="shared" si="389"/>
        <v>-0.39999999999999858</v>
      </c>
      <c r="BA493" s="9">
        <f t="shared" si="390"/>
        <v>-4.1999999999999957</v>
      </c>
      <c r="BB493" s="9">
        <f t="shared" si="391"/>
        <v>-0.46330000000000027</v>
      </c>
      <c r="BC493" s="9">
        <f t="shared" si="392"/>
        <v>-4</v>
      </c>
      <c r="BD493" s="9">
        <f t="shared" si="393"/>
        <v>-4.6499999999999986</v>
      </c>
      <c r="BE493" s="9">
        <f t="shared" si="394"/>
        <v>-3.6499999999999986</v>
      </c>
      <c r="BF493" s="9">
        <f t="shared" si="395"/>
        <v>-1.6499999999999986</v>
      </c>
      <c r="BG493" s="9">
        <f t="shared" si="396"/>
        <v>-0.89999999999999858</v>
      </c>
      <c r="BH493" s="9">
        <f t="shared" si="397"/>
        <v>-0.77499999999999858</v>
      </c>
      <c r="BI493" s="9">
        <f t="shared" si="398"/>
        <v>-1.1499999999999986</v>
      </c>
      <c r="BJ493" s="9">
        <f t="shared" si="399"/>
        <v>-4.7999999999999972</v>
      </c>
    </row>
    <row r="494" spans="1:62" x14ac:dyDescent="0.2">
      <c r="A494" s="9">
        <f>data!M495-data!M494</f>
        <v>-0.15769999999999129</v>
      </c>
      <c r="B494" s="9">
        <f>data!C495-data!C494</f>
        <v>-1.33</v>
      </c>
      <c r="C494" s="9">
        <f>data!D495-data!D494</f>
        <v>-0.26250000000000018</v>
      </c>
      <c r="D494" s="10">
        <f>data!B495-data!B494</f>
        <v>-5.2499999999999991E-2</v>
      </c>
      <c r="E494" s="9">
        <f>data!E494-data!G494</f>
        <v>2.0053000000000001</v>
      </c>
      <c r="F494" s="9">
        <f>(data!E494-data!F494)-(data!G494-data!H494)</f>
        <v>1.6359999999999999</v>
      </c>
      <c r="G494" s="9">
        <f t="shared" si="350"/>
        <v>1.7900000000000027E-2</v>
      </c>
      <c r="H494" s="9">
        <f t="shared" si="351"/>
        <v>1.1099999999999888E-2</v>
      </c>
      <c r="I494" s="9">
        <f>IF(data!M495&gt; 111.81,1,0)</f>
        <v>0</v>
      </c>
      <c r="J494" s="9">
        <f t="shared" si="352"/>
        <v>1</v>
      </c>
      <c r="K494" s="9">
        <f t="shared" si="353"/>
        <v>0</v>
      </c>
      <c r="L494" s="9">
        <f t="shared" si="354"/>
        <v>-0.15769999999999129</v>
      </c>
      <c r="M494" s="9">
        <f>data!J494</f>
        <v>-17</v>
      </c>
      <c r="N494" s="9">
        <f>data!I494</f>
        <v>-41.1</v>
      </c>
      <c r="O494" s="9">
        <f>data!L494</f>
        <v>-53.875</v>
      </c>
      <c r="P494" s="9">
        <f>data!K494</f>
        <v>-40.5</v>
      </c>
      <c r="Q494" s="9">
        <f>data!R494</f>
        <v>-29.563300000000002</v>
      </c>
      <c r="R494" s="9">
        <f t="shared" si="355"/>
        <v>0.69999999999999929</v>
      </c>
      <c r="S494" s="9">
        <f t="shared" si="356"/>
        <v>0.19999999999999929</v>
      </c>
      <c r="T494" s="9">
        <f t="shared" si="357"/>
        <v>-1.25</v>
      </c>
      <c r="U494" s="9">
        <f t="shared" si="358"/>
        <v>-2</v>
      </c>
      <c r="V494" s="9">
        <f t="shared" si="359"/>
        <v>-3.25</v>
      </c>
      <c r="W494" s="9">
        <f t="shared" si="360"/>
        <v>-4.25</v>
      </c>
      <c r="X494" s="9">
        <f t="shared" si="361"/>
        <v>-3</v>
      </c>
      <c r="Y494" s="9">
        <f t="shared" si="362"/>
        <v>-5</v>
      </c>
      <c r="Z494" s="9">
        <f t="shared" si="363"/>
        <v>-5</v>
      </c>
      <c r="AA494" s="9">
        <f t="shared" si="364"/>
        <v>-0.69999999999999574</v>
      </c>
      <c r="AB494" s="9">
        <f t="shared" si="365"/>
        <v>0.60000000000000142</v>
      </c>
      <c r="AC494" s="9">
        <f t="shared" si="366"/>
        <v>1.3500000000000014</v>
      </c>
      <c r="AD494" s="9">
        <f t="shared" si="367"/>
        <v>2.3000000000000043</v>
      </c>
      <c r="AE494" s="9">
        <f t="shared" si="368"/>
        <v>2.1000000000000014</v>
      </c>
      <c r="AF494" s="9">
        <f t="shared" si="369"/>
        <v>1.3500000000000014</v>
      </c>
      <c r="AG494" s="9">
        <f t="shared" si="370"/>
        <v>1.3500000000000014</v>
      </c>
      <c r="AH494" s="9">
        <f t="shared" si="371"/>
        <v>-3.1999999999999957</v>
      </c>
      <c r="AI494" s="9">
        <f t="shared" si="372"/>
        <v>-2.8999999999999986</v>
      </c>
      <c r="AJ494" s="9">
        <f t="shared" si="373"/>
        <v>-1.4249999999999972</v>
      </c>
      <c r="AK494" s="9">
        <f t="shared" si="374"/>
        <v>-0.875</v>
      </c>
      <c r="AL494" s="9">
        <f t="shared" si="375"/>
        <v>0.5</v>
      </c>
      <c r="AM494" s="9">
        <f t="shared" si="376"/>
        <v>2.5750000000000028</v>
      </c>
      <c r="AN494" s="9">
        <f t="shared" si="377"/>
        <v>3.375</v>
      </c>
      <c r="AO494" s="9">
        <f t="shared" si="378"/>
        <v>3.5</v>
      </c>
      <c r="AP494" s="9">
        <f t="shared" si="379"/>
        <v>3.875</v>
      </c>
      <c r="AQ494" s="9">
        <f t="shared" si="380"/>
        <v>-0.625</v>
      </c>
      <c r="AR494" s="9">
        <f t="shared" si="381"/>
        <v>-0.125</v>
      </c>
      <c r="AS494" s="9">
        <f t="shared" si="382"/>
        <v>-3.2999999999999972</v>
      </c>
      <c r="AT494" s="9">
        <f t="shared" si="383"/>
        <v>-3.7999999999999972</v>
      </c>
      <c r="AU494" s="9">
        <f t="shared" si="384"/>
        <v>-2.875</v>
      </c>
      <c r="AV494" s="9">
        <f t="shared" si="385"/>
        <v>-0.79999999999999716</v>
      </c>
      <c r="AW494" s="9">
        <f t="shared" si="386"/>
        <v>0</v>
      </c>
      <c r="AX494" s="9">
        <f t="shared" si="387"/>
        <v>0.125</v>
      </c>
      <c r="AY494" s="9">
        <f t="shared" si="388"/>
        <v>0</v>
      </c>
      <c r="AZ494" s="9">
        <f t="shared" si="389"/>
        <v>-3.7999999999999972</v>
      </c>
      <c r="BA494" s="9">
        <f t="shared" si="390"/>
        <v>-3.7999999999999972</v>
      </c>
      <c r="BB494" s="9">
        <f t="shared" si="391"/>
        <v>-3.5366999999999997</v>
      </c>
      <c r="BC494" s="9">
        <f t="shared" si="392"/>
        <v>-4.1866999999999983</v>
      </c>
      <c r="BD494" s="9">
        <f t="shared" si="393"/>
        <v>-3.1866999999999983</v>
      </c>
      <c r="BE494" s="9">
        <f t="shared" si="394"/>
        <v>-1.1866999999999983</v>
      </c>
      <c r="BF494" s="9">
        <f t="shared" si="395"/>
        <v>-0.43669999999999831</v>
      </c>
      <c r="BG494" s="9">
        <f t="shared" si="396"/>
        <v>-0.31169999999999831</v>
      </c>
      <c r="BH494" s="9">
        <f t="shared" si="397"/>
        <v>-0.68669999999999831</v>
      </c>
      <c r="BI494" s="9">
        <f t="shared" si="398"/>
        <v>-4.3366999999999969</v>
      </c>
      <c r="BJ494" s="9">
        <f t="shared" si="399"/>
        <v>-4.0366999999999997</v>
      </c>
    </row>
    <row r="495" spans="1:62" x14ac:dyDescent="0.2">
      <c r="A495" s="9">
        <f>data!M496-data!M495</f>
        <v>-0.36079999999999757</v>
      </c>
      <c r="B495" s="9">
        <f>data!C496-data!C495</f>
        <v>0.41000000000000014</v>
      </c>
      <c r="C495" s="9">
        <f>data!D496-data!D495</f>
        <v>7.5000000000000178E-2</v>
      </c>
      <c r="D495" s="10">
        <f>data!B496-data!B495</f>
        <v>-4.4999999999999929E-2</v>
      </c>
      <c r="E495" s="9">
        <f>data!E495-data!G495</f>
        <v>2.0232000000000001</v>
      </c>
      <c r="F495" s="9">
        <f>(data!E495-data!F495)-(data!G495-data!H495)</f>
        <v>1.6470999999999998</v>
      </c>
      <c r="G495" s="9">
        <f t="shared" si="350"/>
        <v>-4.8200000000000465E-2</v>
      </c>
      <c r="H495" s="9">
        <f t="shared" si="351"/>
        <v>-5.5800000000000072E-2</v>
      </c>
      <c r="I495" s="9">
        <f>IF(data!M496&gt; 111.81,1,0)</f>
        <v>0</v>
      </c>
      <c r="J495" s="9">
        <f t="shared" si="352"/>
        <v>1</v>
      </c>
      <c r="K495" s="9">
        <f t="shared" si="353"/>
        <v>0</v>
      </c>
      <c r="L495" s="9">
        <f t="shared" si="354"/>
        <v>-0.36079999999999757</v>
      </c>
      <c r="M495" s="9">
        <f>data!J495</f>
        <v>-16.3</v>
      </c>
      <c r="N495" s="9">
        <f>data!I495</f>
        <v>-41.8</v>
      </c>
      <c r="O495" s="9">
        <f>data!L495</f>
        <v>-55.3</v>
      </c>
      <c r="P495" s="9">
        <f>data!K495</f>
        <v>-43.8</v>
      </c>
      <c r="Q495" s="9">
        <f>data!R495</f>
        <v>-33.1</v>
      </c>
      <c r="R495" s="9">
        <f t="shared" si="355"/>
        <v>-0.5</v>
      </c>
      <c r="S495" s="9">
        <f t="shared" si="356"/>
        <v>-1.9499999999999993</v>
      </c>
      <c r="T495" s="9">
        <f t="shared" si="357"/>
        <v>-2.6999999999999993</v>
      </c>
      <c r="U495" s="9">
        <f t="shared" si="358"/>
        <v>-3.9499999999999993</v>
      </c>
      <c r="V495" s="9">
        <f t="shared" si="359"/>
        <v>-4.9499999999999993</v>
      </c>
      <c r="W495" s="9">
        <f t="shared" si="360"/>
        <v>-3.6999999999999993</v>
      </c>
      <c r="X495" s="9">
        <f t="shared" si="361"/>
        <v>-5.6999999999999993</v>
      </c>
      <c r="Y495" s="9">
        <f t="shared" si="362"/>
        <v>-5.6999999999999993</v>
      </c>
      <c r="Z495" s="9">
        <f t="shared" si="363"/>
        <v>-6.5999999999999979</v>
      </c>
      <c r="AA495" s="9">
        <f t="shared" si="364"/>
        <v>1.2999999999999972</v>
      </c>
      <c r="AB495" s="9">
        <f t="shared" si="365"/>
        <v>2.0499999999999972</v>
      </c>
      <c r="AC495" s="9">
        <f t="shared" si="366"/>
        <v>3</v>
      </c>
      <c r="AD495" s="9">
        <f t="shared" si="367"/>
        <v>2.7999999999999972</v>
      </c>
      <c r="AE495" s="9">
        <f t="shared" si="368"/>
        <v>2.0499999999999972</v>
      </c>
      <c r="AF495" s="9">
        <f t="shared" si="369"/>
        <v>2.0499999999999972</v>
      </c>
      <c r="AG495" s="9">
        <f t="shared" si="370"/>
        <v>-2.5</v>
      </c>
      <c r="AH495" s="9">
        <f t="shared" si="371"/>
        <v>-2.2000000000000028</v>
      </c>
      <c r="AI495" s="9">
        <f t="shared" si="372"/>
        <v>-5.2000000000000028</v>
      </c>
      <c r="AJ495" s="9">
        <f t="shared" si="373"/>
        <v>0.54999999999999716</v>
      </c>
      <c r="AK495" s="9">
        <f t="shared" si="374"/>
        <v>1.9249999999999972</v>
      </c>
      <c r="AL495" s="9">
        <f t="shared" si="375"/>
        <v>4</v>
      </c>
      <c r="AM495" s="9">
        <f t="shared" si="376"/>
        <v>4.7999999999999972</v>
      </c>
      <c r="AN495" s="9">
        <f t="shared" si="377"/>
        <v>4.9249999999999972</v>
      </c>
      <c r="AO495" s="9">
        <f t="shared" si="378"/>
        <v>5.2999999999999972</v>
      </c>
      <c r="AP495" s="9">
        <f t="shared" si="379"/>
        <v>0.79999999999999716</v>
      </c>
      <c r="AQ495" s="9">
        <f t="shared" si="380"/>
        <v>1.2999999999999972</v>
      </c>
      <c r="AR495" s="9">
        <f t="shared" si="381"/>
        <v>-1.2000000000000028</v>
      </c>
      <c r="AS495" s="9">
        <f t="shared" si="382"/>
        <v>-0.5</v>
      </c>
      <c r="AT495" s="9">
        <f t="shared" si="383"/>
        <v>0.42499999999999716</v>
      </c>
      <c r="AU495" s="9">
        <f t="shared" si="384"/>
        <v>2.5</v>
      </c>
      <c r="AV495" s="9">
        <f t="shared" si="385"/>
        <v>3.2999999999999972</v>
      </c>
      <c r="AW495" s="9">
        <f t="shared" si="386"/>
        <v>3.4249999999999972</v>
      </c>
      <c r="AX495" s="9">
        <f t="shared" si="387"/>
        <v>3.2999999999999972</v>
      </c>
      <c r="AY495" s="9">
        <f t="shared" si="388"/>
        <v>-0.5</v>
      </c>
      <c r="AZ495" s="9">
        <f t="shared" si="389"/>
        <v>-0.5</v>
      </c>
      <c r="BA495" s="9">
        <f t="shared" si="390"/>
        <v>-2.7000000000000028</v>
      </c>
      <c r="BB495" s="9">
        <f t="shared" si="391"/>
        <v>-0.64999999999999858</v>
      </c>
      <c r="BC495" s="9">
        <f t="shared" si="392"/>
        <v>0.35000000000000142</v>
      </c>
      <c r="BD495" s="9">
        <f t="shared" si="393"/>
        <v>2.3500000000000014</v>
      </c>
      <c r="BE495" s="9">
        <f t="shared" si="394"/>
        <v>3.1000000000000014</v>
      </c>
      <c r="BF495" s="9">
        <f t="shared" si="395"/>
        <v>3.2250000000000014</v>
      </c>
      <c r="BG495" s="9">
        <f t="shared" si="396"/>
        <v>2.8500000000000014</v>
      </c>
      <c r="BH495" s="9">
        <f t="shared" si="397"/>
        <v>-0.79999999999999716</v>
      </c>
      <c r="BI495" s="9">
        <f t="shared" si="398"/>
        <v>-0.5</v>
      </c>
      <c r="BJ495" s="9">
        <f t="shared" si="399"/>
        <v>-2.8999999999999986</v>
      </c>
    </row>
    <row r="496" spans="1:62" x14ac:dyDescent="0.2">
      <c r="A496" s="9">
        <f>data!M497-data!M496</f>
        <v>-8.3400000000011687E-2</v>
      </c>
      <c r="B496" s="9">
        <f>data!C497-data!C496</f>
        <v>-0.9399999999999995</v>
      </c>
      <c r="C496" s="9">
        <f>data!D497-data!D496</f>
        <v>-0.66999999999999993</v>
      </c>
      <c r="D496" s="10">
        <f>data!B497-data!B496</f>
        <v>-6.25E-2</v>
      </c>
      <c r="E496" s="9">
        <f>data!E496-data!G496</f>
        <v>1.9749999999999996</v>
      </c>
      <c r="F496" s="9">
        <f>(data!E496-data!F496)-(data!G496-data!H496)</f>
        <v>1.5912999999999997</v>
      </c>
      <c r="G496" s="9">
        <f t="shared" si="350"/>
        <v>9.8300000000000498E-2</v>
      </c>
      <c r="H496" s="9">
        <f t="shared" si="351"/>
        <v>4.4100000000000472E-2</v>
      </c>
      <c r="I496" s="9">
        <f>IF(data!M497&gt; 111.81,1,0)</f>
        <v>0</v>
      </c>
      <c r="J496" s="9">
        <f t="shared" si="352"/>
        <v>1</v>
      </c>
      <c r="K496" s="9">
        <f t="shared" si="353"/>
        <v>0</v>
      </c>
      <c r="L496" s="9">
        <f t="shared" si="354"/>
        <v>-8.3400000000011687E-2</v>
      </c>
      <c r="M496" s="9">
        <f>data!J496</f>
        <v>-16.8</v>
      </c>
      <c r="N496" s="9">
        <f>data!I496</f>
        <v>-40.5</v>
      </c>
      <c r="O496" s="9">
        <f>data!L496</f>
        <v>-54.75</v>
      </c>
      <c r="P496" s="9">
        <f>data!K496</f>
        <v>-44.3</v>
      </c>
      <c r="Q496" s="9">
        <f>data!R496</f>
        <v>-33.75</v>
      </c>
      <c r="R496" s="9">
        <f t="shared" si="355"/>
        <v>-1.4499999999999993</v>
      </c>
      <c r="S496" s="9">
        <f t="shared" si="356"/>
        <v>-2.1999999999999993</v>
      </c>
      <c r="T496" s="9">
        <f t="shared" si="357"/>
        <v>-3.4499999999999993</v>
      </c>
      <c r="U496" s="9">
        <f t="shared" si="358"/>
        <v>-4.4499999999999993</v>
      </c>
      <c r="V496" s="9">
        <f t="shared" si="359"/>
        <v>-3.1999999999999993</v>
      </c>
      <c r="W496" s="9">
        <f t="shared" si="360"/>
        <v>-5.1999999999999993</v>
      </c>
      <c r="X496" s="9">
        <f t="shared" si="361"/>
        <v>-5.1999999999999993</v>
      </c>
      <c r="Y496" s="9">
        <f t="shared" si="362"/>
        <v>-6.0999999999999979</v>
      </c>
      <c r="Z496" s="9">
        <f t="shared" si="363"/>
        <v>-4.6999999999999993</v>
      </c>
      <c r="AA496" s="9">
        <f t="shared" si="364"/>
        <v>0.75</v>
      </c>
      <c r="AB496" s="9">
        <f t="shared" si="365"/>
        <v>1.7000000000000028</v>
      </c>
      <c r="AC496" s="9">
        <f t="shared" si="366"/>
        <v>1.5</v>
      </c>
      <c r="AD496" s="9">
        <f t="shared" si="367"/>
        <v>0.75</v>
      </c>
      <c r="AE496" s="9">
        <f t="shared" si="368"/>
        <v>0.75</v>
      </c>
      <c r="AF496" s="9">
        <f t="shared" si="369"/>
        <v>-3.7999999999999972</v>
      </c>
      <c r="AG496" s="9">
        <f t="shared" si="370"/>
        <v>-3.5</v>
      </c>
      <c r="AH496" s="9">
        <f t="shared" si="371"/>
        <v>-6.5</v>
      </c>
      <c r="AI496" s="9">
        <f t="shared" si="372"/>
        <v>-7</v>
      </c>
      <c r="AJ496" s="9">
        <f t="shared" si="373"/>
        <v>1.375</v>
      </c>
      <c r="AK496" s="9">
        <f t="shared" si="374"/>
        <v>3.4500000000000028</v>
      </c>
      <c r="AL496" s="9">
        <f t="shared" si="375"/>
        <v>4.25</v>
      </c>
      <c r="AM496" s="9">
        <f t="shared" si="376"/>
        <v>4.375</v>
      </c>
      <c r="AN496" s="9">
        <f t="shared" si="377"/>
        <v>4.75</v>
      </c>
      <c r="AO496" s="9">
        <f t="shared" si="378"/>
        <v>0.25</v>
      </c>
      <c r="AP496" s="9">
        <f t="shared" si="379"/>
        <v>0.75</v>
      </c>
      <c r="AQ496" s="9">
        <f t="shared" si="380"/>
        <v>-1.75</v>
      </c>
      <c r="AR496" s="9">
        <f t="shared" si="381"/>
        <v>-2.375</v>
      </c>
      <c r="AS496" s="9">
        <f t="shared" si="382"/>
        <v>0.92499999999999716</v>
      </c>
      <c r="AT496" s="9">
        <f t="shared" si="383"/>
        <v>3</v>
      </c>
      <c r="AU496" s="9">
        <f t="shared" si="384"/>
        <v>3.7999999999999972</v>
      </c>
      <c r="AV496" s="9">
        <f t="shared" si="385"/>
        <v>3.9249999999999972</v>
      </c>
      <c r="AW496" s="9">
        <f t="shared" si="386"/>
        <v>3.7999999999999972</v>
      </c>
      <c r="AX496" s="9">
        <f t="shared" si="387"/>
        <v>0</v>
      </c>
      <c r="AY496" s="9">
        <f t="shared" si="388"/>
        <v>0</v>
      </c>
      <c r="AZ496" s="9">
        <f t="shared" si="389"/>
        <v>-2.2000000000000028</v>
      </c>
      <c r="BA496" s="9">
        <f t="shared" si="390"/>
        <v>-3.5</v>
      </c>
      <c r="BB496" s="9">
        <f t="shared" si="391"/>
        <v>1</v>
      </c>
      <c r="BC496" s="9">
        <f t="shared" si="392"/>
        <v>3</v>
      </c>
      <c r="BD496" s="9">
        <f t="shared" si="393"/>
        <v>3.75</v>
      </c>
      <c r="BE496" s="9">
        <f t="shared" si="394"/>
        <v>3.875</v>
      </c>
      <c r="BF496" s="9">
        <f t="shared" si="395"/>
        <v>3.5</v>
      </c>
      <c r="BG496" s="9">
        <f t="shared" si="396"/>
        <v>-0.14999999999999858</v>
      </c>
      <c r="BH496" s="9">
        <f t="shared" si="397"/>
        <v>0.14999999999999858</v>
      </c>
      <c r="BI496" s="9">
        <f t="shared" si="398"/>
        <v>-2.25</v>
      </c>
      <c r="BJ496" s="9">
        <f t="shared" si="399"/>
        <v>-3.5499999999999972</v>
      </c>
    </row>
    <row r="497" spans="1:62" x14ac:dyDescent="0.2">
      <c r="A497" s="9">
        <f>data!M498-data!M497</f>
        <v>0.1022000000000105</v>
      </c>
      <c r="B497" s="9">
        <f>data!C498-data!C497</f>
        <v>1.7599999999999998</v>
      </c>
      <c r="C497" s="9">
        <f>data!D498-data!D497</f>
        <v>0.24500000000000011</v>
      </c>
      <c r="D497" s="10">
        <f>data!B498-data!B497</f>
        <v>-0.10749999999999993</v>
      </c>
      <c r="E497" s="9">
        <f>data!E497-data!G497</f>
        <v>2.0733000000000001</v>
      </c>
      <c r="F497" s="9">
        <f>(data!E497-data!F497)-(data!G497-data!H497)</f>
        <v>1.6354000000000002</v>
      </c>
      <c r="G497" s="9">
        <f t="shared" si="350"/>
        <v>-8.9300000000000157E-2</v>
      </c>
      <c r="H497" s="9">
        <f t="shared" si="351"/>
        <v>-3.9300000000000335E-2</v>
      </c>
      <c r="I497" s="9">
        <f>IF(data!M498&gt; 111.81,1,0)</f>
        <v>0</v>
      </c>
      <c r="J497" s="9">
        <f t="shared" si="352"/>
        <v>1</v>
      </c>
      <c r="K497" s="9">
        <f t="shared" si="353"/>
        <v>0</v>
      </c>
      <c r="L497" s="9">
        <f t="shared" si="354"/>
        <v>0.1022000000000105</v>
      </c>
      <c r="M497" s="9">
        <f>data!J497</f>
        <v>-18.25</v>
      </c>
      <c r="N497" s="9">
        <f>data!I497</f>
        <v>-39.75</v>
      </c>
      <c r="O497" s="9">
        <f>data!L497</f>
        <v>-53.375</v>
      </c>
      <c r="P497" s="9">
        <f>data!K497</f>
        <v>-43.375</v>
      </c>
      <c r="Q497" s="9">
        <f>data!R497</f>
        <v>-32.75</v>
      </c>
      <c r="R497" s="9">
        <f t="shared" si="355"/>
        <v>-0.75</v>
      </c>
      <c r="S497" s="9">
        <f t="shared" si="356"/>
        <v>-2</v>
      </c>
      <c r="T497" s="9">
        <f t="shared" si="357"/>
        <v>-3</v>
      </c>
      <c r="U497" s="9">
        <f t="shared" si="358"/>
        <v>-1.75</v>
      </c>
      <c r="V497" s="9">
        <f t="shared" si="359"/>
        <v>-3.75</v>
      </c>
      <c r="W497" s="9">
        <f t="shared" si="360"/>
        <v>-3.75</v>
      </c>
      <c r="X497" s="9">
        <f t="shared" si="361"/>
        <v>-4.6499999999999986</v>
      </c>
      <c r="Y497" s="9">
        <f t="shared" si="362"/>
        <v>-3.25</v>
      </c>
      <c r="Z497" s="9">
        <f t="shared" si="363"/>
        <v>-6.0500000000000007</v>
      </c>
      <c r="AA497" s="9">
        <f t="shared" si="364"/>
        <v>0.95000000000000284</v>
      </c>
      <c r="AB497" s="9">
        <f t="shared" si="365"/>
        <v>0.75</v>
      </c>
      <c r="AC497" s="9">
        <f t="shared" si="366"/>
        <v>0</v>
      </c>
      <c r="AD497" s="9">
        <f t="shared" si="367"/>
        <v>0</v>
      </c>
      <c r="AE497" s="9">
        <f t="shared" si="368"/>
        <v>-4.5499999999999972</v>
      </c>
      <c r="AF497" s="9">
        <f t="shared" si="369"/>
        <v>-4.25</v>
      </c>
      <c r="AG497" s="9">
        <f t="shared" si="370"/>
        <v>-7.25</v>
      </c>
      <c r="AH497" s="9">
        <f t="shared" si="371"/>
        <v>-7.75</v>
      </c>
      <c r="AI497" s="9">
        <f t="shared" si="372"/>
        <v>-7.8500000000000014</v>
      </c>
      <c r="AJ497" s="9">
        <f t="shared" si="373"/>
        <v>2.0750000000000028</v>
      </c>
      <c r="AK497" s="9">
        <f t="shared" si="374"/>
        <v>2.875</v>
      </c>
      <c r="AL497" s="9">
        <f t="shared" si="375"/>
        <v>3</v>
      </c>
      <c r="AM497" s="9">
        <f t="shared" si="376"/>
        <v>3.375</v>
      </c>
      <c r="AN497" s="9">
        <f t="shared" si="377"/>
        <v>-1.125</v>
      </c>
      <c r="AO497" s="9">
        <f t="shared" si="378"/>
        <v>-0.625</v>
      </c>
      <c r="AP497" s="9">
        <f t="shared" si="379"/>
        <v>-3.125</v>
      </c>
      <c r="AQ497" s="9">
        <f t="shared" si="380"/>
        <v>-3.75</v>
      </c>
      <c r="AR497" s="9">
        <f t="shared" si="381"/>
        <v>-3.875</v>
      </c>
      <c r="AS497" s="9">
        <f t="shared" si="382"/>
        <v>2.0750000000000028</v>
      </c>
      <c r="AT497" s="9">
        <f t="shared" si="383"/>
        <v>2.875</v>
      </c>
      <c r="AU497" s="9">
        <f t="shared" si="384"/>
        <v>3</v>
      </c>
      <c r="AV497" s="9">
        <f t="shared" si="385"/>
        <v>2.875</v>
      </c>
      <c r="AW497" s="9">
        <f t="shared" si="386"/>
        <v>-0.92499999999999716</v>
      </c>
      <c r="AX497" s="9">
        <f t="shared" si="387"/>
        <v>-0.92499999999999716</v>
      </c>
      <c r="AY497" s="9">
        <f t="shared" si="388"/>
        <v>-3.125</v>
      </c>
      <c r="AZ497" s="9">
        <f t="shared" si="389"/>
        <v>-4.4249999999999972</v>
      </c>
      <c r="BA497" s="9">
        <f t="shared" si="390"/>
        <v>-4.625</v>
      </c>
      <c r="BB497" s="9">
        <f t="shared" si="391"/>
        <v>2</v>
      </c>
      <c r="BC497" s="9">
        <f t="shared" si="392"/>
        <v>2.75</v>
      </c>
      <c r="BD497" s="9">
        <f t="shared" si="393"/>
        <v>2.875</v>
      </c>
      <c r="BE497" s="9">
        <f t="shared" si="394"/>
        <v>2.5</v>
      </c>
      <c r="BF497" s="9">
        <f t="shared" si="395"/>
        <v>-1.1499999999999986</v>
      </c>
      <c r="BG497" s="9">
        <f t="shared" si="396"/>
        <v>-0.85000000000000142</v>
      </c>
      <c r="BH497" s="9">
        <f t="shared" si="397"/>
        <v>-3.25</v>
      </c>
      <c r="BI497" s="9">
        <f t="shared" si="398"/>
        <v>-4.5499999999999972</v>
      </c>
      <c r="BJ497" s="9">
        <f t="shared" si="399"/>
        <v>-4.875</v>
      </c>
    </row>
    <row r="498" spans="1:62" x14ac:dyDescent="0.2">
      <c r="A498" s="9">
        <f>data!M499-data!M498</f>
        <v>0.24369999999998981</v>
      </c>
      <c r="B498" s="9">
        <f>data!C499-data!C498</f>
        <v>-1.9999999999999574E-2</v>
      </c>
      <c r="C498" s="9">
        <f>data!D499-data!D498</f>
        <v>-0.17999999999999972</v>
      </c>
      <c r="D498" s="10">
        <f>data!B499-data!B498</f>
        <v>-0.10750000000000015</v>
      </c>
      <c r="E498" s="9">
        <f>data!E498-data!G498</f>
        <v>1.984</v>
      </c>
      <c r="F498" s="9">
        <f>(data!E498-data!F498)-(data!G498-data!H498)</f>
        <v>1.5960999999999999</v>
      </c>
      <c r="G498" s="9">
        <f t="shared" si="350"/>
        <v>-4.4099999999999806E-2</v>
      </c>
      <c r="H498" s="9">
        <f t="shared" si="351"/>
        <v>-7.6899999999999746E-2</v>
      </c>
      <c r="I498" s="9">
        <f>IF(data!M499&gt; 111.81,1,0)</f>
        <v>0</v>
      </c>
      <c r="J498" s="9">
        <f t="shared" si="352"/>
        <v>1</v>
      </c>
      <c r="K498" s="9">
        <f t="shared" si="353"/>
        <v>0</v>
      </c>
      <c r="L498" s="9">
        <f t="shared" si="354"/>
        <v>0.24369999999998981</v>
      </c>
      <c r="M498" s="9">
        <f>data!J498</f>
        <v>-19</v>
      </c>
      <c r="N498" s="9">
        <f>data!I498</f>
        <v>-38.799999999999997</v>
      </c>
      <c r="O498" s="9">
        <f>data!L498</f>
        <v>-51.3</v>
      </c>
      <c r="P498" s="9">
        <f>data!K498</f>
        <v>-41.3</v>
      </c>
      <c r="Q498" s="9">
        <f>data!R498</f>
        <v>-30.75</v>
      </c>
      <c r="R498" s="9">
        <f t="shared" si="355"/>
        <v>-1.25</v>
      </c>
      <c r="S498" s="9">
        <f t="shared" si="356"/>
        <v>-2.25</v>
      </c>
      <c r="T498" s="9">
        <f t="shared" si="357"/>
        <v>-1</v>
      </c>
      <c r="U498" s="9">
        <f t="shared" si="358"/>
        <v>-3</v>
      </c>
      <c r="V498" s="9">
        <f t="shared" si="359"/>
        <v>-3</v>
      </c>
      <c r="W498" s="9">
        <f t="shared" si="360"/>
        <v>-3.8999999999999986</v>
      </c>
      <c r="X498" s="9">
        <f t="shared" si="361"/>
        <v>-2.5</v>
      </c>
      <c r="Y498" s="9">
        <f t="shared" si="362"/>
        <v>-5.3000000000000007</v>
      </c>
      <c r="Z498" s="9">
        <f t="shared" si="363"/>
        <v>-7.75</v>
      </c>
      <c r="AA498" s="9">
        <f t="shared" si="364"/>
        <v>-0.20000000000000284</v>
      </c>
      <c r="AB498" s="9">
        <f t="shared" si="365"/>
        <v>-0.95000000000000284</v>
      </c>
      <c r="AC498" s="9">
        <f t="shared" si="366"/>
        <v>-0.95000000000000284</v>
      </c>
      <c r="AD498" s="9">
        <f t="shared" si="367"/>
        <v>-5.5</v>
      </c>
      <c r="AE498" s="9">
        <f t="shared" si="368"/>
        <v>-5.2000000000000028</v>
      </c>
      <c r="AF498" s="9">
        <f t="shared" si="369"/>
        <v>-8.2000000000000028</v>
      </c>
      <c r="AG498" s="9">
        <f t="shared" si="370"/>
        <v>-8.7000000000000028</v>
      </c>
      <c r="AH498" s="9">
        <f t="shared" si="371"/>
        <v>-8.8000000000000043</v>
      </c>
      <c r="AI498" s="9">
        <f t="shared" si="372"/>
        <v>-11.200000000000003</v>
      </c>
      <c r="AJ498" s="9">
        <f t="shared" si="373"/>
        <v>0.79999999999999716</v>
      </c>
      <c r="AK498" s="9">
        <f t="shared" si="374"/>
        <v>0.92499999999999716</v>
      </c>
      <c r="AL498" s="9">
        <f t="shared" si="375"/>
        <v>1.2999999999999972</v>
      </c>
      <c r="AM498" s="9">
        <f t="shared" si="376"/>
        <v>-3.2000000000000028</v>
      </c>
      <c r="AN498" s="9">
        <f t="shared" si="377"/>
        <v>-2.7000000000000028</v>
      </c>
      <c r="AO498" s="9">
        <f t="shared" si="378"/>
        <v>-5.2000000000000028</v>
      </c>
      <c r="AP498" s="9">
        <f t="shared" si="379"/>
        <v>-5.8250000000000028</v>
      </c>
      <c r="AQ498" s="9">
        <f t="shared" si="380"/>
        <v>-5.9500000000000028</v>
      </c>
      <c r="AR498" s="9">
        <f t="shared" si="381"/>
        <v>-7.5</v>
      </c>
      <c r="AS498" s="9">
        <f t="shared" si="382"/>
        <v>0.79999999999999716</v>
      </c>
      <c r="AT498" s="9">
        <f t="shared" si="383"/>
        <v>0.92499999999999716</v>
      </c>
      <c r="AU498" s="9">
        <f t="shared" si="384"/>
        <v>0.79999999999999716</v>
      </c>
      <c r="AV498" s="9">
        <f t="shared" si="385"/>
        <v>-3</v>
      </c>
      <c r="AW498" s="9">
        <f t="shared" si="386"/>
        <v>-3</v>
      </c>
      <c r="AX498" s="9">
        <f t="shared" si="387"/>
        <v>-5.2000000000000028</v>
      </c>
      <c r="AY498" s="9">
        <f t="shared" si="388"/>
        <v>-6.5</v>
      </c>
      <c r="AZ498" s="9">
        <f t="shared" si="389"/>
        <v>-6.7000000000000028</v>
      </c>
      <c r="BA498" s="9">
        <f t="shared" si="390"/>
        <v>-7.5</v>
      </c>
      <c r="BB498" s="9">
        <f t="shared" si="391"/>
        <v>0.75</v>
      </c>
      <c r="BC498" s="9">
        <f t="shared" si="392"/>
        <v>0.875</v>
      </c>
      <c r="BD498" s="9">
        <f t="shared" si="393"/>
        <v>0.5</v>
      </c>
      <c r="BE498" s="9">
        <f t="shared" si="394"/>
        <v>-3.1499999999999986</v>
      </c>
      <c r="BF498" s="9">
        <f t="shared" si="395"/>
        <v>-2.8500000000000014</v>
      </c>
      <c r="BG498" s="9">
        <f t="shared" si="396"/>
        <v>-5.25</v>
      </c>
      <c r="BH498" s="9">
        <f t="shared" si="397"/>
        <v>-6.5499999999999972</v>
      </c>
      <c r="BI498" s="9">
        <f t="shared" si="398"/>
        <v>-6.875</v>
      </c>
      <c r="BJ498" s="9">
        <f t="shared" si="399"/>
        <v>-7.5499999999999972</v>
      </c>
    </row>
    <row r="499" spans="1:62" x14ac:dyDescent="0.2">
      <c r="A499" s="9">
        <f>data!M500-data!M499</f>
        <v>0.16860000000001207</v>
      </c>
      <c r="B499" s="9">
        <f>data!C500-data!C499</f>
        <v>0.62999999999999901</v>
      </c>
      <c r="C499" s="9">
        <f>data!D500-data!D499</f>
        <v>0.29999999999999982</v>
      </c>
      <c r="D499" s="10">
        <f>data!B500-data!B499</f>
        <v>0.17749999999999999</v>
      </c>
      <c r="E499" s="9">
        <f>data!E499-data!G499</f>
        <v>1.9399000000000002</v>
      </c>
      <c r="F499" s="9">
        <f>(data!E499-data!F499)-(data!G499-data!H499)</f>
        <v>1.5192000000000001</v>
      </c>
      <c r="G499" s="9">
        <f t="shared" si="350"/>
        <v>-5.4000000000002935E-3</v>
      </c>
      <c r="H499" s="9">
        <f t="shared" si="351"/>
        <v>-7.4000000000000732E-3</v>
      </c>
      <c r="I499" s="9">
        <f>IF(data!M500&gt; 111.81,1,0)</f>
        <v>0</v>
      </c>
      <c r="J499" s="9">
        <f t="shared" si="352"/>
        <v>1</v>
      </c>
      <c r="K499" s="9">
        <f t="shared" si="353"/>
        <v>0</v>
      </c>
      <c r="L499" s="9">
        <f t="shared" si="354"/>
        <v>0.16860000000001207</v>
      </c>
      <c r="M499" s="9">
        <f>data!J499</f>
        <v>-20.25</v>
      </c>
      <c r="N499" s="9">
        <f>data!I499</f>
        <v>-39</v>
      </c>
      <c r="O499" s="9">
        <f>data!L499</f>
        <v>-50.5</v>
      </c>
      <c r="P499" s="9">
        <f>data!K499</f>
        <v>-40.5</v>
      </c>
      <c r="Q499" s="9">
        <f>data!R499</f>
        <v>-30</v>
      </c>
      <c r="R499" s="9">
        <f t="shared" si="355"/>
        <v>-1</v>
      </c>
      <c r="S499" s="9">
        <f t="shared" si="356"/>
        <v>0.25</v>
      </c>
      <c r="T499" s="9">
        <f t="shared" si="357"/>
        <v>-1.75</v>
      </c>
      <c r="U499" s="9">
        <f t="shared" si="358"/>
        <v>-1.75</v>
      </c>
      <c r="V499" s="9">
        <f t="shared" si="359"/>
        <v>-2.6499999999999986</v>
      </c>
      <c r="W499" s="9">
        <f t="shared" si="360"/>
        <v>-1.25</v>
      </c>
      <c r="X499" s="9">
        <f t="shared" si="361"/>
        <v>-4.0500000000000007</v>
      </c>
      <c r="Y499" s="9">
        <f t="shared" si="362"/>
        <v>-6.5</v>
      </c>
      <c r="Z499" s="9">
        <f t="shared" si="363"/>
        <v>-11.05</v>
      </c>
      <c r="AA499" s="9">
        <f t="shared" si="364"/>
        <v>-0.75</v>
      </c>
      <c r="AB499" s="9">
        <f t="shared" si="365"/>
        <v>-0.75</v>
      </c>
      <c r="AC499" s="9">
        <f t="shared" si="366"/>
        <v>-5.2999999999999972</v>
      </c>
      <c r="AD499" s="9">
        <f t="shared" si="367"/>
        <v>-5</v>
      </c>
      <c r="AE499" s="9">
        <f t="shared" si="368"/>
        <v>-8</v>
      </c>
      <c r="AF499" s="9">
        <f t="shared" si="369"/>
        <v>-8.5</v>
      </c>
      <c r="AG499" s="9">
        <f t="shared" si="370"/>
        <v>-8.6000000000000014</v>
      </c>
      <c r="AH499" s="9">
        <f t="shared" si="371"/>
        <v>-11</v>
      </c>
      <c r="AI499" s="9">
        <f t="shared" si="372"/>
        <v>-15.5</v>
      </c>
      <c r="AJ499" s="9">
        <f t="shared" si="373"/>
        <v>0.125</v>
      </c>
      <c r="AK499" s="9">
        <f t="shared" si="374"/>
        <v>0.5</v>
      </c>
      <c r="AL499" s="9">
        <f t="shared" si="375"/>
        <v>-4</v>
      </c>
      <c r="AM499" s="9">
        <f t="shared" si="376"/>
        <v>-3.5</v>
      </c>
      <c r="AN499" s="9">
        <f t="shared" si="377"/>
        <v>-6</v>
      </c>
      <c r="AO499" s="9">
        <f t="shared" si="378"/>
        <v>-6.625</v>
      </c>
      <c r="AP499" s="9">
        <f t="shared" si="379"/>
        <v>-6.75</v>
      </c>
      <c r="AQ499" s="9">
        <f t="shared" si="380"/>
        <v>-8.2999999999999972</v>
      </c>
      <c r="AR499" s="9">
        <f t="shared" si="381"/>
        <v>-12.100000000000001</v>
      </c>
      <c r="AS499" s="9">
        <f t="shared" si="382"/>
        <v>0.125</v>
      </c>
      <c r="AT499" s="9">
        <f t="shared" si="383"/>
        <v>0</v>
      </c>
      <c r="AU499" s="9">
        <f t="shared" si="384"/>
        <v>-3.7999999999999972</v>
      </c>
      <c r="AV499" s="9">
        <f t="shared" si="385"/>
        <v>-3.7999999999999972</v>
      </c>
      <c r="AW499" s="9">
        <f t="shared" si="386"/>
        <v>-6</v>
      </c>
      <c r="AX499" s="9">
        <f t="shared" si="387"/>
        <v>-7.2999999999999972</v>
      </c>
      <c r="AY499" s="9">
        <f t="shared" si="388"/>
        <v>-7.5</v>
      </c>
      <c r="AZ499" s="9">
        <f t="shared" si="389"/>
        <v>-8.2999999999999972</v>
      </c>
      <c r="BA499" s="9">
        <f t="shared" si="390"/>
        <v>-13.299999999999997</v>
      </c>
      <c r="BB499" s="9">
        <f t="shared" si="391"/>
        <v>0.125</v>
      </c>
      <c r="BC499" s="9">
        <f t="shared" si="392"/>
        <v>-0.25</v>
      </c>
      <c r="BD499" s="9">
        <f t="shared" si="393"/>
        <v>-3.8999999999999986</v>
      </c>
      <c r="BE499" s="9">
        <f t="shared" si="394"/>
        <v>-3.6000000000000014</v>
      </c>
      <c r="BF499" s="9">
        <f t="shared" si="395"/>
        <v>-6</v>
      </c>
      <c r="BG499" s="9">
        <f t="shared" si="396"/>
        <v>-7.2999999999999972</v>
      </c>
      <c r="BH499" s="9">
        <f t="shared" si="397"/>
        <v>-7.625</v>
      </c>
      <c r="BI499" s="9">
        <f t="shared" si="398"/>
        <v>-8.2999999999999972</v>
      </c>
      <c r="BJ499" s="9">
        <f t="shared" si="399"/>
        <v>-13.299999999999997</v>
      </c>
    </row>
    <row r="500" spans="1:62" x14ac:dyDescent="0.2">
      <c r="A500" s="9">
        <f>data!M501-data!M500</f>
        <v>0.64599999999998658</v>
      </c>
      <c r="B500" s="9">
        <f>data!C501-data!C500</f>
        <v>4.3400000000000016</v>
      </c>
      <c r="C500" s="9">
        <f>data!D501-data!D500</f>
        <v>0.34250000000000025</v>
      </c>
      <c r="D500" s="10">
        <f>data!B501-data!B500</f>
        <v>-0.36749999999999994</v>
      </c>
      <c r="E500" s="9">
        <f>data!E500-data!G500</f>
        <v>1.9344999999999999</v>
      </c>
      <c r="F500" s="9">
        <f>(data!E500-data!F500)-(data!G500-data!H500)</f>
        <v>1.5118</v>
      </c>
      <c r="G500" s="9">
        <f t="shared" si="350"/>
        <v>2.4000000000000243E-2</v>
      </c>
      <c r="H500" s="9">
        <f t="shared" si="351"/>
        <v>3.839999999999999E-2</v>
      </c>
      <c r="I500" s="9">
        <f>IF(data!M501&gt; 111.81,1,0)</f>
        <v>0</v>
      </c>
      <c r="J500" s="9">
        <f t="shared" si="352"/>
        <v>1</v>
      </c>
      <c r="K500" s="9">
        <f t="shared" si="353"/>
        <v>0</v>
      </c>
      <c r="L500" s="9">
        <f t="shared" si="354"/>
        <v>0.64599999999998658</v>
      </c>
      <c r="M500" s="9">
        <f>data!J500</f>
        <v>-21.25</v>
      </c>
      <c r="N500" s="9">
        <f>data!I500</f>
        <v>-39.75</v>
      </c>
      <c r="O500" s="9">
        <f>data!L500</f>
        <v>-50.375</v>
      </c>
      <c r="P500" s="9">
        <f>data!K500</f>
        <v>-40.375</v>
      </c>
      <c r="Q500" s="9">
        <f>data!R500</f>
        <v>-29.875</v>
      </c>
      <c r="R500" s="9">
        <f t="shared" si="355"/>
        <v>1.25</v>
      </c>
      <c r="S500" s="9">
        <f t="shared" si="356"/>
        <v>-0.75</v>
      </c>
      <c r="T500" s="9">
        <f t="shared" si="357"/>
        <v>-0.75</v>
      </c>
      <c r="U500" s="9">
        <f t="shared" si="358"/>
        <v>-1.6499999999999986</v>
      </c>
      <c r="V500" s="9">
        <f t="shared" si="359"/>
        <v>-0.25</v>
      </c>
      <c r="W500" s="9">
        <f t="shared" si="360"/>
        <v>-3.0500000000000007</v>
      </c>
      <c r="X500" s="9">
        <f t="shared" si="361"/>
        <v>-5.5</v>
      </c>
      <c r="Y500" s="9">
        <f t="shared" si="362"/>
        <v>-10.050000000000001</v>
      </c>
      <c r="Z500" s="9">
        <f t="shared" si="363"/>
        <v>-7.1499999999999986</v>
      </c>
      <c r="AA500" s="9">
        <f t="shared" si="364"/>
        <v>0</v>
      </c>
      <c r="AB500" s="9">
        <f t="shared" si="365"/>
        <v>-4.5499999999999972</v>
      </c>
      <c r="AC500" s="9">
        <f t="shared" si="366"/>
        <v>-4.25</v>
      </c>
      <c r="AD500" s="9">
        <f t="shared" si="367"/>
        <v>-7.25</v>
      </c>
      <c r="AE500" s="9">
        <f t="shared" si="368"/>
        <v>-7.75</v>
      </c>
      <c r="AF500" s="9">
        <f t="shared" si="369"/>
        <v>-7.8500000000000014</v>
      </c>
      <c r="AG500" s="9">
        <f t="shared" si="370"/>
        <v>-10.25</v>
      </c>
      <c r="AH500" s="9">
        <f t="shared" si="371"/>
        <v>-14.75</v>
      </c>
      <c r="AI500" s="9">
        <f t="shared" si="372"/>
        <v>-11.549999999999997</v>
      </c>
      <c r="AJ500" s="9">
        <f t="shared" si="373"/>
        <v>0.375</v>
      </c>
      <c r="AK500" s="9">
        <f t="shared" si="374"/>
        <v>-4.125</v>
      </c>
      <c r="AL500" s="9">
        <f t="shared" si="375"/>
        <v>-3.625</v>
      </c>
      <c r="AM500" s="9">
        <f t="shared" si="376"/>
        <v>-6.125</v>
      </c>
      <c r="AN500" s="9">
        <f t="shared" si="377"/>
        <v>-6.75</v>
      </c>
      <c r="AO500" s="9">
        <f t="shared" si="378"/>
        <v>-6.875</v>
      </c>
      <c r="AP500" s="9">
        <f t="shared" si="379"/>
        <v>-8.4249999999999972</v>
      </c>
      <c r="AQ500" s="9">
        <f t="shared" si="380"/>
        <v>-12.225000000000001</v>
      </c>
      <c r="AR500" s="9">
        <f t="shared" si="381"/>
        <v>-8.5249999999999986</v>
      </c>
      <c r="AS500" s="9">
        <f t="shared" si="382"/>
        <v>-0.125</v>
      </c>
      <c r="AT500" s="9">
        <f t="shared" si="383"/>
        <v>-3.9249999999999972</v>
      </c>
      <c r="AU500" s="9">
        <f t="shared" si="384"/>
        <v>-3.9249999999999972</v>
      </c>
      <c r="AV500" s="9">
        <f t="shared" si="385"/>
        <v>-6.125</v>
      </c>
      <c r="AW500" s="9">
        <f t="shared" si="386"/>
        <v>-7.4249999999999972</v>
      </c>
      <c r="AX500" s="9">
        <f t="shared" si="387"/>
        <v>-7.625</v>
      </c>
      <c r="AY500" s="9">
        <f t="shared" si="388"/>
        <v>-8.4249999999999972</v>
      </c>
      <c r="AZ500" s="9">
        <f t="shared" si="389"/>
        <v>-13.424999999999997</v>
      </c>
      <c r="BA500" s="9">
        <f t="shared" si="390"/>
        <v>-11.424999999999997</v>
      </c>
      <c r="BB500" s="9">
        <f t="shared" si="391"/>
        <v>-0.375</v>
      </c>
      <c r="BC500" s="9">
        <f t="shared" si="392"/>
        <v>-4.0249999999999986</v>
      </c>
      <c r="BD500" s="9">
        <f t="shared" si="393"/>
        <v>-3.7250000000000014</v>
      </c>
      <c r="BE500" s="9">
        <f t="shared" si="394"/>
        <v>-6.125</v>
      </c>
      <c r="BF500" s="9">
        <f t="shared" si="395"/>
        <v>-7.4249999999999972</v>
      </c>
      <c r="BG500" s="9">
        <f t="shared" si="396"/>
        <v>-7.75</v>
      </c>
      <c r="BH500" s="9">
        <f t="shared" si="397"/>
        <v>-8.4249999999999972</v>
      </c>
      <c r="BI500" s="9">
        <f t="shared" si="398"/>
        <v>-13.424999999999997</v>
      </c>
      <c r="BJ500" s="9">
        <f t="shared" si="399"/>
        <v>-12.024999999999999</v>
      </c>
    </row>
    <row r="501" spans="1:62" x14ac:dyDescent="0.2">
      <c r="A501" s="9">
        <f>data!M502-data!M501</f>
        <v>0.1273000000000053</v>
      </c>
      <c r="B501" s="9">
        <f>data!C502-data!C501</f>
        <v>-1.2600000000000016</v>
      </c>
      <c r="C501" s="9">
        <f>data!D502-data!D501</f>
        <v>0.55999999999999961</v>
      </c>
      <c r="D501" s="10">
        <f>data!B502-data!B501</f>
        <v>-2.750000000000008E-2</v>
      </c>
      <c r="E501" s="9">
        <f>data!E501-data!G501</f>
        <v>1.9585000000000001</v>
      </c>
      <c r="F501" s="9">
        <f>(data!E501-data!F501)-(data!G501-data!H501)</f>
        <v>1.5502</v>
      </c>
      <c r="G501" s="9">
        <f t="shared" si="350"/>
        <v>-3.8200000000000012E-2</v>
      </c>
      <c r="H501" s="9">
        <f t="shared" si="351"/>
        <v>-1.6099999999999781E-2</v>
      </c>
      <c r="I501" s="9">
        <f>IF(data!M502&gt; 111.81,1,0)</f>
        <v>0</v>
      </c>
      <c r="J501" s="9">
        <f t="shared" si="352"/>
        <v>1</v>
      </c>
      <c r="K501" s="9">
        <f t="shared" si="353"/>
        <v>0</v>
      </c>
      <c r="L501" s="9">
        <f t="shared" si="354"/>
        <v>0.1273000000000053</v>
      </c>
      <c r="M501" s="9">
        <f>data!J501</f>
        <v>-20</v>
      </c>
      <c r="N501" s="9">
        <f>data!I501</f>
        <v>-39.75</v>
      </c>
      <c r="O501" s="9">
        <f>data!L501</f>
        <v>-50</v>
      </c>
      <c r="P501" s="9">
        <f>data!K501</f>
        <v>-40.5</v>
      </c>
      <c r="Q501" s="9">
        <f>data!R501</f>
        <v>-30.25</v>
      </c>
      <c r="R501" s="9">
        <f t="shared" si="355"/>
        <v>-2</v>
      </c>
      <c r="S501" s="9">
        <f t="shared" si="356"/>
        <v>-2</v>
      </c>
      <c r="T501" s="9">
        <f t="shared" si="357"/>
        <v>-2.8999999999999986</v>
      </c>
      <c r="U501" s="9">
        <f t="shared" si="358"/>
        <v>-1.5</v>
      </c>
      <c r="V501" s="9">
        <f t="shared" si="359"/>
        <v>-4.3000000000000007</v>
      </c>
      <c r="W501" s="9">
        <f t="shared" si="360"/>
        <v>-6.75</v>
      </c>
      <c r="X501" s="9">
        <f t="shared" si="361"/>
        <v>-11.3</v>
      </c>
      <c r="Y501" s="9">
        <f t="shared" si="362"/>
        <v>-8.3999999999999986</v>
      </c>
      <c r="Z501" s="9">
        <f t="shared" si="363"/>
        <v>-5</v>
      </c>
      <c r="AA501" s="9">
        <f t="shared" si="364"/>
        <v>-4.5499999999999972</v>
      </c>
      <c r="AB501" s="9">
        <f t="shared" si="365"/>
        <v>-4.25</v>
      </c>
      <c r="AC501" s="9">
        <f t="shared" si="366"/>
        <v>-7.25</v>
      </c>
      <c r="AD501" s="9">
        <f t="shared" si="367"/>
        <v>-7.75</v>
      </c>
      <c r="AE501" s="9">
        <f t="shared" si="368"/>
        <v>-7.8500000000000014</v>
      </c>
      <c r="AF501" s="9">
        <f t="shared" si="369"/>
        <v>-10.25</v>
      </c>
      <c r="AG501" s="9">
        <f t="shared" si="370"/>
        <v>-14.75</v>
      </c>
      <c r="AH501" s="9">
        <f t="shared" si="371"/>
        <v>-11.549999999999997</v>
      </c>
      <c r="AI501" s="9">
        <f t="shared" si="372"/>
        <v>-7.2999999999999972</v>
      </c>
      <c r="AJ501" s="9">
        <f t="shared" si="373"/>
        <v>-4.5</v>
      </c>
      <c r="AK501" s="9">
        <f t="shared" si="374"/>
        <v>-4</v>
      </c>
      <c r="AL501" s="9">
        <f t="shared" si="375"/>
        <v>-6.5</v>
      </c>
      <c r="AM501" s="9">
        <f t="shared" si="376"/>
        <v>-7.125</v>
      </c>
      <c r="AN501" s="9">
        <f t="shared" si="377"/>
        <v>-7.25</v>
      </c>
      <c r="AO501" s="9">
        <f t="shared" si="378"/>
        <v>-8.7999999999999972</v>
      </c>
      <c r="AP501" s="9">
        <f t="shared" si="379"/>
        <v>-12.600000000000001</v>
      </c>
      <c r="AQ501" s="9">
        <f t="shared" si="380"/>
        <v>-8.8999999999999986</v>
      </c>
      <c r="AR501" s="9">
        <f t="shared" si="381"/>
        <v>-4.8250000000000028</v>
      </c>
      <c r="AS501" s="9">
        <f t="shared" si="382"/>
        <v>-3.7999999999999972</v>
      </c>
      <c r="AT501" s="9">
        <f t="shared" si="383"/>
        <v>-3.7999999999999972</v>
      </c>
      <c r="AU501" s="9">
        <f t="shared" si="384"/>
        <v>-6</v>
      </c>
      <c r="AV501" s="9">
        <f t="shared" si="385"/>
        <v>-7.2999999999999972</v>
      </c>
      <c r="AW501" s="9">
        <f t="shared" si="386"/>
        <v>-7.5</v>
      </c>
      <c r="AX501" s="9">
        <f t="shared" si="387"/>
        <v>-8.2999999999999972</v>
      </c>
      <c r="AY501" s="9">
        <f t="shared" si="388"/>
        <v>-13.299999999999997</v>
      </c>
      <c r="AZ501" s="9">
        <f t="shared" si="389"/>
        <v>-11.299999999999997</v>
      </c>
      <c r="BA501" s="9">
        <f t="shared" si="390"/>
        <v>-8</v>
      </c>
      <c r="BB501" s="9">
        <f t="shared" si="391"/>
        <v>-3.6499999999999986</v>
      </c>
      <c r="BC501" s="9">
        <f t="shared" si="392"/>
        <v>-3.3500000000000014</v>
      </c>
      <c r="BD501" s="9">
        <f t="shared" si="393"/>
        <v>-5.75</v>
      </c>
      <c r="BE501" s="9">
        <f t="shared" si="394"/>
        <v>-7.0499999999999972</v>
      </c>
      <c r="BF501" s="9">
        <f t="shared" si="395"/>
        <v>-7.375</v>
      </c>
      <c r="BG501" s="9">
        <f t="shared" si="396"/>
        <v>-8.0499999999999972</v>
      </c>
      <c r="BH501" s="9">
        <f t="shared" si="397"/>
        <v>-13.049999999999997</v>
      </c>
      <c r="BI501" s="9">
        <f t="shared" si="398"/>
        <v>-11.649999999999999</v>
      </c>
      <c r="BJ501" s="9">
        <f t="shared" si="399"/>
        <v>-9.25</v>
      </c>
    </row>
    <row r="502" spans="1:62" x14ac:dyDescent="0.2">
      <c r="A502" s="9">
        <f>data!M503-data!M502</f>
        <v>-0.30859999999999843</v>
      </c>
      <c r="B502" s="9">
        <f>data!C503-data!C502</f>
        <v>-2.6199999999999992</v>
      </c>
      <c r="C502" s="9">
        <f>data!D503-data!D502</f>
        <v>-2.5000000000000355E-2</v>
      </c>
      <c r="D502" s="10">
        <f>data!B503-data!B502</f>
        <v>0.19250000000000012</v>
      </c>
      <c r="E502" s="9">
        <f>data!E502-data!G502</f>
        <v>1.9203000000000001</v>
      </c>
      <c r="F502" s="9">
        <f>(data!E502-data!F502)-(data!G502-data!H502)</f>
        <v>1.5341000000000002</v>
      </c>
      <c r="G502" s="9">
        <f t="shared" si="350"/>
        <v>-7.8600000000000003E-2</v>
      </c>
      <c r="H502" s="9">
        <f t="shared" si="351"/>
        <v>-3.4800000000000164E-2</v>
      </c>
      <c r="I502" s="9">
        <f>IF(data!M503&gt; 111.81,1,0)</f>
        <v>0</v>
      </c>
      <c r="J502" s="9">
        <f t="shared" si="352"/>
        <v>1</v>
      </c>
      <c r="K502" s="9">
        <f t="shared" si="353"/>
        <v>0</v>
      </c>
      <c r="L502" s="9">
        <f t="shared" si="354"/>
        <v>-0.30859999999999843</v>
      </c>
      <c r="M502" s="9">
        <f>data!J502</f>
        <v>-22</v>
      </c>
      <c r="N502" s="9">
        <f>data!I502</f>
        <v>-44.3</v>
      </c>
      <c r="O502" s="9">
        <f>data!L502</f>
        <v>-54.5</v>
      </c>
      <c r="P502" s="9">
        <f>data!K502</f>
        <v>-44.3</v>
      </c>
      <c r="Q502" s="9">
        <f>data!R502</f>
        <v>-33.9</v>
      </c>
      <c r="R502" s="9">
        <f t="shared" si="355"/>
        <v>0</v>
      </c>
      <c r="S502" s="9">
        <f t="shared" si="356"/>
        <v>-0.89999999999999858</v>
      </c>
      <c r="T502" s="9">
        <f t="shared" si="357"/>
        <v>0.5</v>
      </c>
      <c r="U502" s="9">
        <f t="shared" si="358"/>
        <v>-2.3000000000000007</v>
      </c>
      <c r="V502" s="9">
        <f t="shared" si="359"/>
        <v>-4.75</v>
      </c>
      <c r="W502" s="9">
        <f t="shared" si="360"/>
        <v>-9.3000000000000007</v>
      </c>
      <c r="X502" s="9">
        <f t="shared" si="361"/>
        <v>-6.3999999999999986</v>
      </c>
      <c r="Y502" s="9">
        <f t="shared" si="362"/>
        <v>-3</v>
      </c>
      <c r="Z502" s="9">
        <f t="shared" si="363"/>
        <v>-2.8000000000000007</v>
      </c>
      <c r="AA502" s="9">
        <f t="shared" si="364"/>
        <v>0.29999999999999716</v>
      </c>
      <c r="AB502" s="9">
        <f t="shared" si="365"/>
        <v>-2.7000000000000028</v>
      </c>
      <c r="AC502" s="9">
        <f t="shared" si="366"/>
        <v>-3.2000000000000028</v>
      </c>
      <c r="AD502" s="9">
        <f t="shared" si="367"/>
        <v>-3.3000000000000043</v>
      </c>
      <c r="AE502" s="9">
        <f t="shared" si="368"/>
        <v>-5.7000000000000028</v>
      </c>
      <c r="AF502" s="9">
        <f t="shared" si="369"/>
        <v>-10.200000000000003</v>
      </c>
      <c r="AG502" s="9">
        <f t="shared" si="370"/>
        <v>-7</v>
      </c>
      <c r="AH502" s="9">
        <f t="shared" si="371"/>
        <v>-2.75</v>
      </c>
      <c r="AI502" s="9">
        <f t="shared" si="372"/>
        <v>-3.6000000000000014</v>
      </c>
      <c r="AJ502" s="9">
        <f t="shared" si="373"/>
        <v>0.5</v>
      </c>
      <c r="AK502" s="9">
        <f t="shared" si="374"/>
        <v>-2</v>
      </c>
      <c r="AL502" s="9">
        <f t="shared" si="375"/>
        <v>-2.625</v>
      </c>
      <c r="AM502" s="9">
        <f t="shared" si="376"/>
        <v>-2.75</v>
      </c>
      <c r="AN502" s="9">
        <f t="shared" si="377"/>
        <v>-4.2999999999999972</v>
      </c>
      <c r="AO502" s="9">
        <f t="shared" si="378"/>
        <v>-8.1000000000000014</v>
      </c>
      <c r="AP502" s="9">
        <f t="shared" si="379"/>
        <v>-4.3999999999999986</v>
      </c>
      <c r="AQ502" s="9">
        <f t="shared" si="380"/>
        <v>-0.32500000000000284</v>
      </c>
      <c r="AR502" s="9">
        <f t="shared" si="381"/>
        <v>-0.89999999999999858</v>
      </c>
      <c r="AS502" s="9">
        <f t="shared" si="382"/>
        <v>0</v>
      </c>
      <c r="AT502" s="9">
        <f t="shared" si="383"/>
        <v>-2.2000000000000028</v>
      </c>
      <c r="AU502" s="9">
        <f t="shared" si="384"/>
        <v>-3.5</v>
      </c>
      <c r="AV502" s="9">
        <f t="shared" si="385"/>
        <v>-3.7000000000000028</v>
      </c>
      <c r="AW502" s="9">
        <f t="shared" si="386"/>
        <v>-4.5</v>
      </c>
      <c r="AX502" s="9">
        <f t="shared" si="387"/>
        <v>-9.5</v>
      </c>
      <c r="AY502" s="9">
        <f t="shared" si="388"/>
        <v>-7.5</v>
      </c>
      <c r="AZ502" s="9">
        <f t="shared" si="389"/>
        <v>-4.2000000000000028</v>
      </c>
      <c r="BA502" s="9">
        <f t="shared" si="390"/>
        <v>-4.7018000000000058</v>
      </c>
      <c r="BB502" s="9">
        <f t="shared" si="391"/>
        <v>0.29999999999999716</v>
      </c>
      <c r="BC502" s="9">
        <f t="shared" si="392"/>
        <v>-2.1000000000000014</v>
      </c>
      <c r="BD502" s="9">
        <f t="shared" si="393"/>
        <v>-3.3999999999999986</v>
      </c>
      <c r="BE502" s="9">
        <f t="shared" si="394"/>
        <v>-3.7250000000000014</v>
      </c>
      <c r="BF502" s="9">
        <f t="shared" si="395"/>
        <v>-4.3999999999999986</v>
      </c>
      <c r="BG502" s="9">
        <f t="shared" si="396"/>
        <v>-9.3999999999999986</v>
      </c>
      <c r="BH502" s="9">
        <f t="shared" si="397"/>
        <v>-8</v>
      </c>
      <c r="BI502" s="9">
        <f t="shared" si="398"/>
        <v>-5.6000000000000014</v>
      </c>
      <c r="BJ502" s="9">
        <f t="shared" si="399"/>
        <v>-5.3524999999999991</v>
      </c>
    </row>
    <row r="503" spans="1:62" x14ac:dyDescent="0.2">
      <c r="A503" s="9">
        <f>data!M504-data!M503</f>
        <v>0.50709999999999411</v>
      </c>
      <c r="B503" s="9">
        <f>data!C504-data!C503</f>
        <v>-1.6799999999999997</v>
      </c>
      <c r="C503" s="9">
        <f>data!D504-data!D503</f>
        <v>-1.499999999999968E-2</v>
      </c>
      <c r="D503" s="10">
        <f>data!B504-data!B503</f>
        <v>7.7499999999999902E-2</v>
      </c>
      <c r="E503" s="9">
        <f>data!E503-data!G503</f>
        <v>1.8417000000000001</v>
      </c>
      <c r="F503" s="9">
        <f>(data!E503-data!F503)-(data!G503-data!H503)</f>
        <v>1.4993000000000001</v>
      </c>
      <c r="G503" s="9">
        <f t="shared" si="350"/>
        <v>5.5700000000000083E-2</v>
      </c>
      <c r="H503" s="9">
        <f t="shared" si="351"/>
        <v>-2.0699999999999941E-2</v>
      </c>
      <c r="I503" s="9">
        <f>IF(data!M504&gt; 111.81,1,0)</f>
        <v>0</v>
      </c>
      <c r="J503" s="9">
        <f t="shared" si="352"/>
        <v>1</v>
      </c>
      <c r="K503" s="9">
        <f t="shared" si="353"/>
        <v>0</v>
      </c>
      <c r="L503" s="9">
        <f t="shared" si="354"/>
        <v>0.50709999999999411</v>
      </c>
      <c r="M503" s="9">
        <f>data!J503</f>
        <v>-22</v>
      </c>
      <c r="N503" s="9">
        <f>data!I503</f>
        <v>-44</v>
      </c>
      <c r="O503" s="9">
        <f>data!L503</f>
        <v>-54</v>
      </c>
      <c r="P503" s="9">
        <f>data!K503</f>
        <v>-44.3</v>
      </c>
      <c r="Q503" s="9">
        <f>data!R503</f>
        <v>-33.6</v>
      </c>
      <c r="R503" s="9">
        <f t="shared" si="355"/>
        <v>-0.89999999999999858</v>
      </c>
      <c r="S503" s="9">
        <f t="shared" si="356"/>
        <v>0.5</v>
      </c>
      <c r="T503" s="9">
        <f t="shared" si="357"/>
        <v>-2.3000000000000007</v>
      </c>
      <c r="U503" s="9">
        <f t="shared" si="358"/>
        <v>-4.75</v>
      </c>
      <c r="V503" s="9">
        <f t="shared" si="359"/>
        <v>-9.3000000000000007</v>
      </c>
      <c r="W503" s="9">
        <f t="shared" si="360"/>
        <v>-6.3999999999999986</v>
      </c>
      <c r="X503" s="9">
        <f t="shared" si="361"/>
        <v>-3</v>
      </c>
      <c r="Y503" s="9">
        <f t="shared" si="362"/>
        <v>-2.8000000000000007</v>
      </c>
      <c r="Z503" s="9">
        <f t="shared" si="363"/>
        <v>-4.75</v>
      </c>
      <c r="AA503" s="9">
        <f t="shared" si="364"/>
        <v>-3</v>
      </c>
      <c r="AB503" s="9">
        <f t="shared" si="365"/>
        <v>-3.5</v>
      </c>
      <c r="AC503" s="9">
        <f t="shared" si="366"/>
        <v>-3.6000000000000014</v>
      </c>
      <c r="AD503" s="9">
        <f t="shared" si="367"/>
        <v>-6</v>
      </c>
      <c r="AE503" s="9">
        <f t="shared" si="368"/>
        <v>-10.5</v>
      </c>
      <c r="AF503" s="9">
        <f t="shared" si="369"/>
        <v>-7.2999999999999972</v>
      </c>
      <c r="AG503" s="9">
        <f t="shared" si="370"/>
        <v>-3.0499999999999972</v>
      </c>
      <c r="AH503" s="9">
        <f t="shared" si="371"/>
        <v>-3.8999999999999986</v>
      </c>
      <c r="AI503" s="9">
        <f t="shared" si="372"/>
        <v>-5.5</v>
      </c>
      <c r="AJ503" s="9">
        <f t="shared" si="373"/>
        <v>-2.5</v>
      </c>
      <c r="AK503" s="9">
        <f t="shared" si="374"/>
        <v>-3.125</v>
      </c>
      <c r="AL503" s="9">
        <f t="shared" si="375"/>
        <v>-3.25</v>
      </c>
      <c r="AM503" s="9">
        <f t="shared" si="376"/>
        <v>-4.7999999999999972</v>
      </c>
      <c r="AN503" s="9">
        <f t="shared" si="377"/>
        <v>-8.6000000000000014</v>
      </c>
      <c r="AO503" s="9">
        <f t="shared" si="378"/>
        <v>-4.8999999999999986</v>
      </c>
      <c r="AP503" s="9">
        <f t="shared" si="379"/>
        <v>-0.82500000000000284</v>
      </c>
      <c r="AQ503" s="9">
        <f t="shared" si="380"/>
        <v>-1.3999999999999986</v>
      </c>
      <c r="AR503" s="9">
        <f t="shared" si="381"/>
        <v>-1.75</v>
      </c>
      <c r="AS503" s="9">
        <f t="shared" si="382"/>
        <v>-2.2000000000000028</v>
      </c>
      <c r="AT503" s="9">
        <f t="shared" si="383"/>
        <v>-3.5</v>
      </c>
      <c r="AU503" s="9">
        <f t="shared" si="384"/>
        <v>-3.7000000000000028</v>
      </c>
      <c r="AV503" s="9">
        <f t="shared" si="385"/>
        <v>-4.5</v>
      </c>
      <c r="AW503" s="9">
        <f t="shared" si="386"/>
        <v>-9.5</v>
      </c>
      <c r="AX503" s="9">
        <f t="shared" si="387"/>
        <v>-7.5</v>
      </c>
      <c r="AY503" s="9">
        <f t="shared" si="388"/>
        <v>-4.2000000000000028</v>
      </c>
      <c r="AZ503" s="9">
        <f t="shared" si="389"/>
        <v>-4.7018000000000058</v>
      </c>
      <c r="BA503" s="9">
        <f t="shared" si="390"/>
        <v>-4.9500000000000028</v>
      </c>
      <c r="BB503" s="9">
        <f t="shared" si="391"/>
        <v>-2.3999999999999986</v>
      </c>
      <c r="BC503" s="9">
        <f t="shared" si="392"/>
        <v>-3.6999999999999957</v>
      </c>
      <c r="BD503" s="9">
        <f t="shared" si="393"/>
        <v>-4.0249999999999986</v>
      </c>
      <c r="BE503" s="9">
        <f t="shared" si="394"/>
        <v>-4.6999999999999957</v>
      </c>
      <c r="BF503" s="9">
        <f t="shared" si="395"/>
        <v>-9.6999999999999957</v>
      </c>
      <c r="BG503" s="9">
        <f t="shared" si="396"/>
        <v>-8.2999999999999972</v>
      </c>
      <c r="BH503" s="9">
        <f t="shared" si="397"/>
        <v>-5.8999999999999986</v>
      </c>
      <c r="BI503" s="9">
        <f t="shared" si="398"/>
        <v>-5.6524999999999963</v>
      </c>
      <c r="BJ503" s="9">
        <f t="shared" si="399"/>
        <v>-6.1499999999999986</v>
      </c>
    </row>
    <row r="504" spans="1:62" x14ac:dyDescent="0.2">
      <c r="A504" s="9">
        <f>data!M505-data!M504</f>
        <v>-7.6099999999996726E-2</v>
      </c>
      <c r="B504" s="9">
        <f>data!C505-data!C504</f>
        <v>0.50999999999999979</v>
      </c>
      <c r="C504" s="9">
        <f>data!D505-data!D504</f>
        <v>-2.4999999999999467E-2</v>
      </c>
      <c r="D504" s="10">
        <f>data!B505-data!B504</f>
        <v>5.7500000000000107E-2</v>
      </c>
      <c r="E504" s="9">
        <f>data!E504-data!G504</f>
        <v>1.8974000000000002</v>
      </c>
      <c r="F504" s="9">
        <f>(data!E504-data!F504)-(data!G504-data!H504)</f>
        <v>1.4786000000000001</v>
      </c>
      <c r="G504" s="9">
        <f t="shared" si="350"/>
        <v>-4.5300000000000118E-2</v>
      </c>
      <c r="H504" s="9">
        <f t="shared" si="351"/>
        <v>-4.4699999999999962E-2</v>
      </c>
      <c r="I504" s="9">
        <f>IF(data!M505&gt; 111.81,1,0)</f>
        <v>0</v>
      </c>
      <c r="J504" s="9">
        <f t="shared" si="352"/>
        <v>1</v>
      </c>
      <c r="K504" s="9">
        <f t="shared" si="353"/>
        <v>0</v>
      </c>
      <c r="L504" s="9">
        <f t="shared" si="354"/>
        <v>-7.6099999999996726E-2</v>
      </c>
      <c r="M504" s="9">
        <f>data!J504</f>
        <v>-22.9</v>
      </c>
      <c r="N504" s="9">
        <f>data!I504</f>
        <v>-47</v>
      </c>
      <c r="O504" s="9">
        <f>data!L504</f>
        <v>-56.5</v>
      </c>
      <c r="P504" s="9">
        <f>data!K504</f>
        <v>-46.5</v>
      </c>
      <c r="Q504" s="9">
        <f>data!R504</f>
        <v>-36</v>
      </c>
      <c r="R504" s="9">
        <f t="shared" si="355"/>
        <v>1.3999999999999986</v>
      </c>
      <c r="S504" s="9">
        <f t="shared" si="356"/>
        <v>-1.4000000000000021</v>
      </c>
      <c r="T504" s="9">
        <f t="shared" si="357"/>
        <v>-3.8500000000000014</v>
      </c>
      <c r="U504" s="9">
        <f t="shared" si="358"/>
        <v>-8.4000000000000021</v>
      </c>
      <c r="V504" s="9">
        <f t="shared" si="359"/>
        <v>-5.5</v>
      </c>
      <c r="W504" s="9">
        <f t="shared" si="360"/>
        <v>-2.1000000000000014</v>
      </c>
      <c r="X504" s="9">
        <f t="shared" si="361"/>
        <v>-1.9000000000000021</v>
      </c>
      <c r="Y504" s="9">
        <f t="shared" si="362"/>
        <v>-3.8500000000000014</v>
      </c>
      <c r="Z504" s="9">
        <f t="shared" si="363"/>
        <v>-4.1000000000000014</v>
      </c>
      <c r="AA504" s="9">
        <f t="shared" si="364"/>
        <v>-0.5</v>
      </c>
      <c r="AB504" s="9">
        <f t="shared" si="365"/>
        <v>-0.60000000000000142</v>
      </c>
      <c r="AC504" s="9">
        <f t="shared" si="366"/>
        <v>-3</v>
      </c>
      <c r="AD504" s="9">
        <f t="shared" si="367"/>
        <v>-7.5</v>
      </c>
      <c r="AE504" s="9">
        <f t="shared" si="368"/>
        <v>-4.2999999999999972</v>
      </c>
      <c r="AF504" s="9">
        <f t="shared" si="369"/>
        <v>-4.9999999999997158E-2</v>
      </c>
      <c r="AG504" s="9">
        <f t="shared" si="370"/>
        <v>-0.89999999999999858</v>
      </c>
      <c r="AH504" s="9">
        <f t="shared" si="371"/>
        <v>-2.5</v>
      </c>
      <c r="AI504" s="9">
        <f t="shared" si="372"/>
        <v>-1.2999999999999972</v>
      </c>
      <c r="AJ504" s="9">
        <f t="shared" si="373"/>
        <v>-0.625</v>
      </c>
      <c r="AK504" s="9">
        <f t="shared" si="374"/>
        <v>-0.75</v>
      </c>
      <c r="AL504" s="9">
        <f t="shared" si="375"/>
        <v>-2.2999999999999972</v>
      </c>
      <c r="AM504" s="9">
        <f t="shared" si="376"/>
        <v>-6.1000000000000014</v>
      </c>
      <c r="AN504" s="9">
        <f t="shared" si="377"/>
        <v>-2.3999999999999986</v>
      </c>
      <c r="AO504" s="9">
        <f t="shared" si="378"/>
        <v>1.6749999999999972</v>
      </c>
      <c r="AP504" s="9">
        <f t="shared" si="379"/>
        <v>1.1000000000000014</v>
      </c>
      <c r="AQ504" s="9">
        <f t="shared" si="380"/>
        <v>0.75</v>
      </c>
      <c r="AR504" s="9">
        <f t="shared" si="381"/>
        <v>4.25</v>
      </c>
      <c r="AS504" s="9">
        <f t="shared" si="382"/>
        <v>-1.2999999999999972</v>
      </c>
      <c r="AT504" s="9">
        <f t="shared" si="383"/>
        <v>-1.5</v>
      </c>
      <c r="AU504" s="9">
        <f t="shared" si="384"/>
        <v>-2.2999999999999972</v>
      </c>
      <c r="AV504" s="9">
        <f t="shared" si="385"/>
        <v>-7.2999999999999972</v>
      </c>
      <c r="AW504" s="9">
        <f t="shared" si="386"/>
        <v>-5.2999999999999972</v>
      </c>
      <c r="AX504" s="9">
        <f t="shared" si="387"/>
        <v>-2</v>
      </c>
      <c r="AY504" s="9">
        <f t="shared" si="388"/>
        <v>-2.5018000000000029</v>
      </c>
      <c r="AZ504" s="9">
        <f t="shared" si="389"/>
        <v>-2.75</v>
      </c>
      <c r="BA504" s="9">
        <f t="shared" si="390"/>
        <v>1</v>
      </c>
      <c r="BB504" s="9">
        <f t="shared" si="391"/>
        <v>-1.2999999999999972</v>
      </c>
      <c r="BC504" s="9">
        <f t="shared" si="392"/>
        <v>-1.625</v>
      </c>
      <c r="BD504" s="9">
        <f t="shared" si="393"/>
        <v>-2.2999999999999972</v>
      </c>
      <c r="BE504" s="9">
        <f t="shared" si="394"/>
        <v>-7.2999999999999972</v>
      </c>
      <c r="BF504" s="9">
        <f t="shared" si="395"/>
        <v>-5.8999999999999986</v>
      </c>
      <c r="BG504" s="9">
        <f t="shared" si="396"/>
        <v>-3.5</v>
      </c>
      <c r="BH504" s="9">
        <f t="shared" si="397"/>
        <v>-3.2524999999999977</v>
      </c>
      <c r="BI504" s="9">
        <f t="shared" si="398"/>
        <v>-3.75</v>
      </c>
      <c r="BJ504" s="9">
        <f t="shared" si="399"/>
        <v>4.9999999999997158E-2</v>
      </c>
    </row>
    <row r="505" spans="1:62" x14ac:dyDescent="0.2">
      <c r="A505" s="9">
        <f>data!M506-data!M505</f>
        <v>0.49519999999999698</v>
      </c>
      <c r="B505" s="9">
        <f>data!C506-data!C505</f>
        <v>0.10999999999999943</v>
      </c>
      <c r="C505" s="9">
        <f>data!D506-data!D505</f>
        <v>0.33249999999999957</v>
      </c>
      <c r="D505" s="10">
        <f>data!B506-data!B505</f>
        <v>-1.0000000000000009E-2</v>
      </c>
      <c r="E505" s="9">
        <f>data!E505-data!G505</f>
        <v>1.8521000000000001</v>
      </c>
      <c r="F505" s="9">
        <f>(data!E505-data!F505)-(data!G505-data!H505)</f>
        <v>1.4339000000000002</v>
      </c>
      <c r="G505" s="9">
        <f t="shared" si="350"/>
        <v>6.8599999999999772E-2</v>
      </c>
      <c r="H505" s="9">
        <f t="shared" si="351"/>
        <v>4.8899999999999721E-2</v>
      </c>
      <c r="I505" s="9">
        <f>IF(data!M506&gt; 111.81,1,0)</f>
        <v>0</v>
      </c>
      <c r="J505" s="9">
        <f t="shared" si="352"/>
        <v>1</v>
      </c>
      <c r="K505" s="9">
        <f t="shared" si="353"/>
        <v>0</v>
      </c>
      <c r="L505" s="9">
        <f t="shared" si="354"/>
        <v>0.49519999999999698</v>
      </c>
      <c r="M505" s="9">
        <f>data!J505</f>
        <v>-21.5</v>
      </c>
      <c r="N505" s="9">
        <f>data!I505</f>
        <v>-47.5</v>
      </c>
      <c r="O505" s="9">
        <f>data!L505</f>
        <v>-57.125</v>
      </c>
      <c r="P505" s="9">
        <f>data!K505</f>
        <v>-47.8</v>
      </c>
      <c r="Q505" s="9">
        <f>data!R505</f>
        <v>-37.299999999999997</v>
      </c>
      <c r="R505" s="9">
        <f t="shared" si="355"/>
        <v>-2.8000000000000007</v>
      </c>
      <c r="S505" s="9">
        <f t="shared" si="356"/>
        <v>-5.25</v>
      </c>
      <c r="T505" s="9">
        <f t="shared" si="357"/>
        <v>-9.8000000000000007</v>
      </c>
      <c r="U505" s="9">
        <f t="shared" si="358"/>
        <v>-6.8999999999999986</v>
      </c>
      <c r="V505" s="9">
        <f t="shared" si="359"/>
        <v>-3.5</v>
      </c>
      <c r="W505" s="9">
        <f t="shared" si="360"/>
        <v>-3.3000000000000007</v>
      </c>
      <c r="X505" s="9">
        <f t="shared" si="361"/>
        <v>-5.25</v>
      </c>
      <c r="Y505" s="9">
        <f t="shared" si="362"/>
        <v>-5.5</v>
      </c>
      <c r="Z505" s="9">
        <f t="shared" si="363"/>
        <v>-9</v>
      </c>
      <c r="AA505" s="9">
        <f t="shared" si="364"/>
        <v>-0.10000000000000142</v>
      </c>
      <c r="AB505" s="9">
        <f t="shared" si="365"/>
        <v>-2.5</v>
      </c>
      <c r="AC505" s="9">
        <f t="shared" si="366"/>
        <v>-7</v>
      </c>
      <c r="AD505" s="9">
        <f t="shared" si="367"/>
        <v>-3.7999999999999972</v>
      </c>
      <c r="AE505" s="9">
        <f t="shared" si="368"/>
        <v>0.45000000000000284</v>
      </c>
      <c r="AF505" s="9">
        <f t="shared" si="369"/>
        <v>-0.39999999999999858</v>
      </c>
      <c r="AG505" s="9">
        <f t="shared" si="370"/>
        <v>-2</v>
      </c>
      <c r="AH505" s="9">
        <f t="shared" si="371"/>
        <v>-0.79999999999999716</v>
      </c>
      <c r="AI505" s="9">
        <f t="shared" si="372"/>
        <v>-4</v>
      </c>
      <c r="AJ505" s="9">
        <f t="shared" si="373"/>
        <v>-0.125</v>
      </c>
      <c r="AK505" s="9">
        <f t="shared" si="374"/>
        <v>-1.6749999999999972</v>
      </c>
      <c r="AL505" s="9">
        <f t="shared" si="375"/>
        <v>-5.4750000000000014</v>
      </c>
      <c r="AM505" s="9">
        <f t="shared" si="376"/>
        <v>-1.7749999999999986</v>
      </c>
      <c r="AN505" s="9">
        <f t="shared" si="377"/>
        <v>2.2999999999999972</v>
      </c>
      <c r="AO505" s="9">
        <f t="shared" si="378"/>
        <v>1.7250000000000014</v>
      </c>
      <c r="AP505" s="9">
        <f t="shared" si="379"/>
        <v>1.375</v>
      </c>
      <c r="AQ505" s="9">
        <f t="shared" si="380"/>
        <v>4.875</v>
      </c>
      <c r="AR505" s="9">
        <f t="shared" si="381"/>
        <v>2.125</v>
      </c>
      <c r="AS505" s="9">
        <f t="shared" si="382"/>
        <v>-0.20000000000000284</v>
      </c>
      <c r="AT505" s="9">
        <f t="shared" si="383"/>
        <v>-1</v>
      </c>
      <c r="AU505" s="9">
        <f t="shared" si="384"/>
        <v>-6</v>
      </c>
      <c r="AV505" s="9">
        <f t="shared" si="385"/>
        <v>-4</v>
      </c>
      <c r="AW505" s="9">
        <f t="shared" si="386"/>
        <v>-0.70000000000000284</v>
      </c>
      <c r="AX505" s="9">
        <f t="shared" si="387"/>
        <v>-1.2018000000000058</v>
      </c>
      <c r="AY505" s="9">
        <f t="shared" si="388"/>
        <v>-1.4500000000000028</v>
      </c>
      <c r="AZ505" s="9">
        <f t="shared" si="389"/>
        <v>2.2999999999999972</v>
      </c>
      <c r="BA505" s="9">
        <f t="shared" si="390"/>
        <v>1</v>
      </c>
      <c r="BB505" s="9">
        <f t="shared" si="391"/>
        <v>-0.32500000000000284</v>
      </c>
      <c r="BC505" s="9">
        <f t="shared" si="392"/>
        <v>-1</v>
      </c>
      <c r="BD505" s="9">
        <f t="shared" si="393"/>
        <v>-6</v>
      </c>
      <c r="BE505" s="9">
        <f t="shared" si="394"/>
        <v>-4.6000000000000014</v>
      </c>
      <c r="BF505" s="9">
        <f t="shared" si="395"/>
        <v>-2.2000000000000028</v>
      </c>
      <c r="BG505" s="9">
        <f t="shared" si="396"/>
        <v>-1.9525000000000006</v>
      </c>
      <c r="BH505" s="9">
        <f t="shared" si="397"/>
        <v>-2.4500000000000028</v>
      </c>
      <c r="BI505" s="9">
        <f t="shared" si="398"/>
        <v>1.3499999999999943</v>
      </c>
      <c r="BJ505" s="9">
        <f t="shared" si="399"/>
        <v>0.39999999999999858</v>
      </c>
    </row>
    <row r="506" spans="1:62" x14ac:dyDescent="0.2">
      <c r="A506" s="9">
        <f>data!M507-data!M506</f>
        <v>0.85450000000000159</v>
      </c>
      <c r="B506" s="9">
        <f>data!C507-data!C506</f>
        <v>1.2200000000000006</v>
      </c>
      <c r="C506" s="9">
        <f>data!D507-data!D506</f>
        <v>1.3674999999999997</v>
      </c>
      <c r="D506" s="10">
        <f>data!B507-data!B506</f>
        <v>-0.7200000000000002</v>
      </c>
      <c r="E506" s="9">
        <f>data!E506-data!G506</f>
        <v>1.9206999999999999</v>
      </c>
      <c r="F506" s="9">
        <f>(data!E506-data!F506)-(data!G506-data!H506)</f>
        <v>1.4827999999999999</v>
      </c>
      <c r="G506" s="9">
        <f t="shared" si="350"/>
        <v>0.11680000000000024</v>
      </c>
      <c r="H506" s="9">
        <f t="shared" si="351"/>
        <v>6.6500000000000226E-2</v>
      </c>
      <c r="I506" s="9">
        <f>IF(data!M507&gt; 111.81,1,0)</f>
        <v>0</v>
      </c>
      <c r="J506" s="9">
        <f t="shared" si="352"/>
        <v>1</v>
      </c>
      <c r="K506" s="9">
        <f t="shared" si="353"/>
        <v>0</v>
      </c>
      <c r="L506" s="9">
        <f t="shared" si="354"/>
        <v>0.85450000000000159</v>
      </c>
      <c r="M506" s="9">
        <f>data!J506</f>
        <v>-24.3</v>
      </c>
      <c r="N506" s="9">
        <f>data!I506</f>
        <v>-47.6</v>
      </c>
      <c r="O506" s="9">
        <f>data!L506</f>
        <v>-57.25</v>
      </c>
      <c r="P506" s="9">
        <f>data!K506</f>
        <v>-48</v>
      </c>
      <c r="Q506" s="9">
        <f>data!R506</f>
        <v>-37.625</v>
      </c>
      <c r="R506" s="9">
        <f t="shared" si="355"/>
        <v>-2.4499999999999993</v>
      </c>
      <c r="S506" s="9">
        <f t="shared" si="356"/>
        <v>-7</v>
      </c>
      <c r="T506" s="9">
        <f t="shared" si="357"/>
        <v>-4.0999999999999979</v>
      </c>
      <c r="U506" s="9">
        <f t="shared" si="358"/>
        <v>-0.69999999999999929</v>
      </c>
      <c r="V506" s="9">
        <f t="shared" si="359"/>
        <v>-0.5</v>
      </c>
      <c r="W506" s="9">
        <f t="shared" si="360"/>
        <v>-2.4499999999999993</v>
      </c>
      <c r="X506" s="9">
        <f t="shared" si="361"/>
        <v>-2.6999999999999993</v>
      </c>
      <c r="Y506" s="9">
        <f t="shared" si="362"/>
        <v>-6.1999999999999993</v>
      </c>
      <c r="Z506" s="9">
        <f t="shared" si="363"/>
        <v>-5</v>
      </c>
      <c r="AA506" s="9">
        <f t="shared" si="364"/>
        <v>-2.3999999999999986</v>
      </c>
      <c r="AB506" s="9">
        <f t="shared" si="365"/>
        <v>-6.8999999999999986</v>
      </c>
      <c r="AC506" s="9">
        <f t="shared" si="366"/>
        <v>-3.6999999999999957</v>
      </c>
      <c r="AD506" s="9">
        <f t="shared" si="367"/>
        <v>0.55000000000000426</v>
      </c>
      <c r="AE506" s="9">
        <f t="shared" si="368"/>
        <v>-0.29999999999999716</v>
      </c>
      <c r="AF506" s="9">
        <f t="shared" si="369"/>
        <v>-1.8999999999999986</v>
      </c>
      <c r="AG506" s="9">
        <f t="shared" si="370"/>
        <v>-0.69999999999999574</v>
      </c>
      <c r="AH506" s="9">
        <f t="shared" si="371"/>
        <v>-3.8999999999999986</v>
      </c>
      <c r="AI506" s="9">
        <f t="shared" si="372"/>
        <v>-9.5499999999999972</v>
      </c>
      <c r="AJ506" s="9">
        <f t="shared" si="373"/>
        <v>-1.5499999999999972</v>
      </c>
      <c r="AK506" s="9">
        <f t="shared" si="374"/>
        <v>-5.3500000000000014</v>
      </c>
      <c r="AL506" s="9">
        <f t="shared" si="375"/>
        <v>-1.6499999999999986</v>
      </c>
      <c r="AM506" s="9">
        <f t="shared" si="376"/>
        <v>2.4249999999999972</v>
      </c>
      <c r="AN506" s="9">
        <f t="shared" si="377"/>
        <v>1.8500000000000014</v>
      </c>
      <c r="AO506" s="9">
        <f t="shared" si="378"/>
        <v>1.5</v>
      </c>
      <c r="AP506" s="9">
        <f t="shared" si="379"/>
        <v>5</v>
      </c>
      <c r="AQ506" s="9">
        <f t="shared" si="380"/>
        <v>2.25</v>
      </c>
      <c r="AR506" s="9">
        <f t="shared" si="381"/>
        <v>-5.3500000000000014</v>
      </c>
      <c r="AS506" s="9">
        <f t="shared" si="382"/>
        <v>-0.79999999999999716</v>
      </c>
      <c r="AT506" s="9">
        <f t="shared" si="383"/>
        <v>-5.7999999999999972</v>
      </c>
      <c r="AU506" s="9">
        <f t="shared" si="384"/>
        <v>-3.7999999999999972</v>
      </c>
      <c r="AV506" s="9">
        <f t="shared" si="385"/>
        <v>-0.5</v>
      </c>
      <c r="AW506" s="9">
        <f t="shared" si="386"/>
        <v>-1.0018000000000029</v>
      </c>
      <c r="AX506" s="9">
        <f t="shared" si="387"/>
        <v>-1.25</v>
      </c>
      <c r="AY506" s="9">
        <f t="shared" si="388"/>
        <v>2.5</v>
      </c>
      <c r="AZ506" s="9">
        <f t="shared" si="389"/>
        <v>1.2000000000000028</v>
      </c>
      <c r="BA506" s="9">
        <f t="shared" si="390"/>
        <v>-7.2999999999999972</v>
      </c>
      <c r="BB506" s="9">
        <f t="shared" si="391"/>
        <v>-0.67499999999999716</v>
      </c>
      <c r="BC506" s="9">
        <f t="shared" si="392"/>
        <v>-5.6749999999999972</v>
      </c>
      <c r="BD506" s="9">
        <f t="shared" si="393"/>
        <v>-4.2749999999999986</v>
      </c>
      <c r="BE506" s="9">
        <f t="shared" si="394"/>
        <v>-1.875</v>
      </c>
      <c r="BF506" s="9">
        <f t="shared" si="395"/>
        <v>-1.6274999999999977</v>
      </c>
      <c r="BG506" s="9">
        <f t="shared" si="396"/>
        <v>-2.125</v>
      </c>
      <c r="BH506" s="9">
        <f t="shared" si="397"/>
        <v>1.6749999999999972</v>
      </c>
      <c r="BI506" s="9">
        <f t="shared" si="398"/>
        <v>0.72500000000000142</v>
      </c>
      <c r="BJ506" s="9">
        <f t="shared" si="399"/>
        <v>-7.6749999999999972</v>
      </c>
    </row>
    <row r="507" spans="1:62" x14ac:dyDescent="0.2">
      <c r="A507" s="9">
        <f>data!M508-data!M507</f>
        <v>0.2669000000000068</v>
      </c>
      <c r="B507" s="9">
        <f>data!C508-data!C507</f>
        <v>-1.2000000000000011</v>
      </c>
      <c r="C507" s="9">
        <f>data!D508-data!D507</f>
        <v>-0.14499999999999957</v>
      </c>
      <c r="D507" s="10">
        <f>data!B508-data!B507</f>
        <v>0.19500000000000028</v>
      </c>
      <c r="E507" s="9">
        <f>data!E507-data!G507</f>
        <v>2.0375000000000001</v>
      </c>
      <c r="F507" s="9">
        <f>(data!E507-data!F507)-(data!G507-data!H507)</f>
        <v>1.5493000000000001</v>
      </c>
      <c r="G507" s="9">
        <f t="shared" si="350"/>
        <v>-2.2000000000000242E-2</v>
      </c>
      <c r="H507" s="9">
        <f t="shared" si="351"/>
        <v>-3.6700000000000399E-2</v>
      </c>
      <c r="I507" s="9">
        <f>IF(data!M508&gt; 111.81,1,0)</f>
        <v>0</v>
      </c>
      <c r="J507" s="9">
        <f t="shared" si="352"/>
        <v>1</v>
      </c>
      <c r="K507" s="9">
        <f t="shared" si="353"/>
        <v>0</v>
      </c>
      <c r="L507" s="9">
        <f t="shared" si="354"/>
        <v>0.2669000000000068</v>
      </c>
      <c r="M507" s="9">
        <f>data!J507</f>
        <v>-26.75</v>
      </c>
      <c r="N507" s="9">
        <f>data!I507</f>
        <v>-50</v>
      </c>
      <c r="O507" s="9">
        <f>data!L507</f>
        <v>-58.8</v>
      </c>
      <c r="P507" s="9">
        <f>data!K507</f>
        <v>-48.8</v>
      </c>
      <c r="Q507" s="9">
        <f>data!R507</f>
        <v>-38.299999999999997</v>
      </c>
      <c r="R507" s="9">
        <f t="shared" si="355"/>
        <v>-4.5500000000000007</v>
      </c>
      <c r="S507" s="9">
        <f t="shared" si="356"/>
        <v>-1.6499999999999986</v>
      </c>
      <c r="T507" s="9">
        <f t="shared" si="357"/>
        <v>1.75</v>
      </c>
      <c r="U507" s="9">
        <f t="shared" si="358"/>
        <v>1.9499999999999993</v>
      </c>
      <c r="V507" s="9">
        <f t="shared" si="359"/>
        <v>0</v>
      </c>
      <c r="W507" s="9">
        <f t="shared" si="360"/>
        <v>-0.25</v>
      </c>
      <c r="X507" s="9">
        <f t="shared" si="361"/>
        <v>-3.75</v>
      </c>
      <c r="Y507" s="9">
        <f t="shared" si="362"/>
        <v>-2.5500000000000007</v>
      </c>
      <c r="Z507" s="9">
        <f t="shared" si="363"/>
        <v>-5.25</v>
      </c>
      <c r="AA507" s="9">
        <f t="shared" si="364"/>
        <v>-4.5</v>
      </c>
      <c r="AB507" s="9">
        <f t="shared" si="365"/>
        <v>-1.2999999999999972</v>
      </c>
      <c r="AC507" s="9">
        <f t="shared" si="366"/>
        <v>2.9500000000000028</v>
      </c>
      <c r="AD507" s="9">
        <f t="shared" si="367"/>
        <v>2.1000000000000014</v>
      </c>
      <c r="AE507" s="9">
        <f t="shared" si="368"/>
        <v>0.5</v>
      </c>
      <c r="AF507" s="9">
        <f t="shared" si="369"/>
        <v>1.7000000000000028</v>
      </c>
      <c r="AG507" s="9">
        <f t="shared" si="370"/>
        <v>-1.5</v>
      </c>
      <c r="AH507" s="9">
        <f t="shared" si="371"/>
        <v>-7.1499999999999986</v>
      </c>
      <c r="AI507" s="9">
        <f t="shared" si="372"/>
        <v>-13.5</v>
      </c>
      <c r="AJ507" s="9">
        <f t="shared" si="373"/>
        <v>-3.8000000000000043</v>
      </c>
      <c r="AK507" s="9">
        <f t="shared" si="374"/>
        <v>-0.10000000000000142</v>
      </c>
      <c r="AL507" s="9">
        <f t="shared" si="375"/>
        <v>3.9749999999999943</v>
      </c>
      <c r="AM507" s="9">
        <f t="shared" si="376"/>
        <v>3.3999999999999986</v>
      </c>
      <c r="AN507" s="9">
        <f t="shared" si="377"/>
        <v>3.0499999999999972</v>
      </c>
      <c r="AO507" s="9">
        <f t="shared" si="378"/>
        <v>6.5499999999999972</v>
      </c>
      <c r="AP507" s="9">
        <f t="shared" si="379"/>
        <v>3.7999999999999972</v>
      </c>
      <c r="AQ507" s="9">
        <f t="shared" si="380"/>
        <v>-3.8000000000000043</v>
      </c>
      <c r="AR507" s="9">
        <f t="shared" si="381"/>
        <v>-9.9500000000000028</v>
      </c>
      <c r="AS507" s="9">
        <f t="shared" si="382"/>
        <v>-5</v>
      </c>
      <c r="AT507" s="9">
        <f t="shared" si="383"/>
        <v>-3</v>
      </c>
      <c r="AU507" s="9">
        <f t="shared" si="384"/>
        <v>0.29999999999999716</v>
      </c>
      <c r="AV507" s="9">
        <f t="shared" si="385"/>
        <v>-0.20180000000000575</v>
      </c>
      <c r="AW507" s="9">
        <f t="shared" si="386"/>
        <v>-0.45000000000000284</v>
      </c>
      <c r="AX507" s="9">
        <f t="shared" si="387"/>
        <v>3.2999999999999972</v>
      </c>
      <c r="AY507" s="9">
        <f t="shared" si="388"/>
        <v>2</v>
      </c>
      <c r="AZ507" s="9">
        <f t="shared" si="389"/>
        <v>-6.5</v>
      </c>
      <c r="BA507" s="9">
        <f t="shared" si="390"/>
        <v>-12.575000000000003</v>
      </c>
      <c r="BB507" s="9">
        <f t="shared" si="391"/>
        <v>-5</v>
      </c>
      <c r="BC507" s="9">
        <f t="shared" si="392"/>
        <v>-3.6000000000000014</v>
      </c>
      <c r="BD507" s="9">
        <f t="shared" si="393"/>
        <v>-1.2000000000000028</v>
      </c>
      <c r="BE507" s="9">
        <f t="shared" si="394"/>
        <v>-0.95250000000000057</v>
      </c>
      <c r="BF507" s="9">
        <f t="shared" si="395"/>
        <v>-1.4500000000000028</v>
      </c>
      <c r="BG507" s="9">
        <f t="shared" si="396"/>
        <v>2.3499999999999943</v>
      </c>
      <c r="BH507" s="9">
        <f t="shared" si="397"/>
        <v>1.3999999999999986</v>
      </c>
      <c r="BI507" s="9">
        <f t="shared" si="398"/>
        <v>-7</v>
      </c>
      <c r="BJ507" s="9">
        <f t="shared" si="399"/>
        <v>-12.950000000000003</v>
      </c>
    </row>
    <row r="508" spans="1:62" x14ac:dyDescent="0.2">
      <c r="A508" s="9">
        <f>data!M509-data!M508</f>
        <v>0.86629999999999541</v>
      </c>
      <c r="B508" s="9">
        <f>data!C509-data!C508</f>
        <v>2.74</v>
      </c>
      <c r="C508" s="9">
        <f>data!D509-data!D508</f>
        <v>7.0000000000000284E-2</v>
      </c>
      <c r="D508" s="10">
        <f>data!B509-data!B508</f>
        <v>-2.5000000000001688E-3</v>
      </c>
      <c r="E508" s="9">
        <f>data!E508-data!G508</f>
        <v>2.0154999999999998</v>
      </c>
      <c r="F508" s="9">
        <f>(data!E508-data!F508)-(data!G508-data!H508)</f>
        <v>1.5125999999999997</v>
      </c>
      <c r="G508" s="9">
        <f t="shared" si="350"/>
        <v>-5.9000000000000163E-3</v>
      </c>
      <c r="H508" s="9">
        <f t="shared" si="351"/>
        <v>-1.9799999999999596E-2</v>
      </c>
      <c r="I508" s="9">
        <f>IF(data!M509&gt; 111.81,1,0)</f>
        <v>0</v>
      </c>
      <c r="J508" s="9">
        <f t="shared" si="352"/>
        <v>1</v>
      </c>
      <c r="K508" s="9">
        <f t="shared" si="353"/>
        <v>0</v>
      </c>
      <c r="L508" s="9">
        <f t="shared" si="354"/>
        <v>0.86629999999999541</v>
      </c>
      <c r="M508" s="9">
        <f>data!J508</f>
        <v>-31.3</v>
      </c>
      <c r="N508" s="9">
        <f>data!I508</f>
        <v>-54.5</v>
      </c>
      <c r="O508" s="9">
        <f>data!L508</f>
        <v>-62.6</v>
      </c>
      <c r="P508" s="9">
        <f>data!K508</f>
        <v>-53.8</v>
      </c>
      <c r="Q508" s="9">
        <f>data!R508</f>
        <v>-43.3</v>
      </c>
      <c r="R508" s="9">
        <f t="shared" si="355"/>
        <v>2.9000000000000021</v>
      </c>
      <c r="S508" s="9">
        <f t="shared" si="356"/>
        <v>6.3000000000000007</v>
      </c>
      <c r="T508" s="9">
        <f t="shared" si="357"/>
        <v>6.5</v>
      </c>
      <c r="U508" s="9">
        <f t="shared" si="358"/>
        <v>4.5500000000000007</v>
      </c>
      <c r="V508" s="9">
        <f t="shared" si="359"/>
        <v>4.3000000000000007</v>
      </c>
      <c r="W508" s="9">
        <f t="shared" si="360"/>
        <v>0.80000000000000071</v>
      </c>
      <c r="X508" s="9">
        <f t="shared" si="361"/>
        <v>2</v>
      </c>
      <c r="Y508" s="9">
        <f t="shared" si="362"/>
        <v>-0.69999999999999929</v>
      </c>
      <c r="Z508" s="9">
        <f t="shared" si="363"/>
        <v>-1.4499999999999993</v>
      </c>
      <c r="AA508" s="9">
        <f t="shared" si="364"/>
        <v>3.2000000000000028</v>
      </c>
      <c r="AB508" s="9">
        <f t="shared" si="365"/>
        <v>7.4500000000000028</v>
      </c>
      <c r="AC508" s="9">
        <f t="shared" si="366"/>
        <v>6.6000000000000014</v>
      </c>
      <c r="AD508" s="9">
        <f t="shared" si="367"/>
        <v>5</v>
      </c>
      <c r="AE508" s="9">
        <f t="shared" si="368"/>
        <v>6.2000000000000028</v>
      </c>
      <c r="AF508" s="9">
        <f t="shared" si="369"/>
        <v>3</v>
      </c>
      <c r="AG508" s="9">
        <f t="shared" si="370"/>
        <v>-2.6499999999999986</v>
      </c>
      <c r="AH508" s="9">
        <f t="shared" si="371"/>
        <v>-9</v>
      </c>
      <c r="AI508" s="9">
        <f t="shared" si="372"/>
        <v>-10.375</v>
      </c>
      <c r="AJ508" s="9">
        <f t="shared" si="373"/>
        <v>3.7000000000000028</v>
      </c>
      <c r="AK508" s="9">
        <f t="shared" si="374"/>
        <v>7.7749999999999986</v>
      </c>
      <c r="AL508" s="9">
        <f t="shared" si="375"/>
        <v>7.2000000000000028</v>
      </c>
      <c r="AM508" s="9">
        <f t="shared" si="376"/>
        <v>6.8500000000000014</v>
      </c>
      <c r="AN508" s="9">
        <f t="shared" si="377"/>
        <v>10.350000000000001</v>
      </c>
      <c r="AO508" s="9">
        <f t="shared" si="378"/>
        <v>7.6000000000000014</v>
      </c>
      <c r="AP508" s="9">
        <f t="shared" si="379"/>
        <v>0</v>
      </c>
      <c r="AQ508" s="9">
        <f t="shared" si="380"/>
        <v>-6.1499999999999986</v>
      </c>
      <c r="AR508" s="9">
        <f t="shared" si="381"/>
        <v>-5.8999999999999986</v>
      </c>
      <c r="AS508" s="9">
        <f t="shared" si="382"/>
        <v>2</v>
      </c>
      <c r="AT508" s="9">
        <f t="shared" si="383"/>
        <v>5.2999999999999972</v>
      </c>
      <c r="AU508" s="9">
        <f t="shared" si="384"/>
        <v>4.7981999999999942</v>
      </c>
      <c r="AV508" s="9">
        <f t="shared" si="385"/>
        <v>4.5499999999999972</v>
      </c>
      <c r="AW508" s="9">
        <f t="shared" si="386"/>
        <v>8.2999999999999972</v>
      </c>
      <c r="AX508" s="9">
        <f t="shared" si="387"/>
        <v>7</v>
      </c>
      <c r="AY508" s="9">
        <f t="shared" si="388"/>
        <v>-1.5</v>
      </c>
      <c r="AZ508" s="9">
        <f t="shared" si="389"/>
        <v>-7.5750000000000028</v>
      </c>
      <c r="BA508" s="9">
        <f t="shared" si="390"/>
        <v>-4.9500000000000028</v>
      </c>
      <c r="BB508" s="9">
        <f t="shared" si="391"/>
        <v>1.3999999999999986</v>
      </c>
      <c r="BC508" s="9">
        <f t="shared" si="392"/>
        <v>3.7999999999999972</v>
      </c>
      <c r="BD508" s="9">
        <f t="shared" si="393"/>
        <v>4.0474999999999994</v>
      </c>
      <c r="BE508" s="9">
        <f t="shared" si="394"/>
        <v>3.5499999999999972</v>
      </c>
      <c r="BF508" s="9">
        <f t="shared" si="395"/>
        <v>7.3499999999999943</v>
      </c>
      <c r="BG508" s="9">
        <f t="shared" si="396"/>
        <v>6.3999999999999986</v>
      </c>
      <c r="BH508" s="9">
        <f t="shared" si="397"/>
        <v>-2</v>
      </c>
      <c r="BI508" s="9">
        <f t="shared" si="398"/>
        <v>-7.9500000000000028</v>
      </c>
      <c r="BJ508" s="9">
        <f t="shared" si="399"/>
        <v>-5.5750000000000028</v>
      </c>
    </row>
    <row r="509" spans="1:62" x14ac:dyDescent="0.2">
      <c r="A509" s="9">
        <f>data!M510-data!M509</f>
        <v>0.77660000000000196</v>
      </c>
      <c r="B509" s="9">
        <f>data!C510-data!C509</f>
        <v>-0.29999999999999893</v>
      </c>
      <c r="C509" s="9">
        <f>data!D510-data!D509</f>
        <v>-0.14500000000000046</v>
      </c>
      <c r="D509" s="10">
        <f>data!B510-data!B509</f>
        <v>-2.0000000000000018E-2</v>
      </c>
      <c r="E509" s="9">
        <f>data!E509-data!G509</f>
        <v>2.0095999999999998</v>
      </c>
      <c r="F509" s="9">
        <f>(data!E509-data!F509)-(data!G509-data!H509)</f>
        <v>1.4928000000000001</v>
      </c>
      <c r="G509" s="9">
        <f t="shared" si="350"/>
        <v>-8.8599999999999568E-2</v>
      </c>
      <c r="H509" s="9">
        <f t="shared" si="351"/>
        <v>-7.3300000000000143E-2</v>
      </c>
      <c r="I509" s="9">
        <f>IF(data!M510&gt; 111.81,1,0)</f>
        <v>0</v>
      </c>
      <c r="J509" s="9">
        <f t="shared" si="352"/>
        <v>1</v>
      </c>
      <c r="K509" s="9">
        <f t="shared" si="353"/>
        <v>0</v>
      </c>
      <c r="L509" s="9">
        <f t="shared" si="354"/>
        <v>0.77660000000000196</v>
      </c>
      <c r="M509" s="9">
        <f>data!J509</f>
        <v>-28.4</v>
      </c>
      <c r="N509" s="9">
        <f>data!I509</f>
        <v>-51.3</v>
      </c>
      <c r="O509" s="9">
        <f>data!L509</f>
        <v>-58.9</v>
      </c>
      <c r="P509" s="9">
        <f>data!K509</f>
        <v>-51.8</v>
      </c>
      <c r="Q509" s="9">
        <f>data!R509</f>
        <v>-41.9</v>
      </c>
      <c r="R509" s="9">
        <f t="shared" si="355"/>
        <v>3.3999999999999986</v>
      </c>
      <c r="S509" s="9">
        <f t="shared" si="356"/>
        <v>3.5999999999999979</v>
      </c>
      <c r="T509" s="9">
        <f t="shared" si="357"/>
        <v>1.6499999999999986</v>
      </c>
      <c r="U509" s="9">
        <f t="shared" si="358"/>
        <v>1.3999999999999986</v>
      </c>
      <c r="V509" s="9">
        <f t="shared" si="359"/>
        <v>-2.1000000000000014</v>
      </c>
      <c r="W509" s="9">
        <f t="shared" si="360"/>
        <v>-0.90000000000000213</v>
      </c>
      <c r="X509" s="9">
        <f t="shared" si="361"/>
        <v>-3.6000000000000014</v>
      </c>
      <c r="Y509" s="9">
        <f t="shared" si="362"/>
        <v>-4.3500000000000014</v>
      </c>
      <c r="Z509" s="9">
        <f t="shared" si="363"/>
        <v>-2.1000000000000014</v>
      </c>
      <c r="AA509" s="9">
        <f t="shared" si="364"/>
        <v>4.25</v>
      </c>
      <c r="AB509" s="9">
        <f t="shared" si="365"/>
        <v>3.3999999999999986</v>
      </c>
      <c r="AC509" s="9">
        <f t="shared" si="366"/>
        <v>1.7999999999999972</v>
      </c>
      <c r="AD509" s="9">
        <f t="shared" si="367"/>
        <v>3</v>
      </c>
      <c r="AE509" s="9">
        <f t="shared" si="368"/>
        <v>-0.20000000000000284</v>
      </c>
      <c r="AF509" s="9">
        <f t="shared" si="369"/>
        <v>-5.8500000000000014</v>
      </c>
      <c r="AG509" s="9">
        <f t="shared" si="370"/>
        <v>-12.200000000000003</v>
      </c>
      <c r="AH509" s="9">
        <f t="shared" si="371"/>
        <v>-13.575000000000003</v>
      </c>
      <c r="AI509" s="9">
        <f t="shared" si="372"/>
        <v>-10.300000000000004</v>
      </c>
      <c r="AJ509" s="9">
        <f t="shared" si="373"/>
        <v>4.0749999999999957</v>
      </c>
      <c r="AK509" s="9">
        <f t="shared" si="374"/>
        <v>3.5</v>
      </c>
      <c r="AL509" s="9">
        <f t="shared" si="375"/>
        <v>3.1499999999999986</v>
      </c>
      <c r="AM509" s="9">
        <f t="shared" si="376"/>
        <v>6.6499999999999986</v>
      </c>
      <c r="AN509" s="9">
        <f t="shared" si="377"/>
        <v>3.8999999999999986</v>
      </c>
      <c r="AO509" s="9">
        <f t="shared" si="378"/>
        <v>-3.7000000000000028</v>
      </c>
      <c r="AP509" s="9">
        <f t="shared" si="379"/>
        <v>-9.8500000000000014</v>
      </c>
      <c r="AQ509" s="9">
        <f t="shared" si="380"/>
        <v>-9.6000000000000014</v>
      </c>
      <c r="AR509" s="9">
        <f t="shared" si="381"/>
        <v>-6.6999999999999957</v>
      </c>
      <c r="AS509" s="9">
        <f t="shared" si="382"/>
        <v>3.2999999999999972</v>
      </c>
      <c r="AT509" s="9">
        <f t="shared" si="383"/>
        <v>2.7981999999999942</v>
      </c>
      <c r="AU509" s="9">
        <f t="shared" si="384"/>
        <v>2.5499999999999972</v>
      </c>
      <c r="AV509" s="9">
        <f t="shared" si="385"/>
        <v>6.2999999999999972</v>
      </c>
      <c r="AW509" s="9">
        <f t="shared" si="386"/>
        <v>5</v>
      </c>
      <c r="AX509" s="9">
        <f t="shared" si="387"/>
        <v>-3.5</v>
      </c>
      <c r="AY509" s="9">
        <f t="shared" si="388"/>
        <v>-9.5750000000000028</v>
      </c>
      <c r="AZ509" s="9">
        <f t="shared" si="389"/>
        <v>-6.9500000000000028</v>
      </c>
      <c r="BA509" s="9">
        <f t="shared" si="390"/>
        <v>-2.4000000000000057</v>
      </c>
      <c r="BB509" s="9">
        <f t="shared" si="391"/>
        <v>2.3999999999999986</v>
      </c>
      <c r="BC509" s="9">
        <f t="shared" si="392"/>
        <v>2.6475000000000009</v>
      </c>
      <c r="BD509" s="9">
        <f t="shared" si="393"/>
        <v>2.1499999999999986</v>
      </c>
      <c r="BE509" s="9">
        <f t="shared" si="394"/>
        <v>5.9499999999999957</v>
      </c>
      <c r="BF509" s="9">
        <f t="shared" si="395"/>
        <v>5</v>
      </c>
      <c r="BG509" s="9">
        <f t="shared" si="396"/>
        <v>-3.3999999999999986</v>
      </c>
      <c r="BH509" s="9">
        <f t="shared" si="397"/>
        <v>-9.3500000000000014</v>
      </c>
      <c r="BI509" s="9">
        <f t="shared" si="398"/>
        <v>-6.9750000000000014</v>
      </c>
      <c r="BJ509" s="9">
        <f t="shared" si="399"/>
        <v>-1.9500000000000028</v>
      </c>
    </row>
    <row r="510" spans="1:62" x14ac:dyDescent="0.2">
      <c r="A510" s="9">
        <f>data!M511-data!M510</f>
        <v>-0.57019999999999982</v>
      </c>
      <c r="B510" s="9">
        <f>data!C511-data!C510</f>
        <v>6.6899999999999977</v>
      </c>
      <c r="C510" s="9">
        <f>data!D511-data!D510</f>
        <v>-0.18250000000000011</v>
      </c>
      <c r="D510" s="10">
        <f>data!B511-data!B510</f>
        <v>0.25750000000000006</v>
      </c>
      <c r="E510" s="9">
        <f>data!E510-data!G510</f>
        <v>1.9210000000000003</v>
      </c>
      <c r="F510" s="9">
        <f>(data!E510-data!F510)-(data!G510-data!H510)</f>
        <v>1.4195</v>
      </c>
      <c r="G510" s="9">
        <f t="shared" si="350"/>
        <v>-0.14060000000000006</v>
      </c>
      <c r="H510" s="9">
        <f t="shared" si="351"/>
        <v>-1.0999999999999677E-2</v>
      </c>
      <c r="I510" s="9">
        <f>IF(data!M511&gt; 111.81,1,0)</f>
        <v>0</v>
      </c>
      <c r="J510" s="9">
        <f t="shared" si="352"/>
        <v>1</v>
      </c>
      <c r="K510" s="9">
        <f t="shared" si="353"/>
        <v>0</v>
      </c>
      <c r="L510" s="9">
        <f t="shared" si="354"/>
        <v>-0.57019999999999982</v>
      </c>
      <c r="M510" s="9">
        <f>data!J510</f>
        <v>-25</v>
      </c>
      <c r="N510" s="9">
        <f>data!I510</f>
        <v>-47.05</v>
      </c>
      <c r="O510" s="9">
        <f>data!L510</f>
        <v>-54.825000000000003</v>
      </c>
      <c r="P510" s="9">
        <f>data!K510</f>
        <v>-48.5</v>
      </c>
      <c r="Q510" s="9">
        <f>data!R510</f>
        <v>-39.5</v>
      </c>
      <c r="R510" s="9">
        <f t="shared" si="355"/>
        <v>0.19999999999999929</v>
      </c>
      <c r="S510" s="9">
        <f t="shared" si="356"/>
        <v>-1.75</v>
      </c>
      <c r="T510" s="9">
        <f t="shared" si="357"/>
        <v>-2</v>
      </c>
      <c r="U510" s="9">
        <f t="shared" si="358"/>
        <v>-5.5</v>
      </c>
      <c r="V510" s="9">
        <f t="shared" si="359"/>
        <v>-4.3000000000000007</v>
      </c>
      <c r="W510" s="9">
        <f t="shared" si="360"/>
        <v>-7</v>
      </c>
      <c r="X510" s="9">
        <f t="shared" si="361"/>
        <v>-7.75</v>
      </c>
      <c r="Y510" s="9">
        <f t="shared" si="362"/>
        <v>-5.5</v>
      </c>
      <c r="Z510" s="9">
        <f t="shared" si="363"/>
        <v>-8.5</v>
      </c>
      <c r="AA510" s="9">
        <f t="shared" si="364"/>
        <v>-0.85000000000000142</v>
      </c>
      <c r="AB510" s="9">
        <f t="shared" si="365"/>
        <v>-2.4500000000000028</v>
      </c>
      <c r="AC510" s="9">
        <f t="shared" si="366"/>
        <v>-1.25</v>
      </c>
      <c r="AD510" s="9">
        <f t="shared" si="367"/>
        <v>-4.4500000000000028</v>
      </c>
      <c r="AE510" s="9">
        <f t="shared" si="368"/>
        <v>-10.100000000000001</v>
      </c>
      <c r="AF510" s="9">
        <f t="shared" si="369"/>
        <v>-16.450000000000003</v>
      </c>
      <c r="AG510" s="9">
        <f t="shared" si="370"/>
        <v>-17.825000000000003</v>
      </c>
      <c r="AH510" s="9">
        <f t="shared" si="371"/>
        <v>-14.550000000000004</v>
      </c>
      <c r="AI510" s="9">
        <f t="shared" si="372"/>
        <v>-16.450000000000003</v>
      </c>
      <c r="AJ510" s="9">
        <f t="shared" si="373"/>
        <v>-0.57499999999999574</v>
      </c>
      <c r="AK510" s="9">
        <f t="shared" si="374"/>
        <v>-0.92499999999999716</v>
      </c>
      <c r="AL510" s="9">
        <f t="shared" si="375"/>
        <v>2.5750000000000028</v>
      </c>
      <c r="AM510" s="9">
        <f t="shared" si="376"/>
        <v>-0.17499999999999716</v>
      </c>
      <c r="AN510" s="9">
        <f t="shared" si="377"/>
        <v>-7.7749999999999986</v>
      </c>
      <c r="AO510" s="9">
        <f t="shared" si="378"/>
        <v>-13.924999999999997</v>
      </c>
      <c r="AP510" s="9">
        <f t="shared" si="379"/>
        <v>-13.674999999999997</v>
      </c>
      <c r="AQ510" s="9">
        <f t="shared" si="380"/>
        <v>-10.774999999999991</v>
      </c>
      <c r="AR510" s="9">
        <f t="shared" si="381"/>
        <v>-10.924999999999997</v>
      </c>
      <c r="AS510" s="9">
        <f t="shared" si="382"/>
        <v>-0.50180000000000291</v>
      </c>
      <c r="AT510" s="9">
        <f t="shared" si="383"/>
        <v>-0.75</v>
      </c>
      <c r="AU510" s="9">
        <f t="shared" si="384"/>
        <v>3</v>
      </c>
      <c r="AV510" s="9">
        <f t="shared" si="385"/>
        <v>1.7000000000000028</v>
      </c>
      <c r="AW510" s="9">
        <f t="shared" si="386"/>
        <v>-6.7999999999999972</v>
      </c>
      <c r="AX510" s="9">
        <f t="shared" si="387"/>
        <v>-12.875</v>
      </c>
      <c r="AY510" s="9">
        <f t="shared" si="388"/>
        <v>-10.25</v>
      </c>
      <c r="AZ510" s="9">
        <f t="shared" si="389"/>
        <v>-5.7000000000000028</v>
      </c>
      <c r="BA510" s="9">
        <f t="shared" si="390"/>
        <v>-5.7999999999999972</v>
      </c>
      <c r="BB510" s="9">
        <f t="shared" si="391"/>
        <v>0.24750000000000227</v>
      </c>
      <c r="BC510" s="9">
        <f t="shared" si="392"/>
        <v>-0.25</v>
      </c>
      <c r="BD510" s="9">
        <f t="shared" si="393"/>
        <v>3.5499999999999972</v>
      </c>
      <c r="BE510" s="9">
        <f t="shared" si="394"/>
        <v>2.6000000000000014</v>
      </c>
      <c r="BF510" s="9">
        <f t="shared" si="395"/>
        <v>-5.7999999999999972</v>
      </c>
      <c r="BG510" s="9">
        <f t="shared" si="396"/>
        <v>-11.75</v>
      </c>
      <c r="BH510" s="9">
        <f t="shared" si="397"/>
        <v>-9.375</v>
      </c>
      <c r="BI510" s="9">
        <f t="shared" si="398"/>
        <v>-4.3500000000000014</v>
      </c>
      <c r="BJ510" s="9">
        <f t="shared" si="399"/>
        <v>-4</v>
      </c>
    </row>
    <row r="511" spans="1:62" x14ac:dyDescent="0.2">
      <c r="A511" s="9">
        <f>data!M512-data!M511</f>
        <v>-0.10769999999999413</v>
      </c>
      <c r="B511" s="9">
        <f>data!C512-data!C511</f>
        <v>0.75</v>
      </c>
      <c r="C511" s="9">
        <f>data!D512-data!D511</f>
        <v>0.375</v>
      </c>
      <c r="D511" s="10">
        <f>data!B512-data!B511</f>
        <v>-0.27750000000000008</v>
      </c>
      <c r="E511" s="9">
        <f>data!E511-data!G511</f>
        <v>1.7804000000000002</v>
      </c>
      <c r="F511" s="9">
        <f>(data!E511-data!F511)-(data!G511-data!H511)</f>
        <v>1.4085000000000003</v>
      </c>
      <c r="G511" s="9">
        <f t="shared" si="350"/>
        <v>-5.7800000000000296E-2</v>
      </c>
      <c r="H511" s="9">
        <f t="shared" si="351"/>
        <v>-4.3800000000000283E-2</v>
      </c>
      <c r="I511" s="9">
        <f>IF(data!M512&gt; 111.81,1,0)</f>
        <v>0</v>
      </c>
      <c r="J511" s="9">
        <f t="shared" si="352"/>
        <v>1</v>
      </c>
      <c r="K511" s="9">
        <f t="shared" si="353"/>
        <v>0</v>
      </c>
      <c r="L511" s="9">
        <f t="shared" si="354"/>
        <v>-0.10769999999999413</v>
      </c>
      <c r="M511" s="9">
        <f>data!J511</f>
        <v>-24.8</v>
      </c>
      <c r="N511" s="9">
        <f>data!I511</f>
        <v>-47.9</v>
      </c>
      <c r="O511" s="9">
        <f>data!L511</f>
        <v>-55.4</v>
      </c>
      <c r="P511" s="9">
        <f>data!K511</f>
        <v>-49.001800000000003</v>
      </c>
      <c r="Q511" s="9">
        <f>data!R511</f>
        <v>-39.252499999999998</v>
      </c>
      <c r="R511" s="9">
        <f t="shared" si="355"/>
        <v>-1.9499999999999993</v>
      </c>
      <c r="S511" s="9">
        <f t="shared" si="356"/>
        <v>-2.1999999999999993</v>
      </c>
      <c r="T511" s="9">
        <f t="shared" si="357"/>
        <v>-5.6999999999999993</v>
      </c>
      <c r="U511" s="9">
        <f t="shared" si="358"/>
        <v>-4.5</v>
      </c>
      <c r="V511" s="9">
        <f t="shared" si="359"/>
        <v>-7.1999999999999993</v>
      </c>
      <c r="W511" s="9">
        <f t="shared" si="360"/>
        <v>-7.9499999999999993</v>
      </c>
      <c r="X511" s="9">
        <f t="shared" si="361"/>
        <v>-5.6999999999999993</v>
      </c>
      <c r="Y511" s="9">
        <f t="shared" si="362"/>
        <v>-8.6999999999999993</v>
      </c>
      <c r="Z511" s="9">
        <f t="shared" si="363"/>
        <v>-6</v>
      </c>
      <c r="AA511" s="9">
        <f t="shared" si="364"/>
        <v>-1.6000000000000014</v>
      </c>
      <c r="AB511" s="9">
        <f t="shared" si="365"/>
        <v>-0.39999999999999858</v>
      </c>
      <c r="AC511" s="9">
        <f t="shared" si="366"/>
        <v>-3.6000000000000014</v>
      </c>
      <c r="AD511" s="9">
        <f t="shared" si="367"/>
        <v>-9.25</v>
      </c>
      <c r="AE511" s="9">
        <f t="shared" si="368"/>
        <v>-15.600000000000001</v>
      </c>
      <c r="AF511" s="9">
        <f t="shared" si="369"/>
        <v>-16.975000000000001</v>
      </c>
      <c r="AG511" s="9">
        <f t="shared" si="370"/>
        <v>-13.700000000000003</v>
      </c>
      <c r="AH511" s="9">
        <f t="shared" si="371"/>
        <v>-15.600000000000001</v>
      </c>
      <c r="AI511" s="9">
        <f t="shared" si="372"/>
        <v>-13.850000000000001</v>
      </c>
      <c r="AJ511" s="9">
        <f t="shared" si="373"/>
        <v>-0.35000000000000142</v>
      </c>
      <c r="AK511" s="9">
        <f t="shared" si="374"/>
        <v>3.1499999999999986</v>
      </c>
      <c r="AL511" s="9">
        <f t="shared" si="375"/>
        <v>0.39999999999999858</v>
      </c>
      <c r="AM511" s="9">
        <f t="shared" si="376"/>
        <v>-7.2000000000000028</v>
      </c>
      <c r="AN511" s="9">
        <f t="shared" si="377"/>
        <v>-13.350000000000001</v>
      </c>
      <c r="AO511" s="9">
        <f t="shared" si="378"/>
        <v>-13.100000000000001</v>
      </c>
      <c r="AP511" s="9">
        <f t="shared" si="379"/>
        <v>-10.199999999999996</v>
      </c>
      <c r="AQ511" s="9">
        <f t="shared" si="380"/>
        <v>-10.350000000000001</v>
      </c>
      <c r="AR511" s="9">
        <f t="shared" si="381"/>
        <v>-10.600000000000001</v>
      </c>
      <c r="AS511" s="9">
        <f t="shared" si="382"/>
        <v>-0.24819999999999709</v>
      </c>
      <c r="AT511" s="9">
        <f t="shared" si="383"/>
        <v>3.5018000000000029</v>
      </c>
      <c r="AU511" s="9">
        <f t="shared" si="384"/>
        <v>2.2018000000000058</v>
      </c>
      <c r="AV511" s="9">
        <f t="shared" si="385"/>
        <v>-6.2981999999999942</v>
      </c>
      <c r="AW511" s="9">
        <f t="shared" si="386"/>
        <v>-12.373199999999997</v>
      </c>
      <c r="AX511" s="9">
        <f t="shared" si="387"/>
        <v>-9.7481999999999971</v>
      </c>
      <c r="AY511" s="9">
        <f t="shared" si="388"/>
        <v>-5.1981999999999999</v>
      </c>
      <c r="AZ511" s="9">
        <f t="shared" si="389"/>
        <v>-5.2981999999999942</v>
      </c>
      <c r="BA511" s="9">
        <f t="shared" si="390"/>
        <v>-4.9981999999999971</v>
      </c>
      <c r="BB511" s="9">
        <f t="shared" si="391"/>
        <v>-0.49750000000000227</v>
      </c>
      <c r="BC511" s="9">
        <f t="shared" si="392"/>
        <v>3.3024999999999949</v>
      </c>
      <c r="BD511" s="9">
        <f t="shared" si="393"/>
        <v>2.3524999999999991</v>
      </c>
      <c r="BE511" s="9">
        <f t="shared" si="394"/>
        <v>-6.0474999999999994</v>
      </c>
      <c r="BF511" s="9">
        <f t="shared" si="395"/>
        <v>-11.997500000000002</v>
      </c>
      <c r="BG511" s="9">
        <f t="shared" si="396"/>
        <v>-9.6225000000000023</v>
      </c>
      <c r="BH511" s="9">
        <f t="shared" si="397"/>
        <v>-4.5975000000000037</v>
      </c>
      <c r="BI511" s="9">
        <f t="shared" si="398"/>
        <v>-4.2475000000000023</v>
      </c>
      <c r="BJ511" s="9">
        <f t="shared" si="399"/>
        <v>-4.2475000000000023</v>
      </c>
    </row>
    <row r="512" spans="1:62" x14ac:dyDescent="0.2">
      <c r="A512" s="9">
        <f>data!M513-data!M512</f>
        <v>0.17049999999998988</v>
      </c>
      <c r="B512" s="9">
        <f>data!C513-data!C512</f>
        <v>-5.879999999999999</v>
      </c>
      <c r="C512" s="9">
        <f>data!D513-data!D512</f>
        <v>-0.2524999999999995</v>
      </c>
      <c r="D512" s="10">
        <f>data!B513-data!B512</f>
        <v>0.15250000000000008</v>
      </c>
      <c r="E512" s="9">
        <f>data!E512-data!G512</f>
        <v>1.7225999999999999</v>
      </c>
      <c r="F512" s="9">
        <f>(data!E512-data!F512)-(data!G512-data!H512)</f>
        <v>1.3647</v>
      </c>
      <c r="G512" s="9">
        <f t="shared" si="350"/>
        <v>8.0899999999999972E-2</v>
      </c>
      <c r="H512" s="9">
        <f t="shared" si="351"/>
        <v>6.6899999999999959E-2</v>
      </c>
      <c r="I512" s="9">
        <f>IF(data!M513&gt; 111.81,1,0)</f>
        <v>0</v>
      </c>
      <c r="J512" s="9">
        <f t="shared" si="352"/>
        <v>1</v>
      </c>
      <c r="K512" s="9">
        <f t="shared" si="353"/>
        <v>0</v>
      </c>
      <c r="L512" s="9">
        <f t="shared" si="354"/>
        <v>0.17049999999998988</v>
      </c>
      <c r="M512" s="9">
        <f>data!J512</f>
        <v>-26.75</v>
      </c>
      <c r="N512" s="9">
        <f>data!I512</f>
        <v>-49.5</v>
      </c>
      <c r="O512" s="9">
        <f>data!L512</f>
        <v>-55.75</v>
      </c>
      <c r="P512" s="9">
        <f>data!K512</f>
        <v>-49.25</v>
      </c>
      <c r="Q512" s="9">
        <f>data!R512</f>
        <v>-39.75</v>
      </c>
      <c r="R512" s="9">
        <f t="shared" si="355"/>
        <v>-0.25</v>
      </c>
      <c r="S512" s="9">
        <f t="shared" si="356"/>
        <v>-3.75</v>
      </c>
      <c r="T512" s="9">
        <f t="shared" si="357"/>
        <v>-2.5500000000000007</v>
      </c>
      <c r="U512" s="9">
        <f t="shared" si="358"/>
        <v>-5.25</v>
      </c>
      <c r="V512" s="9">
        <f t="shared" si="359"/>
        <v>-6</v>
      </c>
      <c r="W512" s="9">
        <f t="shared" si="360"/>
        <v>-3.75</v>
      </c>
      <c r="X512" s="9">
        <f t="shared" si="361"/>
        <v>-6.75</v>
      </c>
      <c r="Y512" s="9">
        <f t="shared" si="362"/>
        <v>-4.0500000000000007</v>
      </c>
      <c r="Z512" s="9">
        <f t="shared" si="363"/>
        <v>0.5</v>
      </c>
      <c r="AA512" s="9">
        <f t="shared" si="364"/>
        <v>1.2000000000000028</v>
      </c>
      <c r="AB512" s="9">
        <f t="shared" si="365"/>
        <v>-2</v>
      </c>
      <c r="AC512" s="9">
        <f t="shared" si="366"/>
        <v>-7.6499999999999986</v>
      </c>
      <c r="AD512" s="9">
        <f t="shared" si="367"/>
        <v>-14</v>
      </c>
      <c r="AE512" s="9">
        <f t="shared" si="368"/>
        <v>-15.375</v>
      </c>
      <c r="AF512" s="9">
        <f t="shared" si="369"/>
        <v>-12.100000000000001</v>
      </c>
      <c r="AG512" s="9">
        <f t="shared" si="370"/>
        <v>-14</v>
      </c>
      <c r="AH512" s="9">
        <f t="shared" si="371"/>
        <v>-12.25</v>
      </c>
      <c r="AI512" s="9">
        <f t="shared" si="372"/>
        <v>-10.250500000000002</v>
      </c>
      <c r="AJ512" s="9">
        <f t="shared" si="373"/>
        <v>3.5</v>
      </c>
      <c r="AK512" s="9">
        <f t="shared" si="374"/>
        <v>0.75</v>
      </c>
      <c r="AL512" s="9">
        <f t="shared" si="375"/>
        <v>-6.8500000000000014</v>
      </c>
      <c r="AM512" s="9">
        <f t="shared" si="376"/>
        <v>-13</v>
      </c>
      <c r="AN512" s="9">
        <f t="shared" si="377"/>
        <v>-12.75</v>
      </c>
      <c r="AO512" s="9">
        <f t="shared" si="378"/>
        <v>-9.8499999999999943</v>
      </c>
      <c r="AP512" s="9">
        <f t="shared" si="379"/>
        <v>-10</v>
      </c>
      <c r="AQ512" s="9">
        <f t="shared" si="380"/>
        <v>-10.25</v>
      </c>
      <c r="AR512" s="9">
        <f t="shared" si="381"/>
        <v>-9.875</v>
      </c>
      <c r="AS512" s="9">
        <f t="shared" si="382"/>
        <v>3.75</v>
      </c>
      <c r="AT512" s="9">
        <f t="shared" si="383"/>
        <v>2.4500000000000028</v>
      </c>
      <c r="AU512" s="9">
        <f t="shared" si="384"/>
        <v>-6.0499999999999972</v>
      </c>
      <c r="AV512" s="9">
        <f t="shared" si="385"/>
        <v>-12.125</v>
      </c>
      <c r="AW512" s="9">
        <f t="shared" si="386"/>
        <v>-9.5</v>
      </c>
      <c r="AX512" s="9">
        <f t="shared" si="387"/>
        <v>-4.9500000000000028</v>
      </c>
      <c r="AY512" s="9">
        <f t="shared" si="388"/>
        <v>-5.0499999999999972</v>
      </c>
      <c r="AZ512" s="9">
        <f t="shared" si="389"/>
        <v>-4.75</v>
      </c>
      <c r="BA512" s="9">
        <f t="shared" si="390"/>
        <v>-4.75</v>
      </c>
      <c r="BB512" s="9">
        <f t="shared" si="391"/>
        <v>3.7999999999999972</v>
      </c>
      <c r="BC512" s="9">
        <f t="shared" si="392"/>
        <v>2.8500000000000014</v>
      </c>
      <c r="BD512" s="9">
        <f t="shared" si="393"/>
        <v>-5.5499999999999972</v>
      </c>
      <c r="BE512" s="9">
        <f t="shared" si="394"/>
        <v>-11.5</v>
      </c>
      <c r="BF512" s="9">
        <f t="shared" si="395"/>
        <v>-9.125</v>
      </c>
      <c r="BG512" s="9">
        <f t="shared" si="396"/>
        <v>-4.1000000000000014</v>
      </c>
      <c r="BH512" s="9">
        <f t="shared" si="397"/>
        <v>-3.75</v>
      </c>
      <c r="BI512" s="9">
        <f t="shared" si="398"/>
        <v>-3.75</v>
      </c>
      <c r="BJ512" s="9">
        <f t="shared" si="399"/>
        <v>-3.125</v>
      </c>
    </row>
    <row r="513" spans="1:62" x14ac:dyDescent="0.2">
      <c r="A513" s="9">
        <f>data!M514-data!M513</f>
        <v>0.63909999999999911</v>
      </c>
      <c r="B513" s="9">
        <f>data!C514-data!C513</f>
        <v>-2.08</v>
      </c>
      <c r="C513" s="9">
        <f>data!D514-data!D513</f>
        <v>1.2874999999999996</v>
      </c>
      <c r="D513" s="10">
        <f>data!B514-data!B513</f>
        <v>7.4999999999999956E-2</v>
      </c>
      <c r="E513" s="9">
        <f>data!E513-data!G513</f>
        <v>1.8034999999999999</v>
      </c>
      <c r="F513" s="9">
        <f>(data!E513-data!F513)-(data!G513-data!H513)</f>
        <v>1.4316</v>
      </c>
      <c r="G513" s="9">
        <f t="shared" si="350"/>
        <v>7.8800000000000203E-2</v>
      </c>
      <c r="H513" s="9">
        <f t="shared" si="351"/>
        <v>-1.2699999999999934E-2</v>
      </c>
      <c r="I513" s="9">
        <f>IF(data!M514&gt; 111.81,1,0)</f>
        <v>0</v>
      </c>
      <c r="J513" s="9">
        <f t="shared" si="352"/>
        <v>1</v>
      </c>
      <c r="K513" s="9">
        <f t="shared" si="353"/>
        <v>0</v>
      </c>
      <c r="L513" s="9">
        <f t="shared" si="354"/>
        <v>0.63909999999999911</v>
      </c>
      <c r="M513" s="9">
        <f>data!J513</f>
        <v>-27</v>
      </c>
      <c r="N513" s="9">
        <f>data!I513</f>
        <v>-48.3</v>
      </c>
      <c r="O513" s="9">
        <f>data!L513</f>
        <v>-52.25</v>
      </c>
      <c r="P513" s="9">
        <f>data!K513</f>
        <v>-45.5</v>
      </c>
      <c r="Q513" s="9">
        <f>data!R513</f>
        <v>-35.950000000000003</v>
      </c>
      <c r="R513" s="9">
        <f t="shared" si="355"/>
        <v>-3.5</v>
      </c>
      <c r="S513" s="9">
        <f t="shared" si="356"/>
        <v>-2.3000000000000007</v>
      </c>
      <c r="T513" s="9">
        <f t="shared" si="357"/>
        <v>-5</v>
      </c>
      <c r="U513" s="9">
        <f t="shared" si="358"/>
        <v>-5.75</v>
      </c>
      <c r="V513" s="9">
        <f t="shared" si="359"/>
        <v>-3.5</v>
      </c>
      <c r="W513" s="9">
        <f t="shared" si="360"/>
        <v>-6.5</v>
      </c>
      <c r="X513" s="9">
        <f t="shared" si="361"/>
        <v>-3.8000000000000007</v>
      </c>
      <c r="Y513" s="9">
        <f t="shared" si="362"/>
        <v>0.75</v>
      </c>
      <c r="Z513" s="9">
        <f t="shared" si="363"/>
        <v>0.10000000000000142</v>
      </c>
      <c r="AA513" s="9">
        <f t="shared" si="364"/>
        <v>-3.2000000000000028</v>
      </c>
      <c r="AB513" s="9">
        <f t="shared" si="365"/>
        <v>-8.8500000000000014</v>
      </c>
      <c r="AC513" s="9">
        <f t="shared" si="366"/>
        <v>-15.200000000000003</v>
      </c>
      <c r="AD513" s="9">
        <f t="shared" si="367"/>
        <v>-16.575000000000003</v>
      </c>
      <c r="AE513" s="9">
        <f t="shared" si="368"/>
        <v>-13.300000000000004</v>
      </c>
      <c r="AF513" s="9">
        <f t="shared" si="369"/>
        <v>-15.200000000000003</v>
      </c>
      <c r="AG513" s="9">
        <f t="shared" si="370"/>
        <v>-13.450000000000003</v>
      </c>
      <c r="AH513" s="9">
        <f t="shared" si="371"/>
        <v>-11.450500000000005</v>
      </c>
      <c r="AI513" s="9">
        <f t="shared" si="372"/>
        <v>-13.200000000000003</v>
      </c>
      <c r="AJ513" s="9">
        <f t="shared" si="373"/>
        <v>-2.75</v>
      </c>
      <c r="AK513" s="9">
        <f t="shared" si="374"/>
        <v>-10.350000000000001</v>
      </c>
      <c r="AL513" s="9">
        <f t="shared" si="375"/>
        <v>-16.5</v>
      </c>
      <c r="AM513" s="9">
        <f t="shared" si="376"/>
        <v>-16.25</v>
      </c>
      <c r="AN513" s="9">
        <f t="shared" si="377"/>
        <v>-13.349999999999994</v>
      </c>
      <c r="AO513" s="9">
        <f t="shared" si="378"/>
        <v>-13.5</v>
      </c>
      <c r="AP513" s="9">
        <f t="shared" si="379"/>
        <v>-13.75</v>
      </c>
      <c r="AQ513" s="9">
        <f t="shared" si="380"/>
        <v>-13.375</v>
      </c>
      <c r="AR513" s="9">
        <f t="shared" si="381"/>
        <v>-15.861000000000004</v>
      </c>
      <c r="AS513" s="9">
        <f t="shared" si="382"/>
        <v>-1.2999999999999972</v>
      </c>
      <c r="AT513" s="9">
        <f t="shared" si="383"/>
        <v>-9.7999999999999972</v>
      </c>
      <c r="AU513" s="9">
        <f t="shared" si="384"/>
        <v>-15.875</v>
      </c>
      <c r="AV513" s="9">
        <f t="shared" si="385"/>
        <v>-13.25</v>
      </c>
      <c r="AW513" s="9">
        <f t="shared" si="386"/>
        <v>-8.7000000000000028</v>
      </c>
      <c r="AX513" s="9">
        <f t="shared" si="387"/>
        <v>-8.7999999999999972</v>
      </c>
      <c r="AY513" s="9">
        <f t="shared" si="388"/>
        <v>-8.5</v>
      </c>
      <c r="AZ513" s="9">
        <f t="shared" si="389"/>
        <v>-8.5</v>
      </c>
      <c r="BA513" s="9">
        <f t="shared" si="390"/>
        <v>-9.5</v>
      </c>
      <c r="BB513" s="9">
        <f t="shared" si="391"/>
        <v>-0.94999999999999574</v>
      </c>
      <c r="BC513" s="9">
        <f t="shared" si="392"/>
        <v>-9.3499999999999943</v>
      </c>
      <c r="BD513" s="9">
        <f t="shared" si="393"/>
        <v>-15.299999999999997</v>
      </c>
      <c r="BE513" s="9">
        <f t="shared" si="394"/>
        <v>-12.924999999999997</v>
      </c>
      <c r="BF513" s="9">
        <f t="shared" si="395"/>
        <v>-7.8999999999999986</v>
      </c>
      <c r="BG513" s="9">
        <f t="shared" si="396"/>
        <v>-7.5499999999999972</v>
      </c>
      <c r="BH513" s="9">
        <f t="shared" si="397"/>
        <v>-7.5499999999999972</v>
      </c>
      <c r="BI513" s="9">
        <f t="shared" si="398"/>
        <v>-6.9249999999999972</v>
      </c>
      <c r="BJ513" s="9">
        <f t="shared" si="399"/>
        <v>-9.2949999999999946</v>
      </c>
    </row>
    <row r="514" spans="1:62" x14ac:dyDescent="0.2">
      <c r="A514" s="9">
        <f>data!M515-data!M514</f>
        <v>0.90730000000000643</v>
      </c>
      <c r="B514" s="9">
        <f>data!C515-data!C514</f>
        <v>-0.91000000000000014</v>
      </c>
      <c r="C514" s="9">
        <f>data!D515-data!D514</f>
        <v>0.375</v>
      </c>
      <c r="D514" s="10">
        <f>data!B515-data!B514</f>
        <v>-0.35250000000000004</v>
      </c>
      <c r="E514" s="9">
        <f>data!E514-data!G514</f>
        <v>1.8823000000000001</v>
      </c>
      <c r="F514" s="9">
        <f>(data!E514-data!F514)-(data!G514-data!H514)</f>
        <v>1.4189000000000001</v>
      </c>
      <c r="G514" s="9">
        <f t="shared" si="350"/>
        <v>-6.2699999999999978E-2</v>
      </c>
      <c r="H514" s="9">
        <f t="shared" si="351"/>
        <v>-6.9799999999999862E-2</v>
      </c>
      <c r="I514" s="9">
        <f>IF(data!M515&gt; 111.81,1,0)</f>
        <v>0</v>
      </c>
      <c r="J514" s="9">
        <f t="shared" si="352"/>
        <v>1</v>
      </c>
      <c r="K514" s="9">
        <f t="shared" si="353"/>
        <v>0</v>
      </c>
      <c r="L514" s="9">
        <f t="shared" si="354"/>
        <v>0.90730000000000643</v>
      </c>
      <c r="M514" s="9">
        <f>data!J514</f>
        <v>-30.5</v>
      </c>
      <c r="N514" s="9">
        <f>data!I514</f>
        <v>-51.5</v>
      </c>
      <c r="O514" s="9">
        <f>data!L514</f>
        <v>-55</v>
      </c>
      <c r="P514" s="9">
        <f>data!K514</f>
        <v>-46.8</v>
      </c>
      <c r="Q514" s="9">
        <f>data!R514</f>
        <v>-36.9</v>
      </c>
      <c r="R514" s="9">
        <f t="shared" si="355"/>
        <v>1.1999999999999993</v>
      </c>
      <c r="S514" s="9">
        <f t="shared" si="356"/>
        <v>-1.5</v>
      </c>
      <c r="T514" s="9">
        <f t="shared" si="357"/>
        <v>-2.25</v>
      </c>
      <c r="U514" s="9">
        <f t="shared" si="358"/>
        <v>0</v>
      </c>
      <c r="V514" s="9">
        <f t="shared" si="359"/>
        <v>-3</v>
      </c>
      <c r="W514" s="9">
        <f t="shared" si="360"/>
        <v>-0.30000000000000071</v>
      </c>
      <c r="X514" s="9">
        <f t="shared" si="361"/>
        <v>4.25</v>
      </c>
      <c r="Y514" s="9">
        <f t="shared" si="362"/>
        <v>3.6000000000000014</v>
      </c>
      <c r="Z514" s="9">
        <f t="shared" si="363"/>
        <v>3</v>
      </c>
      <c r="AA514" s="9">
        <f t="shared" si="364"/>
        <v>-5.6499999999999986</v>
      </c>
      <c r="AB514" s="9">
        <f t="shared" si="365"/>
        <v>-12</v>
      </c>
      <c r="AC514" s="9">
        <f t="shared" si="366"/>
        <v>-13.375</v>
      </c>
      <c r="AD514" s="9">
        <f t="shared" si="367"/>
        <v>-10.100000000000001</v>
      </c>
      <c r="AE514" s="9">
        <f t="shared" si="368"/>
        <v>-12</v>
      </c>
      <c r="AF514" s="9">
        <f t="shared" si="369"/>
        <v>-10.25</v>
      </c>
      <c r="AG514" s="9">
        <f t="shared" si="370"/>
        <v>-8.2505000000000024</v>
      </c>
      <c r="AH514" s="9">
        <f t="shared" si="371"/>
        <v>-10</v>
      </c>
      <c r="AI514" s="9">
        <f t="shared" si="372"/>
        <v>-9.5</v>
      </c>
      <c r="AJ514" s="9">
        <f t="shared" si="373"/>
        <v>-7.6000000000000014</v>
      </c>
      <c r="AK514" s="9">
        <f t="shared" si="374"/>
        <v>-13.75</v>
      </c>
      <c r="AL514" s="9">
        <f t="shared" si="375"/>
        <v>-13.5</v>
      </c>
      <c r="AM514" s="9">
        <f t="shared" si="376"/>
        <v>-10.599999999999994</v>
      </c>
      <c r="AN514" s="9">
        <f t="shared" si="377"/>
        <v>-10.75</v>
      </c>
      <c r="AO514" s="9">
        <f t="shared" si="378"/>
        <v>-11</v>
      </c>
      <c r="AP514" s="9">
        <f t="shared" si="379"/>
        <v>-10.625</v>
      </c>
      <c r="AQ514" s="9">
        <f t="shared" si="380"/>
        <v>-13.111000000000004</v>
      </c>
      <c r="AR514" s="9">
        <f t="shared" si="381"/>
        <v>-12.5</v>
      </c>
      <c r="AS514" s="9">
        <f t="shared" si="382"/>
        <v>-8.5</v>
      </c>
      <c r="AT514" s="9">
        <f t="shared" si="383"/>
        <v>-14.575000000000003</v>
      </c>
      <c r="AU514" s="9">
        <f t="shared" si="384"/>
        <v>-11.950000000000003</v>
      </c>
      <c r="AV514" s="9">
        <f t="shared" si="385"/>
        <v>-7.4000000000000057</v>
      </c>
      <c r="AW514" s="9">
        <f t="shared" si="386"/>
        <v>-7.5</v>
      </c>
      <c r="AX514" s="9">
        <f t="shared" si="387"/>
        <v>-7.2000000000000028</v>
      </c>
      <c r="AY514" s="9">
        <f t="shared" si="388"/>
        <v>-7.2000000000000028</v>
      </c>
      <c r="AZ514" s="9">
        <f t="shared" si="389"/>
        <v>-8.2000000000000028</v>
      </c>
      <c r="BA514" s="9">
        <f t="shared" si="390"/>
        <v>-7.5</v>
      </c>
      <c r="BB514" s="9">
        <f t="shared" si="391"/>
        <v>-8.3999999999999986</v>
      </c>
      <c r="BC514" s="9">
        <f t="shared" si="392"/>
        <v>-14.350000000000001</v>
      </c>
      <c r="BD514" s="9">
        <f t="shared" si="393"/>
        <v>-11.975000000000001</v>
      </c>
      <c r="BE514" s="9">
        <f t="shared" si="394"/>
        <v>-6.9500000000000028</v>
      </c>
      <c r="BF514" s="9">
        <f t="shared" si="395"/>
        <v>-6.6000000000000014</v>
      </c>
      <c r="BG514" s="9">
        <f t="shared" si="396"/>
        <v>-6.6000000000000014</v>
      </c>
      <c r="BH514" s="9">
        <f t="shared" si="397"/>
        <v>-5.9750000000000014</v>
      </c>
      <c r="BI514" s="9">
        <f t="shared" si="398"/>
        <v>-8.3449999999999989</v>
      </c>
      <c r="BJ514" s="9">
        <f t="shared" si="399"/>
        <v>-6.7000000000000028</v>
      </c>
    </row>
    <row r="515" spans="1:62" x14ac:dyDescent="0.2">
      <c r="A515" s="9">
        <f>data!M516-data!M515</f>
        <v>6.810000000000116E-2</v>
      </c>
      <c r="B515" s="9">
        <f>data!C516-data!C515</f>
        <v>0.19000000000000128</v>
      </c>
      <c r="C515" s="9">
        <f>data!D516-data!D515</f>
        <v>1.3699999999999992</v>
      </c>
      <c r="D515" s="10">
        <f>data!B516-data!B515</f>
        <v>7.2500000000000009E-2</v>
      </c>
      <c r="E515" s="9">
        <f>data!E515-data!G515</f>
        <v>1.8196000000000001</v>
      </c>
      <c r="F515" s="9">
        <f>(data!E515-data!F515)-(data!G515-data!H515)</f>
        <v>1.3491000000000002</v>
      </c>
      <c r="G515" s="9">
        <f t="shared" ref="G515:G578" si="400">E516-E515</f>
        <v>2.2799999999999709E-2</v>
      </c>
      <c r="H515" s="9">
        <f t="shared" ref="H515:H578" si="401">F516-F515</f>
        <v>-9.600000000000497E-3</v>
      </c>
      <c r="I515" s="9">
        <f>IF(data!M516&gt; 111.81,1,0)</f>
        <v>0</v>
      </c>
      <c r="J515" s="9">
        <f t="shared" ref="J515:J578" si="402">1-I515</f>
        <v>1</v>
      </c>
      <c r="K515" s="9">
        <f t="shared" ref="K515:K578" si="403">A515*I515</f>
        <v>0</v>
      </c>
      <c r="L515" s="9">
        <f t="shared" ref="L515:L578" si="404">A515*J515</f>
        <v>6.810000000000116E-2</v>
      </c>
      <c r="M515" s="9">
        <f>data!J515</f>
        <v>-29.3</v>
      </c>
      <c r="N515" s="9">
        <f>data!I515</f>
        <v>-57.15</v>
      </c>
      <c r="O515" s="9">
        <f>data!L515</f>
        <v>-62.6</v>
      </c>
      <c r="P515" s="9">
        <f>data!K515</f>
        <v>-55.3</v>
      </c>
      <c r="Q515" s="9">
        <f>data!R515</f>
        <v>-45.3</v>
      </c>
      <c r="R515" s="9">
        <f t="shared" ref="R515:R578" si="405">M516-M515</f>
        <v>-2.6999999999999993</v>
      </c>
      <c r="S515" s="9">
        <f t="shared" ref="S515:S578" si="406">M517-M515</f>
        <v>-3.4499999999999993</v>
      </c>
      <c r="T515" s="9">
        <f t="shared" ref="T515:T578" si="407">M518-M515</f>
        <v>-1.1999999999999993</v>
      </c>
      <c r="U515" s="9">
        <f t="shared" ref="U515:U578" si="408">M519-M515</f>
        <v>-4.1999999999999993</v>
      </c>
      <c r="V515" s="9">
        <f t="shared" ref="V515:V578" si="409">M520-M515</f>
        <v>-1.5</v>
      </c>
      <c r="W515" s="9">
        <f t="shared" ref="W515:W578" si="410">M521-M515</f>
        <v>3.0500000000000007</v>
      </c>
      <c r="X515" s="9">
        <f t="shared" ref="X515:X578" si="411">M522-M515</f>
        <v>2.4000000000000021</v>
      </c>
      <c r="Y515" s="9">
        <f t="shared" ref="Y515:Y578" si="412">M523-M515</f>
        <v>1.8000000000000007</v>
      </c>
      <c r="Z515" s="9">
        <f t="shared" ref="Z515:Z578" si="413">M524-M515</f>
        <v>1.5</v>
      </c>
      <c r="AA515" s="9">
        <f t="shared" ref="AA515:AA578" si="414">N516-N515</f>
        <v>-6.3500000000000014</v>
      </c>
      <c r="AB515" s="9">
        <f t="shared" ref="AB515:AB578" si="415">N517-N515</f>
        <v>-7.7250000000000014</v>
      </c>
      <c r="AC515" s="9">
        <f t="shared" ref="AC515:AC578" si="416">N518-N515</f>
        <v>-4.4500000000000028</v>
      </c>
      <c r="AD515" s="9">
        <f t="shared" ref="AD515:AD578" si="417">N519-N515</f>
        <v>-6.3500000000000014</v>
      </c>
      <c r="AE515" s="9">
        <f t="shared" ref="AE515:AE578" si="418">N520-N515</f>
        <v>-4.6000000000000014</v>
      </c>
      <c r="AF515" s="9">
        <f t="shared" ref="AF515:AF578" si="419">N521-N515</f>
        <v>-2.6005000000000038</v>
      </c>
      <c r="AG515" s="9">
        <f t="shared" ref="AG515:AG578" si="420">N522-N515</f>
        <v>-4.3500000000000014</v>
      </c>
      <c r="AH515" s="9">
        <f t="shared" ref="AH515:AH578" si="421">N523-N515</f>
        <v>-3.8500000000000014</v>
      </c>
      <c r="AI515" s="9">
        <f t="shared" ref="AI515:AI578" si="422">N524-N515</f>
        <v>4.9999999999997158E-2</v>
      </c>
      <c r="AJ515" s="9">
        <f t="shared" ref="AJ515:AJ578" si="423">O516-O515</f>
        <v>-6.1499999999999986</v>
      </c>
      <c r="AK515" s="9">
        <f t="shared" ref="AK515:AK578" si="424">O517-O515</f>
        <v>-5.8999999999999986</v>
      </c>
      <c r="AL515" s="9">
        <f t="shared" ref="AL515:AL578" si="425">O518-O515</f>
        <v>-2.9999999999999929</v>
      </c>
      <c r="AM515" s="9">
        <f t="shared" ref="AM515:AM578" si="426">O519-O515</f>
        <v>-3.1499999999999986</v>
      </c>
      <c r="AN515" s="9">
        <f t="shared" ref="AN515:AN578" si="427">O520-O515</f>
        <v>-3.3999999999999986</v>
      </c>
      <c r="AO515" s="9">
        <f t="shared" ref="AO515:AO578" si="428">O521-O515</f>
        <v>-3.0249999999999986</v>
      </c>
      <c r="AP515" s="9">
        <f t="shared" ref="AP515:AP578" si="429">O522-O515</f>
        <v>-5.5110000000000028</v>
      </c>
      <c r="AQ515" s="9">
        <f t="shared" ref="AQ515:AQ578" si="430">O523-O515</f>
        <v>-4.8999999999999986</v>
      </c>
      <c r="AR515" s="9">
        <f t="shared" ref="AR515:AR578" si="431">O524-O515</f>
        <v>-0.39999999999999858</v>
      </c>
      <c r="AS515" s="9">
        <f t="shared" ref="AS515:AS578" si="432">P516 - P515</f>
        <v>-6.0750000000000028</v>
      </c>
      <c r="AT515" s="9">
        <f t="shared" ref="AT515:AT578" si="433">P517 - P515</f>
        <v>-3.4500000000000028</v>
      </c>
      <c r="AU515" s="9">
        <f t="shared" ref="AU515:AU578" si="434">P518 - P515</f>
        <v>1.0999999999999943</v>
      </c>
      <c r="AV515" s="9">
        <f t="shared" ref="AV515:AV578" si="435">P519 - P515</f>
        <v>1</v>
      </c>
      <c r="AW515" s="9">
        <f t="shared" ref="AW515:AW578" si="436">P520 - P515</f>
        <v>1.2999999999999972</v>
      </c>
      <c r="AX515" s="9">
        <f t="shared" ref="AX515:AX578" si="437">P521 - P515</f>
        <v>1.2999999999999972</v>
      </c>
      <c r="AY515" s="9">
        <f t="shared" ref="AY515:AY578" si="438">P522 - P515</f>
        <v>0.29999999999999716</v>
      </c>
      <c r="AZ515" s="9">
        <f t="shared" ref="AZ515:AZ578" si="439">P523 - P515</f>
        <v>1</v>
      </c>
      <c r="BA515" s="9">
        <f t="shared" ref="BA515:BA578" si="440">P524 - P515</f>
        <v>6.6999999999999957</v>
      </c>
      <c r="BB515" s="9">
        <f t="shared" ref="BB515:BB578" si="441">Q516 - Q515</f>
        <v>-5.9500000000000028</v>
      </c>
      <c r="BC515" s="9">
        <f t="shared" ref="BC515:BC578" si="442">Q517 - Q515</f>
        <v>-3.5750000000000028</v>
      </c>
      <c r="BD515" s="9">
        <f t="shared" ref="BD515:BD578" si="443">Q518 - Q515</f>
        <v>1.4499999999999957</v>
      </c>
      <c r="BE515" s="9">
        <f t="shared" ref="BE515:BE578" si="444">Q519 - Q515</f>
        <v>1.7999999999999972</v>
      </c>
      <c r="BF515" s="9">
        <f t="shared" ref="BF515:BF578" si="445">Q520 - Q515</f>
        <v>1.7999999999999972</v>
      </c>
      <c r="BG515" s="9">
        <f t="shared" ref="BG515:BG578" si="446">Q521 - Q515</f>
        <v>2.4249999999999972</v>
      </c>
      <c r="BH515" s="9">
        <f t="shared" ref="BH515:BH578" si="447">Q522 - Q515</f>
        <v>5.4999999999999716E-2</v>
      </c>
      <c r="BI515" s="9">
        <f t="shared" ref="BI515:BI578" si="448">Q523 - Q515</f>
        <v>1.6999999999999957</v>
      </c>
      <c r="BJ515" s="9">
        <f t="shared" ref="BJ515:BJ578" si="449">Q524 - Q515</f>
        <v>6.7999999999999972</v>
      </c>
    </row>
    <row r="516" spans="1:62" x14ac:dyDescent="0.2">
      <c r="A516" s="9">
        <f>data!M517-data!M516</f>
        <v>0.19769999999999754</v>
      </c>
      <c r="B516" s="9">
        <f>data!C517-data!C516</f>
        <v>-0.41000000000000014</v>
      </c>
      <c r="C516" s="9">
        <f>data!D517-data!D516</f>
        <v>-0.33499999999999908</v>
      </c>
      <c r="D516" s="10">
        <f>data!B517-data!B516</f>
        <v>3.0000000000000027E-2</v>
      </c>
      <c r="E516" s="9">
        <f>data!E516-data!G516</f>
        <v>1.8423999999999998</v>
      </c>
      <c r="F516" s="9">
        <f>(data!E516-data!F516)-(data!G516-data!H516)</f>
        <v>1.3394999999999997</v>
      </c>
      <c r="G516" s="9">
        <f t="shared" si="400"/>
        <v>1.0499999999999954E-2</v>
      </c>
      <c r="H516" s="9">
        <f t="shared" si="401"/>
        <v>1.5400000000000302E-2</v>
      </c>
      <c r="I516" s="9">
        <f>IF(data!M517&gt; 111.81,1,0)</f>
        <v>0</v>
      </c>
      <c r="J516" s="9">
        <f t="shared" si="402"/>
        <v>1</v>
      </c>
      <c r="K516" s="9">
        <f t="shared" si="403"/>
        <v>0</v>
      </c>
      <c r="L516" s="9">
        <f t="shared" si="404"/>
        <v>0.19769999999999754</v>
      </c>
      <c r="M516" s="9">
        <f>data!J516</f>
        <v>-32</v>
      </c>
      <c r="N516" s="9">
        <f>data!I516</f>
        <v>-63.5</v>
      </c>
      <c r="O516" s="9">
        <f>data!L516</f>
        <v>-68.75</v>
      </c>
      <c r="P516" s="9">
        <f>data!K516</f>
        <v>-61.375</v>
      </c>
      <c r="Q516" s="9">
        <f>data!R516</f>
        <v>-51.25</v>
      </c>
      <c r="R516" s="9">
        <f t="shared" si="405"/>
        <v>-0.75</v>
      </c>
      <c r="S516" s="9">
        <f t="shared" si="406"/>
        <v>1.5</v>
      </c>
      <c r="T516" s="9">
        <f t="shared" si="407"/>
        <v>-1.5</v>
      </c>
      <c r="U516" s="9">
        <f t="shared" si="408"/>
        <v>1.1999999999999993</v>
      </c>
      <c r="V516" s="9">
        <f t="shared" si="409"/>
        <v>5.75</v>
      </c>
      <c r="W516" s="9">
        <f t="shared" si="410"/>
        <v>5.1000000000000014</v>
      </c>
      <c r="X516" s="9">
        <f t="shared" si="411"/>
        <v>4.5</v>
      </c>
      <c r="Y516" s="9">
        <f t="shared" si="412"/>
        <v>4.1999999999999993</v>
      </c>
      <c r="Z516" s="9">
        <f t="shared" si="413"/>
        <v>-3</v>
      </c>
      <c r="AA516" s="9">
        <f t="shared" si="414"/>
        <v>-1.375</v>
      </c>
      <c r="AB516" s="9">
        <f t="shared" si="415"/>
        <v>1.8999999999999986</v>
      </c>
      <c r="AC516" s="9">
        <f t="shared" si="416"/>
        <v>0</v>
      </c>
      <c r="AD516" s="9">
        <f t="shared" si="417"/>
        <v>1.75</v>
      </c>
      <c r="AE516" s="9">
        <f t="shared" si="418"/>
        <v>3.7494999999999976</v>
      </c>
      <c r="AF516" s="9">
        <f t="shared" si="419"/>
        <v>2</v>
      </c>
      <c r="AG516" s="9">
        <f t="shared" si="420"/>
        <v>2.5</v>
      </c>
      <c r="AH516" s="9">
        <f t="shared" si="421"/>
        <v>6.3999999999999986</v>
      </c>
      <c r="AI516" s="9">
        <f t="shared" si="422"/>
        <v>5.5</v>
      </c>
      <c r="AJ516" s="9">
        <f t="shared" si="423"/>
        <v>0.25</v>
      </c>
      <c r="AK516" s="9">
        <f t="shared" si="424"/>
        <v>3.1500000000000057</v>
      </c>
      <c r="AL516" s="9">
        <f t="shared" si="425"/>
        <v>3</v>
      </c>
      <c r="AM516" s="9">
        <f t="shared" si="426"/>
        <v>2.75</v>
      </c>
      <c r="AN516" s="9">
        <f t="shared" si="427"/>
        <v>3.125</v>
      </c>
      <c r="AO516" s="9">
        <f t="shared" si="428"/>
        <v>0.63899999999999579</v>
      </c>
      <c r="AP516" s="9">
        <f t="shared" si="429"/>
        <v>1.25</v>
      </c>
      <c r="AQ516" s="9">
        <f t="shared" si="430"/>
        <v>5.75</v>
      </c>
      <c r="AR516" s="9">
        <f t="shared" si="431"/>
        <v>7.75</v>
      </c>
      <c r="AS516" s="9">
        <f t="shared" si="432"/>
        <v>2.625</v>
      </c>
      <c r="AT516" s="9">
        <f t="shared" si="433"/>
        <v>7.1749999999999972</v>
      </c>
      <c r="AU516" s="9">
        <f t="shared" si="434"/>
        <v>7.0750000000000028</v>
      </c>
      <c r="AV516" s="9">
        <f t="shared" si="435"/>
        <v>7.375</v>
      </c>
      <c r="AW516" s="9">
        <f t="shared" si="436"/>
        <v>7.375</v>
      </c>
      <c r="AX516" s="9">
        <f t="shared" si="437"/>
        <v>6.375</v>
      </c>
      <c r="AY516" s="9">
        <f t="shared" si="438"/>
        <v>7.0750000000000028</v>
      </c>
      <c r="AZ516" s="9">
        <f t="shared" si="439"/>
        <v>12.774999999999999</v>
      </c>
      <c r="BA516" s="9">
        <f t="shared" si="440"/>
        <v>16.875</v>
      </c>
      <c r="BB516" s="9">
        <f t="shared" si="441"/>
        <v>2.375</v>
      </c>
      <c r="BC516" s="9">
        <f t="shared" si="442"/>
        <v>7.3999999999999986</v>
      </c>
      <c r="BD516" s="9">
        <f t="shared" si="443"/>
        <v>7.75</v>
      </c>
      <c r="BE516" s="9">
        <f t="shared" si="444"/>
        <v>7.75</v>
      </c>
      <c r="BF516" s="9">
        <f t="shared" si="445"/>
        <v>8.375</v>
      </c>
      <c r="BG516" s="9">
        <f t="shared" si="446"/>
        <v>6.0050000000000026</v>
      </c>
      <c r="BH516" s="9">
        <f t="shared" si="447"/>
        <v>7.6499999999999986</v>
      </c>
      <c r="BI516" s="9">
        <f t="shared" si="448"/>
        <v>12.75</v>
      </c>
      <c r="BJ516" s="9">
        <f t="shared" si="449"/>
        <v>17.149999999999999</v>
      </c>
    </row>
    <row r="517" spans="1:62" x14ac:dyDescent="0.2">
      <c r="A517" s="9">
        <f>data!M518-data!M517</f>
        <v>0.78249999999999886</v>
      </c>
      <c r="B517" s="9">
        <f>data!C518-data!C517</f>
        <v>0.42999999999999972</v>
      </c>
      <c r="C517" s="9">
        <f>data!D518-data!D517</f>
        <v>-0.51500000000000057</v>
      </c>
      <c r="D517" s="10">
        <f>data!B518-data!B517</f>
        <v>1.5000000000000124E-2</v>
      </c>
      <c r="E517" s="9">
        <f>data!E517-data!G517</f>
        <v>1.8528999999999998</v>
      </c>
      <c r="F517" s="9">
        <f>(data!E517-data!F517)-(data!G517-data!H517)</f>
        <v>1.3549</v>
      </c>
      <c r="G517" s="9">
        <f t="shared" si="400"/>
        <v>-0.10489999999999955</v>
      </c>
      <c r="H517" s="9">
        <f t="shared" si="401"/>
        <v>-7.240000000000002E-2</v>
      </c>
      <c r="I517" s="9">
        <f>IF(data!M518&gt; 111.81,1,0)</f>
        <v>0</v>
      </c>
      <c r="J517" s="9">
        <f t="shared" si="402"/>
        <v>1</v>
      </c>
      <c r="K517" s="9">
        <f t="shared" si="403"/>
        <v>0</v>
      </c>
      <c r="L517" s="9">
        <f t="shared" si="404"/>
        <v>0.78249999999999886</v>
      </c>
      <c r="M517" s="9">
        <f>data!J517</f>
        <v>-32.75</v>
      </c>
      <c r="N517" s="9">
        <f>data!I517</f>
        <v>-64.875</v>
      </c>
      <c r="O517" s="9">
        <f>data!L517</f>
        <v>-68.5</v>
      </c>
      <c r="P517" s="9">
        <f>data!K517</f>
        <v>-58.75</v>
      </c>
      <c r="Q517" s="9">
        <f>data!R517</f>
        <v>-48.875</v>
      </c>
      <c r="R517" s="9">
        <f t="shared" si="405"/>
        <v>2.25</v>
      </c>
      <c r="S517" s="9">
        <f t="shared" si="406"/>
        <v>-0.75</v>
      </c>
      <c r="T517" s="9">
        <f t="shared" si="407"/>
        <v>1.9499999999999993</v>
      </c>
      <c r="U517" s="9">
        <f t="shared" si="408"/>
        <v>6.5</v>
      </c>
      <c r="V517" s="9">
        <f t="shared" si="409"/>
        <v>5.8500000000000014</v>
      </c>
      <c r="W517" s="9">
        <f t="shared" si="410"/>
        <v>5.25</v>
      </c>
      <c r="X517" s="9">
        <f t="shared" si="411"/>
        <v>4.9499999999999993</v>
      </c>
      <c r="Y517" s="9">
        <f t="shared" si="412"/>
        <v>-2.25</v>
      </c>
      <c r="Z517" s="9">
        <f t="shared" si="413"/>
        <v>-5.75</v>
      </c>
      <c r="AA517" s="9">
        <f t="shared" si="414"/>
        <v>3.2749999999999986</v>
      </c>
      <c r="AB517" s="9">
        <f t="shared" si="415"/>
        <v>1.375</v>
      </c>
      <c r="AC517" s="9">
        <f t="shared" si="416"/>
        <v>3.125</v>
      </c>
      <c r="AD517" s="9">
        <f t="shared" si="417"/>
        <v>5.1244999999999976</v>
      </c>
      <c r="AE517" s="9">
        <f t="shared" si="418"/>
        <v>3.375</v>
      </c>
      <c r="AF517" s="9">
        <f t="shared" si="419"/>
        <v>3.875</v>
      </c>
      <c r="AG517" s="9">
        <f t="shared" si="420"/>
        <v>7.7749999999999986</v>
      </c>
      <c r="AH517" s="9">
        <f t="shared" si="421"/>
        <v>6.875</v>
      </c>
      <c r="AI517" s="9">
        <f t="shared" si="422"/>
        <v>-0.125</v>
      </c>
      <c r="AJ517" s="9">
        <f t="shared" si="423"/>
        <v>2.9000000000000057</v>
      </c>
      <c r="AK517" s="9">
        <f t="shared" si="424"/>
        <v>2.75</v>
      </c>
      <c r="AL517" s="9">
        <f t="shared" si="425"/>
        <v>2.5</v>
      </c>
      <c r="AM517" s="9">
        <f t="shared" si="426"/>
        <v>2.875</v>
      </c>
      <c r="AN517" s="9">
        <f t="shared" si="427"/>
        <v>0.38899999999999579</v>
      </c>
      <c r="AO517" s="9">
        <f t="shared" si="428"/>
        <v>1</v>
      </c>
      <c r="AP517" s="9">
        <f t="shared" si="429"/>
        <v>5.5</v>
      </c>
      <c r="AQ517" s="9">
        <f t="shared" si="430"/>
        <v>7.5</v>
      </c>
      <c r="AR517" s="9">
        <f t="shared" si="431"/>
        <v>0.25</v>
      </c>
      <c r="AS517" s="9">
        <f t="shared" si="432"/>
        <v>4.5499999999999972</v>
      </c>
      <c r="AT517" s="9">
        <f t="shared" si="433"/>
        <v>4.4500000000000028</v>
      </c>
      <c r="AU517" s="9">
        <f t="shared" si="434"/>
        <v>4.75</v>
      </c>
      <c r="AV517" s="9">
        <f t="shared" si="435"/>
        <v>4.75</v>
      </c>
      <c r="AW517" s="9">
        <f t="shared" si="436"/>
        <v>3.75</v>
      </c>
      <c r="AX517" s="9">
        <f t="shared" si="437"/>
        <v>4.4500000000000028</v>
      </c>
      <c r="AY517" s="9">
        <f t="shared" si="438"/>
        <v>10.149999999999999</v>
      </c>
      <c r="AZ517" s="9">
        <f t="shared" si="439"/>
        <v>14.25</v>
      </c>
      <c r="BA517" s="9">
        <f t="shared" si="440"/>
        <v>9</v>
      </c>
      <c r="BB517" s="9">
        <f t="shared" si="441"/>
        <v>5.0249999999999986</v>
      </c>
      <c r="BC517" s="9">
        <f t="shared" si="442"/>
        <v>5.375</v>
      </c>
      <c r="BD517" s="9">
        <f t="shared" si="443"/>
        <v>5.375</v>
      </c>
      <c r="BE517" s="9">
        <f t="shared" si="444"/>
        <v>6</v>
      </c>
      <c r="BF517" s="9">
        <f t="shared" si="445"/>
        <v>3.6300000000000026</v>
      </c>
      <c r="BG517" s="9">
        <f t="shared" si="446"/>
        <v>5.2749999999999986</v>
      </c>
      <c r="BH517" s="9">
        <f t="shared" si="447"/>
        <v>10.375</v>
      </c>
      <c r="BI517" s="9">
        <f t="shared" si="448"/>
        <v>14.774999999999999</v>
      </c>
      <c r="BJ517" s="9">
        <f t="shared" si="449"/>
        <v>10.125</v>
      </c>
    </row>
    <row r="518" spans="1:62" x14ac:dyDescent="0.2">
      <c r="A518" s="9">
        <f>data!M519-data!M518</f>
        <v>1.027000000000001</v>
      </c>
      <c r="B518" s="9">
        <f>data!C519-data!C518</f>
        <v>-1.5099999999999998</v>
      </c>
      <c r="C518" s="9">
        <f>data!D519-data!D518</f>
        <v>1.3049999999999997</v>
      </c>
      <c r="D518" s="10">
        <f>data!B519-data!B518</f>
        <v>-0.15999999999999992</v>
      </c>
      <c r="E518" s="9">
        <f>data!E518-data!G518</f>
        <v>1.7480000000000002</v>
      </c>
      <c r="F518" s="9">
        <f>(data!E518-data!F518)-(data!G518-data!H518)</f>
        <v>1.2825</v>
      </c>
      <c r="G518" s="9">
        <f t="shared" si="400"/>
        <v>0.14250000000000007</v>
      </c>
      <c r="H518" s="9">
        <f t="shared" si="401"/>
        <v>-4.4299999999999784E-2</v>
      </c>
      <c r="I518" s="9">
        <f>IF(data!M519&gt; 111.81,1,0)</f>
        <v>0</v>
      </c>
      <c r="J518" s="9">
        <f t="shared" si="402"/>
        <v>1</v>
      </c>
      <c r="K518" s="9">
        <f t="shared" si="403"/>
        <v>0</v>
      </c>
      <c r="L518" s="9">
        <f t="shared" si="404"/>
        <v>1.027000000000001</v>
      </c>
      <c r="M518" s="9">
        <f>data!J518</f>
        <v>-30.5</v>
      </c>
      <c r="N518" s="9">
        <f>data!I518</f>
        <v>-61.6</v>
      </c>
      <c r="O518" s="9">
        <f>data!L518</f>
        <v>-65.599999999999994</v>
      </c>
      <c r="P518" s="9">
        <f>data!K518</f>
        <v>-54.2</v>
      </c>
      <c r="Q518" s="9">
        <f>data!R518</f>
        <v>-43.85</v>
      </c>
      <c r="R518" s="9">
        <f t="shared" si="405"/>
        <v>-3</v>
      </c>
      <c r="S518" s="9">
        <f t="shared" si="406"/>
        <v>-0.30000000000000071</v>
      </c>
      <c r="T518" s="9">
        <f t="shared" si="407"/>
        <v>4.25</v>
      </c>
      <c r="U518" s="9">
        <f t="shared" si="408"/>
        <v>3.6000000000000014</v>
      </c>
      <c r="V518" s="9">
        <f t="shared" si="409"/>
        <v>3</v>
      </c>
      <c r="W518" s="9">
        <f t="shared" si="410"/>
        <v>2.6999999999999993</v>
      </c>
      <c r="X518" s="9">
        <f t="shared" si="411"/>
        <v>-4.5</v>
      </c>
      <c r="Y518" s="9">
        <f t="shared" si="412"/>
        <v>-8</v>
      </c>
      <c r="Z518" s="9">
        <f t="shared" si="413"/>
        <v>-4.5</v>
      </c>
      <c r="AA518" s="9">
        <f t="shared" si="414"/>
        <v>-1.8999999999999986</v>
      </c>
      <c r="AB518" s="9">
        <f t="shared" si="415"/>
        <v>-0.14999999999999858</v>
      </c>
      <c r="AC518" s="9">
        <f t="shared" si="416"/>
        <v>1.849499999999999</v>
      </c>
      <c r="AD518" s="9">
        <f t="shared" si="417"/>
        <v>0.10000000000000142</v>
      </c>
      <c r="AE518" s="9">
        <f t="shared" si="418"/>
        <v>0.60000000000000142</v>
      </c>
      <c r="AF518" s="9">
        <f t="shared" si="419"/>
        <v>4.5</v>
      </c>
      <c r="AG518" s="9">
        <f t="shared" si="420"/>
        <v>3.6000000000000014</v>
      </c>
      <c r="AH518" s="9">
        <f t="shared" si="421"/>
        <v>-3.3999999999999986</v>
      </c>
      <c r="AI518" s="9">
        <f t="shared" si="422"/>
        <v>-2.6999999999999957</v>
      </c>
      <c r="AJ518" s="9">
        <f t="shared" si="423"/>
        <v>-0.15000000000000568</v>
      </c>
      <c r="AK518" s="9">
        <f t="shared" si="424"/>
        <v>-0.40000000000000568</v>
      </c>
      <c r="AL518" s="9">
        <f t="shared" si="425"/>
        <v>-2.5000000000005684E-2</v>
      </c>
      <c r="AM518" s="9">
        <f t="shared" si="426"/>
        <v>-2.5110000000000099</v>
      </c>
      <c r="AN518" s="9">
        <f t="shared" si="427"/>
        <v>-1.9000000000000057</v>
      </c>
      <c r="AO518" s="9">
        <f t="shared" si="428"/>
        <v>2.5999999999999943</v>
      </c>
      <c r="AP518" s="9">
        <f t="shared" si="429"/>
        <v>4.5999999999999943</v>
      </c>
      <c r="AQ518" s="9">
        <f t="shared" si="430"/>
        <v>-2.6500000000000057</v>
      </c>
      <c r="AR518" s="9">
        <f t="shared" si="431"/>
        <v>-1.2000000000000028</v>
      </c>
      <c r="AS518" s="9">
        <f t="shared" si="432"/>
        <v>-9.9999999999994316E-2</v>
      </c>
      <c r="AT518" s="9">
        <f t="shared" si="433"/>
        <v>0.20000000000000284</v>
      </c>
      <c r="AU518" s="9">
        <f t="shared" si="434"/>
        <v>0.20000000000000284</v>
      </c>
      <c r="AV518" s="9">
        <f t="shared" si="435"/>
        <v>-0.79999999999999716</v>
      </c>
      <c r="AW518" s="9">
        <f t="shared" si="436"/>
        <v>-9.9999999999994316E-2</v>
      </c>
      <c r="AX518" s="9">
        <f t="shared" si="437"/>
        <v>5.6000000000000014</v>
      </c>
      <c r="AY518" s="9">
        <f t="shared" si="438"/>
        <v>9.7000000000000028</v>
      </c>
      <c r="AZ518" s="9">
        <f t="shared" si="439"/>
        <v>4.4500000000000028</v>
      </c>
      <c r="BA518" s="9">
        <f t="shared" si="440"/>
        <v>7.4000000000000057</v>
      </c>
      <c r="BB518" s="9">
        <f t="shared" si="441"/>
        <v>0.35000000000000142</v>
      </c>
      <c r="BC518" s="9">
        <f t="shared" si="442"/>
        <v>0.35000000000000142</v>
      </c>
      <c r="BD518" s="9">
        <f t="shared" si="443"/>
        <v>0.97500000000000142</v>
      </c>
      <c r="BE518" s="9">
        <f t="shared" si="444"/>
        <v>-1.394999999999996</v>
      </c>
      <c r="BF518" s="9">
        <f t="shared" si="445"/>
        <v>0.25</v>
      </c>
      <c r="BG518" s="9">
        <f t="shared" si="446"/>
        <v>5.3500000000000014</v>
      </c>
      <c r="BH518" s="9">
        <f t="shared" si="447"/>
        <v>9.75</v>
      </c>
      <c r="BI518" s="9">
        <f t="shared" si="448"/>
        <v>5.1000000000000014</v>
      </c>
      <c r="BJ518" s="9">
        <f t="shared" si="449"/>
        <v>8.3500000000000014</v>
      </c>
    </row>
    <row r="519" spans="1:62" x14ac:dyDescent="0.2">
      <c r="A519" s="9">
        <f>data!M520-data!M519</f>
        <v>0.27460000000000662</v>
      </c>
      <c r="B519" s="9">
        <f>data!C520-data!C519</f>
        <v>9.259999999999998</v>
      </c>
      <c r="C519" s="9">
        <f>data!D520-data!D519</f>
        <v>0.11000000000000121</v>
      </c>
      <c r="D519" s="10">
        <f>data!B520-data!B519</f>
        <v>-3.7500000000000089E-2</v>
      </c>
      <c r="E519" s="9">
        <f>data!E519-data!G519</f>
        <v>1.8905000000000003</v>
      </c>
      <c r="F519" s="9">
        <f>(data!E519-data!F519)-(data!G519-data!H519)</f>
        <v>1.2382000000000002</v>
      </c>
      <c r="G519" s="9">
        <f t="shared" si="400"/>
        <v>-0.1998000000000002</v>
      </c>
      <c r="H519" s="9">
        <f t="shared" si="401"/>
        <v>-8.560000000000012E-2</v>
      </c>
      <c r="I519" s="9">
        <f>IF(data!M520&gt; 111.81,1,0)</f>
        <v>0</v>
      </c>
      <c r="J519" s="9">
        <f t="shared" si="402"/>
        <v>1</v>
      </c>
      <c r="K519" s="9">
        <f t="shared" si="403"/>
        <v>0</v>
      </c>
      <c r="L519" s="9">
        <f t="shared" si="404"/>
        <v>0.27460000000000662</v>
      </c>
      <c r="M519" s="9">
        <f>data!J519</f>
        <v>-33.5</v>
      </c>
      <c r="N519" s="9">
        <f>data!I519</f>
        <v>-63.5</v>
      </c>
      <c r="O519" s="9">
        <f>data!L519</f>
        <v>-65.75</v>
      </c>
      <c r="P519" s="9">
        <f>data!K519</f>
        <v>-54.3</v>
      </c>
      <c r="Q519" s="9">
        <f>data!R519</f>
        <v>-43.5</v>
      </c>
      <c r="R519" s="9">
        <f t="shared" si="405"/>
        <v>2.6999999999999993</v>
      </c>
      <c r="S519" s="9">
        <f t="shared" si="406"/>
        <v>7.25</v>
      </c>
      <c r="T519" s="9">
        <f t="shared" si="407"/>
        <v>6.6000000000000014</v>
      </c>
      <c r="U519" s="9">
        <f t="shared" si="408"/>
        <v>6</v>
      </c>
      <c r="V519" s="9">
        <f t="shared" si="409"/>
        <v>5.6999999999999993</v>
      </c>
      <c r="W519" s="9">
        <f t="shared" si="410"/>
        <v>-1.5</v>
      </c>
      <c r="X519" s="9">
        <f t="shared" si="411"/>
        <v>-5</v>
      </c>
      <c r="Y519" s="9">
        <f t="shared" si="412"/>
        <v>-1.5</v>
      </c>
      <c r="Z519" s="9">
        <f t="shared" si="413"/>
        <v>0.375</v>
      </c>
      <c r="AA519" s="9">
        <f t="shared" si="414"/>
        <v>1.75</v>
      </c>
      <c r="AB519" s="9">
        <f t="shared" si="415"/>
        <v>3.7494999999999976</v>
      </c>
      <c r="AC519" s="9">
        <f t="shared" si="416"/>
        <v>2</v>
      </c>
      <c r="AD519" s="9">
        <f t="shared" si="417"/>
        <v>2.5</v>
      </c>
      <c r="AE519" s="9">
        <f t="shared" si="418"/>
        <v>6.3999999999999986</v>
      </c>
      <c r="AF519" s="9">
        <f t="shared" si="419"/>
        <v>5.5</v>
      </c>
      <c r="AG519" s="9">
        <f t="shared" si="420"/>
        <v>-1.5</v>
      </c>
      <c r="AH519" s="9">
        <f t="shared" si="421"/>
        <v>-0.79999999999999716</v>
      </c>
      <c r="AI519" s="9">
        <f t="shared" si="422"/>
        <v>1.2000000000000028</v>
      </c>
      <c r="AJ519" s="9">
        <f t="shared" si="423"/>
        <v>-0.25</v>
      </c>
      <c r="AK519" s="9">
        <f t="shared" si="424"/>
        <v>0.125</v>
      </c>
      <c r="AL519" s="9">
        <f t="shared" si="425"/>
        <v>-2.3610000000000042</v>
      </c>
      <c r="AM519" s="9">
        <f t="shared" si="426"/>
        <v>-1.75</v>
      </c>
      <c r="AN519" s="9">
        <f t="shared" si="427"/>
        <v>2.75</v>
      </c>
      <c r="AO519" s="9">
        <f t="shared" si="428"/>
        <v>4.75</v>
      </c>
      <c r="AP519" s="9">
        <f t="shared" si="429"/>
        <v>-2.5</v>
      </c>
      <c r="AQ519" s="9">
        <f t="shared" si="430"/>
        <v>-1.0499999999999972</v>
      </c>
      <c r="AR519" s="9">
        <f t="shared" si="431"/>
        <v>2.5</v>
      </c>
      <c r="AS519" s="9">
        <f t="shared" si="432"/>
        <v>0.29999999999999716</v>
      </c>
      <c r="AT519" s="9">
        <f t="shared" si="433"/>
        <v>0.29999999999999716</v>
      </c>
      <c r="AU519" s="9">
        <f t="shared" si="434"/>
        <v>-0.70000000000000284</v>
      </c>
      <c r="AV519" s="9">
        <f t="shared" si="435"/>
        <v>0</v>
      </c>
      <c r="AW519" s="9">
        <f t="shared" si="436"/>
        <v>5.6999999999999957</v>
      </c>
      <c r="AX519" s="9">
        <f t="shared" si="437"/>
        <v>9.7999999999999972</v>
      </c>
      <c r="AY519" s="9">
        <f t="shared" si="438"/>
        <v>4.5499999999999972</v>
      </c>
      <c r="AZ519" s="9">
        <f t="shared" si="439"/>
        <v>7.5</v>
      </c>
      <c r="BA519" s="9">
        <f t="shared" si="440"/>
        <v>15.5</v>
      </c>
      <c r="BB519" s="9">
        <f t="shared" si="441"/>
        <v>0</v>
      </c>
      <c r="BC519" s="9">
        <f t="shared" si="442"/>
        <v>0.625</v>
      </c>
      <c r="BD519" s="9">
        <f t="shared" si="443"/>
        <v>-1.7449999999999974</v>
      </c>
      <c r="BE519" s="9">
        <f t="shared" si="444"/>
        <v>-0.10000000000000142</v>
      </c>
      <c r="BF519" s="9">
        <f t="shared" si="445"/>
        <v>5</v>
      </c>
      <c r="BG519" s="9">
        <f t="shared" si="446"/>
        <v>9.3999999999999986</v>
      </c>
      <c r="BH519" s="9">
        <f t="shared" si="447"/>
        <v>4.75</v>
      </c>
      <c r="BI519" s="9">
        <f t="shared" si="448"/>
        <v>8</v>
      </c>
      <c r="BJ519" s="9">
        <f t="shared" si="449"/>
        <v>15.75</v>
      </c>
    </row>
    <row r="520" spans="1:62" x14ac:dyDescent="0.2">
      <c r="A520" s="9">
        <f>data!M521-data!M520</f>
        <v>0.67479999999999052</v>
      </c>
      <c r="B520" s="9">
        <f>data!C521-data!C520</f>
        <v>-4.59</v>
      </c>
      <c r="C520" s="9">
        <f>data!D521-data!D520</f>
        <v>-0.53500000000000014</v>
      </c>
      <c r="D520" s="10">
        <f>data!B521-data!B520</f>
        <v>-0.16000000000000014</v>
      </c>
      <c r="E520" s="9">
        <f>data!E520-data!G520</f>
        <v>1.6907000000000001</v>
      </c>
      <c r="F520" s="9">
        <f>(data!E520-data!F520)-(data!G520-data!H520)</f>
        <v>1.1526000000000001</v>
      </c>
      <c r="G520" s="9">
        <f t="shared" si="400"/>
        <v>0.12009999999999987</v>
      </c>
      <c r="H520" s="9">
        <f t="shared" si="401"/>
        <v>-2.1800000000000042E-2</v>
      </c>
      <c r="I520" s="9">
        <f>IF(data!M521&gt; 111.81,1,0)</f>
        <v>0</v>
      </c>
      <c r="J520" s="9">
        <f t="shared" si="402"/>
        <v>1</v>
      </c>
      <c r="K520" s="9">
        <f t="shared" si="403"/>
        <v>0</v>
      </c>
      <c r="L520" s="9">
        <f t="shared" si="404"/>
        <v>0.67479999999999052</v>
      </c>
      <c r="M520" s="9">
        <f>data!J520</f>
        <v>-30.8</v>
      </c>
      <c r="N520" s="9">
        <f>data!I520</f>
        <v>-61.75</v>
      </c>
      <c r="O520" s="9">
        <f>data!L520</f>
        <v>-66</v>
      </c>
      <c r="P520" s="9">
        <f>data!K520</f>
        <v>-54</v>
      </c>
      <c r="Q520" s="9">
        <f>data!R520</f>
        <v>-43.5</v>
      </c>
      <c r="R520" s="9">
        <f t="shared" si="405"/>
        <v>4.5500000000000007</v>
      </c>
      <c r="S520" s="9">
        <f t="shared" si="406"/>
        <v>3.9000000000000021</v>
      </c>
      <c r="T520" s="9">
        <f t="shared" si="407"/>
        <v>3.3000000000000007</v>
      </c>
      <c r="U520" s="9">
        <f t="shared" si="408"/>
        <v>3</v>
      </c>
      <c r="V520" s="9">
        <f t="shared" si="409"/>
        <v>-4.1999999999999993</v>
      </c>
      <c r="W520" s="9">
        <f t="shared" si="410"/>
        <v>-7.6999999999999993</v>
      </c>
      <c r="X520" s="9">
        <f t="shared" si="411"/>
        <v>-4.1999999999999993</v>
      </c>
      <c r="Y520" s="9">
        <f t="shared" si="412"/>
        <v>-2.3249999999999993</v>
      </c>
      <c r="Z520" s="9">
        <f t="shared" si="413"/>
        <v>-2.9499999999999993</v>
      </c>
      <c r="AA520" s="9">
        <f t="shared" si="414"/>
        <v>1.9994999999999976</v>
      </c>
      <c r="AB520" s="9">
        <f t="shared" si="415"/>
        <v>0.25</v>
      </c>
      <c r="AC520" s="9">
        <f t="shared" si="416"/>
        <v>0.75</v>
      </c>
      <c r="AD520" s="9">
        <f t="shared" si="417"/>
        <v>4.6499999999999986</v>
      </c>
      <c r="AE520" s="9">
        <f t="shared" si="418"/>
        <v>3.75</v>
      </c>
      <c r="AF520" s="9">
        <f t="shared" si="419"/>
        <v>-3.25</v>
      </c>
      <c r="AG520" s="9">
        <f t="shared" si="420"/>
        <v>-2.5499999999999972</v>
      </c>
      <c r="AH520" s="9">
        <f t="shared" si="421"/>
        <v>-0.54999999999999716</v>
      </c>
      <c r="AI520" s="9">
        <f t="shared" si="422"/>
        <v>-1.5499999999999972</v>
      </c>
      <c r="AJ520" s="9">
        <f t="shared" si="423"/>
        <v>0.375</v>
      </c>
      <c r="AK520" s="9">
        <f t="shared" si="424"/>
        <v>-2.1110000000000042</v>
      </c>
      <c r="AL520" s="9">
        <f t="shared" si="425"/>
        <v>-1.5</v>
      </c>
      <c r="AM520" s="9">
        <f t="shared" si="426"/>
        <v>3</v>
      </c>
      <c r="AN520" s="9">
        <f t="shared" si="427"/>
        <v>5</v>
      </c>
      <c r="AO520" s="9">
        <f t="shared" si="428"/>
        <v>-2.25</v>
      </c>
      <c r="AP520" s="9">
        <f t="shared" si="429"/>
        <v>-0.79999999999999716</v>
      </c>
      <c r="AQ520" s="9">
        <f t="shared" si="430"/>
        <v>2.75</v>
      </c>
      <c r="AR520" s="9">
        <f t="shared" si="431"/>
        <v>-1.5999999999999943</v>
      </c>
      <c r="AS520" s="9">
        <f t="shared" si="432"/>
        <v>0</v>
      </c>
      <c r="AT520" s="9">
        <f t="shared" si="433"/>
        <v>-1</v>
      </c>
      <c r="AU520" s="9">
        <f t="shared" si="434"/>
        <v>-0.29999999999999716</v>
      </c>
      <c r="AV520" s="9">
        <f t="shared" si="435"/>
        <v>5.3999999999999986</v>
      </c>
      <c r="AW520" s="9">
        <f t="shared" si="436"/>
        <v>9.5</v>
      </c>
      <c r="AX520" s="9">
        <f t="shared" si="437"/>
        <v>4.25</v>
      </c>
      <c r="AY520" s="9">
        <f t="shared" si="438"/>
        <v>7.2000000000000028</v>
      </c>
      <c r="AZ520" s="9">
        <f t="shared" si="439"/>
        <v>15.200000000000003</v>
      </c>
      <c r="BA520" s="9">
        <f t="shared" si="440"/>
        <v>9.6244999999999976</v>
      </c>
      <c r="BB520" s="9">
        <f t="shared" si="441"/>
        <v>0.625</v>
      </c>
      <c r="BC520" s="9">
        <f t="shared" si="442"/>
        <v>-1.7449999999999974</v>
      </c>
      <c r="BD520" s="9">
        <f t="shared" si="443"/>
        <v>-0.10000000000000142</v>
      </c>
      <c r="BE520" s="9">
        <f t="shared" si="444"/>
        <v>5</v>
      </c>
      <c r="BF520" s="9">
        <f t="shared" si="445"/>
        <v>9.3999999999999986</v>
      </c>
      <c r="BG520" s="9">
        <f t="shared" si="446"/>
        <v>4.75</v>
      </c>
      <c r="BH520" s="9">
        <f t="shared" si="447"/>
        <v>8</v>
      </c>
      <c r="BI520" s="9">
        <f t="shared" si="448"/>
        <v>15.75</v>
      </c>
      <c r="BJ520" s="9">
        <f t="shared" si="449"/>
        <v>10.875</v>
      </c>
    </row>
    <row r="521" spans="1:62" x14ac:dyDescent="0.2">
      <c r="A521" s="9">
        <f>data!M522-data!M521</f>
        <v>0.25450000000000728</v>
      </c>
      <c r="B521" s="9">
        <f>data!C522-data!C521</f>
        <v>-1.9899999999999984</v>
      </c>
      <c r="C521" s="9">
        <f>data!D522-data!D521</f>
        <v>0.15000000000000036</v>
      </c>
      <c r="D521" s="10">
        <f>data!B522-data!B521</f>
        <v>0.11750000000000016</v>
      </c>
      <c r="E521" s="9">
        <f>data!E521-data!G521</f>
        <v>1.8108</v>
      </c>
      <c r="F521" s="9">
        <f>(data!E521-data!F521)-(data!G521-data!H521)</f>
        <v>1.1308</v>
      </c>
      <c r="G521" s="9">
        <f t="shared" si="400"/>
        <v>0.11409999999999987</v>
      </c>
      <c r="H521" s="9">
        <f t="shared" si="401"/>
        <v>1.2799999999999701E-2</v>
      </c>
      <c r="I521" s="9">
        <f>IF(data!M522&gt; 111.81,1,0)</f>
        <v>0</v>
      </c>
      <c r="J521" s="9">
        <f t="shared" si="402"/>
        <v>1</v>
      </c>
      <c r="K521" s="9">
        <f t="shared" si="403"/>
        <v>0</v>
      </c>
      <c r="L521" s="9">
        <f t="shared" si="404"/>
        <v>0.25450000000000728</v>
      </c>
      <c r="M521" s="9">
        <f>data!J521</f>
        <v>-26.25</v>
      </c>
      <c r="N521" s="9">
        <f>data!I521</f>
        <v>-59.750500000000002</v>
      </c>
      <c r="O521" s="9">
        <f>data!L521</f>
        <v>-65.625</v>
      </c>
      <c r="P521" s="9">
        <f>data!K521</f>
        <v>-54</v>
      </c>
      <c r="Q521" s="9">
        <f>data!R521</f>
        <v>-42.875</v>
      </c>
      <c r="R521" s="9">
        <f t="shared" si="405"/>
        <v>-0.64999999999999858</v>
      </c>
      <c r="S521" s="9">
        <f t="shared" si="406"/>
        <v>-1.25</v>
      </c>
      <c r="T521" s="9">
        <f t="shared" si="407"/>
        <v>-1.5500000000000007</v>
      </c>
      <c r="U521" s="9">
        <f t="shared" si="408"/>
        <v>-8.75</v>
      </c>
      <c r="V521" s="9">
        <f t="shared" si="409"/>
        <v>-12.25</v>
      </c>
      <c r="W521" s="9">
        <f t="shared" si="410"/>
        <v>-8.75</v>
      </c>
      <c r="X521" s="9">
        <f t="shared" si="411"/>
        <v>-6.875</v>
      </c>
      <c r="Y521" s="9">
        <f t="shared" si="412"/>
        <v>-7.5</v>
      </c>
      <c r="Z521" s="9">
        <f t="shared" si="413"/>
        <v>-9.75</v>
      </c>
      <c r="AA521" s="9">
        <f t="shared" si="414"/>
        <v>-1.7494999999999976</v>
      </c>
      <c r="AB521" s="9">
        <f t="shared" si="415"/>
        <v>-1.2494999999999976</v>
      </c>
      <c r="AC521" s="9">
        <f t="shared" si="416"/>
        <v>2.650500000000001</v>
      </c>
      <c r="AD521" s="9">
        <f t="shared" si="417"/>
        <v>1.7505000000000024</v>
      </c>
      <c r="AE521" s="9">
        <f t="shared" si="418"/>
        <v>-5.2494999999999976</v>
      </c>
      <c r="AF521" s="9">
        <f t="shared" si="419"/>
        <v>-4.5494999999999948</v>
      </c>
      <c r="AG521" s="9">
        <f t="shared" si="420"/>
        <v>-2.5494999999999948</v>
      </c>
      <c r="AH521" s="9">
        <f t="shared" si="421"/>
        <v>-3.5494999999999948</v>
      </c>
      <c r="AI521" s="9">
        <f t="shared" si="422"/>
        <v>-3.9994999999999976</v>
      </c>
      <c r="AJ521" s="9">
        <f t="shared" si="423"/>
        <v>-2.4860000000000042</v>
      </c>
      <c r="AK521" s="9">
        <f t="shared" si="424"/>
        <v>-1.875</v>
      </c>
      <c r="AL521" s="9">
        <f t="shared" si="425"/>
        <v>2.625</v>
      </c>
      <c r="AM521" s="9">
        <f t="shared" si="426"/>
        <v>4.625</v>
      </c>
      <c r="AN521" s="9">
        <f t="shared" si="427"/>
        <v>-2.625</v>
      </c>
      <c r="AO521" s="9">
        <f t="shared" si="428"/>
        <v>-1.1749999999999972</v>
      </c>
      <c r="AP521" s="9">
        <f t="shared" si="429"/>
        <v>2.375</v>
      </c>
      <c r="AQ521" s="9">
        <f t="shared" si="430"/>
        <v>-1.9749999999999943</v>
      </c>
      <c r="AR521" s="9">
        <f t="shared" si="431"/>
        <v>-1.9749999999999943</v>
      </c>
      <c r="AS521" s="9">
        <f t="shared" si="432"/>
        <v>-1</v>
      </c>
      <c r="AT521" s="9">
        <f t="shared" si="433"/>
        <v>-0.29999999999999716</v>
      </c>
      <c r="AU521" s="9">
        <f t="shared" si="434"/>
        <v>5.3999999999999986</v>
      </c>
      <c r="AV521" s="9">
        <f t="shared" si="435"/>
        <v>9.5</v>
      </c>
      <c r="AW521" s="9">
        <f t="shared" si="436"/>
        <v>4.25</v>
      </c>
      <c r="AX521" s="9">
        <f t="shared" si="437"/>
        <v>7.2000000000000028</v>
      </c>
      <c r="AY521" s="9">
        <f t="shared" si="438"/>
        <v>15.200000000000003</v>
      </c>
      <c r="AZ521" s="9">
        <f t="shared" si="439"/>
        <v>9.6244999999999976</v>
      </c>
      <c r="BA521" s="9">
        <f t="shared" si="440"/>
        <v>8.5</v>
      </c>
      <c r="BB521" s="9">
        <f t="shared" si="441"/>
        <v>-2.3699999999999974</v>
      </c>
      <c r="BC521" s="9">
        <f t="shared" si="442"/>
        <v>-0.72500000000000142</v>
      </c>
      <c r="BD521" s="9">
        <f t="shared" si="443"/>
        <v>4.375</v>
      </c>
      <c r="BE521" s="9">
        <f t="shared" si="444"/>
        <v>8.7749999999999986</v>
      </c>
      <c r="BF521" s="9">
        <f t="shared" si="445"/>
        <v>4.125</v>
      </c>
      <c r="BG521" s="9">
        <f t="shared" si="446"/>
        <v>7.375</v>
      </c>
      <c r="BH521" s="9">
        <f t="shared" si="447"/>
        <v>15.125</v>
      </c>
      <c r="BI521" s="9">
        <f t="shared" si="448"/>
        <v>10.25</v>
      </c>
      <c r="BJ521" s="9">
        <f t="shared" si="449"/>
        <v>8.875</v>
      </c>
    </row>
    <row r="522" spans="1:62" x14ac:dyDescent="0.2">
      <c r="A522" s="9">
        <f>data!M523-data!M522</f>
        <v>0.599899999999991</v>
      </c>
      <c r="B522" s="9">
        <f>data!C523-data!C522</f>
        <v>3.2899999999999991</v>
      </c>
      <c r="C522" s="9">
        <f>data!D523-data!D522</f>
        <v>0.26249999999999929</v>
      </c>
      <c r="D522" s="10">
        <f>data!B523-data!B522</f>
        <v>3.5000000000000142E-2</v>
      </c>
      <c r="E522" s="9">
        <f>data!E522-data!G522</f>
        <v>1.9248999999999998</v>
      </c>
      <c r="F522" s="9">
        <f>(data!E522-data!F522)-(data!G522-data!H522)</f>
        <v>1.1435999999999997</v>
      </c>
      <c r="G522" s="9">
        <f t="shared" si="400"/>
        <v>-0.13639999999999985</v>
      </c>
      <c r="H522" s="9">
        <f t="shared" si="401"/>
        <v>-4.6799999999999509E-2</v>
      </c>
      <c r="I522" s="9">
        <f>IF(data!M523&gt; 111.81,1,0)</f>
        <v>0</v>
      </c>
      <c r="J522" s="9">
        <f t="shared" si="402"/>
        <v>1</v>
      </c>
      <c r="K522" s="9">
        <f t="shared" si="403"/>
        <v>0</v>
      </c>
      <c r="L522" s="9">
        <f t="shared" si="404"/>
        <v>0.599899999999991</v>
      </c>
      <c r="M522" s="9">
        <f>data!J522</f>
        <v>-26.9</v>
      </c>
      <c r="N522" s="9">
        <f>data!I522</f>
        <v>-61.5</v>
      </c>
      <c r="O522" s="9">
        <f>data!L522</f>
        <v>-68.111000000000004</v>
      </c>
      <c r="P522" s="9">
        <f>data!K522</f>
        <v>-55</v>
      </c>
      <c r="Q522" s="9">
        <f>data!R522</f>
        <v>-45.244999999999997</v>
      </c>
      <c r="R522" s="9">
        <f t="shared" si="405"/>
        <v>-0.60000000000000142</v>
      </c>
      <c r="S522" s="9">
        <f t="shared" si="406"/>
        <v>-0.90000000000000213</v>
      </c>
      <c r="T522" s="9">
        <f t="shared" si="407"/>
        <v>-8.1000000000000014</v>
      </c>
      <c r="U522" s="9">
        <f t="shared" si="408"/>
        <v>-11.600000000000001</v>
      </c>
      <c r="V522" s="9">
        <f t="shared" si="409"/>
        <v>-8.1000000000000014</v>
      </c>
      <c r="W522" s="9">
        <f t="shared" si="410"/>
        <v>-6.2250000000000014</v>
      </c>
      <c r="X522" s="9">
        <f t="shared" si="411"/>
        <v>-6.8500000000000014</v>
      </c>
      <c r="Y522" s="9">
        <f t="shared" si="412"/>
        <v>-9.1000000000000014</v>
      </c>
      <c r="Z522" s="9">
        <f t="shared" si="413"/>
        <v>-9.1000000000000014</v>
      </c>
      <c r="AA522" s="9">
        <f t="shared" si="414"/>
        <v>0.5</v>
      </c>
      <c r="AB522" s="9">
        <f t="shared" si="415"/>
        <v>4.3999999999999986</v>
      </c>
      <c r="AC522" s="9">
        <f t="shared" si="416"/>
        <v>3.5</v>
      </c>
      <c r="AD522" s="9">
        <f t="shared" si="417"/>
        <v>-3.5</v>
      </c>
      <c r="AE522" s="9">
        <f t="shared" si="418"/>
        <v>-2.7999999999999972</v>
      </c>
      <c r="AF522" s="9">
        <f t="shared" si="419"/>
        <v>-0.79999999999999716</v>
      </c>
      <c r="AG522" s="9">
        <f t="shared" si="420"/>
        <v>-1.7999999999999972</v>
      </c>
      <c r="AH522" s="9">
        <f t="shared" si="421"/>
        <v>-2.25</v>
      </c>
      <c r="AI522" s="9">
        <f t="shared" si="422"/>
        <v>-2</v>
      </c>
      <c r="AJ522" s="9">
        <f t="shared" si="423"/>
        <v>0.61100000000000421</v>
      </c>
      <c r="AK522" s="9">
        <f t="shared" si="424"/>
        <v>5.1110000000000042</v>
      </c>
      <c r="AL522" s="9">
        <f t="shared" si="425"/>
        <v>7.1110000000000042</v>
      </c>
      <c r="AM522" s="9">
        <f t="shared" si="426"/>
        <v>-0.13899999999999579</v>
      </c>
      <c r="AN522" s="9">
        <f t="shared" si="427"/>
        <v>1.311000000000007</v>
      </c>
      <c r="AO522" s="9">
        <f t="shared" si="428"/>
        <v>4.8610000000000042</v>
      </c>
      <c r="AP522" s="9">
        <f t="shared" si="429"/>
        <v>0.51100000000000989</v>
      </c>
      <c r="AQ522" s="9">
        <f t="shared" si="430"/>
        <v>0.51100000000000989</v>
      </c>
      <c r="AR522" s="9">
        <f t="shared" si="431"/>
        <v>0.11100000000000421</v>
      </c>
      <c r="AS522" s="9">
        <f t="shared" si="432"/>
        <v>0.70000000000000284</v>
      </c>
      <c r="AT522" s="9">
        <f t="shared" si="433"/>
        <v>6.3999999999999986</v>
      </c>
      <c r="AU522" s="9">
        <f t="shared" si="434"/>
        <v>10.5</v>
      </c>
      <c r="AV522" s="9">
        <f t="shared" si="435"/>
        <v>5.25</v>
      </c>
      <c r="AW522" s="9">
        <f t="shared" si="436"/>
        <v>8.2000000000000028</v>
      </c>
      <c r="AX522" s="9">
        <f t="shared" si="437"/>
        <v>16.200000000000003</v>
      </c>
      <c r="AY522" s="9">
        <f t="shared" si="438"/>
        <v>10.624499999999998</v>
      </c>
      <c r="AZ522" s="9">
        <f t="shared" si="439"/>
        <v>9.5</v>
      </c>
      <c r="BA522" s="9">
        <f t="shared" si="440"/>
        <v>6</v>
      </c>
      <c r="BB522" s="9">
        <f t="shared" si="441"/>
        <v>1.644999999999996</v>
      </c>
      <c r="BC522" s="9">
        <f t="shared" si="442"/>
        <v>6.7449999999999974</v>
      </c>
      <c r="BD522" s="9">
        <f t="shared" si="443"/>
        <v>11.144999999999996</v>
      </c>
      <c r="BE522" s="9">
        <f t="shared" si="444"/>
        <v>6.4949999999999974</v>
      </c>
      <c r="BF522" s="9">
        <f t="shared" si="445"/>
        <v>9.7449999999999974</v>
      </c>
      <c r="BG522" s="9">
        <f t="shared" si="446"/>
        <v>17.494999999999997</v>
      </c>
      <c r="BH522" s="9">
        <f t="shared" si="447"/>
        <v>12.619999999999997</v>
      </c>
      <c r="BI522" s="9">
        <f t="shared" si="448"/>
        <v>11.244999999999997</v>
      </c>
      <c r="BJ522" s="9">
        <f t="shared" si="449"/>
        <v>6.9949999999999974</v>
      </c>
    </row>
    <row r="523" spans="1:62" x14ac:dyDescent="0.2">
      <c r="A523" s="9">
        <f>data!M524-data!M523</f>
        <v>0.21860000000000923</v>
      </c>
      <c r="B523" s="9">
        <f>data!C524-data!C523</f>
        <v>-0.23999999999999844</v>
      </c>
      <c r="C523" s="9">
        <f>data!D524-data!D523</f>
        <v>-1.1425000000000001</v>
      </c>
      <c r="D523" s="10">
        <f>data!B524-data!B523</f>
        <v>0.32249999999999979</v>
      </c>
      <c r="E523" s="9">
        <f>data!E523-data!G523</f>
        <v>1.7885</v>
      </c>
      <c r="F523" s="9">
        <f>(data!E523-data!F523)-(data!G523-data!H523)</f>
        <v>1.0968000000000002</v>
      </c>
      <c r="G523" s="9">
        <f t="shared" si="400"/>
        <v>-0.11260000000000003</v>
      </c>
      <c r="H523" s="9">
        <f t="shared" si="401"/>
        <v>-1.7900000000000027E-2</v>
      </c>
      <c r="I523" s="9">
        <f>IF(data!M524&gt; 111.81,1,0)</f>
        <v>0</v>
      </c>
      <c r="J523" s="9">
        <f t="shared" si="402"/>
        <v>1</v>
      </c>
      <c r="K523" s="9">
        <f t="shared" si="403"/>
        <v>0</v>
      </c>
      <c r="L523" s="9">
        <f t="shared" si="404"/>
        <v>0.21860000000000923</v>
      </c>
      <c r="M523" s="9">
        <f>data!J523</f>
        <v>-27.5</v>
      </c>
      <c r="N523" s="9">
        <f>data!I523</f>
        <v>-61</v>
      </c>
      <c r="O523" s="9">
        <f>data!L523</f>
        <v>-67.5</v>
      </c>
      <c r="P523" s="9">
        <f>data!K523</f>
        <v>-54.3</v>
      </c>
      <c r="Q523" s="9">
        <f>data!R523</f>
        <v>-43.6</v>
      </c>
      <c r="R523" s="9">
        <f t="shared" si="405"/>
        <v>-0.30000000000000071</v>
      </c>
      <c r="S523" s="9">
        <f t="shared" si="406"/>
        <v>-7.5</v>
      </c>
      <c r="T523" s="9">
        <f t="shared" si="407"/>
        <v>-11</v>
      </c>
      <c r="U523" s="9">
        <f t="shared" si="408"/>
        <v>-7.5</v>
      </c>
      <c r="V523" s="9">
        <f t="shared" si="409"/>
        <v>-5.625</v>
      </c>
      <c r="W523" s="9">
        <f t="shared" si="410"/>
        <v>-6.25</v>
      </c>
      <c r="X523" s="9">
        <f t="shared" si="411"/>
        <v>-8.5</v>
      </c>
      <c r="Y523" s="9">
        <f t="shared" si="412"/>
        <v>-8.5</v>
      </c>
      <c r="Z523" s="9">
        <f t="shared" si="413"/>
        <v>-9.625</v>
      </c>
      <c r="AA523" s="9">
        <f t="shared" si="414"/>
        <v>3.8999999999999986</v>
      </c>
      <c r="AB523" s="9">
        <f t="shared" si="415"/>
        <v>3</v>
      </c>
      <c r="AC523" s="9">
        <f t="shared" si="416"/>
        <v>-4</v>
      </c>
      <c r="AD523" s="9">
        <f t="shared" si="417"/>
        <v>-3.2999999999999972</v>
      </c>
      <c r="AE523" s="9">
        <f t="shared" si="418"/>
        <v>-1.2999999999999972</v>
      </c>
      <c r="AF523" s="9">
        <f t="shared" si="419"/>
        <v>-2.2999999999999972</v>
      </c>
      <c r="AG523" s="9">
        <f t="shared" si="420"/>
        <v>-2.75</v>
      </c>
      <c r="AH523" s="9">
        <f t="shared" si="421"/>
        <v>-2.5</v>
      </c>
      <c r="AI523" s="9">
        <f t="shared" si="422"/>
        <v>-1</v>
      </c>
      <c r="AJ523" s="9">
        <f t="shared" si="423"/>
        <v>4.5</v>
      </c>
      <c r="AK523" s="9">
        <f t="shared" si="424"/>
        <v>6.5</v>
      </c>
      <c r="AL523" s="9">
        <f t="shared" si="425"/>
        <v>-0.75</v>
      </c>
      <c r="AM523" s="9">
        <f t="shared" si="426"/>
        <v>0.70000000000000284</v>
      </c>
      <c r="AN523" s="9">
        <f t="shared" si="427"/>
        <v>4.25</v>
      </c>
      <c r="AO523" s="9">
        <f t="shared" si="428"/>
        <v>-9.9999999999994316E-2</v>
      </c>
      <c r="AP523" s="9">
        <f t="shared" si="429"/>
        <v>-9.9999999999994316E-2</v>
      </c>
      <c r="AQ523" s="9">
        <f t="shared" si="430"/>
        <v>-0.5</v>
      </c>
      <c r="AR523" s="9">
        <f t="shared" si="431"/>
        <v>3.2000000000000028</v>
      </c>
      <c r="AS523" s="9">
        <f t="shared" si="432"/>
        <v>5.6999999999999957</v>
      </c>
      <c r="AT523" s="9">
        <f t="shared" si="433"/>
        <v>9.7999999999999972</v>
      </c>
      <c r="AU523" s="9">
        <f t="shared" si="434"/>
        <v>4.5499999999999972</v>
      </c>
      <c r="AV523" s="9">
        <f t="shared" si="435"/>
        <v>7.5</v>
      </c>
      <c r="AW523" s="9">
        <f t="shared" si="436"/>
        <v>15.5</v>
      </c>
      <c r="AX523" s="9">
        <f t="shared" si="437"/>
        <v>9.9244999999999948</v>
      </c>
      <c r="AY523" s="9">
        <f t="shared" si="438"/>
        <v>8.7999999999999972</v>
      </c>
      <c r="AZ523" s="9">
        <f t="shared" si="439"/>
        <v>5.2999999999999972</v>
      </c>
      <c r="BA523" s="9">
        <f t="shared" si="440"/>
        <v>8.2999999999999972</v>
      </c>
      <c r="BB523" s="9">
        <f t="shared" si="441"/>
        <v>5.1000000000000014</v>
      </c>
      <c r="BC523" s="9">
        <f t="shared" si="442"/>
        <v>9.5</v>
      </c>
      <c r="BD523" s="9">
        <f t="shared" si="443"/>
        <v>4.8500000000000014</v>
      </c>
      <c r="BE523" s="9">
        <f t="shared" si="444"/>
        <v>8.1000000000000014</v>
      </c>
      <c r="BF523" s="9">
        <f t="shared" si="445"/>
        <v>15.850000000000001</v>
      </c>
      <c r="BG523" s="9">
        <f t="shared" si="446"/>
        <v>10.975000000000001</v>
      </c>
      <c r="BH523" s="9">
        <f t="shared" si="447"/>
        <v>9.6000000000000014</v>
      </c>
      <c r="BI523" s="9">
        <f t="shared" si="448"/>
        <v>5.3500000000000014</v>
      </c>
      <c r="BJ523" s="9">
        <f t="shared" si="449"/>
        <v>8.1000000000000014</v>
      </c>
    </row>
    <row r="524" spans="1:62" x14ac:dyDescent="0.2">
      <c r="A524" s="9">
        <f>data!M525-data!M524</f>
        <v>9.7599999999999909E-2</v>
      </c>
      <c r="B524" s="9">
        <f>data!C525-data!C524</f>
        <v>3.3999999999999986</v>
      </c>
      <c r="C524" s="9">
        <f>data!D525-data!D524</f>
        <v>1.5</v>
      </c>
      <c r="D524" s="10">
        <f>data!B525-data!B524</f>
        <v>-0.35999999999999988</v>
      </c>
      <c r="E524" s="9">
        <f>data!E524-data!G524</f>
        <v>1.6758999999999999</v>
      </c>
      <c r="F524" s="9">
        <f>(data!E524-data!F524)-(data!G524-data!H524)</f>
        <v>1.0789000000000002</v>
      </c>
      <c r="G524" s="9">
        <f t="shared" si="400"/>
        <v>-7.6099999999999834E-2</v>
      </c>
      <c r="H524" s="9">
        <f t="shared" si="401"/>
        <v>7.3999999999998511E-3</v>
      </c>
      <c r="I524" s="9">
        <f>IF(data!M525&gt; 111.81,1,0)</f>
        <v>0</v>
      </c>
      <c r="J524" s="9">
        <f t="shared" si="402"/>
        <v>1</v>
      </c>
      <c r="K524" s="9">
        <f t="shared" si="403"/>
        <v>0</v>
      </c>
      <c r="L524" s="9">
        <f t="shared" si="404"/>
        <v>9.7599999999999909E-2</v>
      </c>
      <c r="M524" s="9">
        <f>data!J524</f>
        <v>-27.8</v>
      </c>
      <c r="N524" s="9">
        <f>data!I524</f>
        <v>-57.1</v>
      </c>
      <c r="O524" s="9">
        <f>data!L524</f>
        <v>-63</v>
      </c>
      <c r="P524" s="9">
        <f>data!K524</f>
        <v>-48.6</v>
      </c>
      <c r="Q524" s="9">
        <f>data!R524</f>
        <v>-38.5</v>
      </c>
      <c r="R524" s="9">
        <f t="shared" si="405"/>
        <v>-7.1999999999999993</v>
      </c>
      <c r="S524" s="9">
        <f t="shared" si="406"/>
        <v>-10.7</v>
      </c>
      <c r="T524" s="9">
        <f t="shared" si="407"/>
        <v>-7.1999999999999993</v>
      </c>
      <c r="U524" s="9">
        <f t="shared" si="408"/>
        <v>-5.3249999999999993</v>
      </c>
      <c r="V524" s="9">
        <f t="shared" si="409"/>
        <v>-5.9499999999999993</v>
      </c>
      <c r="W524" s="9">
        <f t="shared" si="410"/>
        <v>-8.1999999999999993</v>
      </c>
      <c r="X524" s="9">
        <f t="shared" si="411"/>
        <v>-8.1999999999999993</v>
      </c>
      <c r="Y524" s="9">
        <f t="shared" si="412"/>
        <v>-9.3249999999999993</v>
      </c>
      <c r="Z524" s="9">
        <f t="shared" si="413"/>
        <v>-10.199999999999999</v>
      </c>
      <c r="AA524" s="9">
        <f t="shared" si="414"/>
        <v>-0.89999999999999858</v>
      </c>
      <c r="AB524" s="9">
        <f t="shared" si="415"/>
        <v>-7.8999999999999986</v>
      </c>
      <c r="AC524" s="9">
        <f t="shared" si="416"/>
        <v>-7.1999999999999957</v>
      </c>
      <c r="AD524" s="9">
        <f t="shared" si="417"/>
        <v>-5.1999999999999957</v>
      </c>
      <c r="AE524" s="9">
        <f t="shared" si="418"/>
        <v>-6.1999999999999957</v>
      </c>
      <c r="AF524" s="9">
        <f t="shared" si="419"/>
        <v>-6.6499999999999986</v>
      </c>
      <c r="AG524" s="9">
        <f t="shared" si="420"/>
        <v>-6.3999999999999986</v>
      </c>
      <c r="AH524" s="9">
        <f t="shared" si="421"/>
        <v>-4.8999999999999986</v>
      </c>
      <c r="AI524" s="9">
        <f t="shared" si="422"/>
        <v>-3.6499999999999986</v>
      </c>
      <c r="AJ524" s="9">
        <f t="shared" si="423"/>
        <v>2</v>
      </c>
      <c r="AK524" s="9">
        <f t="shared" si="424"/>
        <v>-5.25</v>
      </c>
      <c r="AL524" s="9">
        <f t="shared" si="425"/>
        <v>-3.7999999999999972</v>
      </c>
      <c r="AM524" s="9">
        <f t="shared" si="426"/>
        <v>-0.25</v>
      </c>
      <c r="AN524" s="9">
        <f t="shared" si="427"/>
        <v>-4.5999999999999943</v>
      </c>
      <c r="AO524" s="9">
        <f t="shared" si="428"/>
        <v>-4.5999999999999943</v>
      </c>
      <c r="AP524" s="9">
        <f t="shared" si="429"/>
        <v>-5</v>
      </c>
      <c r="AQ524" s="9">
        <f t="shared" si="430"/>
        <v>-1.2999999999999972</v>
      </c>
      <c r="AR524" s="9">
        <f t="shared" si="431"/>
        <v>0</v>
      </c>
      <c r="AS524" s="9">
        <f t="shared" si="432"/>
        <v>4.1000000000000014</v>
      </c>
      <c r="AT524" s="9">
        <f t="shared" si="433"/>
        <v>-1.1499999999999986</v>
      </c>
      <c r="AU524" s="9">
        <f t="shared" si="434"/>
        <v>1.8000000000000043</v>
      </c>
      <c r="AV524" s="9">
        <f t="shared" si="435"/>
        <v>9.8000000000000043</v>
      </c>
      <c r="AW524" s="9">
        <f t="shared" si="436"/>
        <v>4.224499999999999</v>
      </c>
      <c r="AX524" s="9">
        <f t="shared" si="437"/>
        <v>3.1000000000000014</v>
      </c>
      <c r="AY524" s="9">
        <f t="shared" si="438"/>
        <v>-0.39999999999999858</v>
      </c>
      <c r="AZ524" s="9">
        <f t="shared" si="439"/>
        <v>2.6000000000000014</v>
      </c>
      <c r="BA524" s="9">
        <f t="shared" si="440"/>
        <v>3.1000000000000014</v>
      </c>
      <c r="BB524" s="9">
        <f t="shared" si="441"/>
        <v>4.3999999999999986</v>
      </c>
      <c r="BC524" s="9">
        <f t="shared" si="442"/>
        <v>-0.25</v>
      </c>
      <c r="BD524" s="9">
        <f t="shared" si="443"/>
        <v>3</v>
      </c>
      <c r="BE524" s="9">
        <f t="shared" si="444"/>
        <v>10.75</v>
      </c>
      <c r="BF524" s="9">
        <f t="shared" si="445"/>
        <v>5.875</v>
      </c>
      <c r="BG524" s="9">
        <f t="shared" si="446"/>
        <v>4.5</v>
      </c>
      <c r="BH524" s="9">
        <f t="shared" si="447"/>
        <v>0.25</v>
      </c>
      <c r="BI524" s="9">
        <f t="shared" si="448"/>
        <v>3</v>
      </c>
      <c r="BJ524" s="9">
        <f t="shared" si="449"/>
        <v>3.5</v>
      </c>
    </row>
    <row r="525" spans="1:62" x14ac:dyDescent="0.2">
      <c r="A525" s="9">
        <f>data!M526-data!M525</f>
        <v>1.148699999999991</v>
      </c>
      <c r="B525" s="9">
        <f>data!C526-data!C525</f>
        <v>-4.2899999999999991</v>
      </c>
      <c r="C525" s="9">
        <f>data!D526-data!D525</f>
        <v>-0.82000000000000028</v>
      </c>
      <c r="D525" s="10">
        <f>data!B526-data!B525</f>
        <v>-0.45250000000000012</v>
      </c>
      <c r="E525" s="9">
        <f>data!E525-data!G525</f>
        <v>1.5998000000000001</v>
      </c>
      <c r="F525" s="9">
        <f>(data!E525-data!F525)-(data!G525-data!H525)</f>
        <v>1.0863</v>
      </c>
      <c r="G525" s="9">
        <f t="shared" si="400"/>
        <v>-3.1000000000000139E-2</v>
      </c>
      <c r="H525" s="9">
        <f t="shared" si="401"/>
        <v>-2.4900000000000144E-2</v>
      </c>
      <c r="I525" s="9">
        <f>IF(data!M526&gt; 111.81,1,0)</f>
        <v>0</v>
      </c>
      <c r="J525" s="9">
        <f t="shared" si="402"/>
        <v>1</v>
      </c>
      <c r="K525" s="9">
        <f t="shared" si="403"/>
        <v>0</v>
      </c>
      <c r="L525" s="9">
        <f t="shared" si="404"/>
        <v>1.148699999999991</v>
      </c>
      <c r="M525" s="9">
        <f>data!J525</f>
        <v>-35</v>
      </c>
      <c r="N525" s="9">
        <f>data!I525</f>
        <v>-58</v>
      </c>
      <c r="O525" s="9">
        <f>data!L525</f>
        <v>-61</v>
      </c>
      <c r="P525" s="9">
        <f>data!K525</f>
        <v>-44.5</v>
      </c>
      <c r="Q525" s="9">
        <f>data!R525</f>
        <v>-34.1</v>
      </c>
      <c r="R525" s="9">
        <f t="shared" si="405"/>
        <v>-3.5</v>
      </c>
      <c r="S525" s="9">
        <f t="shared" si="406"/>
        <v>0</v>
      </c>
      <c r="T525" s="9">
        <f t="shared" si="407"/>
        <v>1.875</v>
      </c>
      <c r="U525" s="9">
        <f t="shared" si="408"/>
        <v>1.25</v>
      </c>
      <c r="V525" s="9">
        <f t="shared" si="409"/>
        <v>-1</v>
      </c>
      <c r="W525" s="9">
        <f t="shared" si="410"/>
        <v>-1</v>
      </c>
      <c r="X525" s="9">
        <f t="shared" si="411"/>
        <v>-2.125</v>
      </c>
      <c r="Y525" s="9">
        <f t="shared" si="412"/>
        <v>-3</v>
      </c>
      <c r="Z525" s="9">
        <f t="shared" si="413"/>
        <v>-1.2999999999999972</v>
      </c>
      <c r="AA525" s="9">
        <f t="shared" si="414"/>
        <v>-7</v>
      </c>
      <c r="AB525" s="9">
        <f t="shared" si="415"/>
        <v>-6.2999999999999972</v>
      </c>
      <c r="AC525" s="9">
        <f t="shared" si="416"/>
        <v>-4.2999999999999972</v>
      </c>
      <c r="AD525" s="9">
        <f t="shared" si="417"/>
        <v>-5.2999999999999972</v>
      </c>
      <c r="AE525" s="9">
        <f t="shared" si="418"/>
        <v>-5.75</v>
      </c>
      <c r="AF525" s="9">
        <f t="shared" si="419"/>
        <v>-5.5</v>
      </c>
      <c r="AG525" s="9">
        <f t="shared" si="420"/>
        <v>-4</v>
      </c>
      <c r="AH525" s="9">
        <f t="shared" si="421"/>
        <v>-2.75</v>
      </c>
      <c r="AI525" s="9">
        <f t="shared" si="422"/>
        <v>-0.79999999999999716</v>
      </c>
      <c r="AJ525" s="9">
        <f t="shared" si="423"/>
        <v>-7.25</v>
      </c>
      <c r="AK525" s="9">
        <f t="shared" si="424"/>
        <v>-5.7999999999999972</v>
      </c>
      <c r="AL525" s="9">
        <f t="shared" si="425"/>
        <v>-2.25</v>
      </c>
      <c r="AM525" s="9">
        <f t="shared" si="426"/>
        <v>-6.5999999999999943</v>
      </c>
      <c r="AN525" s="9">
        <f t="shared" si="427"/>
        <v>-6.5999999999999943</v>
      </c>
      <c r="AO525" s="9">
        <f t="shared" si="428"/>
        <v>-7</v>
      </c>
      <c r="AP525" s="9">
        <f t="shared" si="429"/>
        <v>-3.2999999999999972</v>
      </c>
      <c r="AQ525" s="9">
        <f t="shared" si="430"/>
        <v>-2</v>
      </c>
      <c r="AR525" s="9">
        <f t="shared" si="431"/>
        <v>1.875</v>
      </c>
      <c r="AS525" s="9">
        <f t="shared" si="432"/>
        <v>-5.25</v>
      </c>
      <c r="AT525" s="9">
        <f t="shared" si="433"/>
        <v>-2.2999999999999972</v>
      </c>
      <c r="AU525" s="9">
        <f t="shared" si="434"/>
        <v>5.7000000000000028</v>
      </c>
      <c r="AV525" s="9">
        <f t="shared" si="435"/>
        <v>0.12449999999999761</v>
      </c>
      <c r="AW525" s="9">
        <f t="shared" si="436"/>
        <v>-1</v>
      </c>
      <c r="AX525" s="9">
        <f t="shared" si="437"/>
        <v>-4.5</v>
      </c>
      <c r="AY525" s="9">
        <f t="shared" si="438"/>
        <v>-1.5</v>
      </c>
      <c r="AZ525" s="9">
        <f t="shared" si="439"/>
        <v>-1</v>
      </c>
      <c r="BA525" s="9">
        <f t="shared" si="440"/>
        <v>3.2000000000000028</v>
      </c>
      <c r="BB525" s="9">
        <f t="shared" si="441"/>
        <v>-4.6499999999999986</v>
      </c>
      <c r="BC525" s="9">
        <f t="shared" si="442"/>
        <v>-1.3999999999999986</v>
      </c>
      <c r="BD525" s="9">
        <f t="shared" si="443"/>
        <v>6.3500000000000014</v>
      </c>
      <c r="BE525" s="9">
        <f t="shared" si="444"/>
        <v>1.4750000000000014</v>
      </c>
      <c r="BF525" s="9">
        <f t="shared" si="445"/>
        <v>0.10000000000000142</v>
      </c>
      <c r="BG525" s="9">
        <f t="shared" si="446"/>
        <v>-4.1499999999999986</v>
      </c>
      <c r="BH525" s="9">
        <f t="shared" si="447"/>
        <v>-1.3999999999999986</v>
      </c>
      <c r="BI525" s="9">
        <f t="shared" si="448"/>
        <v>-0.89999999999999858</v>
      </c>
      <c r="BJ525" s="9">
        <f t="shared" si="449"/>
        <v>2.8500000000000014</v>
      </c>
    </row>
    <row r="526" spans="1:62" x14ac:dyDescent="0.2">
      <c r="A526" s="9">
        <f>data!M527-data!M526</f>
        <v>1.220799999999997</v>
      </c>
      <c r="B526" s="9">
        <f>data!C527-data!C526</f>
        <v>4.3099999999999987</v>
      </c>
      <c r="C526" s="9">
        <f>data!D527-data!D526</f>
        <v>0.46499999999999986</v>
      </c>
      <c r="D526" s="10">
        <f>data!B527-data!B526</f>
        <v>-0.19249999999999989</v>
      </c>
      <c r="E526" s="9">
        <f>data!E526-data!G526</f>
        <v>1.5688</v>
      </c>
      <c r="F526" s="9">
        <f>(data!E526-data!F526)-(data!G526-data!H526)</f>
        <v>1.0613999999999999</v>
      </c>
      <c r="G526" s="9">
        <f t="shared" si="400"/>
        <v>-0.20009999999999994</v>
      </c>
      <c r="H526" s="9">
        <f t="shared" si="401"/>
        <v>-0.14049999999999996</v>
      </c>
      <c r="I526" s="9">
        <f>IF(data!M527&gt; 111.81,1,0)</f>
        <v>0</v>
      </c>
      <c r="J526" s="9">
        <f t="shared" si="402"/>
        <v>1</v>
      </c>
      <c r="K526" s="9">
        <f t="shared" si="403"/>
        <v>0</v>
      </c>
      <c r="L526" s="9">
        <f t="shared" si="404"/>
        <v>1.220799999999997</v>
      </c>
      <c r="M526" s="9">
        <f>data!J526</f>
        <v>-38.5</v>
      </c>
      <c r="N526" s="9">
        <f>data!I526</f>
        <v>-65</v>
      </c>
      <c r="O526" s="9">
        <f>data!L526</f>
        <v>-68.25</v>
      </c>
      <c r="P526" s="9">
        <f>data!K526</f>
        <v>-49.75</v>
      </c>
      <c r="Q526" s="9">
        <f>data!R526</f>
        <v>-38.75</v>
      </c>
      <c r="R526" s="9">
        <f t="shared" si="405"/>
        <v>3.5</v>
      </c>
      <c r="S526" s="9">
        <f t="shared" si="406"/>
        <v>5.375</v>
      </c>
      <c r="T526" s="9">
        <f t="shared" si="407"/>
        <v>4.75</v>
      </c>
      <c r="U526" s="9">
        <f t="shared" si="408"/>
        <v>2.5</v>
      </c>
      <c r="V526" s="9">
        <f t="shared" si="409"/>
        <v>2.5</v>
      </c>
      <c r="W526" s="9">
        <f t="shared" si="410"/>
        <v>1.375</v>
      </c>
      <c r="X526" s="9">
        <f t="shared" si="411"/>
        <v>0.5</v>
      </c>
      <c r="Y526" s="9">
        <f t="shared" si="412"/>
        <v>2.2000000000000028</v>
      </c>
      <c r="Z526" s="9">
        <f t="shared" si="413"/>
        <v>-0.75</v>
      </c>
      <c r="AA526" s="9">
        <f t="shared" si="414"/>
        <v>0.70000000000000284</v>
      </c>
      <c r="AB526" s="9">
        <f t="shared" si="415"/>
        <v>2.7000000000000028</v>
      </c>
      <c r="AC526" s="9">
        <f t="shared" si="416"/>
        <v>1.7000000000000028</v>
      </c>
      <c r="AD526" s="9">
        <f t="shared" si="417"/>
        <v>1.25</v>
      </c>
      <c r="AE526" s="9">
        <f t="shared" si="418"/>
        <v>1.5</v>
      </c>
      <c r="AF526" s="9">
        <f t="shared" si="419"/>
        <v>3</v>
      </c>
      <c r="AG526" s="9">
        <f t="shared" si="420"/>
        <v>4.25</v>
      </c>
      <c r="AH526" s="9">
        <f t="shared" si="421"/>
        <v>6.2000000000000028</v>
      </c>
      <c r="AI526" s="9">
        <f t="shared" si="422"/>
        <v>2.4500000000000028</v>
      </c>
      <c r="AJ526" s="9">
        <f t="shared" si="423"/>
        <v>1.4500000000000028</v>
      </c>
      <c r="AK526" s="9">
        <f t="shared" si="424"/>
        <v>5</v>
      </c>
      <c r="AL526" s="9">
        <f t="shared" si="425"/>
        <v>0.65000000000000568</v>
      </c>
      <c r="AM526" s="9">
        <f t="shared" si="426"/>
        <v>0.65000000000000568</v>
      </c>
      <c r="AN526" s="9">
        <f t="shared" si="427"/>
        <v>0.25</v>
      </c>
      <c r="AO526" s="9">
        <f t="shared" si="428"/>
        <v>3.9500000000000028</v>
      </c>
      <c r="AP526" s="9">
        <f t="shared" si="429"/>
        <v>5.25</v>
      </c>
      <c r="AQ526" s="9">
        <f t="shared" si="430"/>
        <v>9.125</v>
      </c>
      <c r="AR526" s="9">
        <f t="shared" si="431"/>
        <v>4.7000000000000028</v>
      </c>
      <c r="AS526" s="9">
        <f t="shared" si="432"/>
        <v>2.9500000000000028</v>
      </c>
      <c r="AT526" s="9">
        <f t="shared" si="433"/>
        <v>10.950000000000003</v>
      </c>
      <c r="AU526" s="9">
        <f t="shared" si="434"/>
        <v>5.3744999999999976</v>
      </c>
      <c r="AV526" s="9">
        <f t="shared" si="435"/>
        <v>4.25</v>
      </c>
      <c r="AW526" s="9">
        <f t="shared" si="436"/>
        <v>0.75</v>
      </c>
      <c r="AX526" s="9">
        <f t="shared" si="437"/>
        <v>3.75</v>
      </c>
      <c r="AY526" s="9">
        <f t="shared" si="438"/>
        <v>4.25</v>
      </c>
      <c r="AZ526" s="9">
        <f t="shared" si="439"/>
        <v>8.4500000000000028</v>
      </c>
      <c r="BA526" s="9">
        <f t="shared" si="440"/>
        <v>3.25</v>
      </c>
      <c r="BB526" s="9">
        <f t="shared" si="441"/>
        <v>3.25</v>
      </c>
      <c r="BC526" s="9">
        <f t="shared" si="442"/>
        <v>11</v>
      </c>
      <c r="BD526" s="9">
        <f t="shared" si="443"/>
        <v>6.125</v>
      </c>
      <c r="BE526" s="9">
        <f t="shared" si="444"/>
        <v>4.75</v>
      </c>
      <c r="BF526" s="9">
        <f t="shared" si="445"/>
        <v>0.5</v>
      </c>
      <c r="BG526" s="9">
        <f t="shared" si="446"/>
        <v>3.25</v>
      </c>
      <c r="BH526" s="9">
        <f t="shared" si="447"/>
        <v>3.75</v>
      </c>
      <c r="BI526" s="9">
        <f t="shared" si="448"/>
        <v>7.5</v>
      </c>
      <c r="BJ526" s="9">
        <f t="shared" si="449"/>
        <v>2.6295000000000002</v>
      </c>
    </row>
    <row r="527" spans="1:62" x14ac:dyDescent="0.2">
      <c r="A527" s="9">
        <f>data!M528-data!M527</f>
        <v>-0.46009999999999707</v>
      </c>
      <c r="B527" s="9">
        <f>data!C528-data!C527</f>
        <v>-3.6799999999999997</v>
      </c>
      <c r="C527" s="9">
        <f>data!D528-data!D527</f>
        <v>-1.1749999999999989</v>
      </c>
      <c r="D527" s="10">
        <f>data!B528-data!B527</f>
        <v>0.48999999999999977</v>
      </c>
      <c r="E527" s="9">
        <f>data!E527-data!G527</f>
        <v>1.3687</v>
      </c>
      <c r="F527" s="9">
        <f>(data!E527-data!F527)-(data!G527-data!H527)</f>
        <v>0.92089999999999994</v>
      </c>
      <c r="G527" s="9">
        <f t="shared" si="400"/>
        <v>0.254</v>
      </c>
      <c r="H527" s="9">
        <f t="shared" si="401"/>
        <v>8.6300000000000154E-2</v>
      </c>
      <c r="I527" s="9">
        <f>IF(data!M528&gt; 111.81,1,0)</f>
        <v>0</v>
      </c>
      <c r="J527" s="9">
        <f t="shared" si="402"/>
        <v>1</v>
      </c>
      <c r="K527" s="9">
        <f t="shared" si="403"/>
        <v>0</v>
      </c>
      <c r="L527" s="9">
        <f t="shared" si="404"/>
        <v>-0.46009999999999707</v>
      </c>
      <c r="M527" s="9">
        <f>data!J527</f>
        <v>-35</v>
      </c>
      <c r="N527" s="9">
        <f>data!I527</f>
        <v>-64.3</v>
      </c>
      <c r="O527" s="9">
        <f>data!L527</f>
        <v>-66.8</v>
      </c>
      <c r="P527" s="9">
        <f>data!K527</f>
        <v>-46.8</v>
      </c>
      <c r="Q527" s="9">
        <f>data!R527</f>
        <v>-35.5</v>
      </c>
      <c r="R527" s="9">
        <f t="shared" si="405"/>
        <v>1.875</v>
      </c>
      <c r="S527" s="9">
        <f t="shared" si="406"/>
        <v>1.25</v>
      </c>
      <c r="T527" s="9">
        <f t="shared" si="407"/>
        <v>-1</v>
      </c>
      <c r="U527" s="9">
        <f t="shared" si="408"/>
        <v>-1</v>
      </c>
      <c r="V527" s="9">
        <f t="shared" si="409"/>
        <v>-2.125</v>
      </c>
      <c r="W527" s="9">
        <f t="shared" si="410"/>
        <v>-3</v>
      </c>
      <c r="X527" s="9">
        <f t="shared" si="411"/>
        <v>-1.2999999999999972</v>
      </c>
      <c r="Y527" s="9">
        <f t="shared" si="412"/>
        <v>-4.25</v>
      </c>
      <c r="Z527" s="9">
        <f t="shared" si="413"/>
        <v>-4.875</v>
      </c>
      <c r="AA527" s="9">
        <f t="shared" si="414"/>
        <v>2</v>
      </c>
      <c r="AB527" s="9">
        <f t="shared" si="415"/>
        <v>1</v>
      </c>
      <c r="AC527" s="9">
        <f t="shared" si="416"/>
        <v>0.54999999999999716</v>
      </c>
      <c r="AD527" s="9">
        <f t="shared" si="417"/>
        <v>0.79999999999999716</v>
      </c>
      <c r="AE527" s="9">
        <f t="shared" si="418"/>
        <v>2.2999999999999972</v>
      </c>
      <c r="AF527" s="9">
        <f t="shared" si="419"/>
        <v>3.5499999999999972</v>
      </c>
      <c r="AG527" s="9">
        <f t="shared" si="420"/>
        <v>5.5</v>
      </c>
      <c r="AH527" s="9">
        <f t="shared" si="421"/>
        <v>1.75</v>
      </c>
      <c r="AI527" s="9">
        <f t="shared" si="422"/>
        <v>-0.57500000000000284</v>
      </c>
      <c r="AJ527" s="9">
        <f t="shared" si="423"/>
        <v>3.5499999999999972</v>
      </c>
      <c r="AK527" s="9">
        <f t="shared" si="424"/>
        <v>-0.79999999999999716</v>
      </c>
      <c r="AL527" s="9">
        <f t="shared" si="425"/>
        <v>-0.79999999999999716</v>
      </c>
      <c r="AM527" s="9">
        <f t="shared" si="426"/>
        <v>-1.2000000000000028</v>
      </c>
      <c r="AN527" s="9">
        <f t="shared" si="427"/>
        <v>2.5</v>
      </c>
      <c r="AO527" s="9">
        <f t="shared" si="428"/>
        <v>3.7999999999999972</v>
      </c>
      <c r="AP527" s="9">
        <f t="shared" si="429"/>
        <v>7.6749999999999972</v>
      </c>
      <c r="AQ527" s="9">
        <f t="shared" si="430"/>
        <v>3.25</v>
      </c>
      <c r="AR527" s="9">
        <f t="shared" si="431"/>
        <v>0.17499999999999716</v>
      </c>
      <c r="AS527" s="9">
        <f t="shared" si="432"/>
        <v>8</v>
      </c>
      <c r="AT527" s="9">
        <f t="shared" si="433"/>
        <v>2.4244999999999948</v>
      </c>
      <c r="AU527" s="9">
        <f t="shared" si="434"/>
        <v>1.2999999999999972</v>
      </c>
      <c r="AV527" s="9">
        <f t="shared" si="435"/>
        <v>-2.2000000000000028</v>
      </c>
      <c r="AW527" s="9">
        <f t="shared" si="436"/>
        <v>0.79999999999999716</v>
      </c>
      <c r="AX527" s="9">
        <f t="shared" si="437"/>
        <v>1.2999999999999972</v>
      </c>
      <c r="AY527" s="9">
        <f t="shared" si="438"/>
        <v>5.5</v>
      </c>
      <c r="AZ527" s="9">
        <f t="shared" si="439"/>
        <v>0.29999999999999716</v>
      </c>
      <c r="BA527" s="9">
        <f t="shared" si="440"/>
        <v>-2.5750000000000028</v>
      </c>
      <c r="BB527" s="9">
        <f t="shared" si="441"/>
        <v>7.75</v>
      </c>
      <c r="BC527" s="9">
        <f t="shared" si="442"/>
        <v>2.875</v>
      </c>
      <c r="BD527" s="9">
        <f t="shared" si="443"/>
        <v>1.5</v>
      </c>
      <c r="BE527" s="9">
        <f t="shared" si="444"/>
        <v>-2.75</v>
      </c>
      <c r="BF527" s="9">
        <f t="shared" si="445"/>
        <v>0</v>
      </c>
      <c r="BG527" s="9">
        <f t="shared" si="446"/>
        <v>0.5</v>
      </c>
      <c r="BH527" s="9">
        <f t="shared" si="447"/>
        <v>4.25</v>
      </c>
      <c r="BI527" s="9">
        <f t="shared" si="448"/>
        <v>-0.62049999999999983</v>
      </c>
      <c r="BJ527" s="9">
        <f t="shared" si="449"/>
        <v>-3.25</v>
      </c>
    </row>
    <row r="528" spans="1:62" x14ac:dyDescent="0.2">
      <c r="A528" s="9">
        <f>data!M529-data!M528</f>
        <v>-0.28309999999999036</v>
      </c>
      <c r="B528" s="9">
        <f>data!C529-data!C528</f>
        <v>-2.5999999999999996</v>
      </c>
      <c r="C528" s="9">
        <f>data!D529-data!D528</f>
        <v>0.47499999999999964</v>
      </c>
      <c r="D528" s="10">
        <f>data!B529-data!B528</f>
        <v>2.4999999999999911E-2</v>
      </c>
      <c r="E528" s="9">
        <f>data!E528-data!G528</f>
        <v>1.6227</v>
      </c>
      <c r="F528" s="9">
        <f>(data!E528-data!F528)-(data!G528-data!H528)</f>
        <v>1.0072000000000001</v>
      </c>
      <c r="G528" s="9">
        <f t="shared" si="400"/>
        <v>8.699999999999708E-3</v>
      </c>
      <c r="H528" s="9">
        <f t="shared" si="401"/>
        <v>2.4099999999999788E-2</v>
      </c>
      <c r="I528" s="9">
        <f>IF(data!M529&gt; 111.81,1,0)</f>
        <v>0</v>
      </c>
      <c r="J528" s="9">
        <f t="shared" si="402"/>
        <v>1</v>
      </c>
      <c r="K528" s="9">
        <f t="shared" si="403"/>
        <v>0</v>
      </c>
      <c r="L528" s="9">
        <f t="shared" si="404"/>
        <v>-0.28309999999999036</v>
      </c>
      <c r="M528" s="9">
        <f>data!J528</f>
        <v>-33.125</v>
      </c>
      <c r="N528" s="9">
        <f>data!I528</f>
        <v>-62.3</v>
      </c>
      <c r="O528" s="9">
        <f>data!L528</f>
        <v>-63.25</v>
      </c>
      <c r="P528" s="9">
        <f>data!K528</f>
        <v>-38.799999999999997</v>
      </c>
      <c r="Q528" s="9">
        <f>data!R528</f>
        <v>-27.75</v>
      </c>
      <c r="R528" s="9">
        <f t="shared" si="405"/>
        <v>-0.625</v>
      </c>
      <c r="S528" s="9">
        <f t="shared" si="406"/>
        <v>-2.875</v>
      </c>
      <c r="T528" s="9">
        <f t="shared" si="407"/>
        <v>-2.875</v>
      </c>
      <c r="U528" s="9">
        <f t="shared" si="408"/>
        <v>-4</v>
      </c>
      <c r="V528" s="9">
        <f t="shared" si="409"/>
        <v>-4.875</v>
      </c>
      <c r="W528" s="9">
        <f t="shared" si="410"/>
        <v>-3.1749999999999972</v>
      </c>
      <c r="X528" s="9">
        <f t="shared" si="411"/>
        <v>-6.125</v>
      </c>
      <c r="Y528" s="9">
        <f t="shared" si="412"/>
        <v>-6.75</v>
      </c>
      <c r="Z528" s="9">
        <f t="shared" si="413"/>
        <v>-8.375</v>
      </c>
      <c r="AA528" s="9">
        <f t="shared" si="414"/>
        <v>-1</v>
      </c>
      <c r="AB528" s="9">
        <f t="shared" si="415"/>
        <v>-1.4500000000000028</v>
      </c>
      <c r="AC528" s="9">
        <f t="shared" si="416"/>
        <v>-1.2000000000000028</v>
      </c>
      <c r="AD528" s="9">
        <f t="shared" si="417"/>
        <v>0.29999999999999716</v>
      </c>
      <c r="AE528" s="9">
        <f t="shared" si="418"/>
        <v>1.5499999999999972</v>
      </c>
      <c r="AF528" s="9">
        <f t="shared" si="419"/>
        <v>3.5</v>
      </c>
      <c r="AG528" s="9">
        <f t="shared" si="420"/>
        <v>-0.25</v>
      </c>
      <c r="AH528" s="9">
        <f t="shared" si="421"/>
        <v>-2.5750000000000028</v>
      </c>
      <c r="AI528" s="9">
        <f t="shared" si="422"/>
        <v>-0.30000000000000426</v>
      </c>
      <c r="AJ528" s="9">
        <f t="shared" si="423"/>
        <v>-4.3499999999999943</v>
      </c>
      <c r="AK528" s="9">
        <f t="shared" si="424"/>
        <v>-4.3499999999999943</v>
      </c>
      <c r="AL528" s="9">
        <f t="shared" si="425"/>
        <v>-4.75</v>
      </c>
      <c r="AM528" s="9">
        <f t="shared" si="426"/>
        <v>-1.0499999999999972</v>
      </c>
      <c r="AN528" s="9">
        <f t="shared" si="427"/>
        <v>0.25</v>
      </c>
      <c r="AO528" s="9">
        <f t="shared" si="428"/>
        <v>4.125</v>
      </c>
      <c r="AP528" s="9">
        <f t="shared" si="429"/>
        <v>-0.29999999999999716</v>
      </c>
      <c r="AQ528" s="9">
        <f t="shared" si="430"/>
        <v>-3.375</v>
      </c>
      <c r="AR528" s="9">
        <f t="shared" si="431"/>
        <v>-0.70000000000000284</v>
      </c>
      <c r="AS528" s="9">
        <f t="shared" si="432"/>
        <v>-5.5755000000000052</v>
      </c>
      <c r="AT528" s="9">
        <f t="shared" si="433"/>
        <v>-6.7000000000000028</v>
      </c>
      <c r="AU528" s="9">
        <f t="shared" si="434"/>
        <v>-10.200000000000003</v>
      </c>
      <c r="AV528" s="9">
        <f t="shared" si="435"/>
        <v>-7.2000000000000028</v>
      </c>
      <c r="AW528" s="9">
        <f t="shared" si="436"/>
        <v>-6.7000000000000028</v>
      </c>
      <c r="AX528" s="9">
        <f t="shared" si="437"/>
        <v>-2.5</v>
      </c>
      <c r="AY528" s="9">
        <f t="shared" si="438"/>
        <v>-7.7000000000000028</v>
      </c>
      <c r="AZ528" s="9">
        <f t="shared" si="439"/>
        <v>-10.575000000000003</v>
      </c>
      <c r="BA528" s="9">
        <f t="shared" si="440"/>
        <v>-7.9000000000000057</v>
      </c>
      <c r="BB528" s="9">
        <f t="shared" si="441"/>
        <v>-4.875</v>
      </c>
      <c r="BC528" s="9">
        <f t="shared" si="442"/>
        <v>-6.25</v>
      </c>
      <c r="BD528" s="9">
        <f t="shared" si="443"/>
        <v>-10.5</v>
      </c>
      <c r="BE528" s="9">
        <f t="shared" si="444"/>
        <v>-7.75</v>
      </c>
      <c r="BF528" s="9">
        <f t="shared" si="445"/>
        <v>-7.25</v>
      </c>
      <c r="BG528" s="9">
        <f t="shared" si="446"/>
        <v>-3.5</v>
      </c>
      <c r="BH528" s="9">
        <f t="shared" si="447"/>
        <v>-8.3704999999999998</v>
      </c>
      <c r="BI528" s="9">
        <f t="shared" si="448"/>
        <v>-11</v>
      </c>
      <c r="BJ528" s="9">
        <f t="shared" si="449"/>
        <v>-8.4500000000000028</v>
      </c>
    </row>
    <row r="529" spans="1:62" x14ac:dyDescent="0.2">
      <c r="A529" s="9">
        <f>data!M530-data!M529</f>
        <v>0.49349999999999739</v>
      </c>
      <c r="B529" s="9">
        <f>data!C530-data!C529</f>
        <v>-0.38999999999999879</v>
      </c>
      <c r="C529" s="9">
        <f>data!D530-data!D529</f>
        <v>-0.5600000000000005</v>
      </c>
      <c r="D529" s="10">
        <f>data!B530-data!B529</f>
        <v>0.22250000000000014</v>
      </c>
      <c r="E529" s="9">
        <f>data!E529-data!G529</f>
        <v>1.6313999999999997</v>
      </c>
      <c r="F529" s="9">
        <f>(data!E529-data!F529)-(data!G529-data!H529)</f>
        <v>1.0312999999999999</v>
      </c>
      <c r="G529" s="9">
        <f t="shared" si="400"/>
        <v>9.9300000000000166E-2</v>
      </c>
      <c r="H529" s="9">
        <f t="shared" si="401"/>
        <v>9.6300000000000274E-2</v>
      </c>
      <c r="I529" s="9">
        <f>IF(data!M530&gt; 111.81,1,0)</f>
        <v>0</v>
      </c>
      <c r="J529" s="9">
        <f t="shared" si="402"/>
        <v>1</v>
      </c>
      <c r="K529" s="9">
        <f t="shared" si="403"/>
        <v>0</v>
      </c>
      <c r="L529" s="9">
        <f t="shared" si="404"/>
        <v>0.49349999999999739</v>
      </c>
      <c r="M529" s="9">
        <f>data!J529</f>
        <v>-33.75</v>
      </c>
      <c r="N529" s="9">
        <f>data!I529</f>
        <v>-63.3</v>
      </c>
      <c r="O529" s="9">
        <f>data!L529</f>
        <v>-67.599999999999994</v>
      </c>
      <c r="P529" s="9">
        <f>data!K529</f>
        <v>-44.375500000000002</v>
      </c>
      <c r="Q529" s="9">
        <f>data!R529</f>
        <v>-32.625</v>
      </c>
      <c r="R529" s="9">
        <f t="shared" si="405"/>
        <v>-2.25</v>
      </c>
      <c r="S529" s="9">
        <f t="shared" si="406"/>
        <v>-2.25</v>
      </c>
      <c r="T529" s="9">
        <f t="shared" si="407"/>
        <v>-3.375</v>
      </c>
      <c r="U529" s="9">
        <f t="shared" si="408"/>
        <v>-4.25</v>
      </c>
      <c r="V529" s="9">
        <f t="shared" si="409"/>
        <v>-2.5499999999999972</v>
      </c>
      <c r="W529" s="9">
        <f t="shared" si="410"/>
        <v>-5.5</v>
      </c>
      <c r="X529" s="9">
        <f t="shared" si="411"/>
        <v>-6.125</v>
      </c>
      <c r="Y529" s="9">
        <f t="shared" si="412"/>
        <v>-7.75</v>
      </c>
      <c r="Z529" s="9">
        <f t="shared" si="413"/>
        <v>-8.75</v>
      </c>
      <c r="AA529" s="9">
        <f t="shared" si="414"/>
        <v>-0.45000000000000284</v>
      </c>
      <c r="AB529" s="9">
        <f t="shared" si="415"/>
        <v>-0.20000000000000284</v>
      </c>
      <c r="AC529" s="9">
        <f t="shared" si="416"/>
        <v>1.2999999999999972</v>
      </c>
      <c r="AD529" s="9">
        <f t="shared" si="417"/>
        <v>2.5499999999999972</v>
      </c>
      <c r="AE529" s="9">
        <f t="shared" si="418"/>
        <v>4.5</v>
      </c>
      <c r="AF529" s="9">
        <f t="shared" si="419"/>
        <v>0.75</v>
      </c>
      <c r="AG529" s="9">
        <f t="shared" si="420"/>
        <v>-1.5750000000000028</v>
      </c>
      <c r="AH529" s="9">
        <f t="shared" si="421"/>
        <v>0.69999999999999574</v>
      </c>
      <c r="AI529" s="9">
        <f t="shared" si="422"/>
        <v>-2.7000000000000028</v>
      </c>
      <c r="AJ529" s="9">
        <f t="shared" si="423"/>
        <v>0</v>
      </c>
      <c r="AK529" s="9">
        <f t="shared" si="424"/>
        <v>-0.40000000000000568</v>
      </c>
      <c r="AL529" s="9">
        <f t="shared" si="425"/>
        <v>3.2999999999999972</v>
      </c>
      <c r="AM529" s="9">
        <f t="shared" si="426"/>
        <v>4.5999999999999943</v>
      </c>
      <c r="AN529" s="9">
        <f t="shared" si="427"/>
        <v>8.4749999999999943</v>
      </c>
      <c r="AO529" s="9">
        <f t="shared" si="428"/>
        <v>4.0499999999999972</v>
      </c>
      <c r="AP529" s="9">
        <f t="shared" si="429"/>
        <v>0.97499999999999432</v>
      </c>
      <c r="AQ529" s="9">
        <f t="shared" si="430"/>
        <v>3.6499999999999915</v>
      </c>
      <c r="AR529" s="9">
        <f t="shared" si="431"/>
        <v>0.47499999999999432</v>
      </c>
      <c r="AS529" s="9">
        <f t="shared" si="432"/>
        <v>-1.1244999999999976</v>
      </c>
      <c r="AT529" s="9">
        <f t="shared" si="433"/>
        <v>-4.6244999999999976</v>
      </c>
      <c r="AU529" s="9">
        <f t="shared" si="434"/>
        <v>-1.6244999999999976</v>
      </c>
      <c r="AV529" s="9">
        <f t="shared" si="435"/>
        <v>-1.1244999999999976</v>
      </c>
      <c r="AW529" s="9">
        <f t="shared" si="436"/>
        <v>3.0755000000000052</v>
      </c>
      <c r="AX529" s="9">
        <f t="shared" si="437"/>
        <v>-2.1244999999999976</v>
      </c>
      <c r="AY529" s="9">
        <f t="shared" si="438"/>
        <v>-4.9994999999999976</v>
      </c>
      <c r="AZ529" s="9">
        <f t="shared" si="439"/>
        <v>-2.3245000000000005</v>
      </c>
      <c r="BA529" s="9">
        <f t="shared" si="440"/>
        <v>-5.2494999999999976</v>
      </c>
      <c r="BB529" s="9">
        <f t="shared" si="441"/>
        <v>-1.375</v>
      </c>
      <c r="BC529" s="9">
        <f t="shared" si="442"/>
        <v>-5.625</v>
      </c>
      <c r="BD529" s="9">
        <f t="shared" si="443"/>
        <v>-2.875</v>
      </c>
      <c r="BE529" s="9">
        <f t="shared" si="444"/>
        <v>-2.375</v>
      </c>
      <c r="BF529" s="9">
        <f t="shared" si="445"/>
        <v>1.375</v>
      </c>
      <c r="BG529" s="9">
        <f t="shared" si="446"/>
        <v>-3.4954999999999998</v>
      </c>
      <c r="BH529" s="9">
        <f t="shared" si="447"/>
        <v>-6.125</v>
      </c>
      <c r="BI529" s="9">
        <f t="shared" si="448"/>
        <v>-3.5750000000000028</v>
      </c>
      <c r="BJ529" s="9">
        <f t="shared" si="449"/>
        <v>-6.375</v>
      </c>
    </row>
    <row r="530" spans="1:62" x14ac:dyDescent="0.2">
      <c r="A530" s="9">
        <f>data!M531-data!M530</f>
        <v>0.25939999999999941</v>
      </c>
      <c r="B530" s="9">
        <f>data!C531-data!C530</f>
        <v>-0.96000000000000085</v>
      </c>
      <c r="C530" s="9">
        <f>data!D531-data!D530</f>
        <v>-1.1999999999999993</v>
      </c>
      <c r="D530" s="10">
        <f>data!B531-data!B530</f>
        <v>6.25E-2</v>
      </c>
      <c r="E530" s="9">
        <f>data!E530-data!G530</f>
        <v>1.7306999999999999</v>
      </c>
      <c r="F530" s="9">
        <f>(data!E530-data!F530)-(data!G530-data!H530)</f>
        <v>1.1276000000000002</v>
      </c>
      <c r="G530" s="9">
        <f t="shared" si="400"/>
        <v>-6.6699999999999759E-2</v>
      </c>
      <c r="H530" s="9">
        <f t="shared" si="401"/>
        <v>-7.3000000000000176E-2</v>
      </c>
      <c r="I530" s="9">
        <f>IF(data!M531&gt; 111.81,1,0)</f>
        <v>0</v>
      </c>
      <c r="J530" s="9">
        <f t="shared" si="402"/>
        <v>1</v>
      </c>
      <c r="K530" s="9">
        <f t="shared" si="403"/>
        <v>0</v>
      </c>
      <c r="L530" s="9">
        <f t="shared" si="404"/>
        <v>0.25939999999999941</v>
      </c>
      <c r="M530" s="9">
        <f>data!J530</f>
        <v>-36</v>
      </c>
      <c r="N530" s="9">
        <f>data!I530</f>
        <v>-63.75</v>
      </c>
      <c r="O530" s="9">
        <f>data!L530</f>
        <v>-67.599999999999994</v>
      </c>
      <c r="P530" s="9">
        <f>data!K530</f>
        <v>-45.5</v>
      </c>
      <c r="Q530" s="9">
        <f>data!R530</f>
        <v>-34</v>
      </c>
      <c r="R530" s="9">
        <f t="shared" si="405"/>
        <v>0</v>
      </c>
      <c r="S530" s="9">
        <f t="shared" si="406"/>
        <v>-1.125</v>
      </c>
      <c r="T530" s="9">
        <f t="shared" si="407"/>
        <v>-2</v>
      </c>
      <c r="U530" s="9">
        <f t="shared" si="408"/>
        <v>-0.29999999999999716</v>
      </c>
      <c r="V530" s="9">
        <f t="shared" si="409"/>
        <v>-3.25</v>
      </c>
      <c r="W530" s="9">
        <f t="shared" si="410"/>
        <v>-3.875</v>
      </c>
      <c r="X530" s="9">
        <f t="shared" si="411"/>
        <v>-5.5</v>
      </c>
      <c r="Y530" s="9">
        <f t="shared" si="412"/>
        <v>-6.5</v>
      </c>
      <c r="Z530" s="9">
        <f t="shared" si="413"/>
        <v>-7</v>
      </c>
      <c r="AA530" s="9">
        <f t="shared" si="414"/>
        <v>0.25</v>
      </c>
      <c r="AB530" s="9">
        <f t="shared" si="415"/>
        <v>1.75</v>
      </c>
      <c r="AC530" s="9">
        <f t="shared" si="416"/>
        <v>3</v>
      </c>
      <c r="AD530" s="9">
        <f t="shared" si="417"/>
        <v>4.9500000000000028</v>
      </c>
      <c r="AE530" s="9">
        <f t="shared" si="418"/>
        <v>1.2000000000000028</v>
      </c>
      <c r="AF530" s="9">
        <f t="shared" si="419"/>
        <v>-1.125</v>
      </c>
      <c r="AG530" s="9">
        <f t="shared" si="420"/>
        <v>1.1499999999999986</v>
      </c>
      <c r="AH530" s="9">
        <f t="shared" si="421"/>
        <v>-2.25</v>
      </c>
      <c r="AI530" s="9">
        <f t="shared" si="422"/>
        <v>-4.5499999999999972</v>
      </c>
      <c r="AJ530" s="9">
        <f t="shared" si="423"/>
        <v>-0.40000000000000568</v>
      </c>
      <c r="AK530" s="9">
        <f t="shared" si="424"/>
        <v>3.2999999999999972</v>
      </c>
      <c r="AL530" s="9">
        <f t="shared" si="425"/>
        <v>4.5999999999999943</v>
      </c>
      <c r="AM530" s="9">
        <f t="shared" si="426"/>
        <v>8.4749999999999943</v>
      </c>
      <c r="AN530" s="9">
        <f t="shared" si="427"/>
        <v>4.0499999999999972</v>
      </c>
      <c r="AO530" s="9">
        <f t="shared" si="428"/>
        <v>0.97499999999999432</v>
      </c>
      <c r="AP530" s="9">
        <f t="shared" si="429"/>
        <v>3.6499999999999915</v>
      </c>
      <c r="AQ530" s="9">
        <f t="shared" si="430"/>
        <v>0.47499999999999432</v>
      </c>
      <c r="AR530" s="9">
        <f t="shared" si="431"/>
        <v>-0.89900000000000091</v>
      </c>
      <c r="AS530" s="9">
        <f t="shared" si="432"/>
        <v>-3.5</v>
      </c>
      <c r="AT530" s="9">
        <f t="shared" si="433"/>
        <v>-0.5</v>
      </c>
      <c r="AU530" s="9">
        <f t="shared" si="434"/>
        <v>0</v>
      </c>
      <c r="AV530" s="9">
        <f t="shared" si="435"/>
        <v>4.2000000000000028</v>
      </c>
      <c r="AW530" s="9">
        <f t="shared" si="436"/>
        <v>-1</v>
      </c>
      <c r="AX530" s="9">
        <f t="shared" si="437"/>
        <v>-3.875</v>
      </c>
      <c r="AY530" s="9">
        <f t="shared" si="438"/>
        <v>-1.2000000000000028</v>
      </c>
      <c r="AZ530" s="9">
        <f t="shared" si="439"/>
        <v>-4.125</v>
      </c>
      <c r="BA530" s="9">
        <f t="shared" si="440"/>
        <v>-4.7999999999999972</v>
      </c>
      <c r="BB530" s="9">
        <f t="shared" si="441"/>
        <v>-4.25</v>
      </c>
      <c r="BC530" s="9">
        <f t="shared" si="442"/>
        <v>-1.5</v>
      </c>
      <c r="BD530" s="9">
        <f t="shared" si="443"/>
        <v>-1</v>
      </c>
      <c r="BE530" s="9">
        <f t="shared" si="444"/>
        <v>2.75</v>
      </c>
      <c r="BF530" s="9">
        <f t="shared" si="445"/>
        <v>-2.1204999999999998</v>
      </c>
      <c r="BG530" s="9">
        <f t="shared" si="446"/>
        <v>-4.75</v>
      </c>
      <c r="BH530" s="9">
        <f t="shared" si="447"/>
        <v>-2.2000000000000028</v>
      </c>
      <c r="BI530" s="9">
        <f t="shared" si="448"/>
        <v>-5</v>
      </c>
      <c r="BJ530" s="9">
        <f t="shared" si="449"/>
        <v>-5.9960000000000022</v>
      </c>
    </row>
    <row r="531" spans="1:62" x14ac:dyDescent="0.2">
      <c r="A531" s="9">
        <f>data!M532-data!M531</f>
        <v>1.8355999999999995</v>
      </c>
      <c r="B531" s="9">
        <f>data!C532-data!C531</f>
        <v>1.8599999999999994</v>
      </c>
      <c r="C531" s="9">
        <f>data!D532-data!D531</f>
        <v>0.30499999999999972</v>
      </c>
      <c r="D531" s="10">
        <f>data!B532-data!B531</f>
        <v>4.2499999999999982E-2</v>
      </c>
      <c r="E531" s="9">
        <f>data!E531-data!G531</f>
        <v>1.6640000000000001</v>
      </c>
      <c r="F531" s="9">
        <f>(data!E531-data!F531)-(data!G531-data!H531)</f>
        <v>1.0546</v>
      </c>
      <c r="G531" s="9">
        <f t="shared" si="400"/>
        <v>0.1863999999999999</v>
      </c>
      <c r="H531" s="9">
        <f t="shared" si="401"/>
        <v>7.8400000000000025E-2</v>
      </c>
      <c r="I531" s="9">
        <f>IF(data!M532&gt; 111.81,1,0)</f>
        <v>0</v>
      </c>
      <c r="J531" s="9">
        <f t="shared" si="402"/>
        <v>1</v>
      </c>
      <c r="K531" s="9">
        <f t="shared" si="403"/>
        <v>0</v>
      </c>
      <c r="L531" s="9">
        <f t="shared" si="404"/>
        <v>1.8355999999999995</v>
      </c>
      <c r="M531" s="9">
        <f>data!J531</f>
        <v>-36</v>
      </c>
      <c r="N531" s="9">
        <f>data!I531</f>
        <v>-63.5</v>
      </c>
      <c r="O531" s="9">
        <f>data!L531</f>
        <v>-68</v>
      </c>
      <c r="P531" s="9">
        <f>data!K531</f>
        <v>-49</v>
      </c>
      <c r="Q531" s="9">
        <f>data!R531</f>
        <v>-38.25</v>
      </c>
      <c r="R531" s="9">
        <f t="shared" si="405"/>
        <v>-1.125</v>
      </c>
      <c r="S531" s="9">
        <f t="shared" si="406"/>
        <v>-2</v>
      </c>
      <c r="T531" s="9">
        <f t="shared" si="407"/>
        <v>-0.29999999999999716</v>
      </c>
      <c r="U531" s="9">
        <f t="shared" si="408"/>
        <v>-3.25</v>
      </c>
      <c r="V531" s="9">
        <f t="shared" si="409"/>
        <v>-3.875</v>
      </c>
      <c r="W531" s="9">
        <f t="shared" si="410"/>
        <v>-5.5</v>
      </c>
      <c r="X531" s="9">
        <f t="shared" si="411"/>
        <v>-6.5</v>
      </c>
      <c r="Y531" s="9">
        <f t="shared" si="412"/>
        <v>-7</v>
      </c>
      <c r="Z531" s="9">
        <f t="shared" si="413"/>
        <v>-7.25</v>
      </c>
      <c r="AA531" s="9">
        <f t="shared" si="414"/>
        <v>1.5</v>
      </c>
      <c r="AB531" s="9">
        <f t="shared" si="415"/>
        <v>2.75</v>
      </c>
      <c r="AC531" s="9">
        <f t="shared" si="416"/>
        <v>4.7000000000000028</v>
      </c>
      <c r="AD531" s="9">
        <f t="shared" si="417"/>
        <v>0.95000000000000284</v>
      </c>
      <c r="AE531" s="9">
        <f t="shared" si="418"/>
        <v>-1.375</v>
      </c>
      <c r="AF531" s="9">
        <f t="shared" si="419"/>
        <v>0.89999999999999858</v>
      </c>
      <c r="AG531" s="9">
        <f t="shared" si="420"/>
        <v>-2.5</v>
      </c>
      <c r="AH531" s="9">
        <f t="shared" si="421"/>
        <v>-4.7999999999999972</v>
      </c>
      <c r="AI531" s="9">
        <f t="shared" si="422"/>
        <v>-5.2999999999999972</v>
      </c>
      <c r="AJ531" s="9">
        <f t="shared" si="423"/>
        <v>3.7000000000000028</v>
      </c>
      <c r="AK531" s="9">
        <f t="shared" si="424"/>
        <v>5</v>
      </c>
      <c r="AL531" s="9">
        <f t="shared" si="425"/>
        <v>8.875</v>
      </c>
      <c r="AM531" s="9">
        <f t="shared" si="426"/>
        <v>4.4500000000000028</v>
      </c>
      <c r="AN531" s="9">
        <f t="shared" si="427"/>
        <v>1.375</v>
      </c>
      <c r="AO531" s="9">
        <f t="shared" si="428"/>
        <v>4.0499999999999972</v>
      </c>
      <c r="AP531" s="9">
        <f t="shared" si="429"/>
        <v>0.875</v>
      </c>
      <c r="AQ531" s="9">
        <f t="shared" si="430"/>
        <v>-0.49899999999999523</v>
      </c>
      <c r="AR531" s="9">
        <f t="shared" si="431"/>
        <v>-0.75</v>
      </c>
      <c r="AS531" s="9">
        <f t="shared" si="432"/>
        <v>3</v>
      </c>
      <c r="AT531" s="9">
        <f t="shared" si="433"/>
        <v>3.5</v>
      </c>
      <c r="AU531" s="9">
        <f t="shared" si="434"/>
        <v>7.7000000000000028</v>
      </c>
      <c r="AV531" s="9">
        <f t="shared" si="435"/>
        <v>2.5</v>
      </c>
      <c r="AW531" s="9">
        <f t="shared" si="436"/>
        <v>-0.375</v>
      </c>
      <c r="AX531" s="9">
        <f t="shared" si="437"/>
        <v>2.2999999999999972</v>
      </c>
      <c r="AY531" s="9">
        <f t="shared" si="438"/>
        <v>-0.625</v>
      </c>
      <c r="AZ531" s="9">
        <f t="shared" si="439"/>
        <v>-1.2999999999999972</v>
      </c>
      <c r="BA531" s="9">
        <f t="shared" si="440"/>
        <v>-2</v>
      </c>
      <c r="BB531" s="9">
        <f t="shared" si="441"/>
        <v>2.75</v>
      </c>
      <c r="BC531" s="9">
        <f t="shared" si="442"/>
        <v>3.25</v>
      </c>
      <c r="BD531" s="9">
        <f t="shared" si="443"/>
        <v>7</v>
      </c>
      <c r="BE531" s="9">
        <f t="shared" si="444"/>
        <v>2.1295000000000002</v>
      </c>
      <c r="BF531" s="9">
        <f t="shared" si="445"/>
        <v>-0.5</v>
      </c>
      <c r="BG531" s="9">
        <f t="shared" si="446"/>
        <v>2.0499999999999972</v>
      </c>
      <c r="BH531" s="9">
        <f t="shared" si="447"/>
        <v>-0.75</v>
      </c>
      <c r="BI531" s="9">
        <f t="shared" si="448"/>
        <v>-1.7460000000000022</v>
      </c>
      <c r="BJ531" s="9">
        <f t="shared" si="449"/>
        <v>-2</v>
      </c>
    </row>
    <row r="532" spans="1:62" x14ac:dyDescent="0.2">
      <c r="A532" s="9">
        <f>data!M533-data!M532</f>
        <v>1.4836999999999989</v>
      </c>
      <c r="B532" s="9">
        <f>data!C533-data!C532</f>
        <v>0.80000000000000071</v>
      </c>
      <c r="C532" s="9">
        <f>data!D533-data!D532</f>
        <v>0.36999999999999922</v>
      </c>
      <c r="D532" s="10">
        <f>data!B533-data!B532</f>
        <v>-0.10999999999999988</v>
      </c>
      <c r="E532" s="9">
        <f>data!E532-data!G532</f>
        <v>1.8504</v>
      </c>
      <c r="F532" s="9">
        <f>(data!E532-data!F532)-(data!G532-data!H532)</f>
        <v>1.133</v>
      </c>
      <c r="G532" s="9">
        <f t="shared" si="400"/>
        <v>-0.1384000000000003</v>
      </c>
      <c r="H532" s="9">
        <f t="shared" si="401"/>
        <v>-6.4000000000000057E-2</v>
      </c>
      <c r="I532" s="9">
        <f>IF(data!M533&gt; 111.81,1,0)</f>
        <v>0</v>
      </c>
      <c r="J532" s="9">
        <f t="shared" si="402"/>
        <v>1</v>
      </c>
      <c r="K532" s="9">
        <f t="shared" si="403"/>
        <v>0</v>
      </c>
      <c r="L532" s="9">
        <f t="shared" si="404"/>
        <v>1.4836999999999989</v>
      </c>
      <c r="M532" s="9">
        <f>data!J532</f>
        <v>-37.125</v>
      </c>
      <c r="N532" s="9">
        <f>data!I532</f>
        <v>-62</v>
      </c>
      <c r="O532" s="9">
        <f>data!L532</f>
        <v>-64.3</v>
      </c>
      <c r="P532" s="9">
        <f>data!K532</f>
        <v>-46</v>
      </c>
      <c r="Q532" s="9">
        <f>data!R532</f>
        <v>-35.5</v>
      </c>
      <c r="R532" s="9">
        <f t="shared" si="405"/>
        <v>-0.875</v>
      </c>
      <c r="S532" s="9">
        <f t="shared" si="406"/>
        <v>0.82500000000000284</v>
      </c>
      <c r="T532" s="9">
        <f t="shared" si="407"/>
        <v>-2.125</v>
      </c>
      <c r="U532" s="9">
        <f t="shared" si="408"/>
        <v>-2.75</v>
      </c>
      <c r="V532" s="9">
        <f t="shared" si="409"/>
        <v>-4.375</v>
      </c>
      <c r="W532" s="9">
        <f t="shared" si="410"/>
        <v>-5.375</v>
      </c>
      <c r="X532" s="9">
        <f t="shared" si="411"/>
        <v>-5.875</v>
      </c>
      <c r="Y532" s="9">
        <f t="shared" si="412"/>
        <v>-6.125</v>
      </c>
      <c r="Z532" s="9">
        <f t="shared" si="413"/>
        <v>-5.1749999999999972</v>
      </c>
      <c r="AA532" s="9">
        <f t="shared" si="414"/>
        <v>1.25</v>
      </c>
      <c r="AB532" s="9">
        <f t="shared" si="415"/>
        <v>3.2000000000000028</v>
      </c>
      <c r="AC532" s="9">
        <f t="shared" si="416"/>
        <v>-0.54999999999999716</v>
      </c>
      <c r="AD532" s="9">
        <f t="shared" si="417"/>
        <v>-2.875</v>
      </c>
      <c r="AE532" s="9">
        <f t="shared" si="418"/>
        <v>-0.60000000000000142</v>
      </c>
      <c r="AF532" s="9">
        <f t="shared" si="419"/>
        <v>-4</v>
      </c>
      <c r="AG532" s="9">
        <f t="shared" si="420"/>
        <v>-6.2999999999999972</v>
      </c>
      <c r="AH532" s="9">
        <f t="shared" si="421"/>
        <v>-6.7999999999999972</v>
      </c>
      <c r="AI532" s="9">
        <f t="shared" si="422"/>
        <v>-6.7999999999999972</v>
      </c>
      <c r="AJ532" s="9">
        <f t="shared" si="423"/>
        <v>1.2999999999999972</v>
      </c>
      <c r="AK532" s="9">
        <f t="shared" si="424"/>
        <v>5.1749999999999972</v>
      </c>
      <c r="AL532" s="9">
        <f t="shared" si="425"/>
        <v>0.75</v>
      </c>
      <c r="AM532" s="9">
        <f t="shared" si="426"/>
        <v>-2.3250000000000028</v>
      </c>
      <c r="AN532" s="9">
        <f t="shared" si="427"/>
        <v>0.34999999999999432</v>
      </c>
      <c r="AO532" s="9">
        <f t="shared" si="428"/>
        <v>-2.8250000000000028</v>
      </c>
      <c r="AP532" s="9">
        <f t="shared" si="429"/>
        <v>-4.1989999999999981</v>
      </c>
      <c r="AQ532" s="9">
        <f t="shared" si="430"/>
        <v>-4.4500000000000028</v>
      </c>
      <c r="AR532" s="9">
        <f t="shared" si="431"/>
        <v>-4.9500000000000028</v>
      </c>
      <c r="AS532" s="9">
        <f t="shared" si="432"/>
        <v>0.5</v>
      </c>
      <c r="AT532" s="9">
        <f t="shared" si="433"/>
        <v>4.7000000000000028</v>
      </c>
      <c r="AU532" s="9">
        <f t="shared" si="434"/>
        <v>-0.5</v>
      </c>
      <c r="AV532" s="9">
        <f t="shared" si="435"/>
        <v>-3.375</v>
      </c>
      <c r="AW532" s="9">
        <f t="shared" si="436"/>
        <v>-0.70000000000000284</v>
      </c>
      <c r="AX532" s="9">
        <f t="shared" si="437"/>
        <v>-3.625</v>
      </c>
      <c r="AY532" s="9">
        <f t="shared" si="438"/>
        <v>-4.2999999999999972</v>
      </c>
      <c r="AZ532" s="9">
        <f t="shared" si="439"/>
        <v>-5</v>
      </c>
      <c r="BA532" s="9">
        <f t="shared" si="440"/>
        <v>-5.7999999999999972</v>
      </c>
      <c r="BB532" s="9">
        <f t="shared" si="441"/>
        <v>0.5</v>
      </c>
      <c r="BC532" s="9">
        <f t="shared" si="442"/>
        <v>4.25</v>
      </c>
      <c r="BD532" s="9">
        <f t="shared" si="443"/>
        <v>-0.62049999999999983</v>
      </c>
      <c r="BE532" s="9">
        <f t="shared" si="444"/>
        <v>-3.25</v>
      </c>
      <c r="BF532" s="9">
        <f t="shared" si="445"/>
        <v>-0.70000000000000284</v>
      </c>
      <c r="BG532" s="9">
        <f t="shared" si="446"/>
        <v>-3.5</v>
      </c>
      <c r="BH532" s="9">
        <f t="shared" si="447"/>
        <v>-4.4960000000000022</v>
      </c>
      <c r="BI532" s="9">
        <f t="shared" si="448"/>
        <v>-4.75</v>
      </c>
      <c r="BJ532" s="9">
        <f t="shared" si="449"/>
        <v>-5.25</v>
      </c>
    </row>
    <row r="533" spans="1:62" x14ac:dyDescent="0.2">
      <c r="A533" s="9">
        <f>data!M534-data!M533</f>
        <v>-1.7502999999999957</v>
      </c>
      <c r="B533" s="9">
        <f>data!C534-data!C533</f>
        <v>-2.9800000000000004</v>
      </c>
      <c r="C533" s="9">
        <f>data!D534-data!D533</f>
        <v>-0.62999999999999901</v>
      </c>
      <c r="D533" s="10">
        <f>data!B534-data!B533</f>
        <v>-2.7499999999999858E-2</v>
      </c>
      <c r="E533" s="9">
        <f>data!E533-data!G533</f>
        <v>1.7119999999999997</v>
      </c>
      <c r="F533" s="9">
        <f>(data!E533-data!F533)-(data!G533-data!H533)</f>
        <v>1.069</v>
      </c>
      <c r="G533" s="9">
        <f t="shared" si="400"/>
        <v>-0.10469999999999979</v>
      </c>
      <c r="H533" s="9">
        <f t="shared" si="401"/>
        <v>-3.9900000000000047E-2</v>
      </c>
      <c r="I533" s="9">
        <f>IF(data!M534&gt; 111.81,1,0)</f>
        <v>0</v>
      </c>
      <c r="J533" s="9">
        <f t="shared" si="402"/>
        <v>1</v>
      </c>
      <c r="K533" s="9">
        <f t="shared" si="403"/>
        <v>0</v>
      </c>
      <c r="L533" s="9">
        <f t="shared" si="404"/>
        <v>-1.7502999999999957</v>
      </c>
      <c r="M533" s="9">
        <f>data!J533</f>
        <v>-38</v>
      </c>
      <c r="N533" s="9">
        <f>data!I533</f>
        <v>-60.75</v>
      </c>
      <c r="O533" s="9">
        <f>data!L533</f>
        <v>-63</v>
      </c>
      <c r="P533" s="9">
        <f>data!K533</f>
        <v>-45.5</v>
      </c>
      <c r="Q533" s="9">
        <f>data!R533</f>
        <v>-35</v>
      </c>
      <c r="R533" s="9">
        <f t="shared" si="405"/>
        <v>1.7000000000000028</v>
      </c>
      <c r="S533" s="9">
        <f t="shared" si="406"/>
        <v>-1.25</v>
      </c>
      <c r="T533" s="9">
        <f t="shared" si="407"/>
        <v>-1.875</v>
      </c>
      <c r="U533" s="9">
        <f t="shared" si="408"/>
        <v>-3.5</v>
      </c>
      <c r="V533" s="9">
        <f t="shared" si="409"/>
        <v>-4.5</v>
      </c>
      <c r="W533" s="9">
        <f t="shared" si="410"/>
        <v>-5</v>
      </c>
      <c r="X533" s="9">
        <f t="shared" si="411"/>
        <v>-5.25</v>
      </c>
      <c r="Y533" s="9">
        <f t="shared" si="412"/>
        <v>-4.2999999999999972</v>
      </c>
      <c r="Z533" s="9">
        <f t="shared" si="413"/>
        <v>-4</v>
      </c>
      <c r="AA533" s="9">
        <f t="shared" si="414"/>
        <v>1.9500000000000028</v>
      </c>
      <c r="AB533" s="9">
        <f t="shared" si="415"/>
        <v>-1.7999999999999972</v>
      </c>
      <c r="AC533" s="9">
        <f t="shared" si="416"/>
        <v>-4.125</v>
      </c>
      <c r="AD533" s="9">
        <f t="shared" si="417"/>
        <v>-1.8500000000000014</v>
      </c>
      <c r="AE533" s="9">
        <f t="shared" si="418"/>
        <v>-5.25</v>
      </c>
      <c r="AF533" s="9">
        <f t="shared" si="419"/>
        <v>-7.5499999999999972</v>
      </c>
      <c r="AG533" s="9">
        <f t="shared" si="420"/>
        <v>-8.0499999999999972</v>
      </c>
      <c r="AH533" s="9">
        <f t="shared" si="421"/>
        <v>-8.0499999999999972</v>
      </c>
      <c r="AI533" s="9">
        <f t="shared" si="422"/>
        <v>-7.25</v>
      </c>
      <c r="AJ533" s="9">
        <f t="shared" si="423"/>
        <v>3.875</v>
      </c>
      <c r="AK533" s="9">
        <f t="shared" si="424"/>
        <v>-0.54999999999999716</v>
      </c>
      <c r="AL533" s="9">
        <f t="shared" si="425"/>
        <v>-3.625</v>
      </c>
      <c r="AM533" s="9">
        <f t="shared" si="426"/>
        <v>-0.95000000000000284</v>
      </c>
      <c r="AN533" s="9">
        <f t="shared" si="427"/>
        <v>-4.125</v>
      </c>
      <c r="AO533" s="9">
        <f t="shared" si="428"/>
        <v>-5.4989999999999952</v>
      </c>
      <c r="AP533" s="9">
        <f t="shared" si="429"/>
        <v>-5.75</v>
      </c>
      <c r="AQ533" s="9">
        <f t="shared" si="430"/>
        <v>-6.25</v>
      </c>
      <c r="AR533" s="9">
        <f t="shared" si="431"/>
        <v>-5.5</v>
      </c>
      <c r="AS533" s="9">
        <f t="shared" si="432"/>
        <v>4.2000000000000028</v>
      </c>
      <c r="AT533" s="9">
        <f t="shared" si="433"/>
        <v>-1</v>
      </c>
      <c r="AU533" s="9">
        <f t="shared" si="434"/>
        <v>-3.875</v>
      </c>
      <c r="AV533" s="9">
        <f t="shared" si="435"/>
        <v>-1.2000000000000028</v>
      </c>
      <c r="AW533" s="9">
        <f t="shared" si="436"/>
        <v>-4.125</v>
      </c>
      <c r="AX533" s="9">
        <f t="shared" si="437"/>
        <v>-4.7999999999999972</v>
      </c>
      <c r="AY533" s="9">
        <f t="shared" si="438"/>
        <v>-5.5</v>
      </c>
      <c r="AZ533" s="9">
        <f t="shared" si="439"/>
        <v>-6.2999999999999972</v>
      </c>
      <c r="BA533" s="9">
        <f t="shared" si="440"/>
        <v>-4.7999999999999972</v>
      </c>
      <c r="BB533" s="9">
        <f t="shared" si="441"/>
        <v>3.75</v>
      </c>
      <c r="BC533" s="9">
        <f t="shared" si="442"/>
        <v>-1.1204999999999998</v>
      </c>
      <c r="BD533" s="9">
        <f t="shared" si="443"/>
        <v>-3.75</v>
      </c>
      <c r="BE533" s="9">
        <f t="shared" si="444"/>
        <v>-1.2000000000000028</v>
      </c>
      <c r="BF533" s="9">
        <f t="shared" si="445"/>
        <v>-4</v>
      </c>
      <c r="BG533" s="9">
        <f t="shared" si="446"/>
        <v>-4.9960000000000022</v>
      </c>
      <c r="BH533" s="9">
        <f t="shared" si="447"/>
        <v>-5.25</v>
      </c>
      <c r="BI533" s="9">
        <f t="shared" si="448"/>
        <v>-5.75</v>
      </c>
      <c r="BJ533" s="9">
        <f t="shared" si="449"/>
        <v>-4.8744999999999976</v>
      </c>
    </row>
    <row r="534" spans="1:62" x14ac:dyDescent="0.2">
      <c r="A534" s="9">
        <f>data!M535-data!M534</f>
        <v>-0.27550000000000807</v>
      </c>
      <c r="B534" s="9">
        <f>data!C535-data!C534</f>
        <v>2.0500000000000007</v>
      </c>
      <c r="C534" s="9">
        <f>data!D535-data!D534</f>
        <v>0.17499999999999893</v>
      </c>
      <c r="D534" s="10">
        <f>data!B535-data!B534</f>
        <v>-8.7500000000000355E-2</v>
      </c>
      <c r="E534" s="9">
        <f>data!E534-data!G534</f>
        <v>1.6073</v>
      </c>
      <c r="F534" s="9">
        <f>(data!E534-data!F534)-(data!G534-data!H534)</f>
        <v>1.0290999999999999</v>
      </c>
      <c r="G534" s="9">
        <f t="shared" si="400"/>
        <v>-1.5800000000000036E-2</v>
      </c>
      <c r="H534" s="9">
        <f t="shared" si="401"/>
        <v>4.0000000000000036E-3</v>
      </c>
      <c r="I534" s="9">
        <f>IF(data!M535&gt; 111.81,1,0)</f>
        <v>0</v>
      </c>
      <c r="J534" s="9">
        <f t="shared" si="402"/>
        <v>1</v>
      </c>
      <c r="K534" s="9">
        <f t="shared" si="403"/>
        <v>0</v>
      </c>
      <c r="L534" s="9">
        <f t="shared" si="404"/>
        <v>-0.27550000000000807</v>
      </c>
      <c r="M534" s="9">
        <f>data!J534</f>
        <v>-36.299999999999997</v>
      </c>
      <c r="N534" s="9">
        <f>data!I534</f>
        <v>-58.8</v>
      </c>
      <c r="O534" s="9">
        <f>data!L534</f>
        <v>-59.125</v>
      </c>
      <c r="P534" s="9">
        <f>data!K534</f>
        <v>-41.3</v>
      </c>
      <c r="Q534" s="9">
        <f>data!R534</f>
        <v>-31.25</v>
      </c>
      <c r="R534" s="9">
        <f t="shared" si="405"/>
        <v>-2.9500000000000028</v>
      </c>
      <c r="S534" s="9">
        <f t="shared" si="406"/>
        <v>-3.5750000000000028</v>
      </c>
      <c r="T534" s="9">
        <f t="shared" si="407"/>
        <v>-5.2000000000000028</v>
      </c>
      <c r="U534" s="9">
        <f t="shared" si="408"/>
        <v>-6.2000000000000028</v>
      </c>
      <c r="V534" s="9">
        <f t="shared" si="409"/>
        <v>-6.7000000000000028</v>
      </c>
      <c r="W534" s="9">
        <f t="shared" si="410"/>
        <v>-6.9500000000000028</v>
      </c>
      <c r="X534" s="9">
        <f t="shared" si="411"/>
        <v>-6</v>
      </c>
      <c r="Y534" s="9">
        <f t="shared" si="412"/>
        <v>-5.7000000000000028</v>
      </c>
      <c r="Z534" s="9">
        <f t="shared" si="413"/>
        <v>-3.4000000000000057</v>
      </c>
      <c r="AA534" s="9">
        <f t="shared" si="414"/>
        <v>-3.75</v>
      </c>
      <c r="AB534" s="9">
        <f t="shared" si="415"/>
        <v>-6.0750000000000028</v>
      </c>
      <c r="AC534" s="9">
        <f t="shared" si="416"/>
        <v>-3.8000000000000043</v>
      </c>
      <c r="AD534" s="9">
        <f t="shared" si="417"/>
        <v>-7.2000000000000028</v>
      </c>
      <c r="AE534" s="9">
        <f t="shared" si="418"/>
        <v>-9.5</v>
      </c>
      <c r="AF534" s="9">
        <f t="shared" si="419"/>
        <v>-10</v>
      </c>
      <c r="AG534" s="9">
        <f t="shared" si="420"/>
        <v>-10</v>
      </c>
      <c r="AH534" s="9">
        <f t="shared" si="421"/>
        <v>-9.2000000000000028</v>
      </c>
      <c r="AI534" s="9">
        <f t="shared" si="422"/>
        <v>-9</v>
      </c>
      <c r="AJ534" s="9">
        <f t="shared" si="423"/>
        <v>-4.4249999999999972</v>
      </c>
      <c r="AK534" s="9">
        <f t="shared" si="424"/>
        <v>-7.5</v>
      </c>
      <c r="AL534" s="9">
        <f t="shared" si="425"/>
        <v>-4.8250000000000028</v>
      </c>
      <c r="AM534" s="9">
        <f t="shared" si="426"/>
        <v>-8</v>
      </c>
      <c r="AN534" s="9">
        <f t="shared" si="427"/>
        <v>-9.3739999999999952</v>
      </c>
      <c r="AO534" s="9">
        <f t="shared" si="428"/>
        <v>-9.625</v>
      </c>
      <c r="AP534" s="9">
        <f t="shared" si="429"/>
        <v>-10.125</v>
      </c>
      <c r="AQ534" s="9">
        <f t="shared" si="430"/>
        <v>-9.375</v>
      </c>
      <c r="AR534" s="9">
        <f t="shared" si="431"/>
        <v>-9.1255000000000024</v>
      </c>
      <c r="AS534" s="9">
        <f t="shared" si="432"/>
        <v>-5.2000000000000028</v>
      </c>
      <c r="AT534" s="9">
        <f t="shared" si="433"/>
        <v>-8.0750000000000028</v>
      </c>
      <c r="AU534" s="9">
        <f t="shared" si="434"/>
        <v>-5.4000000000000057</v>
      </c>
      <c r="AV534" s="9">
        <f t="shared" si="435"/>
        <v>-8.3250000000000028</v>
      </c>
      <c r="AW534" s="9">
        <f t="shared" si="436"/>
        <v>-9</v>
      </c>
      <c r="AX534" s="9">
        <f t="shared" si="437"/>
        <v>-9.7000000000000028</v>
      </c>
      <c r="AY534" s="9">
        <f t="shared" si="438"/>
        <v>-10.5</v>
      </c>
      <c r="AZ534" s="9">
        <f t="shared" si="439"/>
        <v>-9</v>
      </c>
      <c r="BA534" s="9">
        <f t="shared" si="440"/>
        <v>-9.2005000000000052</v>
      </c>
      <c r="BB534" s="9">
        <f t="shared" si="441"/>
        <v>-4.8704999999999998</v>
      </c>
      <c r="BC534" s="9">
        <f t="shared" si="442"/>
        <v>-7.5</v>
      </c>
      <c r="BD534" s="9">
        <f t="shared" si="443"/>
        <v>-4.9500000000000028</v>
      </c>
      <c r="BE534" s="9">
        <f t="shared" si="444"/>
        <v>-7.75</v>
      </c>
      <c r="BF534" s="9">
        <f t="shared" si="445"/>
        <v>-8.7460000000000022</v>
      </c>
      <c r="BG534" s="9">
        <f t="shared" si="446"/>
        <v>-9</v>
      </c>
      <c r="BH534" s="9">
        <f t="shared" si="447"/>
        <v>-9.5</v>
      </c>
      <c r="BI534" s="9">
        <f t="shared" si="448"/>
        <v>-8.6244999999999976</v>
      </c>
      <c r="BJ534" s="9">
        <f t="shared" si="449"/>
        <v>-9.0005000000000024</v>
      </c>
    </row>
    <row r="535" spans="1:62" x14ac:dyDescent="0.2">
      <c r="A535" s="9">
        <f>data!M536-data!M535</f>
        <v>-1.0054999999999978</v>
      </c>
      <c r="B535" s="9">
        <f>data!C536-data!C535</f>
        <v>-0.40000000000000036</v>
      </c>
      <c r="C535" s="9">
        <f>data!D536-data!D535</f>
        <v>-3.7499999999999645E-2</v>
      </c>
      <c r="D535" s="10">
        <f>data!B536-data!B535</f>
        <v>-4.7499999999999876E-2</v>
      </c>
      <c r="E535" s="9">
        <f>data!E535-data!G535</f>
        <v>1.5914999999999999</v>
      </c>
      <c r="F535" s="9">
        <f>(data!E535-data!F535)-(data!G535-data!H535)</f>
        <v>1.0330999999999999</v>
      </c>
      <c r="G535" s="9">
        <f t="shared" si="400"/>
        <v>-0.11559999999999993</v>
      </c>
      <c r="H535" s="9">
        <f t="shared" si="401"/>
        <v>-1.8399999999999972E-2</v>
      </c>
      <c r="I535" s="9">
        <f>IF(data!M536&gt; 111.81,1,0)</f>
        <v>0</v>
      </c>
      <c r="J535" s="9">
        <f t="shared" si="402"/>
        <v>1</v>
      </c>
      <c r="K535" s="9">
        <f t="shared" si="403"/>
        <v>0</v>
      </c>
      <c r="L535" s="9">
        <f t="shared" si="404"/>
        <v>-1.0054999999999978</v>
      </c>
      <c r="M535" s="9">
        <f>data!J535</f>
        <v>-39.25</v>
      </c>
      <c r="N535" s="9">
        <f>data!I535</f>
        <v>-62.55</v>
      </c>
      <c r="O535" s="9">
        <f>data!L535</f>
        <v>-63.55</v>
      </c>
      <c r="P535" s="9">
        <f>data!K535</f>
        <v>-46.5</v>
      </c>
      <c r="Q535" s="9">
        <f>data!R535</f>
        <v>-36.1205</v>
      </c>
      <c r="R535" s="9">
        <f t="shared" si="405"/>
        <v>-0.625</v>
      </c>
      <c r="S535" s="9">
        <f t="shared" si="406"/>
        <v>-2.25</v>
      </c>
      <c r="T535" s="9">
        <f t="shared" si="407"/>
        <v>-3.25</v>
      </c>
      <c r="U535" s="9">
        <f t="shared" si="408"/>
        <v>-3.75</v>
      </c>
      <c r="V535" s="9">
        <f t="shared" si="409"/>
        <v>-4</v>
      </c>
      <c r="W535" s="9">
        <f t="shared" si="410"/>
        <v>-3.0499999999999972</v>
      </c>
      <c r="X535" s="9">
        <f t="shared" si="411"/>
        <v>-2.75</v>
      </c>
      <c r="Y535" s="9">
        <f t="shared" si="412"/>
        <v>-0.45000000000000284</v>
      </c>
      <c r="Z535" s="9">
        <f t="shared" si="413"/>
        <v>-3.25</v>
      </c>
      <c r="AA535" s="9">
        <f t="shared" si="414"/>
        <v>-2.3250000000000028</v>
      </c>
      <c r="AB535" s="9">
        <f t="shared" si="415"/>
        <v>-5.0000000000004263E-2</v>
      </c>
      <c r="AC535" s="9">
        <f t="shared" si="416"/>
        <v>-3.4500000000000028</v>
      </c>
      <c r="AD535" s="9">
        <f t="shared" si="417"/>
        <v>-5.75</v>
      </c>
      <c r="AE535" s="9">
        <f t="shared" si="418"/>
        <v>-6.25</v>
      </c>
      <c r="AF535" s="9">
        <f t="shared" si="419"/>
        <v>-6.25</v>
      </c>
      <c r="AG535" s="9">
        <f t="shared" si="420"/>
        <v>-5.4500000000000028</v>
      </c>
      <c r="AH535" s="9">
        <f t="shared" si="421"/>
        <v>-5.25</v>
      </c>
      <c r="AI535" s="9">
        <f t="shared" si="422"/>
        <v>-8.4500000000000028</v>
      </c>
      <c r="AJ535" s="9">
        <f t="shared" si="423"/>
        <v>-3.0750000000000028</v>
      </c>
      <c r="AK535" s="9">
        <f t="shared" si="424"/>
        <v>-0.40000000000000568</v>
      </c>
      <c r="AL535" s="9">
        <f t="shared" si="425"/>
        <v>-3.5750000000000028</v>
      </c>
      <c r="AM535" s="9">
        <f t="shared" si="426"/>
        <v>-4.9489999999999981</v>
      </c>
      <c r="AN535" s="9">
        <f t="shared" si="427"/>
        <v>-5.2000000000000028</v>
      </c>
      <c r="AO535" s="9">
        <f t="shared" si="428"/>
        <v>-5.7000000000000028</v>
      </c>
      <c r="AP535" s="9">
        <f t="shared" si="429"/>
        <v>-4.9500000000000028</v>
      </c>
      <c r="AQ535" s="9">
        <f t="shared" si="430"/>
        <v>-4.7005000000000052</v>
      </c>
      <c r="AR535" s="9">
        <f t="shared" si="431"/>
        <v>-9.0499999999999972</v>
      </c>
      <c r="AS535" s="9">
        <f t="shared" si="432"/>
        <v>-2.875</v>
      </c>
      <c r="AT535" s="9">
        <f t="shared" si="433"/>
        <v>-0.20000000000000284</v>
      </c>
      <c r="AU535" s="9">
        <f t="shared" si="434"/>
        <v>-3.125</v>
      </c>
      <c r="AV535" s="9">
        <f t="shared" si="435"/>
        <v>-3.7999999999999972</v>
      </c>
      <c r="AW535" s="9">
        <f t="shared" si="436"/>
        <v>-4.5</v>
      </c>
      <c r="AX535" s="9">
        <f t="shared" si="437"/>
        <v>-5.2999999999999972</v>
      </c>
      <c r="AY535" s="9">
        <f t="shared" si="438"/>
        <v>-3.7999999999999972</v>
      </c>
      <c r="AZ535" s="9">
        <f t="shared" si="439"/>
        <v>-4.0005000000000024</v>
      </c>
      <c r="BA535" s="9">
        <f t="shared" si="440"/>
        <v>-9.1000000000000014</v>
      </c>
      <c r="BB535" s="9">
        <f t="shared" si="441"/>
        <v>-2.6295000000000002</v>
      </c>
      <c r="BC535" s="9">
        <f t="shared" si="442"/>
        <v>-7.9500000000003013E-2</v>
      </c>
      <c r="BD535" s="9">
        <f t="shared" si="443"/>
        <v>-2.8795000000000002</v>
      </c>
      <c r="BE535" s="9">
        <f t="shared" si="444"/>
        <v>-3.8755000000000024</v>
      </c>
      <c r="BF535" s="9">
        <f t="shared" si="445"/>
        <v>-4.1295000000000002</v>
      </c>
      <c r="BG535" s="9">
        <f t="shared" si="446"/>
        <v>-4.6295000000000002</v>
      </c>
      <c r="BH535" s="9">
        <f t="shared" si="447"/>
        <v>-3.7539999999999978</v>
      </c>
      <c r="BI535" s="9">
        <f t="shared" si="448"/>
        <v>-4.1300000000000026</v>
      </c>
      <c r="BJ535" s="9">
        <f t="shared" si="449"/>
        <v>-9.2794999999999987</v>
      </c>
    </row>
    <row r="536" spans="1:62" x14ac:dyDescent="0.2">
      <c r="A536" s="9">
        <f>data!M537-data!M536</f>
        <v>1.5665000000000049</v>
      </c>
      <c r="B536" s="9">
        <f>data!C537-data!C536</f>
        <v>-2.09</v>
      </c>
      <c r="C536" s="9">
        <f>data!D537-data!D536</f>
        <v>-0.40000000000000036</v>
      </c>
      <c r="D536" s="10">
        <f>data!B537-data!B536</f>
        <v>0.33499999999999996</v>
      </c>
      <c r="E536" s="9">
        <f>data!E536-data!G536</f>
        <v>1.4759</v>
      </c>
      <c r="F536" s="9">
        <f>(data!E536-data!F536)-(data!G536-data!H536)</f>
        <v>1.0146999999999999</v>
      </c>
      <c r="G536" s="9">
        <f t="shared" si="400"/>
        <v>0.13240000000000007</v>
      </c>
      <c r="H536" s="9">
        <f t="shared" si="401"/>
        <v>4.0599999999999969E-2</v>
      </c>
      <c r="I536" s="9">
        <f>IF(data!M537&gt; 111.81,1,0)</f>
        <v>0</v>
      </c>
      <c r="J536" s="9">
        <f t="shared" si="402"/>
        <v>1</v>
      </c>
      <c r="K536" s="9">
        <f t="shared" si="403"/>
        <v>0</v>
      </c>
      <c r="L536" s="9">
        <f t="shared" si="404"/>
        <v>1.5665000000000049</v>
      </c>
      <c r="M536" s="9">
        <f>data!J536</f>
        <v>-39.875</v>
      </c>
      <c r="N536" s="9">
        <f>data!I536</f>
        <v>-64.875</v>
      </c>
      <c r="O536" s="9">
        <f>data!L536</f>
        <v>-66.625</v>
      </c>
      <c r="P536" s="9">
        <f>data!K536</f>
        <v>-49.375</v>
      </c>
      <c r="Q536" s="9">
        <f>data!R536</f>
        <v>-38.75</v>
      </c>
      <c r="R536" s="9">
        <f t="shared" si="405"/>
        <v>-1.625</v>
      </c>
      <c r="S536" s="9">
        <f t="shared" si="406"/>
        <v>-2.625</v>
      </c>
      <c r="T536" s="9">
        <f t="shared" si="407"/>
        <v>-3.125</v>
      </c>
      <c r="U536" s="9">
        <f t="shared" si="408"/>
        <v>-3.375</v>
      </c>
      <c r="V536" s="9">
        <f t="shared" si="409"/>
        <v>-2.4249999999999972</v>
      </c>
      <c r="W536" s="9">
        <f t="shared" si="410"/>
        <v>-2.125</v>
      </c>
      <c r="X536" s="9">
        <f t="shared" si="411"/>
        <v>0.17499999999999716</v>
      </c>
      <c r="Y536" s="9">
        <f t="shared" si="412"/>
        <v>-2.625</v>
      </c>
      <c r="Z536" s="9">
        <f t="shared" si="413"/>
        <v>-1.125</v>
      </c>
      <c r="AA536" s="9">
        <f t="shared" si="414"/>
        <v>2.2749999999999986</v>
      </c>
      <c r="AB536" s="9">
        <f t="shared" si="415"/>
        <v>-1.125</v>
      </c>
      <c r="AC536" s="9">
        <f t="shared" si="416"/>
        <v>-3.4249999999999972</v>
      </c>
      <c r="AD536" s="9">
        <f t="shared" si="417"/>
        <v>-3.9249999999999972</v>
      </c>
      <c r="AE536" s="9">
        <f t="shared" si="418"/>
        <v>-3.9249999999999972</v>
      </c>
      <c r="AF536" s="9">
        <f t="shared" si="419"/>
        <v>-3.125</v>
      </c>
      <c r="AG536" s="9">
        <f t="shared" si="420"/>
        <v>-2.9249999999999972</v>
      </c>
      <c r="AH536" s="9">
        <f t="shared" si="421"/>
        <v>-6.125</v>
      </c>
      <c r="AI536" s="9">
        <f t="shared" si="422"/>
        <v>-4.625</v>
      </c>
      <c r="AJ536" s="9">
        <f t="shared" si="423"/>
        <v>2.6749999999999972</v>
      </c>
      <c r="AK536" s="9">
        <f t="shared" si="424"/>
        <v>-0.5</v>
      </c>
      <c r="AL536" s="9">
        <f t="shared" si="425"/>
        <v>-1.8739999999999952</v>
      </c>
      <c r="AM536" s="9">
        <f t="shared" si="426"/>
        <v>-2.125</v>
      </c>
      <c r="AN536" s="9">
        <f t="shared" si="427"/>
        <v>-2.625</v>
      </c>
      <c r="AO536" s="9">
        <f t="shared" si="428"/>
        <v>-1.875</v>
      </c>
      <c r="AP536" s="9">
        <f t="shared" si="429"/>
        <v>-1.6255000000000024</v>
      </c>
      <c r="AQ536" s="9">
        <f t="shared" si="430"/>
        <v>-5.9749999999999943</v>
      </c>
      <c r="AR536" s="9">
        <f t="shared" si="431"/>
        <v>-3.7750000000000057</v>
      </c>
      <c r="AS536" s="9">
        <f t="shared" si="432"/>
        <v>2.6749999999999972</v>
      </c>
      <c r="AT536" s="9">
        <f t="shared" si="433"/>
        <v>-0.25</v>
      </c>
      <c r="AU536" s="9">
        <f t="shared" si="434"/>
        <v>-0.92499999999999716</v>
      </c>
      <c r="AV536" s="9">
        <f t="shared" si="435"/>
        <v>-1.625</v>
      </c>
      <c r="AW536" s="9">
        <f t="shared" si="436"/>
        <v>-2.4249999999999972</v>
      </c>
      <c r="AX536" s="9">
        <f t="shared" si="437"/>
        <v>-0.92499999999999716</v>
      </c>
      <c r="AY536" s="9">
        <f t="shared" si="438"/>
        <v>-1.1255000000000024</v>
      </c>
      <c r="AZ536" s="9">
        <f t="shared" si="439"/>
        <v>-6.2250000000000014</v>
      </c>
      <c r="BA536" s="9">
        <f t="shared" si="440"/>
        <v>-4.125</v>
      </c>
      <c r="BB536" s="9">
        <f t="shared" si="441"/>
        <v>2.5499999999999972</v>
      </c>
      <c r="BC536" s="9">
        <f t="shared" si="442"/>
        <v>-0.25</v>
      </c>
      <c r="BD536" s="9">
        <f t="shared" si="443"/>
        <v>-1.2460000000000022</v>
      </c>
      <c r="BE536" s="9">
        <f t="shared" si="444"/>
        <v>-1.5</v>
      </c>
      <c r="BF536" s="9">
        <f t="shared" si="445"/>
        <v>-2</v>
      </c>
      <c r="BG536" s="9">
        <f t="shared" si="446"/>
        <v>-1.1244999999999976</v>
      </c>
      <c r="BH536" s="9">
        <f t="shared" si="447"/>
        <v>-1.5005000000000024</v>
      </c>
      <c r="BI536" s="9">
        <f t="shared" si="448"/>
        <v>-6.6499999999999986</v>
      </c>
      <c r="BJ536" s="9">
        <f t="shared" si="449"/>
        <v>-4.9500000000000028</v>
      </c>
    </row>
    <row r="537" spans="1:62" x14ac:dyDescent="0.2">
      <c r="A537" s="9">
        <f>data!M538-data!M537</f>
        <v>-1.1236000000000104</v>
      </c>
      <c r="B537" s="9">
        <f>data!C538-data!C537</f>
        <v>1.3100000000000005</v>
      </c>
      <c r="C537" s="9">
        <f>data!D538-data!D537</f>
        <v>-0.27249999999999908</v>
      </c>
      <c r="D537" s="10">
        <f>data!B538-data!B537</f>
        <v>0.14250000000000007</v>
      </c>
      <c r="E537" s="9">
        <f>data!E537-data!G537</f>
        <v>1.6083000000000001</v>
      </c>
      <c r="F537" s="9">
        <f>(data!E537-data!F537)-(data!G537-data!H537)</f>
        <v>1.0552999999999999</v>
      </c>
      <c r="G537" s="9">
        <f t="shared" si="400"/>
        <v>-4.6000000000000041E-2</v>
      </c>
      <c r="H537" s="9">
        <f t="shared" si="401"/>
        <v>-3.0999999999998806E-3</v>
      </c>
      <c r="I537" s="9">
        <f>IF(data!M538&gt; 111.81,1,0)</f>
        <v>0</v>
      </c>
      <c r="J537" s="9">
        <f t="shared" si="402"/>
        <v>1</v>
      </c>
      <c r="K537" s="9">
        <f t="shared" si="403"/>
        <v>0</v>
      </c>
      <c r="L537" s="9">
        <f t="shared" si="404"/>
        <v>-1.1236000000000104</v>
      </c>
      <c r="M537" s="9">
        <f>data!J537</f>
        <v>-41.5</v>
      </c>
      <c r="N537" s="9">
        <f>data!I537</f>
        <v>-62.6</v>
      </c>
      <c r="O537" s="9">
        <f>data!L537</f>
        <v>-63.95</v>
      </c>
      <c r="P537" s="9">
        <f>data!K537</f>
        <v>-46.7</v>
      </c>
      <c r="Q537" s="9">
        <f>data!R537</f>
        <v>-36.200000000000003</v>
      </c>
      <c r="R537" s="9">
        <f t="shared" si="405"/>
        <v>-1</v>
      </c>
      <c r="S537" s="9">
        <f t="shared" si="406"/>
        <v>-1.5</v>
      </c>
      <c r="T537" s="9">
        <f t="shared" si="407"/>
        <v>-1.75</v>
      </c>
      <c r="U537" s="9">
        <f t="shared" si="408"/>
        <v>-0.79999999999999716</v>
      </c>
      <c r="V537" s="9">
        <f t="shared" si="409"/>
        <v>-0.5</v>
      </c>
      <c r="W537" s="9">
        <f t="shared" si="410"/>
        <v>1.7999999999999972</v>
      </c>
      <c r="X537" s="9">
        <f t="shared" si="411"/>
        <v>-1</v>
      </c>
      <c r="Y537" s="9">
        <f t="shared" si="412"/>
        <v>0.5</v>
      </c>
      <c r="Z537" s="9">
        <f t="shared" si="413"/>
        <v>2</v>
      </c>
      <c r="AA537" s="9">
        <f t="shared" si="414"/>
        <v>-3.3999999999999986</v>
      </c>
      <c r="AB537" s="9">
        <f t="shared" si="415"/>
        <v>-5.6999999999999957</v>
      </c>
      <c r="AC537" s="9">
        <f t="shared" si="416"/>
        <v>-6.1999999999999957</v>
      </c>
      <c r="AD537" s="9">
        <f t="shared" si="417"/>
        <v>-6.1999999999999957</v>
      </c>
      <c r="AE537" s="9">
        <f t="shared" si="418"/>
        <v>-5.3999999999999986</v>
      </c>
      <c r="AF537" s="9">
        <f t="shared" si="419"/>
        <v>-5.1999999999999957</v>
      </c>
      <c r="AG537" s="9">
        <f t="shared" si="420"/>
        <v>-8.3999999999999986</v>
      </c>
      <c r="AH537" s="9">
        <f t="shared" si="421"/>
        <v>-6.8999999999999986</v>
      </c>
      <c r="AI537" s="9">
        <f t="shared" si="422"/>
        <v>-4.8999999999999986</v>
      </c>
      <c r="AJ537" s="9">
        <f t="shared" si="423"/>
        <v>-3.1749999999999972</v>
      </c>
      <c r="AK537" s="9">
        <f t="shared" si="424"/>
        <v>-4.5489999999999924</v>
      </c>
      <c r="AL537" s="9">
        <f t="shared" si="425"/>
        <v>-4.7999999999999972</v>
      </c>
      <c r="AM537" s="9">
        <f t="shared" si="426"/>
        <v>-5.2999999999999972</v>
      </c>
      <c r="AN537" s="9">
        <f t="shared" si="427"/>
        <v>-4.5499999999999972</v>
      </c>
      <c r="AO537" s="9">
        <f t="shared" si="428"/>
        <v>-4.3004999999999995</v>
      </c>
      <c r="AP537" s="9">
        <f t="shared" si="429"/>
        <v>-8.6499999999999915</v>
      </c>
      <c r="AQ537" s="9">
        <f t="shared" si="430"/>
        <v>-6.4500000000000028</v>
      </c>
      <c r="AR537" s="9">
        <f t="shared" si="431"/>
        <v>-4.6749999999999972</v>
      </c>
      <c r="AS537" s="9">
        <f t="shared" si="432"/>
        <v>-2.9249999999999972</v>
      </c>
      <c r="AT537" s="9">
        <f t="shared" si="433"/>
        <v>-3.5999999999999943</v>
      </c>
      <c r="AU537" s="9">
        <f t="shared" si="434"/>
        <v>-4.2999999999999972</v>
      </c>
      <c r="AV537" s="9">
        <f t="shared" si="435"/>
        <v>-5.0999999999999943</v>
      </c>
      <c r="AW537" s="9">
        <f t="shared" si="436"/>
        <v>-3.5999999999999943</v>
      </c>
      <c r="AX537" s="9">
        <f t="shared" si="437"/>
        <v>-3.8004999999999995</v>
      </c>
      <c r="AY537" s="9">
        <f t="shared" si="438"/>
        <v>-8.8999999999999986</v>
      </c>
      <c r="AZ537" s="9">
        <f t="shared" si="439"/>
        <v>-6.7999999999999972</v>
      </c>
      <c r="BA537" s="9">
        <f t="shared" si="440"/>
        <v>-5.4249999999999972</v>
      </c>
      <c r="BB537" s="9">
        <f t="shared" si="441"/>
        <v>-2.7999999999999972</v>
      </c>
      <c r="BC537" s="9">
        <f t="shared" si="442"/>
        <v>-3.7959999999999994</v>
      </c>
      <c r="BD537" s="9">
        <f t="shared" si="443"/>
        <v>-4.0499999999999972</v>
      </c>
      <c r="BE537" s="9">
        <f t="shared" si="444"/>
        <v>-4.5499999999999972</v>
      </c>
      <c r="BF537" s="9">
        <f t="shared" si="445"/>
        <v>-3.6744999999999948</v>
      </c>
      <c r="BG537" s="9">
        <f t="shared" si="446"/>
        <v>-4.0504999999999995</v>
      </c>
      <c r="BH537" s="9">
        <f t="shared" si="447"/>
        <v>-9.1999999999999957</v>
      </c>
      <c r="BI537" s="9">
        <f t="shared" si="448"/>
        <v>-7.5</v>
      </c>
      <c r="BJ537" s="9">
        <f t="shared" si="449"/>
        <v>-6.1749999999999972</v>
      </c>
    </row>
    <row r="538" spans="1:62" x14ac:dyDescent="0.2">
      <c r="A538" s="9">
        <f>data!M539-data!M538</f>
        <v>-0.42399999999999238</v>
      </c>
      <c r="B538" s="9">
        <f>data!C539-data!C538</f>
        <v>-1.6000000000000014</v>
      </c>
      <c r="C538" s="9">
        <f>data!D539-data!D538</f>
        <v>0.1850000000000005</v>
      </c>
      <c r="D538" s="10">
        <f>data!B539-data!B538</f>
        <v>-3.499999999999992E-2</v>
      </c>
      <c r="E538" s="9">
        <f>data!E538-data!G538</f>
        <v>1.5623</v>
      </c>
      <c r="F538" s="9">
        <f>(data!E538-data!F538)-(data!G538-data!H538)</f>
        <v>1.0522</v>
      </c>
      <c r="G538" s="9">
        <f t="shared" si="400"/>
        <v>6.1300000000000132E-2</v>
      </c>
      <c r="H538" s="9">
        <f t="shared" si="401"/>
        <v>4.6300000000000008E-2</v>
      </c>
      <c r="I538" s="9">
        <f>IF(data!M539&gt; 111.81,1,0)</f>
        <v>0</v>
      </c>
      <c r="J538" s="9">
        <f t="shared" si="402"/>
        <v>1</v>
      </c>
      <c r="K538" s="9">
        <f t="shared" si="403"/>
        <v>0</v>
      </c>
      <c r="L538" s="9">
        <f t="shared" si="404"/>
        <v>-0.42399999999999238</v>
      </c>
      <c r="M538" s="9">
        <f>data!J538</f>
        <v>-42.5</v>
      </c>
      <c r="N538" s="9">
        <f>data!I538</f>
        <v>-66</v>
      </c>
      <c r="O538" s="9">
        <f>data!L538</f>
        <v>-67.125</v>
      </c>
      <c r="P538" s="9">
        <f>data!K538</f>
        <v>-49.625</v>
      </c>
      <c r="Q538" s="9">
        <f>data!R538</f>
        <v>-39</v>
      </c>
      <c r="R538" s="9">
        <f t="shared" si="405"/>
        <v>-0.5</v>
      </c>
      <c r="S538" s="9">
        <f t="shared" si="406"/>
        <v>-0.75</v>
      </c>
      <c r="T538" s="9">
        <f t="shared" si="407"/>
        <v>0.20000000000000284</v>
      </c>
      <c r="U538" s="9">
        <f t="shared" si="408"/>
        <v>0.5</v>
      </c>
      <c r="V538" s="9">
        <f t="shared" si="409"/>
        <v>2.7999999999999972</v>
      </c>
      <c r="W538" s="9">
        <f t="shared" si="410"/>
        <v>0</v>
      </c>
      <c r="X538" s="9">
        <f t="shared" si="411"/>
        <v>1.5</v>
      </c>
      <c r="Y538" s="9">
        <f t="shared" si="412"/>
        <v>3</v>
      </c>
      <c r="Z538" s="9">
        <f t="shared" si="413"/>
        <v>2</v>
      </c>
      <c r="AA538" s="9">
        <f t="shared" si="414"/>
        <v>-2.2999999999999972</v>
      </c>
      <c r="AB538" s="9">
        <f t="shared" si="415"/>
        <v>-2.7999999999999972</v>
      </c>
      <c r="AC538" s="9">
        <f t="shared" si="416"/>
        <v>-2.7999999999999972</v>
      </c>
      <c r="AD538" s="9">
        <f t="shared" si="417"/>
        <v>-2</v>
      </c>
      <c r="AE538" s="9">
        <f t="shared" si="418"/>
        <v>-1.7999999999999972</v>
      </c>
      <c r="AF538" s="9">
        <f t="shared" si="419"/>
        <v>-5</v>
      </c>
      <c r="AG538" s="9">
        <f t="shared" si="420"/>
        <v>-3.5</v>
      </c>
      <c r="AH538" s="9">
        <f t="shared" si="421"/>
        <v>-1.5</v>
      </c>
      <c r="AI538" s="9">
        <f t="shared" si="422"/>
        <v>-3</v>
      </c>
      <c r="AJ538" s="9">
        <f t="shared" si="423"/>
        <v>-1.3739999999999952</v>
      </c>
      <c r="AK538" s="9">
        <f t="shared" si="424"/>
        <v>-1.625</v>
      </c>
      <c r="AL538" s="9">
        <f t="shared" si="425"/>
        <v>-2.125</v>
      </c>
      <c r="AM538" s="9">
        <f t="shared" si="426"/>
        <v>-1.375</v>
      </c>
      <c r="AN538" s="9">
        <f t="shared" si="427"/>
        <v>-1.1255000000000024</v>
      </c>
      <c r="AO538" s="9">
        <f t="shared" si="428"/>
        <v>-5.4749999999999943</v>
      </c>
      <c r="AP538" s="9">
        <f t="shared" si="429"/>
        <v>-3.2750000000000057</v>
      </c>
      <c r="AQ538" s="9">
        <f t="shared" si="430"/>
        <v>-1.5</v>
      </c>
      <c r="AR538" s="9">
        <f t="shared" si="431"/>
        <v>-1.875</v>
      </c>
      <c r="AS538" s="9">
        <f t="shared" si="432"/>
        <v>-0.67499999999999716</v>
      </c>
      <c r="AT538" s="9">
        <f t="shared" si="433"/>
        <v>-1.375</v>
      </c>
      <c r="AU538" s="9">
        <f t="shared" si="434"/>
        <v>-2.1749999999999972</v>
      </c>
      <c r="AV538" s="9">
        <f t="shared" si="435"/>
        <v>-0.67499999999999716</v>
      </c>
      <c r="AW538" s="9">
        <f t="shared" si="436"/>
        <v>-0.87550000000000239</v>
      </c>
      <c r="AX538" s="9">
        <f t="shared" si="437"/>
        <v>-5.9750000000000014</v>
      </c>
      <c r="AY538" s="9">
        <f t="shared" si="438"/>
        <v>-3.875</v>
      </c>
      <c r="AZ538" s="9">
        <f t="shared" si="439"/>
        <v>-2.5</v>
      </c>
      <c r="BA538" s="9">
        <f t="shared" si="440"/>
        <v>-2.7749999999999986</v>
      </c>
      <c r="BB538" s="9">
        <f t="shared" si="441"/>
        <v>-0.99600000000000222</v>
      </c>
      <c r="BC538" s="9">
        <f t="shared" si="442"/>
        <v>-1.25</v>
      </c>
      <c r="BD538" s="9">
        <f t="shared" si="443"/>
        <v>-1.75</v>
      </c>
      <c r="BE538" s="9">
        <f t="shared" si="444"/>
        <v>-0.87449999999999761</v>
      </c>
      <c r="BF538" s="9">
        <f t="shared" si="445"/>
        <v>-1.2505000000000024</v>
      </c>
      <c r="BG538" s="9">
        <f t="shared" si="446"/>
        <v>-6.3999999999999986</v>
      </c>
      <c r="BH538" s="9">
        <f t="shared" si="447"/>
        <v>-4.7000000000000028</v>
      </c>
      <c r="BI538" s="9">
        <f t="shared" si="448"/>
        <v>-3.375</v>
      </c>
      <c r="BJ538" s="9">
        <f t="shared" si="449"/>
        <v>-3.7999999999999972</v>
      </c>
    </row>
    <row r="539" spans="1:62" x14ac:dyDescent="0.2">
      <c r="A539" s="9">
        <f>data!M540-data!M539</f>
        <v>-0.26680000000000348</v>
      </c>
      <c r="B539" s="9">
        <f>data!C540-data!C539</f>
        <v>0.41000000000000014</v>
      </c>
      <c r="C539" s="9">
        <f>data!D540-data!D539</f>
        <v>0.20999999999999908</v>
      </c>
      <c r="D539" s="10">
        <f>data!B540-data!B539</f>
        <v>-0.24250000000000016</v>
      </c>
      <c r="E539" s="9">
        <f>data!E539-data!G539</f>
        <v>1.6236000000000002</v>
      </c>
      <c r="F539" s="9">
        <f>(data!E539-data!F539)-(data!G539-data!H539)</f>
        <v>1.0985</v>
      </c>
      <c r="G539" s="9">
        <f t="shared" si="400"/>
        <v>0.13189999999999991</v>
      </c>
      <c r="H539" s="9">
        <f t="shared" si="401"/>
        <v>6.2000000000000277E-2</v>
      </c>
      <c r="I539" s="9">
        <f>IF(data!M540&gt; 111.81,1,0)</f>
        <v>0</v>
      </c>
      <c r="J539" s="9">
        <f t="shared" si="402"/>
        <v>1</v>
      </c>
      <c r="K539" s="9">
        <f t="shared" si="403"/>
        <v>0</v>
      </c>
      <c r="L539" s="9">
        <f t="shared" si="404"/>
        <v>-0.26680000000000348</v>
      </c>
      <c r="M539" s="9">
        <f>data!J539</f>
        <v>-43</v>
      </c>
      <c r="N539" s="9">
        <f>data!I539</f>
        <v>-68.3</v>
      </c>
      <c r="O539" s="9">
        <f>data!L539</f>
        <v>-68.498999999999995</v>
      </c>
      <c r="P539" s="9">
        <f>data!K539</f>
        <v>-50.3</v>
      </c>
      <c r="Q539" s="9">
        <f>data!R539</f>
        <v>-39.996000000000002</v>
      </c>
      <c r="R539" s="9">
        <f t="shared" si="405"/>
        <v>-0.25</v>
      </c>
      <c r="S539" s="9">
        <f t="shared" si="406"/>
        <v>0.70000000000000284</v>
      </c>
      <c r="T539" s="9">
        <f t="shared" si="407"/>
        <v>1</v>
      </c>
      <c r="U539" s="9">
        <f t="shared" si="408"/>
        <v>3.2999999999999972</v>
      </c>
      <c r="V539" s="9">
        <f t="shared" si="409"/>
        <v>0.5</v>
      </c>
      <c r="W539" s="9">
        <f t="shared" si="410"/>
        <v>2</v>
      </c>
      <c r="X539" s="9">
        <f t="shared" si="411"/>
        <v>3.5</v>
      </c>
      <c r="Y539" s="9">
        <f t="shared" si="412"/>
        <v>2.5</v>
      </c>
      <c r="Z539" s="9">
        <f t="shared" si="413"/>
        <v>2.75</v>
      </c>
      <c r="AA539" s="9">
        <f t="shared" si="414"/>
        <v>-0.5</v>
      </c>
      <c r="AB539" s="9">
        <f t="shared" si="415"/>
        <v>-0.5</v>
      </c>
      <c r="AC539" s="9">
        <f t="shared" si="416"/>
        <v>0.29999999999999716</v>
      </c>
      <c r="AD539" s="9">
        <f t="shared" si="417"/>
        <v>0.5</v>
      </c>
      <c r="AE539" s="9">
        <f t="shared" si="418"/>
        <v>-2.7000000000000028</v>
      </c>
      <c r="AF539" s="9">
        <f t="shared" si="419"/>
        <v>-1.2000000000000028</v>
      </c>
      <c r="AG539" s="9">
        <f t="shared" si="420"/>
        <v>0.79999999999999716</v>
      </c>
      <c r="AH539" s="9">
        <f t="shared" si="421"/>
        <v>-0.70000000000000284</v>
      </c>
      <c r="AI539" s="9">
        <f t="shared" si="422"/>
        <v>-1.2000000000000028</v>
      </c>
      <c r="AJ539" s="9">
        <f t="shared" si="423"/>
        <v>-0.25100000000000477</v>
      </c>
      <c r="AK539" s="9">
        <f t="shared" si="424"/>
        <v>-0.75100000000000477</v>
      </c>
      <c r="AL539" s="9">
        <f t="shared" si="425"/>
        <v>-1.0000000000047748E-3</v>
      </c>
      <c r="AM539" s="9">
        <f t="shared" si="426"/>
        <v>0.24849999999999284</v>
      </c>
      <c r="AN539" s="9">
        <f t="shared" si="427"/>
        <v>-4.1009999999999991</v>
      </c>
      <c r="AO539" s="9">
        <f t="shared" si="428"/>
        <v>-1.9010000000000105</v>
      </c>
      <c r="AP539" s="9">
        <f t="shared" si="429"/>
        <v>-0.12600000000000477</v>
      </c>
      <c r="AQ539" s="9">
        <f t="shared" si="430"/>
        <v>-0.50100000000000477</v>
      </c>
      <c r="AR539" s="9">
        <f t="shared" si="431"/>
        <v>0.24899999999999523</v>
      </c>
      <c r="AS539" s="9">
        <f t="shared" si="432"/>
        <v>-0.70000000000000284</v>
      </c>
      <c r="AT539" s="9">
        <f t="shared" si="433"/>
        <v>-1.5</v>
      </c>
      <c r="AU539" s="9">
        <f t="shared" si="434"/>
        <v>0</v>
      </c>
      <c r="AV539" s="9">
        <f t="shared" si="435"/>
        <v>-0.20050000000000523</v>
      </c>
      <c r="AW539" s="9">
        <f t="shared" si="436"/>
        <v>-5.3000000000000043</v>
      </c>
      <c r="AX539" s="9">
        <f t="shared" si="437"/>
        <v>-3.2000000000000028</v>
      </c>
      <c r="AY539" s="9">
        <f t="shared" si="438"/>
        <v>-1.8250000000000028</v>
      </c>
      <c r="AZ539" s="9">
        <f t="shared" si="439"/>
        <v>-2.1000000000000014</v>
      </c>
      <c r="BA539" s="9">
        <f t="shared" si="440"/>
        <v>-0.95000000000000284</v>
      </c>
      <c r="BB539" s="9">
        <f t="shared" si="441"/>
        <v>-0.25399999999999778</v>
      </c>
      <c r="BC539" s="9">
        <f t="shared" si="442"/>
        <v>-0.75399999999999778</v>
      </c>
      <c r="BD539" s="9">
        <f t="shared" si="443"/>
        <v>0.1215000000000046</v>
      </c>
      <c r="BE539" s="9">
        <f t="shared" si="444"/>
        <v>-0.25450000000000017</v>
      </c>
      <c r="BF539" s="9">
        <f t="shared" si="445"/>
        <v>-5.4039999999999964</v>
      </c>
      <c r="BG539" s="9">
        <f t="shared" si="446"/>
        <v>-3.7040000000000006</v>
      </c>
      <c r="BH539" s="9">
        <f t="shared" si="447"/>
        <v>-2.3789999999999978</v>
      </c>
      <c r="BI539" s="9">
        <f t="shared" si="448"/>
        <v>-2.8039999999999949</v>
      </c>
      <c r="BJ539" s="9">
        <f t="shared" si="449"/>
        <v>-2.2539999999999978</v>
      </c>
    </row>
    <row r="540" spans="1:62" x14ac:dyDescent="0.2">
      <c r="A540" s="9">
        <f>data!M541-data!M540</f>
        <v>-0.79579999999999984</v>
      </c>
      <c r="B540" s="9">
        <f>data!C541-data!C540</f>
        <v>0.16000000000000014</v>
      </c>
      <c r="C540" s="9">
        <f>data!D541-data!D540</f>
        <v>-0.40750000000000064</v>
      </c>
      <c r="D540" s="10">
        <f>data!B541-data!B540</f>
        <v>0.14000000000000012</v>
      </c>
      <c r="E540" s="9">
        <f>data!E540-data!G540</f>
        <v>1.7555000000000001</v>
      </c>
      <c r="F540" s="9">
        <f>(data!E540-data!F540)-(data!G540-data!H540)</f>
        <v>1.1605000000000003</v>
      </c>
      <c r="G540" s="9">
        <f t="shared" si="400"/>
        <v>-2.3699999999999832E-2</v>
      </c>
      <c r="H540" s="9">
        <f t="shared" si="401"/>
        <v>7.4000000000000732E-3</v>
      </c>
      <c r="I540" s="9">
        <f>IF(data!M541&gt; 111.81,1,0)</f>
        <v>0</v>
      </c>
      <c r="J540" s="9">
        <f t="shared" si="402"/>
        <v>1</v>
      </c>
      <c r="K540" s="9">
        <f t="shared" si="403"/>
        <v>0</v>
      </c>
      <c r="L540" s="9">
        <f t="shared" si="404"/>
        <v>-0.79579999999999984</v>
      </c>
      <c r="M540" s="9">
        <f>data!J540</f>
        <v>-43.25</v>
      </c>
      <c r="N540" s="9">
        <f>data!I540</f>
        <v>-68.8</v>
      </c>
      <c r="O540" s="9">
        <f>data!L540</f>
        <v>-68.75</v>
      </c>
      <c r="P540" s="9">
        <f>data!K540</f>
        <v>-51</v>
      </c>
      <c r="Q540" s="9">
        <f>data!R540</f>
        <v>-40.25</v>
      </c>
      <c r="R540" s="9">
        <f t="shared" si="405"/>
        <v>0.95000000000000284</v>
      </c>
      <c r="S540" s="9">
        <f t="shared" si="406"/>
        <v>1.25</v>
      </c>
      <c r="T540" s="9">
        <f t="shared" si="407"/>
        <v>3.5499999999999972</v>
      </c>
      <c r="U540" s="9">
        <f t="shared" si="408"/>
        <v>0.75</v>
      </c>
      <c r="V540" s="9">
        <f t="shared" si="409"/>
        <v>2.25</v>
      </c>
      <c r="W540" s="9">
        <f t="shared" si="410"/>
        <v>3.75</v>
      </c>
      <c r="X540" s="9">
        <f t="shared" si="411"/>
        <v>2.75</v>
      </c>
      <c r="Y540" s="9">
        <f t="shared" si="412"/>
        <v>3</v>
      </c>
      <c r="Z540" s="9">
        <f t="shared" si="413"/>
        <v>2</v>
      </c>
      <c r="AA540" s="9">
        <f t="shared" si="414"/>
        <v>0</v>
      </c>
      <c r="AB540" s="9">
        <f t="shared" si="415"/>
        <v>0.79999999999999716</v>
      </c>
      <c r="AC540" s="9">
        <f t="shared" si="416"/>
        <v>1</v>
      </c>
      <c r="AD540" s="9">
        <f t="shared" si="417"/>
        <v>-2.2000000000000028</v>
      </c>
      <c r="AE540" s="9">
        <f t="shared" si="418"/>
        <v>-0.70000000000000284</v>
      </c>
      <c r="AF540" s="9">
        <f t="shared" si="419"/>
        <v>1.2999999999999972</v>
      </c>
      <c r="AG540" s="9">
        <f t="shared" si="420"/>
        <v>-0.20000000000000284</v>
      </c>
      <c r="AH540" s="9">
        <f t="shared" si="421"/>
        <v>-0.70000000000000284</v>
      </c>
      <c r="AI540" s="9">
        <f t="shared" si="422"/>
        <v>-2.7000000000000028</v>
      </c>
      <c r="AJ540" s="9">
        <f t="shared" si="423"/>
        <v>-0.5</v>
      </c>
      <c r="AK540" s="9">
        <f t="shared" si="424"/>
        <v>0.25</v>
      </c>
      <c r="AL540" s="9">
        <f t="shared" si="425"/>
        <v>0.49949999999999761</v>
      </c>
      <c r="AM540" s="9">
        <f t="shared" si="426"/>
        <v>-3.8499999999999943</v>
      </c>
      <c r="AN540" s="9">
        <f t="shared" si="427"/>
        <v>-1.6500000000000057</v>
      </c>
      <c r="AO540" s="9">
        <f t="shared" si="428"/>
        <v>0.125</v>
      </c>
      <c r="AP540" s="9">
        <f t="shared" si="429"/>
        <v>-0.25</v>
      </c>
      <c r="AQ540" s="9">
        <f t="shared" si="430"/>
        <v>0.5</v>
      </c>
      <c r="AR540" s="9">
        <f t="shared" si="431"/>
        <v>-2.2000000000000028</v>
      </c>
      <c r="AS540" s="9">
        <f t="shared" si="432"/>
        <v>-0.79999999999999716</v>
      </c>
      <c r="AT540" s="9">
        <f t="shared" si="433"/>
        <v>0.70000000000000284</v>
      </c>
      <c r="AU540" s="9">
        <f t="shared" si="434"/>
        <v>0.49949999999999761</v>
      </c>
      <c r="AV540" s="9">
        <f t="shared" si="435"/>
        <v>-4.6000000000000014</v>
      </c>
      <c r="AW540" s="9">
        <f t="shared" si="436"/>
        <v>-2.5</v>
      </c>
      <c r="AX540" s="9">
        <f t="shared" si="437"/>
        <v>-1.125</v>
      </c>
      <c r="AY540" s="9">
        <f t="shared" si="438"/>
        <v>-1.3999999999999986</v>
      </c>
      <c r="AZ540" s="9">
        <f t="shared" si="439"/>
        <v>-0.25</v>
      </c>
      <c r="BA540" s="9">
        <f t="shared" si="440"/>
        <v>-2.3999999999999986</v>
      </c>
      <c r="BB540" s="9">
        <f t="shared" si="441"/>
        <v>-0.5</v>
      </c>
      <c r="BC540" s="9">
        <f t="shared" si="442"/>
        <v>0.37550000000000239</v>
      </c>
      <c r="BD540" s="9">
        <f t="shared" si="443"/>
        <v>-5.0000000000238742E-4</v>
      </c>
      <c r="BE540" s="9">
        <f t="shared" si="444"/>
        <v>-5.1499999999999986</v>
      </c>
      <c r="BF540" s="9">
        <f t="shared" si="445"/>
        <v>-3.4500000000000028</v>
      </c>
      <c r="BG540" s="9">
        <f t="shared" si="446"/>
        <v>-2.125</v>
      </c>
      <c r="BH540" s="9">
        <f t="shared" si="447"/>
        <v>-2.5499999999999972</v>
      </c>
      <c r="BI540" s="9">
        <f t="shared" si="448"/>
        <v>-2</v>
      </c>
      <c r="BJ540" s="9">
        <f t="shared" si="449"/>
        <v>-3.8500000000000014</v>
      </c>
    </row>
    <row r="541" spans="1:62" x14ac:dyDescent="0.2">
      <c r="A541" s="9">
        <f>data!M542-data!M541</f>
        <v>-0.82219999999999516</v>
      </c>
      <c r="B541" s="9">
        <f>data!C542-data!C541</f>
        <v>-0.47999999999999865</v>
      </c>
      <c r="C541" s="9">
        <f>data!D542-data!D541</f>
        <v>-0.81749999999999901</v>
      </c>
      <c r="D541" s="10">
        <f>data!B542-data!B541</f>
        <v>0.28000000000000003</v>
      </c>
      <c r="E541" s="9">
        <f>data!E541-data!G541</f>
        <v>1.7318000000000002</v>
      </c>
      <c r="F541" s="9">
        <f>(data!E541-data!F541)-(data!G541-data!H541)</f>
        <v>1.1679000000000004</v>
      </c>
      <c r="G541" s="9">
        <f t="shared" si="400"/>
        <v>1.1599999999999611E-2</v>
      </c>
      <c r="H541" s="9">
        <f t="shared" si="401"/>
        <v>2.7199999999999447E-2</v>
      </c>
      <c r="I541" s="9">
        <f>IF(data!M542&gt; 111.81,1,0)</f>
        <v>0</v>
      </c>
      <c r="J541" s="9">
        <f t="shared" si="402"/>
        <v>1</v>
      </c>
      <c r="K541" s="9">
        <f t="shared" si="403"/>
        <v>0</v>
      </c>
      <c r="L541" s="9">
        <f t="shared" si="404"/>
        <v>-0.82219999999999516</v>
      </c>
      <c r="M541" s="9">
        <f>data!J541</f>
        <v>-42.3</v>
      </c>
      <c r="N541" s="9">
        <f>data!I541</f>
        <v>-68.8</v>
      </c>
      <c r="O541" s="9">
        <f>data!L541</f>
        <v>-69.25</v>
      </c>
      <c r="P541" s="9">
        <f>data!K541</f>
        <v>-51.8</v>
      </c>
      <c r="Q541" s="9">
        <f>data!R541</f>
        <v>-40.75</v>
      </c>
      <c r="R541" s="9">
        <f t="shared" si="405"/>
        <v>0.29999999999999716</v>
      </c>
      <c r="S541" s="9">
        <f t="shared" si="406"/>
        <v>2.5999999999999943</v>
      </c>
      <c r="T541" s="9">
        <f t="shared" si="407"/>
        <v>-0.20000000000000284</v>
      </c>
      <c r="U541" s="9">
        <f t="shared" si="408"/>
        <v>1.2999999999999972</v>
      </c>
      <c r="V541" s="9">
        <f t="shared" si="409"/>
        <v>2.7999999999999972</v>
      </c>
      <c r="W541" s="9">
        <f t="shared" si="410"/>
        <v>1.7999999999999972</v>
      </c>
      <c r="X541" s="9">
        <f t="shared" si="411"/>
        <v>2.0499999999999972</v>
      </c>
      <c r="Y541" s="9">
        <f t="shared" si="412"/>
        <v>1.0499999999999972</v>
      </c>
      <c r="Z541" s="9">
        <f t="shared" si="413"/>
        <v>-0.70000000000000284</v>
      </c>
      <c r="AA541" s="9">
        <f t="shared" si="414"/>
        <v>0.79999999999999716</v>
      </c>
      <c r="AB541" s="9">
        <f t="shared" si="415"/>
        <v>1</v>
      </c>
      <c r="AC541" s="9">
        <f t="shared" si="416"/>
        <v>-2.2000000000000028</v>
      </c>
      <c r="AD541" s="9">
        <f t="shared" si="417"/>
        <v>-0.70000000000000284</v>
      </c>
      <c r="AE541" s="9">
        <f t="shared" si="418"/>
        <v>1.2999999999999972</v>
      </c>
      <c r="AF541" s="9">
        <f t="shared" si="419"/>
        <v>-0.20000000000000284</v>
      </c>
      <c r="AG541" s="9">
        <f t="shared" si="420"/>
        <v>-0.70000000000000284</v>
      </c>
      <c r="AH541" s="9">
        <f t="shared" si="421"/>
        <v>-2.7000000000000028</v>
      </c>
      <c r="AI541" s="9">
        <f t="shared" si="422"/>
        <v>-3.5</v>
      </c>
      <c r="AJ541" s="9">
        <f t="shared" si="423"/>
        <v>0.75</v>
      </c>
      <c r="AK541" s="9">
        <f t="shared" si="424"/>
        <v>0.99949999999999761</v>
      </c>
      <c r="AL541" s="9">
        <f t="shared" si="425"/>
        <v>-3.3499999999999943</v>
      </c>
      <c r="AM541" s="9">
        <f t="shared" si="426"/>
        <v>-1.1500000000000057</v>
      </c>
      <c r="AN541" s="9">
        <f t="shared" si="427"/>
        <v>0.625</v>
      </c>
      <c r="AO541" s="9">
        <f t="shared" si="428"/>
        <v>0.25</v>
      </c>
      <c r="AP541" s="9">
        <f t="shared" si="429"/>
        <v>1</v>
      </c>
      <c r="AQ541" s="9">
        <f t="shared" si="430"/>
        <v>-1.7000000000000028</v>
      </c>
      <c r="AR541" s="9">
        <f t="shared" si="431"/>
        <v>-1.8499999999999943</v>
      </c>
      <c r="AS541" s="9">
        <f t="shared" si="432"/>
        <v>1.5</v>
      </c>
      <c r="AT541" s="9">
        <f t="shared" si="433"/>
        <v>1.2994999999999948</v>
      </c>
      <c r="AU541" s="9">
        <f t="shared" si="434"/>
        <v>-3.8000000000000043</v>
      </c>
      <c r="AV541" s="9">
        <f t="shared" si="435"/>
        <v>-1.7000000000000028</v>
      </c>
      <c r="AW541" s="9">
        <f t="shared" si="436"/>
        <v>-0.32500000000000284</v>
      </c>
      <c r="AX541" s="9">
        <f t="shared" si="437"/>
        <v>-0.60000000000000142</v>
      </c>
      <c r="AY541" s="9">
        <f t="shared" si="438"/>
        <v>0.54999999999999716</v>
      </c>
      <c r="AZ541" s="9">
        <f t="shared" si="439"/>
        <v>-1.6000000000000014</v>
      </c>
      <c r="BA541" s="9">
        <f t="shared" si="440"/>
        <v>-2.1000000000000014</v>
      </c>
      <c r="BB541" s="9">
        <f t="shared" si="441"/>
        <v>0.87550000000000239</v>
      </c>
      <c r="BC541" s="9">
        <f t="shared" si="442"/>
        <v>0.49949999999999761</v>
      </c>
      <c r="BD541" s="9">
        <f t="shared" si="443"/>
        <v>-4.6499999999999986</v>
      </c>
      <c r="BE541" s="9">
        <f t="shared" si="444"/>
        <v>-2.9500000000000028</v>
      </c>
      <c r="BF541" s="9">
        <f t="shared" si="445"/>
        <v>-1.625</v>
      </c>
      <c r="BG541" s="9">
        <f t="shared" si="446"/>
        <v>-2.0499999999999972</v>
      </c>
      <c r="BH541" s="9">
        <f t="shared" si="447"/>
        <v>-1.5</v>
      </c>
      <c r="BI541" s="9">
        <f t="shared" si="448"/>
        <v>-3.3500000000000014</v>
      </c>
      <c r="BJ541" s="9">
        <f t="shared" si="449"/>
        <v>-4.0499999999999972</v>
      </c>
    </row>
    <row r="542" spans="1:62" x14ac:dyDescent="0.2">
      <c r="A542" s="9">
        <f>data!M543-data!M542</f>
        <v>1.8284999999999911</v>
      </c>
      <c r="B542" s="9">
        <f>data!C543-data!C542</f>
        <v>-0.25</v>
      </c>
      <c r="C542" s="9">
        <f>data!D543-data!D542</f>
        <v>0.37999999999999989</v>
      </c>
      <c r="D542" s="10">
        <f>data!B543-data!B542</f>
        <v>-6.7500000000000115E-2</v>
      </c>
      <c r="E542" s="9">
        <f>data!E542-data!G542</f>
        <v>1.7433999999999998</v>
      </c>
      <c r="F542" s="9">
        <f>(data!E542-data!F542)-(data!G542-data!H542)</f>
        <v>1.1950999999999998</v>
      </c>
      <c r="G542" s="9">
        <f t="shared" si="400"/>
        <v>5.280000000000018E-2</v>
      </c>
      <c r="H542" s="9">
        <f t="shared" si="401"/>
        <v>-2.709999999999968E-2</v>
      </c>
      <c r="I542" s="9">
        <f>IF(data!M543&gt; 111.81,1,0)</f>
        <v>0</v>
      </c>
      <c r="J542" s="9">
        <f t="shared" si="402"/>
        <v>1</v>
      </c>
      <c r="K542" s="9">
        <f t="shared" si="403"/>
        <v>0</v>
      </c>
      <c r="L542" s="9">
        <f t="shared" si="404"/>
        <v>1.8284999999999911</v>
      </c>
      <c r="M542" s="9">
        <f>data!J542</f>
        <v>-42</v>
      </c>
      <c r="N542" s="9">
        <f>data!I542</f>
        <v>-68</v>
      </c>
      <c r="O542" s="9">
        <f>data!L542</f>
        <v>-68.5</v>
      </c>
      <c r="P542" s="9">
        <f>data!K542</f>
        <v>-50.3</v>
      </c>
      <c r="Q542" s="9">
        <f>data!R542</f>
        <v>-39.874499999999998</v>
      </c>
      <c r="R542" s="9">
        <f t="shared" si="405"/>
        <v>2.2999999999999972</v>
      </c>
      <c r="S542" s="9">
        <f t="shared" si="406"/>
        <v>-0.5</v>
      </c>
      <c r="T542" s="9">
        <f t="shared" si="407"/>
        <v>1</v>
      </c>
      <c r="U542" s="9">
        <f t="shared" si="408"/>
        <v>2.5</v>
      </c>
      <c r="V542" s="9">
        <f t="shared" si="409"/>
        <v>1.5</v>
      </c>
      <c r="W542" s="9">
        <f t="shared" si="410"/>
        <v>1.75</v>
      </c>
      <c r="X542" s="9">
        <f t="shared" si="411"/>
        <v>0.75</v>
      </c>
      <c r="Y542" s="9">
        <f t="shared" si="412"/>
        <v>-1</v>
      </c>
      <c r="Z542" s="9">
        <f t="shared" si="413"/>
        <v>1.5</v>
      </c>
      <c r="AA542" s="9">
        <f t="shared" si="414"/>
        <v>0.20000000000000284</v>
      </c>
      <c r="AB542" s="9">
        <f t="shared" si="415"/>
        <v>-3</v>
      </c>
      <c r="AC542" s="9">
        <f t="shared" si="416"/>
        <v>-1.5</v>
      </c>
      <c r="AD542" s="9">
        <f t="shared" si="417"/>
        <v>0.5</v>
      </c>
      <c r="AE542" s="9">
        <f t="shared" si="418"/>
        <v>-1</v>
      </c>
      <c r="AF542" s="9">
        <f t="shared" si="419"/>
        <v>-1.5</v>
      </c>
      <c r="AG542" s="9">
        <f t="shared" si="420"/>
        <v>-3.5</v>
      </c>
      <c r="AH542" s="9">
        <f t="shared" si="421"/>
        <v>-4.2999999999999972</v>
      </c>
      <c r="AI542" s="9">
        <f t="shared" si="422"/>
        <v>-2.5</v>
      </c>
      <c r="AJ542" s="9">
        <f t="shared" si="423"/>
        <v>0.24949999999999761</v>
      </c>
      <c r="AK542" s="9">
        <f t="shared" si="424"/>
        <v>-4.0999999999999943</v>
      </c>
      <c r="AL542" s="9">
        <f t="shared" si="425"/>
        <v>-1.9000000000000057</v>
      </c>
      <c r="AM542" s="9">
        <f t="shared" si="426"/>
        <v>-0.125</v>
      </c>
      <c r="AN542" s="9">
        <f t="shared" si="427"/>
        <v>-0.5</v>
      </c>
      <c r="AO542" s="9">
        <f t="shared" si="428"/>
        <v>0.25</v>
      </c>
      <c r="AP542" s="9">
        <f t="shared" si="429"/>
        <v>-2.4500000000000028</v>
      </c>
      <c r="AQ542" s="9">
        <f t="shared" si="430"/>
        <v>-2.5999999999999943</v>
      </c>
      <c r="AR542" s="9">
        <f t="shared" si="431"/>
        <v>-0.49949999999999761</v>
      </c>
      <c r="AS542" s="9">
        <f t="shared" si="432"/>
        <v>-0.20050000000000523</v>
      </c>
      <c r="AT542" s="9">
        <f t="shared" si="433"/>
        <v>-5.3000000000000043</v>
      </c>
      <c r="AU542" s="9">
        <f t="shared" si="434"/>
        <v>-3.2000000000000028</v>
      </c>
      <c r="AV542" s="9">
        <f t="shared" si="435"/>
        <v>-1.8250000000000028</v>
      </c>
      <c r="AW542" s="9">
        <f t="shared" si="436"/>
        <v>-2.1000000000000014</v>
      </c>
      <c r="AX542" s="9">
        <f t="shared" si="437"/>
        <v>-0.95000000000000284</v>
      </c>
      <c r="AY542" s="9">
        <f t="shared" si="438"/>
        <v>-3.1000000000000014</v>
      </c>
      <c r="AZ542" s="9">
        <f t="shared" si="439"/>
        <v>-3.6000000000000014</v>
      </c>
      <c r="BA542" s="9">
        <f t="shared" si="440"/>
        <v>-1.1980000000000004</v>
      </c>
      <c r="BB542" s="9">
        <f t="shared" si="441"/>
        <v>-0.37600000000000477</v>
      </c>
      <c r="BC542" s="9">
        <f t="shared" si="442"/>
        <v>-5.525500000000001</v>
      </c>
      <c r="BD542" s="9">
        <f t="shared" si="443"/>
        <v>-3.8255000000000052</v>
      </c>
      <c r="BE542" s="9">
        <f t="shared" si="444"/>
        <v>-2.5005000000000024</v>
      </c>
      <c r="BF542" s="9">
        <f t="shared" si="445"/>
        <v>-2.9254999999999995</v>
      </c>
      <c r="BG542" s="9">
        <f t="shared" si="446"/>
        <v>-2.3755000000000024</v>
      </c>
      <c r="BH542" s="9">
        <f t="shared" si="447"/>
        <v>-4.2255000000000038</v>
      </c>
      <c r="BI542" s="9">
        <f t="shared" si="448"/>
        <v>-4.9254999999999995</v>
      </c>
      <c r="BJ542" s="9">
        <f t="shared" si="449"/>
        <v>-2.6234999999999999</v>
      </c>
    </row>
    <row r="543" spans="1:62" x14ac:dyDescent="0.2">
      <c r="A543" s="9">
        <f>data!M544-data!M543</f>
        <v>0.89010000000000389</v>
      </c>
      <c r="B543" s="9">
        <f>data!C544-data!C543</f>
        <v>1.7099999999999991</v>
      </c>
      <c r="C543" s="9">
        <f>data!D544-data!D543</f>
        <v>1.1224999999999996</v>
      </c>
      <c r="D543" s="10">
        <f>data!B544-data!B543</f>
        <v>-1.4999999999999902E-2</v>
      </c>
      <c r="E543" s="9">
        <f>data!E543-data!G543</f>
        <v>1.7962</v>
      </c>
      <c r="F543" s="9">
        <f>(data!E543-data!F543)-(data!G543-data!H543)</f>
        <v>1.1680000000000001</v>
      </c>
      <c r="G543" s="9">
        <f t="shared" si="400"/>
        <v>-6.3800000000000079E-2</v>
      </c>
      <c r="H543" s="9">
        <f t="shared" si="401"/>
        <v>-4.6900000000000164E-2</v>
      </c>
      <c r="I543" s="9">
        <f>IF(data!M544&gt; 111.81,1,0)</f>
        <v>0</v>
      </c>
      <c r="J543" s="9">
        <f t="shared" si="402"/>
        <v>1</v>
      </c>
      <c r="K543" s="9">
        <f t="shared" si="403"/>
        <v>0</v>
      </c>
      <c r="L543" s="9">
        <f t="shared" si="404"/>
        <v>0.89010000000000389</v>
      </c>
      <c r="M543" s="9">
        <f>data!J543</f>
        <v>-39.700000000000003</v>
      </c>
      <c r="N543" s="9">
        <f>data!I543</f>
        <v>-67.8</v>
      </c>
      <c r="O543" s="9">
        <f>data!L543</f>
        <v>-68.250500000000002</v>
      </c>
      <c r="P543" s="9">
        <f>data!K543</f>
        <v>-50.500500000000002</v>
      </c>
      <c r="Q543" s="9">
        <f>data!R543</f>
        <v>-40.250500000000002</v>
      </c>
      <c r="R543" s="9">
        <f t="shared" si="405"/>
        <v>-2.7999999999999972</v>
      </c>
      <c r="S543" s="9">
        <f t="shared" si="406"/>
        <v>-1.2999999999999972</v>
      </c>
      <c r="T543" s="9">
        <f t="shared" si="407"/>
        <v>0.20000000000000284</v>
      </c>
      <c r="U543" s="9">
        <f t="shared" si="408"/>
        <v>-0.79999999999999716</v>
      </c>
      <c r="V543" s="9">
        <f t="shared" si="409"/>
        <v>-0.54999999999999716</v>
      </c>
      <c r="W543" s="9">
        <f t="shared" si="410"/>
        <v>-1.5499999999999972</v>
      </c>
      <c r="X543" s="9">
        <f t="shared" si="411"/>
        <v>-3.2999999999999972</v>
      </c>
      <c r="Y543" s="9">
        <f t="shared" si="412"/>
        <v>-0.79999999999999716</v>
      </c>
      <c r="Z543" s="9">
        <f t="shared" si="413"/>
        <v>-0.58929999999999438</v>
      </c>
      <c r="AA543" s="9">
        <f t="shared" si="414"/>
        <v>-3.2000000000000028</v>
      </c>
      <c r="AB543" s="9">
        <f t="shared" si="415"/>
        <v>-1.7000000000000028</v>
      </c>
      <c r="AC543" s="9">
        <f t="shared" si="416"/>
        <v>0.29999999999999716</v>
      </c>
      <c r="AD543" s="9">
        <f t="shared" si="417"/>
        <v>-1.2000000000000028</v>
      </c>
      <c r="AE543" s="9">
        <f t="shared" si="418"/>
        <v>-1.7000000000000028</v>
      </c>
      <c r="AF543" s="9">
        <f t="shared" si="419"/>
        <v>-3.7000000000000028</v>
      </c>
      <c r="AG543" s="9">
        <f t="shared" si="420"/>
        <v>-4.5</v>
      </c>
      <c r="AH543" s="9">
        <f t="shared" si="421"/>
        <v>-2.7000000000000028</v>
      </c>
      <c r="AI543" s="9">
        <f t="shared" si="422"/>
        <v>-3.4500000000000028</v>
      </c>
      <c r="AJ543" s="9">
        <f t="shared" si="423"/>
        <v>-4.3494999999999919</v>
      </c>
      <c r="AK543" s="9">
        <f t="shared" si="424"/>
        <v>-2.1495000000000033</v>
      </c>
      <c r="AL543" s="9">
        <f t="shared" si="425"/>
        <v>-0.37449999999999761</v>
      </c>
      <c r="AM543" s="9">
        <f t="shared" si="426"/>
        <v>-0.74949999999999761</v>
      </c>
      <c r="AN543" s="9">
        <f t="shared" si="427"/>
        <v>5.0000000000238742E-4</v>
      </c>
      <c r="AO543" s="9">
        <f t="shared" si="428"/>
        <v>-2.6995000000000005</v>
      </c>
      <c r="AP543" s="9">
        <f t="shared" si="429"/>
        <v>-2.8494999999999919</v>
      </c>
      <c r="AQ543" s="9">
        <f t="shared" si="430"/>
        <v>-0.74899999999999523</v>
      </c>
      <c r="AR543" s="9">
        <f t="shared" si="431"/>
        <v>-1.3789999999999907</v>
      </c>
      <c r="AS543" s="9">
        <f t="shared" si="432"/>
        <v>-5.099499999999999</v>
      </c>
      <c r="AT543" s="9">
        <f t="shared" si="433"/>
        <v>-2.9994999999999976</v>
      </c>
      <c r="AU543" s="9">
        <f t="shared" si="434"/>
        <v>-1.6244999999999976</v>
      </c>
      <c r="AV543" s="9">
        <f t="shared" si="435"/>
        <v>-1.8994999999999962</v>
      </c>
      <c r="AW543" s="9">
        <f t="shared" si="436"/>
        <v>-0.74949999999999761</v>
      </c>
      <c r="AX543" s="9">
        <f t="shared" si="437"/>
        <v>-2.8994999999999962</v>
      </c>
      <c r="AY543" s="9">
        <f t="shared" si="438"/>
        <v>-3.3994999999999962</v>
      </c>
      <c r="AZ543" s="9">
        <f t="shared" si="439"/>
        <v>-0.99749999999999517</v>
      </c>
      <c r="BA543" s="9">
        <f t="shared" si="440"/>
        <v>-1.7469999999999999</v>
      </c>
      <c r="BB543" s="9">
        <f t="shared" si="441"/>
        <v>-5.1494999999999962</v>
      </c>
      <c r="BC543" s="9">
        <f t="shared" si="442"/>
        <v>-3.4495000000000005</v>
      </c>
      <c r="BD543" s="9">
        <f t="shared" si="443"/>
        <v>-2.1244999999999976</v>
      </c>
      <c r="BE543" s="9">
        <f t="shared" si="444"/>
        <v>-2.5494999999999948</v>
      </c>
      <c r="BF543" s="9">
        <f t="shared" si="445"/>
        <v>-1.9994999999999976</v>
      </c>
      <c r="BG543" s="9">
        <f t="shared" si="446"/>
        <v>-3.849499999999999</v>
      </c>
      <c r="BH543" s="9">
        <f t="shared" si="447"/>
        <v>-4.5494999999999948</v>
      </c>
      <c r="BI543" s="9">
        <f t="shared" si="448"/>
        <v>-2.2474999999999952</v>
      </c>
      <c r="BJ543" s="9">
        <f t="shared" si="449"/>
        <v>-3.2494999999999976</v>
      </c>
    </row>
    <row r="544" spans="1:62" x14ac:dyDescent="0.2">
      <c r="A544" s="9">
        <f>data!M545-data!M544</f>
        <v>0.39480000000000359</v>
      </c>
      <c r="B544" s="9">
        <f>data!C545-data!C544</f>
        <v>0.37000000000000099</v>
      </c>
      <c r="C544" s="9">
        <f>data!D545-data!D544</f>
        <v>-0.27249999999999908</v>
      </c>
      <c r="D544" s="10">
        <f>data!B545-data!B544</f>
        <v>8.2500000000000018E-2</v>
      </c>
      <c r="E544" s="9">
        <f>data!E544-data!G544</f>
        <v>1.7323999999999999</v>
      </c>
      <c r="F544" s="9">
        <f>(data!E544-data!F544)-(data!G544-data!H544)</f>
        <v>1.1211</v>
      </c>
      <c r="G544" s="9">
        <f t="shared" si="400"/>
        <v>0.18920000000000003</v>
      </c>
      <c r="H544" s="9">
        <f t="shared" si="401"/>
        <v>8.5800000000000098E-2</v>
      </c>
      <c r="I544" s="9">
        <f>IF(data!M545&gt; 111.81,1,0)</f>
        <v>0</v>
      </c>
      <c r="J544" s="9">
        <f t="shared" si="402"/>
        <v>1</v>
      </c>
      <c r="K544" s="9">
        <f t="shared" si="403"/>
        <v>0</v>
      </c>
      <c r="L544" s="9">
        <f t="shared" si="404"/>
        <v>0.39480000000000359</v>
      </c>
      <c r="M544" s="9">
        <f>data!J544</f>
        <v>-42.5</v>
      </c>
      <c r="N544" s="9">
        <f>data!I544</f>
        <v>-71</v>
      </c>
      <c r="O544" s="9">
        <f>data!L544</f>
        <v>-72.599999999999994</v>
      </c>
      <c r="P544" s="9">
        <f>data!K544</f>
        <v>-55.6</v>
      </c>
      <c r="Q544" s="9">
        <f>data!R544</f>
        <v>-45.4</v>
      </c>
      <c r="R544" s="9">
        <f t="shared" si="405"/>
        <v>1.5</v>
      </c>
      <c r="S544" s="9">
        <f t="shared" si="406"/>
        <v>3</v>
      </c>
      <c r="T544" s="9">
        <f t="shared" si="407"/>
        <v>2</v>
      </c>
      <c r="U544" s="9">
        <f t="shared" si="408"/>
        <v>2.25</v>
      </c>
      <c r="V544" s="9">
        <f t="shared" si="409"/>
        <v>1.25</v>
      </c>
      <c r="W544" s="9">
        <f t="shared" si="410"/>
        <v>-0.5</v>
      </c>
      <c r="X544" s="9">
        <f t="shared" si="411"/>
        <v>2</v>
      </c>
      <c r="Y544" s="9">
        <f t="shared" si="412"/>
        <v>2.2107000000000028</v>
      </c>
      <c r="Z544" s="9">
        <f t="shared" si="413"/>
        <v>1.2000000000000028</v>
      </c>
      <c r="AA544" s="9">
        <f t="shared" si="414"/>
        <v>1.5</v>
      </c>
      <c r="AB544" s="9">
        <f t="shared" si="415"/>
        <v>3.5</v>
      </c>
      <c r="AC544" s="9">
        <f t="shared" si="416"/>
        <v>2</v>
      </c>
      <c r="AD544" s="9">
        <f t="shared" si="417"/>
        <v>1.5</v>
      </c>
      <c r="AE544" s="9">
        <f t="shared" si="418"/>
        <v>-0.5</v>
      </c>
      <c r="AF544" s="9">
        <f t="shared" si="419"/>
        <v>-1.2999999999999972</v>
      </c>
      <c r="AG544" s="9">
        <f t="shared" si="420"/>
        <v>0.5</v>
      </c>
      <c r="AH544" s="9">
        <f t="shared" si="421"/>
        <v>-0.25</v>
      </c>
      <c r="AI544" s="9">
        <f t="shared" si="422"/>
        <v>-1</v>
      </c>
      <c r="AJ544" s="9">
        <f t="shared" si="423"/>
        <v>2.1999999999999886</v>
      </c>
      <c r="AK544" s="9">
        <f t="shared" si="424"/>
        <v>3.9749999999999943</v>
      </c>
      <c r="AL544" s="9">
        <f t="shared" si="425"/>
        <v>3.5999999999999943</v>
      </c>
      <c r="AM544" s="9">
        <f t="shared" si="426"/>
        <v>4.3499999999999943</v>
      </c>
      <c r="AN544" s="9">
        <f t="shared" si="427"/>
        <v>1.6499999999999915</v>
      </c>
      <c r="AO544" s="9">
        <f t="shared" si="428"/>
        <v>1.5</v>
      </c>
      <c r="AP544" s="9">
        <f t="shared" si="429"/>
        <v>3.6004999999999967</v>
      </c>
      <c r="AQ544" s="9">
        <f t="shared" si="430"/>
        <v>2.9705000000000013</v>
      </c>
      <c r="AR544" s="9">
        <f t="shared" si="431"/>
        <v>2.0999999999999943</v>
      </c>
      <c r="AS544" s="9">
        <f t="shared" si="432"/>
        <v>2.1000000000000014</v>
      </c>
      <c r="AT544" s="9">
        <f t="shared" si="433"/>
        <v>3.4750000000000014</v>
      </c>
      <c r="AU544" s="9">
        <f t="shared" si="434"/>
        <v>3.2000000000000028</v>
      </c>
      <c r="AV544" s="9">
        <f t="shared" si="435"/>
        <v>4.3500000000000014</v>
      </c>
      <c r="AW544" s="9">
        <f t="shared" si="436"/>
        <v>2.2000000000000028</v>
      </c>
      <c r="AX544" s="9">
        <f t="shared" si="437"/>
        <v>1.7000000000000028</v>
      </c>
      <c r="AY544" s="9">
        <f t="shared" si="438"/>
        <v>4.1020000000000039</v>
      </c>
      <c r="AZ544" s="9">
        <f t="shared" si="439"/>
        <v>3.3524999999999991</v>
      </c>
      <c r="BA544" s="9">
        <f t="shared" si="440"/>
        <v>2.6000000000000014</v>
      </c>
      <c r="BB544" s="9">
        <f t="shared" si="441"/>
        <v>1.6999999999999957</v>
      </c>
      <c r="BC544" s="9">
        <f t="shared" si="442"/>
        <v>3.0249999999999986</v>
      </c>
      <c r="BD544" s="9">
        <f t="shared" si="443"/>
        <v>2.6000000000000014</v>
      </c>
      <c r="BE544" s="9">
        <f t="shared" si="444"/>
        <v>3.1499999999999986</v>
      </c>
      <c r="BF544" s="9">
        <f t="shared" si="445"/>
        <v>1.2999999999999972</v>
      </c>
      <c r="BG544" s="9">
        <f t="shared" si="446"/>
        <v>0.60000000000000142</v>
      </c>
      <c r="BH544" s="9">
        <f t="shared" si="447"/>
        <v>2.902000000000001</v>
      </c>
      <c r="BI544" s="9">
        <f t="shared" si="448"/>
        <v>1.8999999999999986</v>
      </c>
      <c r="BJ544" s="9">
        <f t="shared" si="449"/>
        <v>1.1499999999999986</v>
      </c>
    </row>
    <row r="545" spans="1:62" x14ac:dyDescent="0.2">
      <c r="A545" s="9">
        <f>data!M546-data!M545</f>
        <v>-1.2321000000000026</v>
      </c>
      <c r="B545" s="9">
        <f>data!C546-data!C545</f>
        <v>-0.43000000000000149</v>
      </c>
      <c r="C545" s="9">
        <f>data!D546-data!D545</f>
        <v>-0.19250000000000078</v>
      </c>
      <c r="D545" s="10">
        <f>data!B546-data!B545</f>
        <v>4.4999999999999929E-2</v>
      </c>
      <c r="E545" s="9">
        <f>data!E545-data!G545</f>
        <v>1.9216</v>
      </c>
      <c r="F545" s="9">
        <f>(data!E545-data!F545)-(data!G545-data!H545)</f>
        <v>1.2069000000000001</v>
      </c>
      <c r="G545" s="9">
        <f t="shared" si="400"/>
        <v>-3.8799999999999946E-2</v>
      </c>
      <c r="H545" s="9">
        <f t="shared" si="401"/>
        <v>-4.5700000000000074E-2</v>
      </c>
      <c r="I545" s="9">
        <f>IF(data!M546&gt; 111.81,1,0)</f>
        <v>0</v>
      </c>
      <c r="J545" s="9">
        <f t="shared" si="402"/>
        <v>1</v>
      </c>
      <c r="K545" s="9">
        <f t="shared" si="403"/>
        <v>0</v>
      </c>
      <c r="L545" s="9">
        <f t="shared" si="404"/>
        <v>-1.2321000000000026</v>
      </c>
      <c r="M545" s="9">
        <f>data!J545</f>
        <v>-41</v>
      </c>
      <c r="N545" s="9">
        <f>data!I545</f>
        <v>-69.5</v>
      </c>
      <c r="O545" s="9">
        <f>data!L545</f>
        <v>-70.400000000000006</v>
      </c>
      <c r="P545" s="9">
        <f>data!K545</f>
        <v>-53.5</v>
      </c>
      <c r="Q545" s="9">
        <f>data!R545</f>
        <v>-43.7</v>
      </c>
      <c r="R545" s="9">
        <f t="shared" si="405"/>
        <v>1.5</v>
      </c>
      <c r="S545" s="9">
        <f t="shared" si="406"/>
        <v>0.5</v>
      </c>
      <c r="T545" s="9">
        <f t="shared" si="407"/>
        <v>0.75</v>
      </c>
      <c r="U545" s="9">
        <f t="shared" si="408"/>
        <v>-0.25</v>
      </c>
      <c r="V545" s="9">
        <f t="shared" si="409"/>
        <v>-2</v>
      </c>
      <c r="W545" s="9">
        <f t="shared" si="410"/>
        <v>0.5</v>
      </c>
      <c r="X545" s="9">
        <f t="shared" si="411"/>
        <v>0.71070000000000277</v>
      </c>
      <c r="Y545" s="9">
        <f t="shared" si="412"/>
        <v>-0.29999999999999716</v>
      </c>
      <c r="Z545" s="9">
        <f t="shared" si="413"/>
        <v>-0.5</v>
      </c>
      <c r="AA545" s="9">
        <f t="shared" si="414"/>
        <v>2</v>
      </c>
      <c r="AB545" s="9">
        <f t="shared" si="415"/>
        <v>0.5</v>
      </c>
      <c r="AC545" s="9">
        <f t="shared" si="416"/>
        <v>0</v>
      </c>
      <c r="AD545" s="9">
        <f t="shared" si="417"/>
        <v>-2</v>
      </c>
      <c r="AE545" s="9">
        <f t="shared" si="418"/>
        <v>-2.7999999999999972</v>
      </c>
      <c r="AF545" s="9">
        <f t="shared" si="419"/>
        <v>-1</v>
      </c>
      <c r="AG545" s="9">
        <f t="shared" si="420"/>
        <v>-1.75</v>
      </c>
      <c r="AH545" s="9">
        <f t="shared" si="421"/>
        <v>-2.5</v>
      </c>
      <c r="AI545" s="9">
        <f t="shared" si="422"/>
        <v>-2</v>
      </c>
      <c r="AJ545" s="9">
        <f t="shared" si="423"/>
        <v>1.7750000000000057</v>
      </c>
      <c r="AK545" s="9">
        <f t="shared" si="424"/>
        <v>1.4000000000000057</v>
      </c>
      <c r="AL545" s="9">
        <f t="shared" si="425"/>
        <v>2.1500000000000057</v>
      </c>
      <c r="AM545" s="9">
        <f t="shared" si="426"/>
        <v>-0.54999999999999716</v>
      </c>
      <c r="AN545" s="9">
        <f t="shared" si="427"/>
        <v>-0.69999999999998863</v>
      </c>
      <c r="AO545" s="9">
        <f t="shared" si="428"/>
        <v>1.4005000000000081</v>
      </c>
      <c r="AP545" s="9">
        <f t="shared" si="429"/>
        <v>0.77050000000001262</v>
      </c>
      <c r="AQ545" s="9">
        <f t="shared" si="430"/>
        <v>-9.9999999999994316E-2</v>
      </c>
      <c r="AR545" s="9">
        <f t="shared" si="431"/>
        <v>0.40000000000000568</v>
      </c>
      <c r="AS545" s="9">
        <f t="shared" si="432"/>
        <v>1.375</v>
      </c>
      <c r="AT545" s="9">
        <f t="shared" si="433"/>
        <v>1.1000000000000014</v>
      </c>
      <c r="AU545" s="9">
        <f t="shared" si="434"/>
        <v>2.25</v>
      </c>
      <c r="AV545" s="9">
        <f t="shared" si="435"/>
        <v>0.10000000000000142</v>
      </c>
      <c r="AW545" s="9">
        <f t="shared" si="436"/>
        <v>-0.39999999999999858</v>
      </c>
      <c r="AX545" s="9">
        <f t="shared" si="437"/>
        <v>2.0020000000000024</v>
      </c>
      <c r="AY545" s="9">
        <f t="shared" si="438"/>
        <v>1.2524999999999977</v>
      </c>
      <c r="AZ545" s="9">
        <f t="shared" si="439"/>
        <v>0.5</v>
      </c>
      <c r="BA545" s="9">
        <f t="shared" si="440"/>
        <v>0.70000000000000284</v>
      </c>
      <c r="BB545" s="9">
        <f t="shared" si="441"/>
        <v>1.3250000000000028</v>
      </c>
      <c r="BC545" s="9">
        <f t="shared" si="442"/>
        <v>0.90000000000000568</v>
      </c>
      <c r="BD545" s="9">
        <f t="shared" si="443"/>
        <v>1.4500000000000028</v>
      </c>
      <c r="BE545" s="9">
        <f t="shared" si="444"/>
        <v>-0.39999999999999858</v>
      </c>
      <c r="BF545" s="9">
        <f t="shared" si="445"/>
        <v>-1.0999999999999943</v>
      </c>
      <c r="BG545" s="9">
        <f t="shared" si="446"/>
        <v>1.2020000000000053</v>
      </c>
      <c r="BH545" s="9">
        <f t="shared" si="447"/>
        <v>0.20000000000000284</v>
      </c>
      <c r="BI545" s="9">
        <f t="shared" si="448"/>
        <v>-0.54999999999999716</v>
      </c>
      <c r="BJ545" s="9">
        <f t="shared" si="449"/>
        <v>7.5000000000002842E-2</v>
      </c>
    </row>
    <row r="546" spans="1:62" x14ac:dyDescent="0.2">
      <c r="A546" s="9">
        <f>data!M547-data!M546</f>
        <v>-0.45189999999999486</v>
      </c>
      <c r="B546" s="9">
        <f>data!C547-data!C546</f>
        <v>0.18000000000000149</v>
      </c>
      <c r="C546" s="9">
        <f>data!D547-data!D546</f>
        <v>-0.29250000000000043</v>
      </c>
      <c r="D546" s="10">
        <f>data!B547-data!B546</f>
        <v>0.14500000000000002</v>
      </c>
      <c r="E546" s="9">
        <f>data!E546-data!G546</f>
        <v>1.8828</v>
      </c>
      <c r="F546" s="9">
        <f>(data!E546-data!F546)-(data!G546-data!H546)</f>
        <v>1.1612</v>
      </c>
      <c r="G546" s="9">
        <f t="shared" si="400"/>
        <v>-4.3100000000000138E-2</v>
      </c>
      <c r="H546" s="9">
        <f t="shared" si="401"/>
        <v>6.5599999999999881E-2</v>
      </c>
      <c r="I546" s="9">
        <f>IF(data!M547&gt; 111.81,1,0)</f>
        <v>0</v>
      </c>
      <c r="J546" s="9">
        <f t="shared" si="402"/>
        <v>1</v>
      </c>
      <c r="K546" s="9">
        <f t="shared" si="403"/>
        <v>0</v>
      </c>
      <c r="L546" s="9">
        <f t="shared" si="404"/>
        <v>-0.45189999999999486</v>
      </c>
      <c r="M546" s="9">
        <f>data!J546</f>
        <v>-39.5</v>
      </c>
      <c r="N546" s="9">
        <f>data!I546</f>
        <v>-67.5</v>
      </c>
      <c r="O546" s="9">
        <f>data!L546</f>
        <v>-68.625</v>
      </c>
      <c r="P546" s="9">
        <f>data!K546</f>
        <v>-52.125</v>
      </c>
      <c r="Q546" s="9">
        <f>data!R546</f>
        <v>-42.375</v>
      </c>
      <c r="R546" s="9">
        <f t="shared" si="405"/>
        <v>-1</v>
      </c>
      <c r="S546" s="9">
        <f t="shared" si="406"/>
        <v>-0.75</v>
      </c>
      <c r="T546" s="9">
        <f t="shared" si="407"/>
        <v>-1.75</v>
      </c>
      <c r="U546" s="9">
        <f t="shared" si="408"/>
        <v>-3.5</v>
      </c>
      <c r="V546" s="9">
        <f t="shared" si="409"/>
        <v>-1</v>
      </c>
      <c r="W546" s="9">
        <f t="shared" si="410"/>
        <v>-0.78929999999999723</v>
      </c>
      <c r="X546" s="9">
        <f t="shared" si="411"/>
        <v>-1.7999999999999972</v>
      </c>
      <c r="Y546" s="9">
        <f t="shared" si="412"/>
        <v>-2</v>
      </c>
      <c r="Z546" s="9">
        <f t="shared" si="413"/>
        <v>-2.5</v>
      </c>
      <c r="AA546" s="9">
        <f t="shared" si="414"/>
        <v>-1.5</v>
      </c>
      <c r="AB546" s="9">
        <f t="shared" si="415"/>
        <v>-2</v>
      </c>
      <c r="AC546" s="9">
        <f t="shared" si="416"/>
        <v>-4</v>
      </c>
      <c r="AD546" s="9">
        <f t="shared" si="417"/>
        <v>-4.7999999999999972</v>
      </c>
      <c r="AE546" s="9">
        <f t="shared" si="418"/>
        <v>-3</v>
      </c>
      <c r="AF546" s="9">
        <f t="shared" si="419"/>
        <v>-3.75</v>
      </c>
      <c r="AG546" s="9">
        <f t="shared" si="420"/>
        <v>-4.5</v>
      </c>
      <c r="AH546" s="9">
        <f t="shared" si="421"/>
        <v>-4</v>
      </c>
      <c r="AI546" s="9">
        <f t="shared" si="422"/>
        <v>-4.8799999999999955</v>
      </c>
      <c r="AJ546" s="9">
        <f t="shared" si="423"/>
        <v>-0.375</v>
      </c>
      <c r="AK546" s="9">
        <f t="shared" si="424"/>
        <v>0.375</v>
      </c>
      <c r="AL546" s="9">
        <f t="shared" si="425"/>
        <v>-2.3250000000000028</v>
      </c>
      <c r="AM546" s="9">
        <f t="shared" si="426"/>
        <v>-2.4749999999999943</v>
      </c>
      <c r="AN546" s="9">
        <f t="shared" si="427"/>
        <v>-0.37449999999999761</v>
      </c>
      <c r="AO546" s="9">
        <f t="shared" si="428"/>
        <v>-1.0044999999999931</v>
      </c>
      <c r="AP546" s="9">
        <f t="shared" si="429"/>
        <v>-1.875</v>
      </c>
      <c r="AQ546" s="9">
        <f t="shared" si="430"/>
        <v>-1.375</v>
      </c>
      <c r="AR546" s="9">
        <f t="shared" si="431"/>
        <v>-1.875</v>
      </c>
      <c r="AS546" s="9">
        <f t="shared" si="432"/>
        <v>-0.27499999999999858</v>
      </c>
      <c r="AT546" s="9">
        <f t="shared" si="433"/>
        <v>0.875</v>
      </c>
      <c r="AU546" s="9">
        <f t="shared" si="434"/>
        <v>-1.2749999999999986</v>
      </c>
      <c r="AV546" s="9">
        <f t="shared" si="435"/>
        <v>-1.7749999999999986</v>
      </c>
      <c r="AW546" s="9">
        <f t="shared" si="436"/>
        <v>0.62700000000000244</v>
      </c>
      <c r="AX546" s="9">
        <f t="shared" si="437"/>
        <v>-0.12250000000000227</v>
      </c>
      <c r="AY546" s="9">
        <f t="shared" si="438"/>
        <v>-0.875</v>
      </c>
      <c r="AZ546" s="9">
        <f t="shared" si="439"/>
        <v>-0.67499999999999716</v>
      </c>
      <c r="BA546" s="9">
        <f t="shared" si="440"/>
        <v>-0.49499999999999744</v>
      </c>
      <c r="BB546" s="9">
        <f t="shared" si="441"/>
        <v>-0.42499999999999716</v>
      </c>
      <c r="BC546" s="9">
        <f t="shared" si="442"/>
        <v>0.125</v>
      </c>
      <c r="BD546" s="9">
        <f t="shared" si="443"/>
        <v>-1.7250000000000014</v>
      </c>
      <c r="BE546" s="9">
        <f t="shared" si="444"/>
        <v>-2.4249999999999972</v>
      </c>
      <c r="BF546" s="9">
        <f t="shared" si="445"/>
        <v>-0.12299999999999756</v>
      </c>
      <c r="BG546" s="9">
        <f t="shared" si="446"/>
        <v>-1.125</v>
      </c>
      <c r="BH546" s="9">
        <f t="shared" si="447"/>
        <v>-1.875</v>
      </c>
      <c r="BI546" s="9">
        <f t="shared" si="448"/>
        <v>-1.25</v>
      </c>
      <c r="BJ546" s="9">
        <f t="shared" si="449"/>
        <v>-1.375</v>
      </c>
    </row>
    <row r="547" spans="1:62" x14ac:dyDescent="0.2">
      <c r="A547" s="9">
        <f>data!M548-data!M547</f>
        <v>0.9620000000000033</v>
      </c>
      <c r="B547" s="9">
        <f>data!C548-data!C547</f>
        <v>5.9999999999998721E-2</v>
      </c>
      <c r="C547" s="9">
        <f>data!D548-data!D547</f>
        <v>-9.2499999999999361E-2</v>
      </c>
      <c r="D547" s="10">
        <f>data!B548-data!B547</f>
        <v>-9.4999999999999973E-2</v>
      </c>
      <c r="E547" s="9">
        <f>data!E547-data!G547</f>
        <v>1.8396999999999999</v>
      </c>
      <c r="F547" s="9">
        <f>(data!E547-data!F547)-(data!G547-data!H547)</f>
        <v>1.2267999999999999</v>
      </c>
      <c r="G547" s="9">
        <f t="shared" si="400"/>
        <v>0.16790000000000016</v>
      </c>
      <c r="H547" s="9">
        <f t="shared" si="401"/>
        <v>5.8100000000000041E-2</v>
      </c>
      <c r="I547" s="9">
        <f>IF(data!M548&gt; 111.81,1,0)</f>
        <v>0</v>
      </c>
      <c r="J547" s="9">
        <f t="shared" si="402"/>
        <v>1</v>
      </c>
      <c r="K547" s="9">
        <f t="shared" si="403"/>
        <v>0</v>
      </c>
      <c r="L547" s="9">
        <f t="shared" si="404"/>
        <v>0.9620000000000033</v>
      </c>
      <c r="M547" s="9">
        <f>data!J547</f>
        <v>-40.5</v>
      </c>
      <c r="N547" s="9">
        <f>data!I547</f>
        <v>-69</v>
      </c>
      <c r="O547" s="9">
        <f>data!L547</f>
        <v>-69</v>
      </c>
      <c r="P547" s="9">
        <f>data!K547</f>
        <v>-52.4</v>
      </c>
      <c r="Q547" s="9">
        <f>data!R547</f>
        <v>-42.8</v>
      </c>
      <c r="R547" s="9">
        <f t="shared" si="405"/>
        <v>0.25</v>
      </c>
      <c r="S547" s="9">
        <f t="shared" si="406"/>
        <v>-0.75</v>
      </c>
      <c r="T547" s="9">
        <f t="shared" si="407"/>
        <v>-2.5</v>
      </c>
      <c r="U547" s="9">
        <f t="shared" si="408"/>
        <v>0</v>
      </c>
      <c r="V547" s="9">
        <f t="shared" si="409"/>
        <v>0.21070000000000277</v>
      </c>
      <c r="W547" s="9">
        <f t="shared" si="410"/>
        <v>-0.79999999999999716</v>
      </c>
      <c r="X547" s="9">
        <f t="shared" si="411"/>
        <v>-1</v>
      </c>
      <c r="Y547" s="9">
        <f t="shared" si="412"/>
        <v>-1.5</v>
      </c>
      <c r="Z547" s="9">
        <f t="shared" si="413"/>
        <v>-1.8059999999999974</v>
      </c>
      <c r="AA547" s="9">
        <f t="shared" si="414"/>
        <v>-0.5</v>
      </c>
      <c r="AB547" s="9">
        <f t="shared" si="415"/>
        <v>-2.5</v>
      </c>
      <c r="AC547" s="9">
        <f t="shared" si="416"/>
        <v>-3.2999999999999972</v>
      </c>
      <c r="AD547" s="9">
        <f t="shared" si="417"/>
        <v>-1.5</v>
      </c>
      <c r="AE547" s="9">
        <f t="shared" si="418"/>
        <v>-2.25</v>
      </c>
      <c r="AF547" s="9">
        <f t="shared" si="419"/>
        <v>-3</v>
      </c>
      <c r="AG547" s="9">
        <f t="shared" si="420"/>
        <v>-2.5</v>
      </c>
      <c r="AH547" s="9">
        <f t="shared" si="421"/>
        <v>-3.3799999999999955</v>
      </c>
      <c r="AI547" s="9">
        <f t="shared" si="422"/>
        <v>-3.1299999999999955</v>
      </c>
      <c r="AJ547" s="9">
        <f t="shared" si="423"/>
        <v>0.75</v>
      </c>
      <c r="AK547" s="9">
        <f t="shared" si="424"/>
        <v>-1.9500000000000028</v>
      </c>
      <c r="AL547" s="9">
        <f t="shared" si="425"/>
        <v>-2.0999999999999943</v>
      </c>
      <c r="AM547" s="9">
        <f t="shared" si="426"/>
        <v>5.0000000000238742E-4</v>
      </c>
      <c r="AN547" s="9">
        <f t="shared" si="427"/>
        <v>-0.62949999999999307</v>
      </c>
      <c r="AO547" s="9">
        <f t="shared" si="428"/>
        <v>-1.5</v>
      </c>
      <c r="AP547" s="9">
        <f t="shared" si="429"/>
        <v>-1</v>
      </c>
      <c r="AQ547" s="9">
        <f t="shared" si="430"/>
        <v>-1.5</v>
      </c>
      <c r="AR547" s="9">
        <f t="shared" si="431"/>
        <v>-0.74949999999999761</v>
      </c>
      <c r="AS547" s="9">
        <f t="shared" si="432"/>
        <v>1.1499999999999986</v>
      </c>
      <c r="AT547" s="9">
        <f t="shared" si="433"/>
        <v>-1</v>
      </c>
      <c r="AU547" s="9">
        <f t="shared" si="434"/>
        <v>-1.5</v>
      </c>
      <c r="AV547" s="9">
        <f t="shared" si="435"/>
        <v>0.90200000000000102</v>
      </c>
      <c r="AW547" s="9">
        <f t="shared" si="436"/>
        <v>0.15249999999999631</v>
      </c>
      <c r="AX547" s="9">
        <f t="shared" si="437"/>
        <v>-0.60000000000000142</v>
      </c>
      <c r="AY547" s="9">
        <f t="shared" si="438"/>
        <v>-0.39999999999999858</v>
      </c>
      <c r="AZ547" s="9">
        <f t="shared" si="439"/>
        <v>-0.21999999999999886</v>
      </c>
      <c r="BA547" s="9">
        <f t="shared" si="440"/>
        <v>1.1499999999999986</v>
      </c>
      <c r="BB547" s="9">
        <f t="shared" si="441"/>
        <v>0.54999999999999716</v>
      </c>
      <c r="BC547" s="9">
        <f t="shared" si="442"/>
        <v>-1.3000000000000043</v>
      </c>
      <c r="BD547" s="9">
        <f t="shared" si="443"/>
        <v>-2</v>
      </c>
      <c r="BE547" s="9">
        <f t="shared" si="444"/>
        <v>0.3019999999999996</v>
      </c>
      <c r="BF547" s="9">
        <f t="shared" si="445"/>
        <v>-0.70000000000000284</v>
      </c>
      <c r="BG547" s="9">
        <f t="shared" si="446"/>
        <v>-1.4500000000000028</v>
      </c>
      <c r="BH547" s="9">
        <f t="shared" si="447"/>
        <v>-0.82500000000000284</v>
      </c>
      <c r="BI547" s="9">
        <f t="shared" si="448"/>
        <v>-0.95000000000000284</v>
      </c>
      <c r="BJ547" s="9">
        <f t="shared" si="449"/>
        <v>0.41949999999999932</v>
      </c>
    </row>
    <row r="548" spans="1:62" x14ac:dyDescent="0.2">
      <c r="A548" s="9">
        <f>data!M549-data!M548</f>
        <v>0.49899999999999523</v>
      </c>
      <c r="B548" s="9">
        <f>data!C549-data!C548</f>
        <v>2.7699999999999996</v>
      </c>
      <c r="C548" s="9">
        <f>data!D549-data!D548</f>
        <v>0.17999999999999972</v>
      </c>
      <c r="D548" s="10">
        <f>data!B549-data!B548</f>
        <v>-0.32000000000000006</v>
      </c>
      <c r="E548" s="9">
        <f>data!E548-data!G548</f>
        <v>2.0076000000000001</v>
      </c>
      <c r="F548" s="9">
        <f>(data!E548-data!F548)-(data!G548-data!H548)</f>
        <v>1.2848999999999999</v>
      </c>
      <c r="G548" s="9">
        <f t="shared" si="400"/>
        <v>-0.10330000000000017</v>
      </c>
      <c r="H548" s="9">
        <f t="shared" si="401"/>
        <v>1.3999999999998458E-3</v>
      </c>
      <c r="I548" s="9">
        <f>IF(data!M549&gt; 111.81,1,0)</f>
        <v>0</v>
      </c>
      <c r="J548" s="9">
        <f t="shared" si="402"/>
        <v>1</v>
      </c>
      <c r="K548" s="9">
        <f t="shared" si="403"/>
        <v>0</v>
      </c>
      <c r="L548" s="9">
        <f t="shared" si="404"/>
        <v>0.49899999999999523</v>
      </c>
      <c r="M548" s="9">
        <f>data!J548</f>
        <v>-40.25</v>
      </c>
      <c r="N548" s="9">
        <f>data!I548</f>
        <v>-69.5</v>
      </c>
      <c r="O548" s="9">
        <f>data!L548</f>
        <v>-68.25</v>
      </c>
      <c r="P548" s="9">
        <f>data!K548</f>
        <v>-51.25</v>
      </c>
      <c r="Q548" s="9">
        <f>data!R548</f>
        <v>-42.25</v>
      </c>
      <c r="R548" s="9">
        <f t="shared" si="405"/>
        <v>-1</v>
      </c>
      <c r="S548" s="9">
        <f t="shared" si="406"/>
        <v>-2.75</v>
      </c>
      <c r="T548" s="9">
        <f t="shared" si="407"/>
        <v>-0.25</v>
      </c>
      <c r="U548" s="9">
        <f t="shared" si="408"/>
        <v>-3.9299999999997226E-2</v>
      </c>
      <c r="V548" s="9">
        <f t="shared" si="409"/>
        <v>-1.0499999999999972</v>
      </c>
      <c r="W548" s="9">
        <f t="shared" si="410"/>
        <v>-1.25</v>
      </c>
      <c r="X548" s="9">
        <f t="shared" si="411"/>
        <v>-1.75</v>
      </c>
      <c r="Y548" s="9">
        <f t="shared" si="412"/>
        <v>-2.0559999999999974</v>
      </c>
      <c r="Z548" s="9">
        <f t="shared" si="413"/>
        <v>-1.75</v>
      </c>
      <c r="AA548" s="9">
        <f t="shared" si="414"/>
        <v>-2</v>
      </c>
      <c r="AB548" s="9">
        <f t="shared" si="415"/>
        <v>-2.7999999999999972</v>
      </c>
      <c r="AC548" s="9">
        <f t="shared" si="416"/>
        <v>-1</v>
      </c>
      <c r="AD548" s="9">
        <f t="shared" si="417"/>
        <v>-1.75</v>
      </c>
      <c r="AE548" s="9">
        <f t="shared" si="418"/>
        <v>-2.5</v>
      </c>
      <c r="AF548" s="9">
        <f t="shared" si="419"/>
        <v>-2</v>
      </c>
      <c r="AG548" s="9">
        <f t="shared" si="420"/>
        <v>-2.8799999999999955</v>
      </c>
      <c r="AH548" s="9">
        <f t="shared" si="421"/>
        <v>-2.6299999999999955</v>
      </c>
      <c r="AI548" s="9">
        <f t="shared" si="422"/>
        <v>-3.0999999999999943</v>
      </c>
      <c r="AJ548" s="9">
        <f t="shared" si="423"/>
        <v>-2.7000000000000028</v>
      </c>
      <c r="AK548" s="9">
        <f t="shared" si="424"/>
        <v>-2.8499999999999943</v>
      </c>
      <c r="AL548" s="9">
        <f t="shared" si="425"/>
        <v>-0.74949999999999761</v>
      </c>
      <c r="AM548" s="9">
        <f t="shared" si="426"/>
        <v>-1.3794999999999931</v>
      </c>
      <c r="AN548" s="9">
        <f t="shared" si="427"/>
        <v>-2.25</v>
      </c>
      <c r="AO548" s="9">
        <f t="shared" si="428"/>
        <v>-1.75</v>
      </c>
      <c r="AP548" s="9">
        <f t="shared" si="429"/>
        <v>-2.25</v>
      </c>
      <c r="AQ548" s="9">
        <f t="shared" si="430"/>
        <v>-1.4994999999999976</v>
      </c>
      <c r="AR548" s="9">
        <f t="shared" si="431"/>
        <v>-2.1500000000000057</v>
      </c>
      <c r="AS548" s="9">
        <f t="shared" si="432"/>
        <v>-2.1499999999999986</v>
      </c>
      <c r="AT548" s="9">
        <f t="shared" si="433"/>
        <v>-2.6499999999999986</v>
      </c>
      <c r="AU548" s="9">
        <f t="shared" si="434"/>
        <v>-0.24799999999999756</v>
      </c>
      <c r="AV548" s="9">
        <f t="shared" si="435"/>
        <v>-0.99750000000000227</v>
      </c>
      <c r="AW548" s="9">
        <f t="shared" si="436"/>
        <v>-1.75</v>
      </c>
      <c r="AX548" s="9">
        <f t="shared" si="437"/>
        <v>-1.5499999999999972</v>
      </c>
      <c r="AY548" s="9">
        <f t="shared" si="438"/>
        <v>-1.3699999999999974</v>
      </c>
      <c r="AZ548" s="9">
        <f t="shared" si="439"/>
        <v>0</v>
      </c>
      <c r="BA548" s="9">
        <f t="shared" si="440"/>
        <v>-0.64999999999999858</v>
      </c>
      <c r="BB548" s="9">
        <f t="shared" si="441"/>
        <v>-1.8500000000000014</v>
      </c>
      <c r="BC548" s="9">
        <f t="shared" si="442"/>
        <v>-2.5499999999999972</v>
      </c>
      <c r="BD548" s="9">
        <f t="shared" si="443"/>
        <v>-0.24799999999999756</v>
      </c>
      <c r="BE548" s="9">
        <f t="shared" si="444"/>
        <v>-1.25</v>
      </c>
      <c r="BF548" s="9">
        <f t="shared" si="445"/>
        <v>-2</v>
      </c>
      <c r="BG548" s="9">
        <f t="shared" si="446"/>
        <v>-1.375</v>
      </c>
      <c r="BH548" s="9">
        <f t="shared" si="447"/>
        <v>-1.5</v>
      </c>
      <c r="BI548" s="9">
        <f t="shared" si="448"/>
        <v>-0.13049999999999784</v>
      </c>
      <c r="BJ548" s="9">
        <f t="shared" si="449"/>
        <v>-0.85000000000000142</v>
      </c>
    </row>
    <row r="549" spans="1:62" x14ac:dyDescent="0.2">
      <c r="A549" s="9">
        <f>data!M550-data!M549</f>
        <v>0.30239999999999156</v>
      </c>
      <c r="B549" s="9">
        <f>data!C550-data!C549</f>
        <v>3.9999999999999147E-2</v>
      </c>
      <c r="C549" s="9">
        <f>data!D550-data!D549</f>
        <v>-3.2499999999998863E-2</v>
      </c>
      <c r="D549" s="10">
        <f>data!B550-data!B549</f>
        <v>-0.22750000000000004</v>
      </c>
      <c r="E549" s="9">
        <f>data!E549-data!G549</f>
        <v>1.9042999999999999</v>
      </c>
      <c r="F549" s="9">
        <f>(data!E549-data!F549)-(data!G549-data!H549)</f>
        <v>1.2862999999999998</v>
      </c>
      <c r="G549" s="9">
        <f t="shared" si="400"/>
        <v>5.1900000000000279E-2</v>
      </c>
      <c r="H549" s="9">
        <f t="shared" si="401"/>
        <v>4.5900000000000496E-2</v>
      </c>
      <c r="I549" s="9">
        <f>IF(data!M550&gt; 111.81,1,0)</f>
        <v>0</v>
      </c>
      <c r="J549" s="9">
        <f t="shared" si="402"/>
        <v>1</v>
      </c>
      <c r="K549" s="9">
        <f t="shared" si="403"/>
        <v>0</v>
      </c>
      <c r="L549" s="9">
        <f t="shared" si="404"/>
        <v>0.30239999999999156</v>
      </c>
      <c r="M549" s="9">
        <f>data!J549</f>
        <v>-41.25</v>
      </c>
      <c r="N549" s="9">
        <f>data!I549</f>
        <v>-71.5</v>
      </c>
      <c r="O549" s="9">
        <f>data!L549</f>
        <v>-70.95</v>
      </c>
      <c r="P549" s="9">
        <f>data!K549</f>
        <v>-53.4</v>
      </c>
      <c r="Q549" s="9">
        <f>data!R549</f>
        <v>-44.1</v>
      </c>
      <c r="R549" s="9">
        <f t="shared" si="405"/>
        <v>-1.75</v>
      </c>
      <c r="S549" s="9">
        <f t="shared" si="406"/>
        <v>0.75</v>
      </c>
      <c r="T549" s="9">
        <f t="shared" si="407"/>
        <v>0.96070000000000277</v>
      </c>
      <c r="U549" s="9">
        <f t="shared" si="408"/>
        <v>-4.9999999999997158E-2</v>
      </c>
      <c r="V549" s="9">
        <f t="shared" si="409"/>
        <v>-0.25</v>
      </c>
      <c r="W549" s="9">
        <f t="shared" si="410"/>
        <v>-0.75</v>
      </c>
      <c r="X549" s="9">
        <f t="shared" si="411"/>
        <v>-1.0559999999999974</v>
      </c>
      <c r="Y549" s="9">
        <f t="shared" si="412"/>
        <v>-0.75</v>
      </c>
      <c r="Z549" s="9">
        <f t="shared" si="413"/>
        <v>-4.25</v>
      </c>
      <c r="AA549" s="9">
        <f t="shared" si="414"/>
        <v>-0.79999999999999716</v>
      </c>
      <c r="AB549" s="9">
        <f t="shared" si="415"/>
        <v>1</v>
      </c>
      <c r="AC549" s="9">
        <f t="shared" si="416"/>
        <v>0.25</v>
      </c>
      <c r="AD549" s="9">
        <f t="shared" si="417"/>
        <v>-0.5</v>
      </c>
      <c r="AE549" s="9">
        <f t="shared" si="418"/>
        <v>0</v>
      </c>
      <c r="AF549" s="9">
        <f t="shared" si="419"/>
        <v>-0.87999999999999545</v>
      </c>
      <c r="AG549" s="9">
        <f t="shared" si="420"/>
        <v>-0.62999999999999545</v>
      </c>
      <c r="AH549" s="9">
        <f t="shared" si="421"/>
        <v>-1.0999999999999943</v>
      </c>
      <c r="AI549" s="9">
        <f t="shared" si="422"/>
        <v>-5.7999999999999972</v>
      </c>
      <c r="AJ549" s="9">
        <f t="shared" si="423"/>
        <v>-0.14999999999999147</v>
      </c>
      <c r="AK549" s="9">
        <f t="shared" si="424"/>
        <v>1.9505000000000052</v>
      </c>
      <c r="AL549" s="9">
        <f t="shared" si="425"/>
        <v>1.3205000000000098</v>
      </c>
      <c r="AM549" s="9">
        <f t="shared" si="426"/>
        <v>0.45000000000000284</v>
      </c>
      <c r="AN549" s="9">
        <f t="shared" si="427"/>
        <v>0.95000000000000284</v>
      </c>
      <c r="AO549" s="9">
        <f t="shared" si="428"/>
        <v>0.45000000000000284</v>
      </c>
      <c r="AP549" s="9">
        <f t="shared" si="429"/>
        <v>1.2005000000000052</v>
      </c>
      <c r="AQ549" s="9">
        <f t="shared" si="430"/>
        <v>0.54999999999999716</v>
      </c>
      <c r="AR549" s="9">
        <f t="shared" si="431"/>
        <v>-4.0499999999999972</v>
      </c>
      <c r="AS549" s="9">
        <f t="shared" si="432"/>
        <v>-0.5</v>
      </c>
      <c r="AT549" s="9">
        <f t="shared" si="433"/>
        <v>1.902000000000001</v>
      </c>
      <c r="AU549" s="9">
        <f t="shared" si="434"/>
        <v>1.1524999999999963</v>
      </c>
      <c r="AV549" s="9">
        <f t="shared" si="435"/>
        <v>0.39999999999999858</v>
      </c>
      <c r="AW549" s="9">
        <f t="shared" si="436"/>
        <v>0.60000000000000142</v>
      </c>
      <c r="AX549" s="9">
        <f t="shared" si="437"/>
        <v>0.78000000000000114</v>
      </c>
      <c r="AY549" s="9">
        <f t="shared" si="438"/>
        <v>2.1499999999999986</v>
      </c>
      <c r="AZ549" s="9">
        <f t="shared" si="439"/>
        <v>1.5</v>
      </c>
      <c r="BA549" s="9">
        <f t="shared" si="440"/>
        <v>-3</v>
      </c>
      <c r="BB549" s="9">
        <f t="shared" si="441"/>
        <v>-0.69999999999999574</v>
      </c>
      <c r="BC549" s="9">
        <f t="shared" si="442"/>
        <v>1.6020000000000039</v>
      </c>
      <c r="BD549" s="9">
        <f t="shared" si="443"/>
        <v>0.60000000000000142</v>
      </c>
      <c r="BE549" s="9">
        <f t="shared" si="444"/>
        <v>-0.14999999999999858</v>
      </c>
      <c r="BF549" s="9">
        <f t="shared" si="445"/>
        <v>0.47500000000000142</v>
      </c>
      <c r="BG549" s="9">
        <f t="shared" si="446"/>
        <v>0.35000000000000142</v>
      </c>
      <c r="BH549" s="9">
        <f t="shared" si="447"/>
        <v>1.7195000000000036</v>
      </c>
      <c r="BI549" s="9">
        <f t="shared" si="448"/>
        <v>1</v>
      </c>
      <c r="BJ549" s="9">
        <f t="shared" si="449"/>
        <v>-3.1999999999999957</v>
      </c>
    </row>
    <row r="550" spans="1:62" x14ac:dyDescent="0.2">
      <c r="A550" s="9">
        <f>data!M551-data!M550</f>
        <v>1.3244000000000113</v>
      </c>
      <c r="B550" s="9">
        <f>data!C551-data!C550</f>
        <v>-4.879999999999999</v>
      </c>
      <c r="C550" s="9">
        <f>data!D551-data!D550</f>
        <v>-0.63000000000000078</v>
      </c>
      <c r="D550" s="10">
        <f>data!B551-data!B550</f>
        <v>0.46750000000000003</v>
      </c>
      <c r="E550" s="9">
        <f>data!E550-data!G550</f>
        <v>1.9562000000000002</v>
      </c>
      <c r="F550" s="9">
        <f>(data!E550-data!F550)-(data!G550-data!H550)</f>
        <v>1.3322000000000003</v>
      </c>
      <c r="G550" s="9">
        <f t="shared" si="400"/>
        <v>-3.0299999999999994E-2</v>
      </c>
      <c r="H550" s="9">
        <f t="shared" si="401"/>
        <v>-6.4799999999999969E-2</v>
      </c>
      <c r="I550" s="9">
        <f>IF(data!M551&gt; 111.81,1,0)</f>
        <v>0</v>
      </c>
      <c r="J550" s="9">
        <f t="shared" si="402"/>
        <v>1</v>
      </c>
      <c r="K550" s="9">
        <f t="shared" si="403"/>
        <v>0</v>
      </c>
      <c r="L550" s="9">
        <f t="shared" si="404"/>
        <v>1.3244000000000113</v>
      </c>
      <c r="M550" s="9">
        <f>data!J550</f>
        <v>-43</v>
      </c>
      <c r="N550" s="9">
        <f>data!I550</f>
        <v>-72.3</v>
      </c>
      <c r="O550" s="9">
        <f>data!L550</f>
        <v>-71.099999999999994</v>
      </c>
      <c r="P550" s="9">
        <f>data!K550</f>
        <v>-53.9</v>
      </c>
      <c r="Q550" s="9">
        <f>data!R550</f>
        <v>-44.8</v>
      </c>
      <c r="R550" s="9">
        <f t="shared" si="405"/>
        <v>2.5</v>
      </c>
      <c r="S550" s="9">
        <f t="shared" si="406"/>
        <v>2.7107000000000028</v>
      </c>
      <c r="T550" s="9">
        <f t="shared" si="407"/>
        <v>1.7000000000000028</v>
      </c>
      <c r="U550" s="9">
        <f t="shared" si="408"/>
        <v>1.5</v>
      </c>
      <c r="V550" s="9">
        <f t="shared" si="409"/>
        <v>1</v>
      </c>
      <c r="W550" s="9">
        <f t="shared" si="410"/>
        <v>0.69400000000000261</v>
      </c>
      <c r="X550" s="9">
        <f t="shared" si="411"/>
        <v>1</v>
      </c>
      <c r="Y550" s="9">
        <f t="shared" si="412"/>
        <v>-2.5</v>
      </c>
      <c r="Z550" s="9">
        <f t="shared" si="413"/>
        <v>-3</v>
      </c>
      <c r="AA550" s="9">
        <f t="shared" si="414"/>
        <v>1.7999999999999972</v>
      </c>
      <c r="AB550" s="9">
        <f t="shared" si="415"/>
        <v>1.0499999999999972</v>
      </c>
      <c r="AC550" s="9">
        <f t="shared" si="416"/>
        <v>0.29999999999999716</v>
      </c>
      <c r="AD550" s="9">
        <f t="shared" si="417"/>
        <v>0.79999999999999716</v>
      </c>
      <c r="AE550" s="9">
        <f t="shared" si="418"/>
        <v>-7.9999999999998295E-2</v>
      </c>
      <c r="AF550" s="9">
        <f t="shared" si="419"/>
        <v>0.17000000000000171</v>
      </c>
      <c r="AG550" s="9">
        <f t="shared" si="420"/>
        <v>-0.29999999999999716</v>
      </c>
      <c r="AH550" s="9">
        <f t="shared" si="421"/>
        <v>-5</v>
      </c>
      <c r="AI550" s="9">
        <f t="shared" si="422"/>
        <v>-6.2999999999999972</v>
      </c>
      <c r="AJ550" s="9">
        <f t="shared" si="423"/>
        <v>2.1004999999999967</v>
      </c>
      <c r="AK550" s="9">
        <f t="shared" si="424"/>
        <v>1.4705000000000013</v>
      </c>
      <c r="AL550" s="9">
        <f t="shared" si="425"/>
        <v>0.59999999999999432</v>
      </c>
      <c r="AM550" s="9">
        <f t="shared" si="426"/>
        <v>1.0999999999999943</v>
      </c>
      <c r="AN550" s="9">
        <f t="shared" si="427"/>
        <v>0.59999999999999432</v>
      </c>
      <c r="AO550" s="9">
        <f t="shared" si="428"/>
        <v>1.3504999999999967</v>
      </c>
      <c r="AP550" s="9">
        <f t="shared" si="429"/>
        <v>0.69999999999998863</v>
      </c>
      <c r="AQ550" s="9">
        <f t="shared" si="430"/>
        <v>-3.9000000000000057</v>
      </c>
      <c r="AR550" s="9">
        <f t="shared" si="431"/>
        <v>-4.7000000000000028</v>
      </c>
      <c r="AS550" s="9">
        <f t="shared" si="432"/>
        <v>2.402000000000001</v>
      </c>
      <c r="AT550" s="9">
        <f t="shared" si="433"/>
        <v>1.6524999999999963</v>
      </c>
      <c r="AU550" s="9">
        <f t="shared" si="434"/>
        <v>0.89999999999999858</v>
      </c>
      <c r="AV550" s="9">
        <f t="shared" si="435"/>
        <v>1.1000000000000014</v>
      </c>
      <c r="AW550" s="9">
        <f t="shared" si="436"/>
        <v>1.2800000000000011</v>
      </c>
      <c r="AX550" s="9">
        <f t="shared" si="437"/>
        <v>2.6499999999999986</v>
      </c>
      <c r="AY550" s="9">
        <f t="shared" si="438"/>
        <v>2</v>
      </c>
      <c r="AZ550" s="9">
        <f t="shared" si="439"/>
        <v>-2.5</v>
      </c>
      <c r="BA550" s="9">
        <f t="shared" si="440"/>
        <v>-0.95000000000000284</v>
      </c>
      <c r="BB550" s="9">
        <f t="shared" si="441"/>
        <v>2.3019999999999996</v>
      </c>
      <c r="BC550" s="9">
        <f t="shared" si="442"/>
        <v>1.2999999999999972</v>
      </c>
      <c r="BD550" s="9">
        <f t="shared" si="443"/>
        <v>0.54999999999999716</v>
      </c>
      <c r="BE550" s="9">
        <f t="shared" si="444"/>
        <v>1.1749999999999972</v>
      </c>
      <c r="BF550" s="9">
        <f t="shared" si="445"/>
        <v>1.0499999999999972</v>
      </c>
      <c r="BG550" s="9">
        <f t="shared" si="446"/>
        <v>2.4194999999999993</v>
      </c>
      <c r="BH550" s="9">
        <f t="shared" si="447"/>
        <v>1.6999999999999957</v>
      </c>
      <c r="BI550" s="9">
        <f t="shared" si="448"/>
        <v>-2.5</v>
      </c>
      <c r="BJ550" s="9">
        <f t="shared" si="449"/>
        <v>-0.75</v>
      </c>
    </row>
    <row r="551" spans="1:62" x14ac:dyDescent="0.2">
      <c r="A551" s="9">
        <f>data!M552-data!M551</f>
        <v>0.47999999999998977</v>
      </c>
      <c r="B551" s="9">
        <f>data!C552-data!C551</f>
        <v>1.7900000000000009</v>
      </c>
      <c r="C551" s="9">
        <f>data!D552-data!D551</f>
        <v>0.23500000000000032</v>
      </c>
      <c r="D551" s="10">
        <f>data!B552-data!B551</f>
        <v>7.7500000000000124E-2</v>
      </c>
      <c r="E551" s="9">
        <f>data!E551-data!G551</f>
        <v>1.9259000000000002</v>
      </c>
      <c r="F551" s="9">
        <f>(data!E551-data!F551)-(data!G551-data!H551)</f>
        <v>1.2674000000000003</v>
      </c>
      <c r="G551" s="9">
        <f t="shared" si="400"/>
        <v>-6.9500000000000339E-2</v>
      </c>
      <c r="H551" s="9">
        <f t="shared" si="401"/>
        <v>-8.6100000000000509E-2</v>
      </c>
      <c r="I551" s="9">
        <f>IF(data!M552&gt; 111.81,1,0)</f>
        <v>0</v>
      </c>
      <c r="J551" s="9">
        <f t="shared" si="402"/>
        <v>1</v>
      </c>
      <c r="K551" s="9">
        <f t="shared" si="403"/>
        <v>0</v>
      </c>
      <c r="L551" s="9">
        <f t="shared" si="404"/>
        <v>0.47999999999998977</v>
      </c>
      <c r="M551" s="9">
        <f>data!J551</f>
        <v>-40.5</v>
      </c>
      <c r="N551" s="9">
        <f>data!I551</f>
        <v>-70.5</v>
      </c>
      <c r="O551" s="9">
        <f>data!L551</f>
        <v>-68.999499999999998</v>
      </c>
      <c r="P551" s="9">
        <f>data!K551</f>
        <v>-51.497999999999998</v>
      </c>
      <c r="Q551" s="9">
        <f>data!R551</f>
        <v>-42.497999999999998</v>
      </c>
      <c r="R551" s="9">
        <f t="shared" si="405"/>
        <v>0.21070000000000277</v>
      </c>
      <c r="S551" s="9">
        <f t="shared" si="406"/>
        <v>-0.79999999999999716</v>
      </c>
      <c r="T551" s="9">
        <f t="shared" si="407"/>
        <v>-1</v>
      </c>
      <c r="U551" s="9">
        <f t="shared" si="408"/>
        <v>-1.5</v>
      </c>
      <c r="V551" s="9">
        <f t="shared" si="409"/>
        <v>-1.8059999999999974</v>
      </c>
      <c r="W551" s="9">
        <f t="shared" si="410"/>
        <v>-1.5</v>
      </c>
      <c r="X551" s="9">
        <f t="shared" si="411"/>
        <v>-5</v>
      </c>
      <c r="Y551" s="9">
        <f t="shared" si="412"/>
        <v>-5.5</v>
      </c>
      <c r="Z551" s="9">
        <f t="shared" si="413"/>
        <v>-13.25</v>
      </c>
      <c r="AA551" s="9">
        <f t="shared" si="414"/>
        <v>-0.75</v>
      </c>
      <c r="AB551" s="9">
        <f t="shared" si="415"/>
        <v>-1.5</v>
      </c>
      <c r="AC551" s="9">
        <f t="shared" si="416"/>
        <v>-1</v>
      </c>
      <c r="AD551" s="9">
        <f t="shared" si="417"/>
        <v>-1.8799999999999955</v>
      </c>
      <c r="AE551" s="9">
        <f t="shared" si="418"/>
        <v>-1.6299999999999955</v>
      </c>
      <c r="AF551" s="9">
        <f t="shared" si="419"/>
        <v>-2.0999999999999943</v>
      </c>
      <c r="AG551" s="9">
        <f t="shared" si="420"/>
        <v>-6.7999999999999972</v>
      </c>
      <c r="AH551" s="9">
        <f t="shared" si="421"/>
        <v>-8.0999999999999943</v>
      </c>
      <c r="AI551" s="9">
        <f t="shared" si="422"/>
        <v>-11.450000000000003</v>
      </c>
      <c r="AJ551" s="9">
        <f t="shared" si="423"/>
        <v>-0.62999999999999545</v>
      </c>
      <c r="AK551" s="9">
        <f t="shared" si="424"/>
        <v>-1.5005000000000024</v>
      </c>
      <c r="AL551" s="9">
        <f t="shared" si="425"/>
        <v>-1.0005000000000024</v>
      </c>
      <c r="AM551" s="9">
        <f t="shared" si="426"/>
        <v>-1.5005000000000024</v>
      </c>
      <c r="AN551" s="9">
        <f t="shared" si="427"/>
        <v>-0.75</v>
      </c>
      <c r="AO551" s="9">
        <f t="shared" si="428"/>
        <v>-1.4005000000000081</v>
      </c>
      <c r="AP551" s="9">
        <f t="shared" si="429"/>
        <v>-6.0005000000000024</v>
      </c>
      <c r="AQ551" s="9">
        <f t="shared" si="430"/>
        <v>-6.8004999999999995</v>
      </c>
      <c r="AR551" s="9">
        <f t="shared" si="431"/>
        <v>-8.5005000000000024</v>
      </c>
      <c r="AS551" s="9">
        <f t="shared" si="432"/>
        <v>-0.74950000000000472</v>
      </c>
      <c r="AT551" s="9">
        <f t="shared" si="433"/>
        <v>-1.5020000000000024</v>
      </c>
      <c r="AU551" s="9">
        <f t="shared" si="434"/>
        <v>-1.3019999999999996</v>
      </c>
      <c r="AV551" s="9">
        <f t="shared" si="435"/>
        <v>-1.1219999999999999</v>
      </c>
      <c r="AW551" s="9">
        <f t="shared" si="436"/>
        <v>0.24799999999999756</v>
      </c>
      <c r="AX551" s="9">
        <f t="shared" si="437"/>
        <v>-0.40200000000000102</v>
      </c>
      <c r="AY551" s="9">
        <f t="shared" si="438"/>
        <v>-4.902000000000001</v>
      </c>
      <c r="AZ551" s="9">
        <f t="shared" si="439"/>
        <v>-3.3520000000000039</v>
      </c>
      <c r="BA551" s="9">
        <f t="shared" si="440"/>
        <v>-4.7520000000000024</v>
      </c>
      <c r="BB551" s="9">
        <f t="shared" si="441"/>
        <v>-1.0020000000000024</v>
      </c>
      <c r="BC551" s="9">
        <f t="shared" si="442"/>
        <v>-1.7520000000000024</v>
      </c>
      <c r="BD551" s="9">
        <f t="shared" si="443"/>
        <v>-1.1270000000000024</v>
      </c>
      <c r="BE551" s="9">
        <f t="shared" si="444"/>
        <v>-1.2520000000000024</v>
      </c>
      <c r="BF551" s="9">
        <f t="shared" si="445"/>
        <v>0.11749999999999972</v>
      </c>
      <c r="BG551" s="9">
        <f t="shared" si="446"/>
        <v>-0.60200000000000387</v>
      </c>
      <c r="BH551" s="9">
        <f t="shared" si="447"/>
        <v>-4.8019999999999996</v>
      </c>
      <c r="BI551" s="9">
        <f t="shared" si="448"/>
        <v>-3.0519999999999996</v>
      </c>
      <c r="BJ551" s="9">
        <f t="shared" si="449"/>
        <v>-3.7520000000000024</v>
      </c>
    </row>
    <row r="552" spans="1:62" x14ac:dyDescent="0.2">
      <c r="A552" s="9">
        <f>data!M553-data!M552</f>
        <v>-0.23550000000000182</v>
      </c>
      <c r="B552" s="9">
        <f>data!C553-data!C552</f>
        <v>-1.620000000000001</v>
      </c>
      <c r="C552" s="9">
        <f>data!D553-data!D552</f>
        <v>0.28249999999999975</v>
      </c>
      <c r="D552" s="10">
        <f>data!B553-data!B552</f>
        <v>7.4999999999998401E-3</v>
      </c>
      <c r="E552" s="9">
        <f>data!E552-data!G552</f>
        <v>1.8563999999999998</v>
      </c>
      <c r="F552" s="9">
        <f>(data!E552-data!F552)-(data!G552-data!H552)</f>
        <v>1.1812999999999998</v>
      </c>
      <c r="G552" s="9">
        <f t="shared" si="400"/>
        <v>-8.1299999999999928E-2</v>
      </c>
      <c r="H552" s="9">
        <f t="shared" si="401"/>
        <v>-6.4799999999999969E-2</v>
      </c>
      <c r="I552" s="9">
        <f>IF(data!M553&gt; 111.81,1,0)</f>
        <v>0</v>
      </c>
      <c r="J552" s="9">
        <f t="shared" si="402"/>
        <v>1</v>
      </c>
      <c r="K552" s="9">
        <f t="shared" si="403"/>
        <v>0</v>
      </c>
      <c r="L552" s="9">
        <f t="shared" si="404"/>
        <v>-0.23550000000000182</v>
      </c>
      <c r="M552" s="9">
        <f>data!J552</f>
        <v>-40.289299999999997</v>
      </c>
      <c r="N552" s="9">
        <f>data!I552</f>
        <v>-71.25</v>
      </c>
      <c r="O552" s="9">
        <f>data!L552</f>
        <v>-69.629499999999993</v>
      </c>
      <c r="P552" s="9">
        <f>data!K552</f>
        <v>-52.247500000000002</v>
      </c>
      <c r="Q552" s="9">
        <f>data!R552</f>
        <v>-43.5</v>
      </c>
      <c r="R552" s="9">
        <f t="shared" si="405"/>
        <v>-1.0106999999999999</v>
      </c>
      <c r="S552" s="9">
        <f t="shared" si="406"/>
        <v>-1.2107000000000028</v>
      </c>
      <c r="T552" s="9">
        <f t="shared" si="407"/>
        <v>-1.7107000000000028</v>
      </c>
      <c r="U552" s="9">
        <f t="shared" si="408"/>
        <v>-2.0167000000000002</v>
      </c>
      <c r="V552" s="9">
        <f t="shared" si="409"/>
        <v>-1.7107000000000028</v>
      </c>
      <c r="W552" s="9">
        <f t="shared" si="410"/>
        <v>-5.2107000000000028</v>
      </c>
      <c r="X552" s="9">
        <f t="shared" si="411"/>
        <v>-5.7107000000000028</v>
      </c>
      <c r="Y552" s="9">
        <f t="shared" si="412"/>
        <v>-13.460700000000003</v>
      </c>
      <c r="Z552" s="9">
        <f t="shared" si="413"/>
        <v>-9.7107000000000028</v>
      </c>
      <c r="AA552" s="9">
        <f t="shared" si="414"/>
        <v>-0.75</v>
      </c>
      <c r="AB552" s="9">
        <f t="shared" si="415"/>
        <v>-0.25</v>
      </c>
      <c r="AC552" s="9">
        <f t="shared" si="416"/>
        <v>-1.1299999999999955</v>
      </c>
      <c r="AD552" s="9">
        <f t="shared" si="417"/>
        <v>-0.87999999999999545</v>
      </c>
      <c r="AE552" s="9">
        <f t="shared" si="418"/>
        <v>-1.3499999999999943</v>
      </c>
      <c r="AF552" s="9">
        <f t="shared" si="419"/>
        <v>-6.0499999999999972</v>
      </c>
      <c r="AG552" s="9">
        <f t="shared" si="420"/>
        <v>-7.3499999999999943</v>
      </c>
      <c r="AH552" s="9">
        <f t="shared" si="421"/>
        <v>-10.700000000000003</v>
      </c>
      <c r="AI552" s="9">
        <f t="shared" si="422"/>
        <v>-8.75</v>
      </c>
      <c r="AJ552" s="9">
        <f t="shared" si="423"/>
        <v>-0.87050000000000693</v>
      </c>
      <c r="AK552" s="9">
        <f t="shared" si="424"/>
        <v>-0.37050000000000693</v>
      </c>
      <c r="AL552" s="9">
        <f t="shared" si="425"/>
        <v>-0.87050000000000693</v>
      </c>
      <c r="AM552" s="9">
        <f t="shared" si="426"/>
        <v>-0.12000000000000455</v>
      </c>
      <c r="AN552" s="9">
        <f t="shared" si="427"/>
        <v>-0.77050000000001262</v>
      </c>
      <c r="AO552" s="9">
        <f t="shared" si="428"/>
        <v>-5.3705000000000069</v>
      </c>
      <c r="AP552" s="9">
        <f t="shared" si="429"/>
        <v>-6.1705000000000041</v>
      </c>
      <c r="AQ552" s="9">
        <f t="shared" si="430"/>
        <v>-7.8705000000000069</v>
      </c>
      <c r="AR552" s="9">
        <f t="shared" si="431"/>
        <v>-6.1705000000000041</v>
      </c>
      <c r="AS552" s="9">
        <f t="shared" si="432"/>
        <v>-0.75249999999999773</v>
      </c>
      <c r="AT552" s="9">
        <f t="shared" si="433"/>
        <v>-0.55249999999999488</v>
      </c>
      <c r="AU552" s="9">
        <f t="shared" si="434"/>
        <v>-0.37249999999999517</v>
      </c>
      <c r="AV552" s="9">
        <f t="shared" si="435"/>
        <v>0.99750000000000227</v>
      </c>
      <c r="AW552" s="9">
        <f t="shared" si="436"/>
        <v>0.34750000000000369</v>
      </c>
      <c r="AX552" s="9">
        <f t="shared" si="437"/>
        <v>-4.1524999999999963</v>
      </c>
      <c r="AY552" s="9">
        <f t="shared" si="438"/>
        <v>-2.6024999999999991</v>
      </c>
      <c r="AZ552" s="9">
        <f t="shared" si="439"/>
        <v>-4.0024999999999977</v>
      </c>
      <c r="BA552" s="9">
        <f t="shared" si="440"/>
        <v>-1.7524999999999977</v>
      </c>
      <c r="BB552" s="9">
        <f t="shared" si="441"/>
        <v>-0.75</v>
      </c>
      <c r="BC552" s="9">
        <f t="shared" si="442"/>
        <v>-0.125</v>
      </c>
      <c r="BD552" s="9">
        <f t="shared" si="443"/>
        <v>-0.25</v>
      </c>
      <c r="BE552" s="9">
        <f t="shared" si="444"/>
        <v>1.1195000000000022</v>
      </c>
      <c r="BF552" s="9">
        <f t="shared" si="445"/>
        <v>0.39999999999999858</v>
      </c>
      <c r="BG552" s="9">
        <f t="shared" si="446"/>
        <v>-3.7999999999999972</v>
      </c>
      <c r="BH552" s="9">
        <f t="shared" si="447"/>
        <v>-2.0499999999999972</v>
      </c>
      <c r="BI552" s="9">
        <f t="shared" si="448"/>
        <v>-2.75</v>
      </c>
      <c r="BJ552" s="9">
        <f t="shared" si="449"/>
        <v>-1</v>
      </c>
    </row>
    <row r="553" spans="1:62" x14ac:dyDescent="0.2">
      <c r="A553" s="9">
        <f>data!M554-data!M553</f>
        <v>0.65570000000001016</v>
      </c>
      <c r="B553" s="9">
        <f>data!C554-data!C553</f>
        <v>1.2700000000000014</v>
      </c>
      <c r="C553" s="9">
        <f>data!D554-data!D553</f>
        <v>2.7499999999999858E-2</v>
      </c>
      <c r="D553" s="10">
        <f>data!B554-data!B553</f>
        <v>5.0000000000000044E-2</v>
      </c>
      <c r="E553" s="9">
        <f>data!E553-data!G553</f>
        <v>1.7750999999999999</v>
      </c>
      <c r="F553" s="9">
        <f>(data!E553-data!F553)-(data!G553-data!H553)</f>
        <v>1.1164999999999998</v>
      </c>
      <c r="G553" s="9">
        <f t="shared" si="400"/>
        <v>-2.7799999999999825E-2</v>
      </c>
      <c r="H553" s="9">
        <f t="shared" si="401"/>
        <v>-8.409999999999962E-2</v>
      </c>
      <c r="I553" s="9">
        <f>IF(data!M554&gt; 111.81,1,0)</f>
        <v>0</v>
      </c>
      <c r="J553" s="9">
        <f t="shared" si="402"/>
        <v>1</v>
      </c>
      <c r="K553" s="9">
        <f t="shared" si="403"/>
        <v>0</v>
      </c>
      <c r="L553" s="9">
        <f t="shared" si="404"/>
        <v>0.65570000000001016</v>
      </c>
      <c r="M553" s="9">
        <f>data!J553</f>
        <v>-41.3</v>
      </c>
      <c r="N553" s="9">
        <f>data!I553</f>
        <v>-72</v>
      </c>
      <c r="O553" s="9">
        <f>data!L553</f>
        <v>-70.5</v>
      </c>
      <c r="P553" s="9">
        <f>data!K553</f>
        <v>-53</v>
      </c>
      <c r="Q553" s="9">
        <f>data!R553</f>
        <v>-44.25</v>
      </c>
      <c r="R553" s="9">
        <f t="shared" si="405"/>
        <v>-0.20000000000000284</v>
      </c>
      <c r="S553" s="9">
        <f t="shared" si="406"/>
        <v>-0.70000000000000284</v>
      </c>
      <c r="T553" s="9">
        <f t="shared" si="407"/>
        <v>-1.0060000000000002</v>
      </c>
      <c r="U553" s="9">
        <f t="shared" si="408"/>
        <v>-0.70000000000000284</v>
      </c>
      <c r="V553" s="9">
        <f t="shared" si="409"/>
        <v>-4.2000000000000028</v>
      </c>
      <c r="W553" s="9">
        <f t="shared" si="410"/>
        <v>-4.7000000000000028</v>
      </c>
      <c r="X553" s="9">
        <f t="shared" si="411"/>
        <v>-12.450000000000003</v>
      </c>
      <c r="Y553" s="9">
        <f t="shared" si="412"/>
        <v>-8.7000000000000028</v>
      </c>
      <c r="Z553" s="9">
        <f t="shared" si="413"/>
        <v>-10</v>
      </c>
      <c r="AA553" s="9">
        <f t="shared" si="414"/>
        <v>0.5</v>
      </c>
      <c r="AB553" s="9">
        <f t="shared" si="415"/>
        <v>-0.37999999999999545</v>
      </c>
      <c r="AC553" s="9">
        <f t="shared" si="416"/>
        <v>-0.12999999999999545</v>
      </c>
      <c r="AD553" s="9">
        <f t="shared" si="417"/>
        <v>-0.59999999999999432</v>
      </c>
      <c r="AE553" s="9">
        <f t="shared" si="418"/>
        <v>-5.2999999999999972</v>
      </c>
      <c r="AF553" s="9">
        <f t="shared" si="419"/>
        <v>-6.5999999999999943</v>
      </c>
      <c r="AG553" s="9">
        <f t="shared" si="420"/>
        <v>-9.9500000000000028</v>
      </c>
      <c r="AH553" s="9">
        <f t="shared" si="421"/>
        <v>-8</v>
      </c>
      <c r="AI553" s="9">
        <f t="shared" si="422"/>
        <v>-7.7999999999999972</v>
      </c>
      <c r="AJ553" s="9">
        <f t="shared" si="423"/>
        <v>0.5</v>
      </c>
      <c r="AK553" s="9">
        <f t="shared" si="424"/>
        <v>0</v>
      </c>
      <c r="AL553" s="9">
        <f t="shared" si="425"/>
        <v>0.75050000000000239</v>
      </c>
      <c r="AM553" s="9">
        <f t="shared" si="426"/>
        <v>9.9999999999994316E-2</v>
      </c>
      <c r="AN553" s="9">
        <f t="shared" si="427"/>
        <v>-4.5</v>
      </c>
      <c r="AO553" s="9">
        <f t="shared" si="428"/>
        <v>-5.2999999999999972</v>
      </c>
      <c r="AP553" s="9">
        <f t="shared" si="429"/>
        <v>-7</v>
      </c>
      <c r="AQ553" s="9">
        <f t="shared" si="430"/>
        <v>-5.2999999999999972</v>
      </c>
      <c r="AR553" s="9">
        <f t="shared" si="431"/>
        <v>-5.0999999999999943</v>
      </c>
      <c r="AS553" s="9">
        <f t="shared" si="432"/>
        <v>0.20000000000000284</v>
      </c>
      <c r="AT553" s="9">
        <f t="shared" si="433"/>
        <v>0.38000000000000256</v>
      </c>
      <c r="AU553" s="9">
        <f t="shared" si="434"/>
        <v>1.75</v>
      </c>
      <c r="AV553" s="9">
        <f t="shared" si="435"/>
        <v>1.1000000000000014</v>
      </c>
      <c r="AW553" s="9">
        <f t="shared" si="436"/>
        <v>-3.3999999999999986</v>
      </c>
      <c r="AX553" s="9">
        <f t="shared" si="437"/>
        <v>-1.8500000000000014</v>
      </c>
      <c r="AY553" s="9">
        <f t="shared" si="438"/>
        <v>-3.25</v>
      </c>
      <c r="AZ553" s="9">
        <f t="shared" si="439"/>
        <v>-1</v>
      </c>
      <c r="BA553" s="9">
        <f t="shared" si="440"/>
        <v>-0.79999999999999716</v>
      </c>
      <c r="BB553" s="9">
        <f t="shared" si="441"/>
        <v>0.625</v>
      </c>
      <c r="BC553" s="9">
        <f t="shared" si="442"/>
        <v>0.5</v>
      </c>
      <c r="BD553" s="9">
        <f t="shared" si="443"/>
        <v>1.8695000000000022</v>
      </c>
      <c r="BE553" s="9">
        <f t="shared" si="444"/>
        <v>1.1499999999999986</v>
      </c>
      <c r="BF553" s="9">
        <f t="shared" si="445"/>
        <v>-3.0499999999999972</v>
      </c>
      <c r="BG553" s="9">
        <f t="shared" si="446"/>
        <v>-1.2999999999999972</v>
      </c>
      <c r="BH553" s="9">
        <f t="shared" si="447"/>
        <v>-2</v>
      </c>
      <c r="BI553" s="9">
        <f t="shared" si="448"/>
        <v>-0.25</v>
      </c>
      <c r="BJ553" s="9">
        <f t="shared" si="449"/>
        <v>0.25</v>
      </c>
    </row>
    <row r="554" spans="1:62" x14ac:dyDescent="0.2">
      <c r="A554" s="9">
        <f>data!M555-data!M554</f>
        <v>0.47979999999999734</v>
      </c>
      <c r="B554" s="9">
        <f>data!C555-data!C554</f>
        <v>-0.5600000000000005</v>
      </c>
      <c r="C554" s="9">
        <f>data!D555-data!D554</f>
        <v>-4.4999999999999929E-2</v>
      </c>
      <c r="D554" s="10">
        <f>data!B555-data!B554</f>
        <v>-0.18500000000000005</v>
      </c>
      <c r="E554" s="9">
        <f>data!E554-data!G554</f>
        <v>1.7473000000000001</v>
      </c>
      <c r="F554" s="9">
        <f>(data!E554-data!F554)-(data!G554-data!H554)</f>
        <v>1.0324000000000002</v>
      </c>
      <c r="G554" s="9">
        <f t="shared" si="400"/>
        <v>7.6400000000000023E-2</v>
      </c>
      <c r="H554" s="9">
        <f t="shared" si="401"/>
        <v>7.2500000000000009E-2</v>
      </c>
      <c r="I554" s="9">
        <f>IF(data!M555&gt; 111.81,1,0)</f>
        <v>0</v>
      </c>
      <c r="J554" s="9">
        <f t="shared" si="402"/>
        <v>1</v>
      </c>
      <c r="K554" s="9">
        <f t="shared" si="403"/>
        <v>0</v>
      </c>
      <c r="L554" s="9">
        <f t="shared" si="404"/>
        <v>0.47979999999999734</v>
      </c>
      <c r="M554" s="9">
        <f>data!J554</f>
        <v>-41.5</v>
      </c>
      <c r="N554" s="9">
        <f>data!I554</f>
        <v>-71.5</v>
      </c>
      <c r="O554" s="9">
        <f>data!L554</f>
        <v>-70</v>
      </c>
      <c r="P554" s="9">
        <f>data!K554</f>
        <v>-52.8</v>
      </c>
      <c r="Q554" s="9">
        <f>data!R554</f>
        <v>-43.625</v>
      </c>
      <c r="R554" s="9">
        <f t="shared" si="405"/>
        <v>-0.5</v>
      </c>
      <c r="S554" s="9">
        <f t="shared" si="406"/>
        <v>-0.80599999999999739</v>
      </c>
      <c r="T554" s="9">
        <f t="shared" si="407"/>
        <v>-0.5</v>
      </c>
      <c r="U554" s="9">
        <f t="shared" si="408"/>
        <v>-4</v>
      </c>
      <c r="V554" s="9">
        <f t="shared" si="409"/>
        <v>-4.5</v>
      </c>
      <c r="W554" s="9">
        <f t="shared" si="410"/>
        <v>-12.25</v>
      </c>
      <c r="X554" s="9">
        <f t="shared" si="411"/>
        <v>-8.5</v>
      </c>
      <c r="Y554" s="9">
        <f t="shared" si="412"/>
        <v>-9.7999999999999972</v>
      </c>
      <c r="Z554" s="9">
        <f t="shared" si="413"/>
        <v>-8.5</v>
      </c>
      <c r="AA554" s="9">
        <f t="shared" si="414"/>
        <v>-0.87999999999999545</v>
      </c>
      <c r="AB554" s="9">
        <f t="shared" si="415"/>
        <v>-0.62999999999999545</v>
      </c>
      <c r="AC554" s="9">
        <f t="shared" si="416"/>
        <v>-1.0999999999999943</v>
      </c>
      <c r="AD554" s="9">
        <f t="shared" si="417"/>
        <v>-5.7999999999999972</v>
      </c>
      <c r="AE554" s="9">
        <f t="shared" si="418"/>
        <v>-7.0999999999999943</v>
      </c>
      <c r="AF554" s="9">
        <f t="shared" si="419"/>
        <v>-10.450000000000003</v>
      </c>
      <c r="AG554" s="9">
        <f t="shared" si="420"/>
        <v>-8.5</v>
      </c>
      <c r="AH554" s="9">
        <f t="shared" si="421"/>
        <v>-8.2999999999999972</v>
      </c>
      <c r="AI554" s="9">
        <f t="shared" si="422"/>
        <v>-6.5</v>
      </c>
      <c r="AJ554" s="9">
        <f t="shared" si="423"/>
        <v>-0.5</v>
      </c>
      <c r="AK554" s="9">
        <f t="shared" si="424"/>
        <v>0.25050000000000239</v>
      </c>
      <c r="AL554" s="9">
        <f t="shared" si="425"/>
        <v>-0.40000000000000568</v>
      </c>
      <c r="AM554" s="9">
        <f t="shared" si="426"/>
        <v>-5</v>
      </c>
      <c r="AN554" s="9">
        <f t="shared" si="427"/>
        <v>-5.7999999999999972</v>
      </c>
      <c r="AO554" s="9">
        <f t="shared" si="428"/>
        <v>-7.5</v>
      </c>
      <c r="AP554" s="9">
        <f t="shared" si="429"/>
        <v>-5.7999999999999972</v>
      </c>
      <c r="AQ554" s="9">
        <f t="shared" si="430"/>
        <v>-5.5999999999999943</v>
      </c>
      <c r="AR554" s="9">
        <f t="shared" si="431"/>
        <v>-2.9000000000000057</v>
      </c>
      <c r="AS554" s="9">
        <f t="shared" si="432"/>
        <v>0.17999999999999972</v>
      </c>
      <c r="AT554" s="9">
        <f t="shared" si="433"/>
        <v>1.5499999999999972</v>
      </c>
      <c r="AU554" s="9">
        <f t="shared" si="434"/>
        <v>0.89999999999999858</v>
      </c>
      <c r="AV554" s="9">
        <f t="shared" si="435"/>
        <v>-3.6000000000000014</v>
      </c>
      <c r="AW554" s="9">
        <f t="shared" si="436"/>
        <v>-2.0500000000000043</v>
      </c>
      <c r="AX554" s="9">
        <f t="shared" si="437"/>
        <v>-3.4500000000000028</v>
      </c>
      <c r="AY554" s="9">
        <f t="shared" si="438"/>
        <v>-1.2000000000000028</v>
      </c>
      <c r="AZ554" s="9">
        <f t="shared" si="439"/>
        <v>-1</v>
      </c>
      <c r="BA554" s="9">
        <f t="shared" si="440"/>
        <v>2</v>
      </c>
      <c r="BB554" s="9">
        <f t="shared" si="441"/>
        <v>-0.125</v>
      </c>
      <c r="BC554" s="9">
        <f t="shared" si="442"/>
        <v>1.2445000000000022</v>
      </c>
      <c r="BD554" s="9">
        <f t="shared" si="443"/>
        <v>0.52499999999999858</v>
      </c>
      <c r="BE554" s="9">
        <f t="shared" si="444"/>
        <v>-3.6749999999999972</v>
      </c>
      <c r="BF554" s="9">
        <f t="shared" si="445"/>
        <v>-1.9249999999999972</v>
      </c>
      <c r="BG554" s="9">
        <f t="shared" si="446"/>
        <v>-2.625</v>
      </c>
      <c r="BH554" s="9">
        <f t="shared" si="447"/>
        <v>-0.875</v>
      </c>
      <c r="BI554" s="9">
        <f t="shared" si="448"/>
        <v>-0.375</v>
      </c>
      <c r="BJ554" s="9">
        <f t="shared" si="449"/>
        <v>2.625</v>
      </c>
    </row>
    <row r="555" spans="1:62" x14ac:dyDescent="0.2">
      <c r="A555" s="9">
        <f>data!M556-data!M555</f>
        <v>0.22690000000000055</v>
      </c>
      <c r="B555" s="9">
        <f>data!C556-data!C555</f>
        <v>15.200000000000001</v>
      </c>
      <c r="C555" s="9">
        <f>data!D556-data!D555</f>
        <v>1.1600000000000001</v>
      </c>
      <c r="D555" s="10">
        <f>data!B556-data!B555</f>
        <v>1.2500000000000178E-2</v>
      </c>
      <c r="E555" s="9">
        <f>data!E555-data!G555</f>
        <v>1.8237000000000001</v>
      </c>
      <c r="F555" s="9">
        <f>(data!E555-data!F555)-(data!G555-data!H555)</f>
        <v>1.1049000000000002</v>
      </c>
      <c r="G555" s="9">
        <f t="shared" si="400"/>
        <v>-0.14819999999999989</v>
      </c>
      <c r="H555" s="9">
        <f t="shared" si="401"/>
        <v>-4.1199999999999903E-2</v>
      </c>
      <c r="I555" s="9">
        <f>IF(data!M556&gt; 111.81,1,0)</f>
        <v>0</v>
      </c>
      <c r="J555" s="9">
        <f t="shared" si="402"/>
        <v>1</v>
      </c>
      <c r="K555" s="9">
        <f t="shared" si="403"/>
        <v>0</v>
      </c>
      <c r="L555" s="9">
        <f t="shared" si="404"/>
        <v>0.22690000000000055</v>
      </c>
      <c r="M555" s="9">
        <f>data!J555</f>
        <v>-42</v>
      </c>
      <c r="N555" s="9">
        <f>data!I555</f>
        <v>-72.38</v>
      </c>
      <c r="O555" s="9">
        <f>data!L555</f>
        <v>-70.5</v>
      </c>
      <c r="P555" s="9">
        <f>data!K555</f>
        <v>-52.62</v>
      </c>
      <c r="Q555" s="9">
        <f>data!R555</f>
        <v>-43.75</v>
      </c>
      <c r="R555" s="9">
        <f t="shared" si="405"/>
        <v>-0.30599999999999739</v>
      </c>
      <c r="S555" s="9">
        <f t="shared" si="406"/>
        <v>0</v>
      </c>
      <c r="T555" s="9">
        <f t="shared" si="407"/>
        <v>-3.5</v>
      </c>
      <c r="U555" s="9">
        <f t="shared" si="408"/>
        <v>-4</v>
      </c>
      <c r="V555" s="9">
        <f t="shared" si="409"/>
        <v>-11.75</v>
      </c>
      <c r="W555" s="9">
        <f t="shared" si="410"/>
        <v>-8</v>
      </c>
      <c r="X555" s="9">
        <f t="shared" si="411"/>
        <v>-9.2999999999999972</v>
      </c>
      <c r="Y555" s="9">
        <f t="shared" si="412"/>
        <v>-8</v>
      </c>
      <c r="Z555" s="9">
        <f t="shared" si="413"/>
        <v>-5.625</v>
      </c>
      <c r="AA555" s="9">
        <f t="shared" si="414"/>
        <v>0.25</v>
      </c>
      <c r="AB555" s="9">
        <f t="shared" si="415"/>
        <v>-0.21999999999999886</v>
      </c>
      <c r="AC555" s="9">
        <f t="shared" si="416"/>
        <v>-4.9200000000000017</v>
      </c>
      <c r="AD555" s="9">
        <f t="shared" si="417"/>
        <v>-6.2199999999999989</v>
      </c>
      <c r="AE555" s="9">
        <f t="shared" si="418"/>
        <v>-9.5700000000000074</v>
      </c>
      <c r="AF555" s="9">
        <f t="shared" si="419"/>
        <v>-7.6200000000000045</v>
      </c>
      <c r="AG555" s="9">
        <f t="shared" si="420"/>
        <v>-7.4200000000000017</v>
      </c>
      <c r="AH555" s="9">
        <f t="shared" si="421"/>
        <v>-5.6200000000000045</v>
      </c>
      <c r="AI555" s="9">
        <f t="shared" si="422"/>
        <v>-4.3700000000000045</v>
      </c>
      <c r="AJ555" s="9">
        <f t="shared" si="423"/>
        <v>0.75050000000000239</v>
      </c>
      <c r="AK555" s="9">
        <f t="shared" si="424"/>
        <v>9.9999999999994316E-2</v>
      </c>
      <c r="AL555" s="9">
        <f t="shared" si="425"/>
        <v>-4.5</v>
      </c>
      <c r="AM555" s="9">
        <f t="shared" si="426"/>
        <v>-5.2999999999999972</v>
      </c>
      <c r="AN555" s="9">
        <f t="shared" si="427"/>
        <v>-7</v>
      </c>
      <c r="AO555" s="9">
        <f t="shared" si="428"/>
        <v>-5.2999999999999972</v>
      </c>
      <c r="AP555" s="9">
        <f t="shared" si="429"/>
        <v>-5.0999999999999943</v>
      </c>
      <c r="AQ555" s="9">
        <f t="shared" si="430"/>
        <v>-2.4000000000000057</v>
      </c>
      <c r="AR555" s="9">
        <f t="shared" si="431"/>
        <v>9.9999999999994316E-2</v>
      </c>
      <c r="AS555" s="9">
        <f t="shared" si="432"/>
        <v>1.3699999999999974</v>
      </c>
      <c r="AT555" s="9">
        <f t="shared" si="433"/>
        <v>0.71999999999999886</v>
      </c>
      <c r="AU555" s="9">
        <f t="shared" si="434"/>
        <v>-3.7800000000000011</v>
      </c>
      <c r="AV555" s="9">
        <f t="shared" si="435"/>
        <v>-2.230000000000004</v>
      </c>
      <c r="AW555" s="9">
        <f t="shared" si="436"/>
        <v>-3.6300000000000026</v>
      </c>
      <c r="AX555" s="9">
        <f t="shared" si="437"/>
        <v>-1.3800000000000026</v>
      </c>
      <c r="AY555" s="9">
        <f t="shared" si="438"/>
        <v>-1.1799999999999997</v>
      </c>
      <c r="AZ555" s="9">
        <f t="shared" si="439"/>
        <v>1.8200000000000003</v>
      </c>
      <c r="BA555" s="9">
        <f t="shared" si="440"/>
        <v>4.6199999999999974</v>
      </c>
      <c r="BB555" s="9">
        <f t="shared" si="441"/>
        <v>1.3695000000000022</v>
      </c>
      <c r="BC555" s="9">
        <f t="shared" si="442"/>
        <v>0.64999999999999858</v>
      </c>
      <c r="BD555" s="9">
        <f t="shared" si="443"/>
        <v>-3.5499999999999972</v>
      </c>
      <c r="BE555" s="9">
        <f t="shared" si="444"/>
        <v>-1.7999999999999972</v>
      </c>
      <c r="BF555" s="9">
        <f t="shared" si="445"/>
        <v>-2.5</v>
      </c>
      <c r="BG555" s="9">
        <f t="shared" si="446"/>
        <v>-0.75</v>
      </c>
      <c r="BH555" s="9">
        <f t="shared" si="447"/>
        <v>-0.25</v>
      </c>
      <c r="BI555" s="9">
        <f t="shared" si="448"/>
        <v>2.75</v>
      </c>
      <c r="BJ555" s="9">
        <f t="shared" si="449"/>
        <v>5.25</v>
      </c>
    </row>
    <row r="556" spans="1:62" x14ac:dyDescent="0.2">
      <c r="A556" s="9">
        <f>data!M557-data!M556</f>
        <v>0.52710000000000434</v>
      </c>
      <c r="B556" s="9">
        <f>data!C557-data!C556</f>
        <v>-1.9800000000000004</v>
      </c>
      <c r="C556" s="9">
        <f>data!D557-data!D556</f>
        <v>0.3125</v>
      </c>
      <c r="D556" s="10">
        <f>data!B557-data!B556</f>
        <v>-0.29500000000000015</v>
      </c>
      <c r="E556" s="9">
        <f>data!E556-data!G556</f>
        <v>1.6755000000000002</v>
      </c>
      <c r="F556" s="9">
        <f>(data!E556-data!F556)-(data!G556-data!H556)</f>
        <v>1.0637000000000003</v>
      </c>
      <c r="G556" s="9">
        <f t="shared" si="400"/>
        <v>0.13119999999999954</v>
      </c>
      <c r="H556" s="9">
        <f t="shared" si="401"/>
        <v>3.6399999999999544E-2</v>
      </c>
      <c r="I556" s="9">
        <f>IF(data!M557&gt; 111.81,1,0)</f>
        <v>0</v>
      </c>
      <c r="J556" s="9">
        <f t="shared" si="402"/>
        <v>1</v>
      </c>
      <c r="K556" s="9">
        <f t="shared" si="403"/>
        <v>0</v>
      </c>
      <c r="L556" s="9">
        <f t="shared" si="404"/>
        <v>0.52710000000000434</v>
      </c>
      <c r="M556" s="9">
        <f>data!J556</f>
        <v>-42.305999999999997</v>
      </c>
      <c r="N556" s="9">
        <f>data!I556</f>
        <v>-72.13</v>
      </c>
      <c r="O556" s="9">
        <f>data!L556</f>
        <v>-69.749499999999998</v>
      </c>
      <c r="P556" s="9">
        <f>data!K556</f>
        <v>-51.25</v>
      </c>
      <c r="Q556" s="9">
        <f>data!R556</f>
        <v>-42.380499999999998</v>
      </c>
      <c r="R556" s="9">
        <f t="shared" si="405"/>
        <v>0.30599999999999739</v>
      </c>
      <c r="S556" s="9">
        <f t="shared" si="406"/>
        <v>-3.1940000000000026</v>
      </c>
      <c r="T556" s="9">
        <f t="shared" si="407"/>
        <v>-3.6940000000000026</v>
      </c>
      <c r="U556" s="9">
        <f t="shared" si="408"/>
        <v>-11.444000000000003</v>
      </c>
      <c r="V556" s="9">
        <f t="shared" si="409"/>
        <v>-7.6940000000000026</v>
      </c>
      <c r="W556" s="9">
        <f t="shared" si="410"/>
        <v>-8.9939999999999998</v>
      </c>
      <c r="X556" s="9">
        <f t="shared" si="411"/>
        <v>-7.6940000000000026</v>
      </c>
      <c r="Y556" s="9">
        <f t="shared" si="412"/>
        <v>-5.3190000000000026</v>
      </c>
      <c r="Z556" s="9">
        <f t="shared" si="413"/>
        <v>-8.9440000000000026</v>
      </c>
      <c r="AA556" s="9">
        <f t="shared" si="414"/>
        <v>-0.46999999999999886</v>
      </c>
      <c r="AB556" s="9">
        <f t="shared" si="415"/>
        <v>-5.1700000000000017</v>
      </c>
      <c r="AC556" s="9">
        <f t="shared" si="416"/>
        <v>-6.4699999999999989</v>
      </c>
      <c r="AD556" s="9">
        <f t="shared" si="417"/>
        <v>-9.8200000000000074</v>
      </c>
      <c r="AE556" s="9">
        <f t="shared" si="418"/>
        <v>-7.8700000000000045</v>
      </c>
      <c r="AF556" s="9">
        <f t="shared" si="419"/>
        <v>-7.6700000000000017</v>
      </c>
      <c r="AG556" s="9">
        <f t="shared" si="420"/>
        <v>-5.8700000000000045</v>
      </c>
      <c r="AH556" s="9">
        <f t="shared" si="421"/>
        <v>-4.6200000000000045</v>
      </c>
      <c r="AI556" s="9">
        <f t="shared" si="422"/>
        <v>-8.7700000000000102</v>
      </c>
      <c r="AJ556" s="9">
        <f t="shared" si="423"/>
        <v>-0.65050000000000807</v>
      </c>
      <c r="AK556" s="9">
        <f t="shared" si="424"/>
        <v>-5.2505000000000024</v>
      </c>
      <c r="AL556" s="9">
        <f t="shared" si="425"/>
        <v>-6.0504999999999995</v>
      </c>
      <c r="AM556" s="9">
        <f t="shared" si="426"/>
        <v>-7.7505000000000024</v>
      </c>
      <c r="AN556" s="9">
        <f t="shared" si="427"/>
        <v>-6.0504999999999995</v>
      </c>
      <c r="AO556" s="9">
        <f t="shared" si="428"/>
        <v>-5.8504999999999967</v>
      </c>
      <c r="AP556" s="9">
        <f t="shared" si="429"/>
        <v>-3.1505000000000081</v>
      </c>
      <c r="AQ556" s="9">
        <f t="shared" si="430"/>
        <v>-0.65050000000000807</v>
      </c>
      <c r="AR556" s="9">
        <f t="shared" si="431"/>
        <v>-5.5005000000000024</v>
      </c>
      <c r="AS556" s="9">
        <f t="shared" si="432"/>
        <v>-0.64999999999999858</v>
      </c>
      <c r="AT556" s="9">
        <f t="shared" si="433"/>
        <v>-5.1499999999999986</v>
      </c>
      <c r="AU556" s="9">
        <f t="shared" si="434"/>
        <v>-3.6000000000000014</v>
      </c>
      <c r="AV556" s="9">
        <f t="shared" si="435"/>
        <v>-5</v>
      </c>
      <c r="AW556" s="9">
        <f t="shared" si="436"/>
        <v>-2.75</v>
      </c>
      <c r="AX556" s="9">
        <f t="shared" si="437"/>
        <v>-2.5499999999999972</v>
      </c>
      <c r="AY556" s="9">
        <f t="shared" si="438"/>
        <v>0.45000000000000284</v>
      </c>
      <c r="AZ556" s="9">
        <f t="shared" si="439"/>
        <v>3.25</v>
      </c>
      <c r="BA556" s="9">
        <f t="shared" si="440"/>
        <v>-1.75</v>
      </c>
      <c r="BB556" s="9">
        <f t="shared" si="441"/>
        <v>-0.71950000000000358</v>
      </c>
      <c r="BC556" s="9">
        <f t="shared" si="442"/>
        <v>-4.9194999999999993</v>
      </c>
      <c r="BD556" s="9">
        <f t="shared" si="443"/>
        <v>-3.1694999999999993</v>
      </c>
      <c r="BE556" s="9">
        <f t="shared" si="444"/>
        <v>-3.8695000000000022</v>
      </c>
      <c r="BF556" s="9">
        <f t="shared" si="445"/>
        <v>-2.1195000000000022</v>
      </c>
      <c r="BG556" s="9">
        <f t="shared" si="446"/>
        <v>-1.6195000000000022</v>
      </c>
      <c r="BH556" s="9">
        <f t="shared" si="447"/>
        <v>1.3804999999999978</v>
      </c>
      <c r="BI556" s="9">
        <f t="shared" si="448"/>
        <v>3.8804999999999978</v>
      </c>
      <c r="BJ556" s="9">
        <f t="shared" si="449"/>
        <v>-0.91949999999999932</v>
      </c>
    </row>
    <row r="557" spans="1:62" x14ac:dyDescent="0.2">
      <c r="A557" s="9">
        <f>data!M558-data!M557</f>
        <v>0.43039999999999168</v>
      </c>
      <c r="B557" s="9">
        <f>data!C558-data!C557</f>
        <v>1.75</v>
      </c>
      <c r="C557" s="9">
        <f>data!D558-data!D557</f>
        <v>1.2324999999999999</v>
      </c>
      <c r="D557" s="10">
        <f>data!B558-data!B557</f>
        <v>-0.12499999999999978</v>
      </c>
      <c r="E557" s="9">
        <f>data!E557-data!G557</f>
        <v>1.8066999999999998</v>
      </c>
      <c r="F557" s="9">
        <f>(data!E557-data!F557)-(data!G557-data!H557)</f>
        <v>1.1000999999999999</v>
      </c>
      <c r="G557" s="9">
        <f t="shared" si="400"/>
        <v>-3.7299999999999667E-2</v>
      </c>
      <c r="H557" s="9">
        <f t="shared" si="401"/>
        <v>-2.6399999999999757E-2</v>
      </c>
      <c r="I557" s="9">
        <f>IF(data!M558&gt; 111.81,1,0)</f>
        <v>0</v>
      </c>
      <c r="J557" s="9">
        <f t="shared" si="402"/>
        <v>1</v>
      </c>
      <c r="K557" s="9">
        <f t="shared" si="403"/>
        <v>0</v>
      </c>
      <c r="L557" s="9">
        <f t="shared" si="404"/>
        <v>0.43039999999999168</v>
      </c>
      <c r="M557" s="9">
        <f>data!J557</f>
        <v>-42</v>
      </c>
      <c r="N557" s="9">
        <f>data!I557</f>
        <v>-72.599999999999994</v>
      </c>
      <c r="O557" s="9">
        <f>data!L557</f>
        <v>-70.400000000000006</v>
      </c>
      <c r="P557" s="9">
        <f>data!K557</f>
        <v>-51.9</v>
      </c>
      <c r="Q557" s="9">
        <f>data!R557</f>
        <v>-43.1</v>
      </c>
      <c r="R557" s="9">
        <f t="shared" si="405"/>
        <v>-3.5</v>
      </c>
      <c r="S557" s="9">
        <f t="shared" si="406"/>
        <v>-4</v>
      </c>
      <c r="T557" s="9">
        <f t="shared" si="407"/>
        <v>-11.75</v>
      </c>
      <c r="U557" s="9">
        <f t="shared" si="408"/>
        <v>-8</v>
      </c>
      <c r="V557" s="9">
        <f t="shared" si="409"/>
        <v>-9.2999999999999972</v>
      </c>
      <c r="W557" s="9">
        <f t="shared" si="410"/>
        <v>-8</v>
      </c>
      <c r="X557" s="9">
        <f t="shared" si="411"/>
        <v>-5.625</v>
      </c>
      <c r="Y557" s="9">
        <f t="shared" si="412"/>
        <v>-9.25</v>
      </c>
      <c r="Z557" s="9">
        <f t="shared" si="413"/>
        <v>-10.5</v>
      </c>
      <c r="AA557" s="9">
        <f t="shared" si="414"/>
        <v>-4.7000000000000028</v>
      </c>
      <c r="AB557" s="9">
        <f t="shared" si="415"/>
        <v>-6</v>
      </c>
      <c r="AC557" s="9">
        <f t="shared" si="416"/>
        <v>-9.3500000000000085</v>
      </c>
      <c r="AD557" s="9">
        <f t="shared" si="417"/>
        <v>-7.4000000000000057</v>
      </c>
      <c r="AE557" s="9">
        <f t="shared" si="418"/>
        <v>-7.2000000000000028</v>
      </c>
      <c r="AF557" s="9">
        <f t="shared" si="419"/>
        <v>-5.4000000000000057</v>
      </c>
      <c r="AG557" s="9">
        <f t="shared" si="420"/>
        <v>-4.1500000000000057</v>
      </c>
      <c r="AH557" s="9">
        <f t="shared" si="421"/>
        <v>-8.3000000000000114</v>
      </c>
      <c r="AI557" s="9">
        <f t="shared" si="422"/>
        <v>-9.4000000000000057</v>
      </c>
      <c r="AJ557" s="9">
        <f t="shared" si="423"/>
        <v>-4.5999999999999943</v>
      </c>
      <c r="AK557" s="9">
        <f t="shared" si="424"/>
        <v>-5.3999999999999915</v>
      </c>
      <c r="AL557" s="9">
        <f t="shared" si="425"/>
        <v>-7.0999999999999943</v>
      </c>
      <c r="AM557" s="9">
        <f t="shared" si="426"/>
        <v>-5.3999999999999915</v>
      </c>
      <c r="AN557" s="9">
        <f t="shared" si="427"/>
        <v>-5.1999999999999886</v>
      </c>
      <c r="AO557" s="9">
        <f t="shared" si="428"/>
        <v>-2.5</v>
      </c>
      <c r="AP557" s="9">
        <f t="shared" si="429"/>
        <v>0</v>
      </c>
      <c r="AQ557" s="9">
        <f t="shared" si="430"/>
        <v>-4.8499999999999943</v>
      </c>
      <c r="AR557" s="9">
        <f t="shared" si="431"/>
        <v>-4.5</v>
      </c>
      <c r="AS557" s="9">
        <f t="shared" si="432"/>
        <v>-4.5</v>
      </c>
      <c r="AT557" s="9">
        <f t="shared" si="433"/>
        <v>-2.9500000000000028</v>
      </c>
      <c r="AU557" s="9">
        <f t="shared" si="434"/>
        <v>-4.3500000000000014</v>
      </c>
      <c r="AV557" s="9">
        <f t="shared" si="435"/>
        <v>-2.1000000000000014</v>
      </c>
      <c r="AW557" s="9">
        <f t="shared" si="436"/>
        <v>-1.8999999999999986</v>
      </c>
      <c r="AX557" s="9">
        <f t="shared" si="437"/>
        <v>1.1000000000000014</v>
      </c>
      <c r="AY557" s="9">
        <f t="shared" si="438"/>
        <v>3.8999999999999986</v>
      </c>
      <c r="AZ557" s="9">
        <f t="shared" si="439"/>
        <v>-1.1000000000000014</v>
      </c>
      <c r="BA557" s="9">
        <f t="shared" si="440"/>
        <v>1.1000000000000014</v>
      </c>
      <c r="BB557" s="9">
        <f t="shared" si="441"/>
        <v>-4.1999999999999957</v>
      </c>
      <c r="BC557" s="9">
        <f t="shared" si="442"/>
        <v>-2.4499999999999957</v>
      </c>
      <c r="BD557" s="9">
        <f t="shared" si="443"/>
        <v>-3.1499999999999986</v>
      </c>
      <c r="BE557" s="9">
        <f t="shared" si="444"/>
        <v>-1.3999999999999986</v>
      </c>
      <c r="BF557" s="9">
        <f t="shared" si="445"/>
        <v>-0.89999999999999858</v>
      </c>
      <c r="BG557" s="9">
        <f t="shared" si="446"/>
        <v>2.1000000000000014</v>
      </c>
      <c r="BH557" s="9">
        <f t="shared" si="447"/>
        <v>4.6000000000000014</v>
      </c>
      <c r="BI557" s="9">
        <f t="shared" si="448"/>
        <v>-0.19999999999999574</v>
      </c>
      <c r="BJ557" s="9">
        <f t="shared" si="449"/>
        <v>2.3500000000000014</v>
      </c>
    </row>
    <row r="558" spans="1:62" x14ac:dyDescent="0.2">
      <c r="A558" s="9">
        <f>data!M559-data!M558</f>
        <v>-0.49089999999999634</v>
      </c>
      <c r="B558" s="9">
        <f>data!C559-data!C558</f>
        <v>-4.6000000000000014</v>
      </c>
      <c r="C558" s="9">
        <f>data!D559-data!D558</f>
        <v>-8.2499999999999574E-2</v>
      </c>
      <c r="D558" s="10">
        <f>data!B559-data!B558</f>
        <v>0.10999999999999988</v>
      </c>
      <c r="E558" s="9">
        <f>data!E558-data!G558</f>
        <v>1.7694000000000001</v>
      </c>
      <c r="F558" s="9">
        <f>(data!E558-data!F558)-(data!G558-data!H558)</f>
        <v>1.0737000000000001</v>
      </c>
      <c r="G558" s="9">
        <f t="shared" si="400"/>
        <v>7.8899999999999748E-2</v>
      </c>
      <c r="H558" s="9">
        <f t="shared" si="401"/>
        <v>8.0299999999999816E-2</v>
      </c>
      <c r="I558" s="9">
        <f>IF(data!M559&gt; 111.81,1,0)</f>
        <v>0</v>
      </c>
      <c r="J558" s="9">
        <f t="shared" si="402"/>
        <v>1</v>
      </c>
      <c r="K558" s="9">
        <f t="shared" si="403"/>
        <v>0</v>
      </c>
      <c r="L558" s="9">
        <f t="shared" si="404"/>
        <v>-0.49089999999999634</v>
      </c>
      <c r="M558" s="9">
        <f>data!J558</f>
        <v>-45.5</v>
      </c>
      <c r="N558" s="9">
        <f>data!I558</f>
        <v>-77.3</v>
      </c>
      <c r="O558" s="9">
        <f>data!L558</f>
        <v>-75</v>
      </c>
      <c r="P558" s="9">
        <f>data!K558</f>
        <v>-56.4</v>
      </c>
      <c r="Q558" s="9">
        <f>data!R558</f>
        <v>-47.3</v>
      </c>
      <c r="R558" s="9">
        <f t="shared" si="405"/>
        <v>-0.5</v>
      </c>
      <c r="S558" s="9">
        <f t="shared" si="406"/>
        <v>-8.25</v>
      </c>
      <c r="T558" s="9">
        <f t="shared" si="407"/>
        <v>-4.5</v>
      </c>
      <c r="U558" s="9">
        <f t="shared" si="408"/>
        <v>-5.7999999999999972</v>
      </c>
      <c r="V558" s="9">
        <f t="shared" si="409"/>
        <v>-4.5</v>
      </c>
      <c r="W558" s="9">
        <f t="shared" si="410"/>
        <v>-2.125</v>
      </c>
      <c r="X558" s="9">
        <f t="shared" si="411"/>
        <v>-5.75</v>
      </c>
      <c r="Y558" s="9">
        <f t="shared" si="412"/>
        <v>-7</v>
      </c>
      <c r="Z558" s="9">
        <f t="shared" si="413"/>
        <v>-20</v>
      </c>
      <c r="AA558" s="9">
        <f t="shared" si="414"/>
        <v>-1.2999999999999972</v>
      </c>
      <c r="AB558" s="9">
        <f t="shared" si="415"/>
        <v>-4.6500000000000057</v>
      </c>
      <c r="AC558" s="9">
        <f t="shared" si="416"/>
        <v>-2.7000000000000028</v>
      </c>
      <c r="AD558" s="9">
        <f t="shared" si="417"/>
        <v>-2.5</v>
      </c>
      <c r="AE558" s="9">
        <f t="shared" si="418"/>
        <v>-0.70000000000000284</v>
      </c>
      <c r="AF558" s="9">
        <f t="shared" si="419"/>
        <v>0.54999999999999716</v>
      </c>
      <c r="AG558" s="9">
        <f t="shared" si="420"/>
        <v>-3.6000000000000085</v>
      </c>
      <c r="AH558" s="9">
        <f t="shared" si="421"/>
        <v>-4.7000000000000028</v>
      </c>
      <c r="AI558" s="9">
        <f t="shared" si="422"/>
        <v>-16.450000000000003</v>
      </c>
      <c r="AJ558" s="9">
        <f t="shared" si="423"/>
        <v>-0.79999999999999716</v>
      </c>
      <c r="AK558" s="9">
        <f t="shared" si="424"/>
        <v>-2.5</v>
      </c>
      <c r="AL558" s="9">
        <f t="shared" si="425"/>
        <v>-0.79999999999999716</v>
      </c>
      <c r="AM558" s="9">
        <f t="shared" si="426"/>
        <v>-0.59999999999999432</v>
      </c>
      <c r="AN558" s="9">
        <f t="shared" si="427"/>
        <v>2.0999999999999943</v>
      </c>
      <c r="AO558" s="9">
        <f t="shared" si="428"/>
        <v>4.5999999999999943</v>
      </c>
      <c r="AP558" s="9">
        <f t="shared" si="429"/>
        <v>-0.25</v>
      </c>
      <c r="AQ558" s="9">
        <f t="shared" si="430"/>
        <v>9.9999999999994316E-2</v>
      </c>
      <c r="AR558" s="9">
        <f t="shared" si="431"/>
        <v>-11.950000000000003</v>
      </c>
      <c r="AS558" s="9">
        <f t="shared" si="432"/>
        <v>1.5499999999999972</v>
      </c>
      <c r="AT558" s="9">
        <f t="shared" si="433"/>
        <v>0.14999999999999858</v>
      </c>
      <c r="AU558" s="9">
        <f t="shared" si="434"/>
        <v>2.3999999999999986</v>
      </c>
      <c r="AV558" s="9">
        <f t="shared" si="435"/>
        <v>2.6000000000000014</v>
      </c>
      <c r="AW558" s="9">
        <f t="shared" si="436"/>
        <v>5.6000000000000014</v>
      </c>
      <c r="AX558" s="9">
        <f t="shared" si="437"/>
        <v>8.3999999999999986</v>
      </c>
      <c r="AY558" s="9">
        <f t="shared" si="438"/>
        <v>3.3999999999999986</v>
      </c>
      <c r="AZ558" s="9">
        <f t="shared" si="439"/>
        <v>5.6000000000000014</v>
      </c>
      <c r="BA558" s="9">
        <f t="shared" si="440"/>
        <v>-4.1000000000000014</v>
      </c>
      <c r="BB558" s="9">
        <f t="shared" si="441"/>
        <v>1.75</v>
      </c>
      <c r="BC558" s="9">
        <f t="shared" si="442"/>
        <v>1.0499999999999972</v>
      </c>
      <c r="BD558" s="9">
        <f t="shared" si="443"/>
        <v>2.7999999999999972</v>
      </c>
      <c r="BE558" s="9">
        <f t="shared" si="444"/>
        <v>3.2999999999999972</v>
      </c>
      <c r="BF558" s="9">
        <f t="shared" si="445"/>
        <v>6.2999999999999972</v>
      </c>
      <c r="BG558" s="9">
        <f t="shared" si="446"/>
        <v>8.7999999999999972</v>
      </c>
      <c r="BH558" s="9">
        <f t="shared" si="447"/>
        <v>4</v>
      </c>
      <c r="BI558" s="9">
        <f t="shared" si="448"/>
        <v>6.5499999999999972</v>
      </c>
      <c r="BJ558" s="9">
        <f t="shared" si="449"/>
        <v>-2.7000000000000028</v>
      </c>
    </row>
    <row r="559" spans="1:62" x14ac:dyDescent="0.2">
      <c r="A559" s="9">
        <f>data!M560-data!M559</f>
        <v>-0.794399999999996</v>
      </c>
      <c r="B559" s="9">
        <f>data!C560-data!C559</f>
        <v>-0.91999999999999815</v>
      </c>
      <c r="C559" s="9">
        <f>data!D560-data!D559</f>
        <v>-0.54499999999999993</v>
      </c>
      <c r="D559" s="10">
        <f>data!B560-data!B559</f>
        <v>9.9999999999999867E-2</v>
      </c>
      <c r="E559" s="9">
        <f>data!E559-data!G559</f>
        <v>1.8482999999999998</v>
      </c>
      <c r="F559" s="9">
        <f>(data!E559-data!F559)-(data!G559-data!H559)</f>
        <v>1.1539999999999999</v>
      </c>
      <c r="G559" s="9">
        <f t="shared" si="400"/>
        <v>-2.3699999999999832E-2</v>
      </c>
      <c r="H559" s="9">
        <f t="shared" si="401"/>
        <v>-9.9999999999988987E-5</v>
      </c>
      <c r="I559" s="9">
        <f>IF(data!M560&gt; 111.81,1,0)</f>
        <v>0</v>
      </c>
      <c r="J559" s="9">
        <f t="shared" si="402"/>
        <v>1</v>
      </c>
      <c r="K559" s="9">
        <f t="shared" si="403"/>
        <v>0</v>
      </c>
      <c r="L559" s="9">
        <f t="shared" si="404"/>
        <v>-0.794399999999996</v>
      </c>
      <c r="M559" s="9">
        <f>data!J559</f>
        <v>-46</v>
      </c>
      <c r="N559" s="9">
        <f>data!I559</f>
        <v>-78.599999999999994</v>
      </c>
      <c r="O559" s="9">
        <f>data!L559</f>
        <v>-75.8</v>
      </c>
      <c r="P559" s="9">
        <f>data!K559</f>
        <v>-54.85</v>
      </c>
      <c r="Q559" s="9">
        <f>data!R559</f>
        <v>-45.55</v>
      </c>
      <c r="R559" s="9">
        <f t="shared" si="405"/>
        <v>-7.75</v>
      </c>
      <c r="S559" s="9">
        <f t="shared" si="406"/>
        <v>-4</v>
      </c>
      <c r="T559" s="9">
        <f t="shared" si="407"/>
        <v>-5.2999999999999972</v>
      </c>
      <c r="U559" s="9">
        <f t="shared" si="408"/>
        <v>-4</v>
      </c>
      <c r="V559" s="9">
        <f t="shared" si="409"/>
        <v>-1.625</v>
      </c>
      <c r="W559" s="9">
        <f t="shared" si="410"/>
        <v>-5.25</v>
      </c>
      <c r="X559" s="9">
        <f t="shared" si="411"/>
        <v>-6.5</v>
      </c>
      <c r="Y559" s="9">
        <f t="shared" si="412"/>
        <v>-19.5</v>
      </c>
      <c r="Z559" s="9">
        <f t="shared" si="413"/>
        <v>-21.5</v>
      </c>
      <c r="AA559" s="9">
        <f t="shared" si="414"/>
        <v>-3.3500000000000085</v>
      </c>
      <c r="AB559" s="9">
        <f t="shared" si="415"/>
        <v>-1.4000000000000057</v>
      </c>
      <c r="AC559" s="9">
        <f t="shared" si="416"/>
        <v>-1.2000000000000028</v>
      </c>
      <c r="AD559" s="9">
        <f t="shared" si="417"/>
        <v>0.59999999999999432</v>
      </c>
      <c r="AE559" s="9">
        <f t="shared" si="418"/>
        <v>1.8499999999999943</v>
      </c>
      <c r="AF559" s="9">
        <f t="shared" si="419"/>
        <v>-2.3000000000000114</v>
      </c>
      <c r="AG559" s="9">
        <f t="shared" si="420"/>
        <v>-3.4000000000000057</v>
      </c>
      <c r="AH559" s="9">
        <f t="shared" si="421"/>
        <v>-15.150000000000006</v>
      </c>
      <c r="AI559" s="9">
        <f t="shared" si="422"/>
        <v>-13</v>
      </c>
      <c r="AJ559" s="9">
        <f t="shared" si="423"/>
        <v>-1.7000000000000028</v>
      </c>
      <c r="AK559" s="9">
        <f t="shared" si="424"/>
        <v>0</v>
      </c>
      <c r="AL559" s="9">
        <f t="shared" si="425"/>
        <v>0.20000000000000284</v>
      </c>
      <c r="AM559" s="9">
        <f t="shared" si="426"/>
        <v>2.8999999999999915</v>
      </c>
      <c r="AN559" s="9">
        <f t="shared" si="427"/>
        <v>5.3999999999999915</v>
      </c>
      <c r="AO559" s="9">
        <f t="shared" si="428"/>
        <v>0.54999999999999716</v>
      </c>
      <c r="AP559" s="9">
        <f t="shared" si="429"/>
        <v>0.89999999999999147</v>
      </c>
      <c r="AQ559" s="9">
        <f t="shared" si="430"/>
        <v>-11.150000000000006</v>
      </c>
      <c r="AR559" s="9">
        <f t="shared" si="431"/>
        <v>-8.6000000000000085</v>
      </c>
      <c r="AS559" s="9">
        <f t="shared" si="432"/>
        <v>-1.3999999999999986</v>
      </c>
      <c r="AT559" s="9">
        <f t="shared" si="433"/>
        <v>0.85000000000000142</v>
      </c>
      <c r="AU559" s="9">
        <f t="shared" si="434"/>
        <v>1.0500000000000043</v>
      </c>
      <c r="AV559" s="9">
        <f t="shared" si="435"/>
        <v>4.0500000000000043</v>
      </c>
      <c r="AW559" s="9">
        <f t="shared" si="436"/>
        <v>6.8500000000000014</v>
      </c>
      <c r="AX559" s="9">
        <f t="shared" si="437"/>
        <v>1.8500000000000014</v>
      </c>
      <c r="AY559" s="9">
        <f t="shared" si="438"/>
        <v>4.0500000000000043</v>
      </c>
      <c r="AZ559" s="9">
        <f t="shared" si="439"/>
        <v>-5.6499999999999986</v>
      </c>
      <c r="BA559" s="9">
        <f t="shared" si="440"/>
        <v>0.14999999999999858</v>
      </c>
      <c r="BB559" s="9">
        <f t="shared" si="441"/>
        <v>-0.70000000000000284</v>
      </c>
      <c r="BC559" s="9">
        <f t="shared" si="442"/>
        <v>1.0499999999999972</v>
      </c>
      <c r="BD559" s="9">
        <f t="shared" si="443"/>
        <v>1.5499999999999972</v>
      </c>
      <c r="BE559" s="9">
        <f t="shared" si="444"/>
        <v>4.5499999999999972</v>
      </c>
      <c r="BF559" s="9">
        <f t="shared" si="445"/>
        <v>7.0499999999999972</v>
      </c>
      <c r="BG559" s="9">
        <f t="shared" si="446"/>
        <v>2.25</v>
      </c>
      <c r="BH559" s="9">
        <f t="shared" si="447"/>
        <v>4.7999999999999972</v>
      </c>
      <c r="BI559" s="9">
        <f t="shared" si="448"/>
        <v>-4.4500000000000028</v>
      </c>
      <c r="BJ559" s="9">
        <f t="shared" si="449"/>
        <v>1.5499999999999972</v>
      </c>
    </row>
    <row r="560" spans="1:62" x14ac:dyDescent="0.2">
      <c r="A560" s="9">
        <f>data!M561-data!M560</f>
        <v>1.5559999999999974</v>
      </c>
      <c r="B560" s="9">
        <f>data!C561-data!C560</f>
        <v>1.3399999999999999</v>
      </c>
      <c r="C560" s="9">
        <f>data!D561-data!D560</f>
        <v>0.35749999999999993</v>
      </c>
      <c r="D560" s="10">
        <f>data!B561-data!B560</f>
        <v>-0.1875</v>
      </c>
      <c r="E560" s="9">
        <f>data!E560-data!G560</f>
        <v>1.8246</v>
      </c>
      <c r="F560" s="9">
        <f>(data!E560-data!F560)-(data!G560-data!H560)</f>
        <v>1.1538999999999999</v>
      </c>
      <c r="G560" s="9">
        <f t="shared" si="400"/>
        <v>1.8700000000000161E-2</v>
      </c>
      <c r="H560" s="9">
        <f t="shared" si="401"/>
        <v>5.6000000000002714E-3</v>
      </c>
      <c r="I560" s="9">
        <f>IF(data!M561&gt; 111.81,1,0)</f>
        <v>0</v>
      </c>
      <c r="J560" s="9">
        <f t="shared" si="402"/>
        <v>1</v>
      </c>
      <c r="K560" s="9">
        <f t="shared" si="403"/>
        <v>0</v>
      </c>
      <c r="L560" s="9">
        <f t="shared" si="404"/>
        <v>1.5559999999999974</v>
      </c>
      <c r="M560" s="9">
        <f>data!J560</f>
        <v>-53.75</v>
      </c>
      <c r="N560" s="9">
        <f>data!I560</f>
        <v>-81.95</v>
      </c>
      <c r="O560" s="9">
        <f>data!L560</f>
        <v>-77.5</v>
      </c>
      <c r="P560" s="9">
        <f>data!K560</f>
        <v>-56.25</v>
      </c>
      <c r="Q560" s="9">
        <f>data!R560</f>
        <v>-46.25</v>
      </c>
      <c r="R560" s="9">
        <f t="shared" si="405"/>
        <v>3.75</v>
      </c>
      <c r="S560" s="9">
        <f t="shared" si="406"/>
        <v>2.4500000000000028</v>
      </c>
      <c r="T560" s="9">
        <f t="shared" si="407"/>
        <v>3.75</v>
      </c>
      <c r="U560" s="9">
        <f t="shared" si="408"/>
        <v>6.125</v>
      </c>
      <c r="V560" s="9">
        <f t="shared" si="409"/>
        <v>2.5</v>
      </c>
      <c r="W560" s="9">
        <f t="shared" si="410"/>
        <v>1.25</v>
      </c>
      <c r="X560" s="9">
        <f t="shared" si="411"/>
        <v>-11.75</v>
      </c>
      <c r="Y560" s="9">
        <f t="shared" si="412"/>
        <v>-13.75</v>
      </c>
      <c r="Z560" s="9">
        <f t="shared" si="413"/>
        <v>-10.25</v>
      </c>
      <c r="AA560" s="9">
        <f t="shared" si="414"/>
        <v>1.9500000000000028</v>
      </c>
      <c r="AB560" s="9">
        <f t="shared" si="415"/>
        <v>2.1500000000000057</v>
      </c>
      <c r="AC560" s="9">
        <f t="shared" si="416"/>
        <v>3.9500000000000028</v>
      </c>
      <c r="AD560" s="9">
        <f t="shared" si="417"/>
        <v>5.2000000000000028</v>
      </c>
      <c r="AE560" s="9">
        <f t="shared" si="418"/>
        <v>1.0499999999999972</v>
      </c>
      <c r="AF560" s="9">
        <f t="shared" si="419"/>
        <v>-4.9999999999997158E-2</v>
      </c>
      <c r="AG560" s="9">
        <f t="shared" si="420"/>
        <v>-11.799999999999997</v>
      </c>
      <c r="AH560" s="9">
        <f t="shared" si="421"/>
        <v>-9.6499999999999915</v>
      </c>
      <c r="AI560" s="9">
        <f t="shared" si="422"/>
        <v>-8.0499999999999972</v>
      </c>
      <c r="AJ560" s="9">
        <f t="shared" si="423"/>
        <v>1.7000000000000028</v>
      </c>
      <c r="AK560" s="9">
        <f t="shared" si="424"/>
        <v>1.9000000000000057</v>
      </c>
      <c r="AL560" s="9">
        <f t="shared" si="425"/>
        <v>4.5999999999999943</v>
      </c>
      <c r="AM560" s="9">
        <f t="shared" si="426"/>
        <v>7.0999999999999943</v>
      </c>
      <c r="AN560" s="9">
        <f t="shared" si="427"/>
        <v>2.25</v>
      </c>
      <c r="AO560" s="9">
        <f t="shared" si="428"/>
        <v>2.5999999999999943</v>
      </c>
      <c r="AP560" s="9">
        <f t="shared" si="429"/>
        <v>-9.4500000000000028</v>
      </c>
      <c r="AQ560" s="9">
        <f t="shared" si="430"/>
        <v>-6.9000000000000057</v>
      </c>
      <c r="AR560" s="9">
        <f t="shared" si="431"/>
        <v>-8.875</v>
      </c>
      <c r="AS560" s="9">
        <f t="shared" si="432"/>
        <v>2.25</v>
      </c>
      <c r="AT560" s="9">
        <f t="shared" si="433"/>
        <v>2.4500000000000028</v>
      </c>
      <c r="AU560" s="9">
        <f t="shared" si="434"/>
        <v>5.4500000000000028</v>
      </c>
      <c r="AV560" s="9">
        <f t="shared" si="435"/>
        <v>8.25</v>
      </c>
      <c r="AW560" s="9">
        <f t="shared" si="436"/>
        <v>3.25</v>
      </c>
      <c r="AX560" s="9">
        <f t="shared" si="437"/>
        <v>5.4500000000000028</v>
      </c>
      <c r="AY560" s="9">
        <f t="shared" si="438"/>
        <v>-4.25</v>
      </c>
      <c r="AZ560" s="9">
        <f t="shared" si="439"/>
        <v>1.5499999999999972</v>
      </c>
      <c r="BA560" s="9">
        <f t="shared" si="440"/>
        <v>1</v>
      </c>
      <c r="BB560" s="9">
        <f t="shared" si="441"/>
        <v>1.75</v>
      </c>
      <c r="BC560" s="9">
        <f t="shared" si="442"/>
        <v>2.25</v>
      </c>
      <c r="BD560" s="9">
        <f t="shared" si="443"/>
        <v>5.25</v>
      </c>
      <c r="BE560" s="9">
        <f t="shared" si="444"/>
        <v>7.75</v>
      </c>
      <c r="BF560" s="9">
        <f t="shared" si="445"/>
        <v>2.9500000000000028</v>
      </c>
      <c r="BG560" s="9">
        <f t="shared" si="446"/>
        <v>5.5</v>
      </c>
      <c r="BH560" s="9">
        <f t="shared" si="447"/>
        <v>-3.75</v>
      </c>
      <c r="BI560" s="9">
        <f t="shared" si="448"/>
        <v>2.25</v>
      </c>
      <c r="BJ560" s="9">
        <f t="shared" si="449"/>
        <v>2</v>
      </c>
    </row>
    <row r="561" spans="1:62" x14ac:dyDescent="0.2">
      <c r="A561" s="9">
        <f>data!M562-data!M561</f>
        <v>-0.67190000000000794</v>
      </c>
      <c r="B561" s="9">
        <f>data!C562-data!C561</f>
        <v>-2.6799999999999997</v>
      </c>
      <c r="C561" s="9">
        <f>data!D562-data!D561</f>
        <v>-0.44000000000000128</v>
      </c>
      <c r="D561" s="10">
        <f>data!B562-data!B561</f>
        <v>7.5000000000000178E-2</v>
      </c>
      <c r="E561" s="9">
        <f>data!E561-data!G561</f>
        <v>1.8433000000000002</v>
      </c>
      <c r="F561" s="9">
        <f>(data!E561-data!F561)-(data!G561-data!H561)</f>
        <v>1.1595000000000002</v>
      </c>
      <c r="G561" s="9">
        <f t="shared" si="400"/>
        <v>-0.16240000000000032</v>
      </c>
      <c r="H561" s="9">
        <f t="shared" si="401"/>
        <v>-5.9000000000000163E-2</v>
      </c>
      <c r="I561" s="9">
        <f>IF(data!M562&gt; 111.81,1,0)</f>
        <v>0</v>
      </c>
      <c r="J561" s="9">
        <f t="shared" si="402"/>
        <v>1</v>
      </c>
      <c r="K561" s="9">
        <f t="shared" si="403"/>
        <v>0</v>
      </c>
      <c r="L561" s="9">
        <f t="shared" si="404"/>
        <v>-0.67190000000000794</v>
      </c>
      <c r="M561" s="9">
        <f>data!J561</f>
        <v>-50</v>
      </c>
      <c r="N561" s="9">
        <f>data!I561</f>
        <v>-80</v>
      </c>
      <c r="O561" s="9">
        <f>data!L561</f>
        <v>-75.8</v>
      </c>
      <c r="P561" s="9">
        <f>data!K561</f>
        <v>-54</v>
      </c>
      <c r="Q561" s="9">
        <f>data!R561</f>
        <v>-44.5</v>
      </c>
      <c r="R561" s="9">
        <f t="shared" si="405"/>
        <v>-1.2999999999999972</v>
      </c>
      <c r="S561" s="9">
        <f t="shared" si="406"/>
        <v>0</v>
      </c>
      <c r="T561" s="9">
        <f t="shared" si="407"/>
        <v>2.375</v>
      </c>
      <c r="U561" s="9">
        <f t="shared" si="408"/>
        <v>-1.25</v>
      </c>
      <c r="V561" s="9">
        <f t="shared" si="409"/>
        <v>-2.5</v>
      </c>
      <c r="W561" s="9">
        <f t="shared" si="410"/>
        <v>-15.5</v>
      </c>
      <c r="X561" s="9">
        <f t="shared" si="411"/>
        <v>-17.5</v>
      </c>
      <c r="Y561" s="9">
        <f t="shared" si="412"/>
        <v>-14</v>
      </c>
      <c r="Z561" s="9">
        <f t="shared" si="413"/>
        <v>-11.75</v>
      </c>
      <c r="AA561" s="9">
        <f t="shared" si="414"/>
        <v>0.20000000000000284</v>
      </c>
      <c r="AB561" s="9">
        <f t="shared" si="415"/>
        <v>2</v>
      </c>
      <c r="AC561" s="9">
        <f t="shared" si="416"/>
        <v>3.25</v>
      </c>
      <c r="AD561" s="9">
        <f t="shared" si="417"/>
        <v>-0.90000000000000568</v>
      </c>
      <c r="AE561" s="9">
        <f t="shared" si="418"/>
        <v>-2</v>
      </c>
      <c r="AF561" s="9">
        <f t="shared" si="419"/>
        <v>-13.75</v>
      </c>
      <c r="AG561" s="9">
        <f t="shared" si="420"/>
        <v>-11.599999999999994</v>
      </c>
      <c r="AH561" s="9">
        <f t="shared" si="421"/>
        <v>-10</v>
      </c>
      <c r="AI561" s="9">
        <f t="shared" si="422"/>
        <v>-9.5</v>
      </c>
      <c r="AJ561" s="9">
        <f t="shared" si="423"/>
        <v>0.20000000000000284</v>
      </c>
      <c r="AK561" s="9">
        <f t="shared" si="424"/>
        <v>2.8999999999999915</v>
      </c>
      <c r="AL561" s="9">
        <f t="shared" si="425"/>
        <v>5.3999999999999915</v>
      </c>
      <c r="AM561" s="9">
        <f t="shared" si="426"/>
        <v>0.54999999999999716</v>
      </c>
      <c r="AN561" s="9">
        <f t="shared" si="427"/>
        <v>0.89999999999999147</v>
      </c>
      <c r="AO561" s="9">
        <f t="shared" si="428"/>
        <v>-11.150000000000006</v>
      </c>
      <c r="AP561" s="9">
        <f t="shared" si="429"/>
        <v>-8.6000000000000085</v>
      </c>
      <c r="AQ561" s="9">
        <f t="shared" si="430"/>
        <v>-10.575000000000003</v>
      </c>
      <c r="AR561" s="9">
        <f t="shared" si="431"/>
        <v>-9.75</v>
      </c>
      <c r="AS561" s="9">
        <f t="shared" si="432"/>
        <v>0.20000000000000284</v>
      </c>
      <c r="AT561" s="9">
        <f t="shared" si="433"/>
        <v>3.2000000000000028</v>
      </c>
      <c r="AU561" s="9">
        <f t="shared" si="434"/>
        <v>6</v>
      </c>
      <c r="AV561" s="9">
        <f t="shared" si="435"/>
        <v>1</v>
      </c>
      <c r="AW561" s="9">
        <f t="shared" si="436"/>
        <v>3.2000000000000028</v>
      </c>
      <c r="AX561" s="9">
        <f t="shared" si="437"/>
        <v>-6.5</v>
      </c>
      <c r="AY561" s="9">
        <f t="shared" si="438"/>
        <v>-0.70000000000000284</v>
      </c>
      <c r="AZ561" s="9">
        <f t="shared" si="439"/>
        <v>-1.25</v>
      </c>
      <c r="BA561" s="9">
        <f t="shared" si="440"/>
        <v>-2.7999999999999972</v>
      </c>
      <c r="BB561" s="9">
        <f t="shared" si="441"/>
        <v>0.5</v>
      </c>
      <c r="BC561" s="9">
        <f t="shared" si="442"/>
        <v>3.5</v>
      </c>
      <c r="BD561" s="9">
        <f t="shared" si="443"/>
        <v>6</v>
      </c>
      <c r="BE561" s="9">
        <f t="shared" si="444"/>
        <v>1.2000000000000028</v>
      </c>
      <c r="BF561" s="9">
        <f t="shared" si="445"/>
        <v>3.75</v>
      </c>
      <c r="BG561" s="9">
        <f t="shared" si="446"/>
        <v>-5.5</v>
      </c>
      <c r="BH561" s="9">
        <f t="shared" si="447"/>
        <v>0.5</v>
      </c>
      <c r="BI561" s="9">
        <f t="shared" si="448"/>
        <v>0.25</v>
      </c>
      <c r="BJ561" s="9">
        <f t="shared" si="449"/>
        <v>0.20000000000000284</v>
      </c>
    </row>
    <row r="562" spans="1:62" x14ac:dyDescent="0.2">
      <c r="A562" s="9">
        <f>data!M563-data!M562</f>
        <v>-1.622399999999999</v>
      </c>
      <c r="B562" s="9">
        <f>data!C563-data!C562</f>
        <v>-3.860000000000003</v>
      </c>
      <c r="C562" s="9">
        <f>data!D563-data!D562</f>
        <v>-1.0350000000000001</v>
      </c>
      <c r="D562" s="10">
        <f>data!B563-data!B562</f>
        <v>0.24499999999999988</v>
      </c>
      <c r="E562" s="9">
        <f>data!E562-data!G562</f>
        <v>1.6808999999999998</v>
      </c>
      <c r="F562" s="9">
        <f>(data!E562-data!F562)-(data!G562-data!H562)</f>
        <v>1.1005</v>
      </c>
      <c r="G562" s="9">
        <f t="shared" si="400"/>
        <v>9.220000000000006E-2</v>
      </c>
      <c r="H562" s="9">
        <f t="shared" si="401"/>
        <v>3.8599999999999746E-2</v>
      </c>
      <c r="I562" s="9">
        <f>IF(data!M563&gt; 111.81,1,0)</f>
        <v>0</v>
      </c>
      <c r="J562" s="9">
        <f t="shared" si="402"/>
        <v>1</v>
      </c>
      <c r="K562" s="9">
        <f t="shared" si="403"/>
        <v>0</v>
      </c>
      <c r="L562" s="9">
        <f t="shared" si="404"/>
        <v>-1.622399999999999</v>
      </c>
      <c r="M562" s="9">
        <f>data!J562</f>
        <v>-51.3</v>
      </c>
      <c r="N562" s="9">
        <f>data!I562</f>
        <v>-79.8</v>
      </c>
      <c r="O562" s="9">
        <f>data!L562</f>
        <v>-75.599999999999994</v>
      </c>
      <c r="P562" s="9">
        <f>data!K562</f>
        <v>-53.8</v>
      </c>
      <c r="Q562" s="9">
        <f>data!R562</f>
        <v>-44</v>
      </c>
      <c r="R562" s="9">
        <f t="shared" si="405"/>
        <v>1.2999999999999972</v>
      </c>
      <c r="S562" s="9">
        <f t="shared" si="406"/>
        <v>3.6749999999999972</v>
      </c>
      <c r="T562" s="9">
        <f t="shared" si="407"/>
        <v>4.9999999999997158E-2</v>
      </c>
      <c r="U562" s="9">
        <f t="shared" si="408"/>
        <v>-1.2000000000000028</v>
      </c>
      <c r="V562" s="9">
        <f t="shared" si="409"/>
        <v>-14.200000000000003</v>
      </c>
      <c r="W562" s="9">
        <f t="shared" si="410"/>
        <v>-16.200000000000003</v>
      </c>
      <c r="X562" s="9">
        <f t="shared" si="411"/>
        <v>-12.700000000000003</v>
      </c>
      <c r="Y562" s="9">
        <f t="shared" si="412"/>
        <v>-10.450000000000003</v>
      </c>
      <c r="Z562" s="9">
        <f t="shared" si="413"/>
        <v>-8.2000000000000028</v>
      </c>
      <c r="AA562" s="9">
        <f t="shared" si="414"/>
        <v>1.7999999999999972</v>
      </c>
      <c r="AB562" s="9">
        <f t="shared" si="415"/>
        <v>3.0499999999999972</v>
      </c>
      <c r="AC562" s="9">
        <f t="shared" si="416"/>
        <v>-1.1000000000000085</v>
      </c>
      <c r="AD562" s="9">
        <f t="shared" si="417"/>
        <v>-2.2000000000000028</v>
      </c>
      <c r="AE562" s="9">
        <f t="shared" si="418"/>
        <v>-13.950000000000003</v>
      </c>
      <c r="AF562" s="9">
        <f t="shared" si="419"/>
        <v>-11.799999999999997</v>
      </c>
      <c r="AG562" s="9">
        <f t="shared" si="420"/>
        <v>-10.200000000000003</v>
      </c>
      <c r="AH562" s="9">
        <f t="shared" si="421"/>
        <v>-9.7000000000000028</v>
      </c>
      <c r="AI562" s="9">
        <f t="shared" si="422"/>
        <v>-10.450000000000003</v>
      </c>
      <c r="AJ562" s="9">
        <f t="shared" si="423"/>
        <v>2.6999999999999886</v>
      </c>
      <c r="AK562" s="9">
        <f t="shared" si="424"/>
        <v>5.1999999999999886</v>
      </c>
      <c r="AL562" s="9">
        <f t="shared" si="425"/>
        <v>0.34999999999999432</v>
      </c>
      <c r="AM562" s="9">
        <f t="shared" si="426"/>
        <v>0.69999999999998863</v>
      </c>
      <c r="AN562" s="9">
        <f t="shared" si="427"/>
        <v>-11.350000000000009</v>
      </c>
      <c r="AO562" s="9">
        <f t="shared" si="428"/>
        <v>-8.8000000000000114</v>
      </c>
      <c r="AP562" s="9">
        <f t="shared" si="429"/>
        <v>-10.775000000000006</v>
      </c>
      <c r="AQ562" s="9">
        <f t="shared" si="430"/>
        <v>-9.9500000000000028</v>
      </c>
      <c r="AR562" s="9">
        <f t="shared" si="431"/>
        <v>-8.6500000000000057</v>
      </c>
      <c r="AS562" s="9">
        <f t="shared" si="432"/>
        <v>3</v>
      </c>
      <c r="AT562" s="9">
        <f t="shared" si="433"/>
        <v>5.7999999999999972</v>
      </c>
      <c r="AU562" s="9">
        <f t="shared" si="434"/>
        <v>0.79999999999999716</v>
      </c>
      <c r="AV562" s="9">
        <f t="shared" si="435"/>
        <v>3</v>
      </c>
      <c r="AW562" s="9">
        <f t="shared" si="436"/>
        <v>-6.7000000000000028</v>
      </c>
      <c r="AX562" s="9">
        <f t="shared" si="437"/>
        <v>-0.90000000000000568</v>
      </c>
      <c r="AY562" s="9">
        <f t="shared" si="438"/>
        <v>-1.4500000000000028</v>
      </c>
      <c r="AZ562" s="9">
        <f t="shared" si="439"/>
        <v>-3</v>
      </c>
      <c r="BA562" s="9">
        <f t="shared" si="440"/>
        <v>0.29999999999999716</v>
      </c>
      <c r="BB562" s="9">
        <f t="shared" si="441"/>
        <v>3</v>
      </c>
      <c r="BC562" s="9">
        <f t="shared" si="442"/>
        <v>5.5</v>
      </c>
      <c r="BD562" s="9">
        <f t="shared" si="443"/>
        <v>0.70000000000000284</v>
      </c>
      <c r="BE562" s="9">
        <f t="shared" si="444"/>
        <v>3.25</v>
      </c>
      <c r="BF562" s="9">
        <f t="shared" si="445"/>
        <v>-6</v>
      </c>
      <c r="BG562" s="9">
        <f t="shared" si="446"/>
        <v>0</v>
      </c>
      <c r="BH562" s="9">
        <f t="shared" si="447"/>
        <v>-0.25</v>
      </c>
      <c r="BI562" s="9">
        <f t="shared" si="448"/>
        <v>-0.29999999999999716</v>
      </c>
      <c r="BJ562" s="9">
        <f t="shared" si="449"/>
        <v>1.125</v>
      </c>
    </row>
    <row r="563" spans="1:62" x14ac:dyDescent="0.2">
      <c r="A563" s="9">
        <f>data!M564-data!M563</f>
        <v>-8.2599999999999341E-2</v>
      </c>
      <c r="B563" s="9">
        <f>data!C564-data!C563</f>
        <v>-2.0299999999999976</v>
      </c>
      <c r="C563" s="9">
        <f>data!D564-data!D563</f>
        <v>-3.4999999999998366E-2</v>
      </c>
      <c r="D563" s="10">
        <f>data!B564-data!B563</f>
        <v>-8.0000000000000071E-2</v>
      </c>
      <c r="E563" s="9">
        <f>data!E563-data!G563</f>
        <v>1.7730999999999999</v>
      </c>
      <c r="F563" s="9">
        <f>(data!E563-data!F563)-(data!G563-data!H563)</f>
        <v>1.1390999999999998</v>
      </c>
      <c r="G563" s="9">
        <f t="shared" si="400"/>
        <v>-5.4699999999999971E-2</v>
      </c>
      <c r="H563" s="9">
        <f t="shared" si="401"/>
        <v>-2.5499999999999856E-2</v>
      </c>
      <c r="I563" s="9">
        <f>IF(data!M564&gt; 111.81,1,0)</f>
        <v>0</v>
      </c>
      <c r="J563" s="9">
        <f t="shared" si="402"/>
        <v>1</v>
      </c>
      <c r="K563" s="9">
        <f t="shared" si="403"/>
        <v>0</v>
      </c>
      <c r="L563" s="9">
        <f t="shared" si="404"/>
        <v>-8.2599999999999341E-2</v>
      </c>
      <c r="M563" s="9">
        <f>data!J563</f>
        <v>-50</v>
      </c>
      <c r="N563" s="9">
        <f>data!I563</f>
        <v>-78</v>
      </c>
      <c r="O563" s="9">
        <f>data!L563</f>
        <v>-72.900000000000006</v>
      </c>
      <c r="P563" s="9">
        <f>data!K563</f>
        <v>-50.8</v>
      </c>
      <c r="Q563" s="9">
        <f>data!R563</f>
        <v>-41</v>
      </c>
      <c r="R563" s="9">
        <f t="shared" si="405"/>
        <v>2.375</v>
      </c>
      <c r="S563" s="9">
        <f t="shared" si="406"/>
        <v>-1.25</v>
      </c>
      <c r="T563" s="9">
        <f t="shared" si="407"/>
        <v>-2.5</v>
      </c>
      <c r="U563" s="9">
        <f t="shared" si="408"/>
        <v>-15.5</v>
      </c>
      <c r="V563" s="9">
        <f t="shared" si="409"/>
        <v>-17.5</v>
      </c>
      <c r="W563" s="9">
        <f t="shared" si="410"/>
        <v>-14</v>
      </c>
      <c r="X563" s="9">
        <f t="shared" si="411"/>
        <v>-11.75</v>
      </c>
      <c r="Y563" s="9">
        <f t="shared" si="412"/>
        <v>-9.5</v>
      </c>
      <c r="Z563" s="9">
        <f t="shared" si="413"/>
        <v>-10.75</v>
      </c>
      <c r="AA563" s="9">
        <f t="shared" si="414"/>
        <v>1.25</v>
      </c>
      <c r="AB563" s="9">
        <f t="shared" si="415"/>
        <v>-2.9000000000000057</v>
      </c>
      <c r="AC563" s="9">
        <f t="shared" si="416"/>
        <v>-4</v>
      </c>
      <c r="AD563" s="9">
        <f t="shared" si="417"/>
        <v>-15.75</v>
      </c>
      <c r="AE563" s="9">
        <f t="shared" si="418"/>
        <v>-13.599999999999994</v>
      </c>
      <c r="AF563" s="9">
        <f t="shared" si="419"/>
        <v>-12</v>
      </c>
      <c r="AG563" s="9">
        <f t="shared" si="420"/>
        <v>-11.5</v>
      </c>
      <c r="AH563" s="9">
        <f t="shared" si="421"/>
        <v>-12.25</v>
      </c>
      <c r="AI563" s="9">
        <f t="shared" si="422"/>
        <v>-10.400000000000006</v>
      </c>
      <c r="AJ563" s="9">
        <f t="shared" si="423"/>
        <v>2.5</v>
      </c>
      <c r="AK563" s="9">
        <f t="shared" si="424"/>
        <v>-2.3499999999999943</v>
      </c>
      <c r="AL563" s="9">
        <f t="shared" si="425"/>
        <v>-2</v>
      </c>
      <c r="AM563" s="9">
        <f t="shared" si="426"/>
        <v>-14.049999999999997</v>
      </c>
      <c r="AN563" s="9">
        <f t="shared" si="427"/>
        <v>-11.5</v>
      </c>
      <c r="AO563" s="9">
        <f t="shared" si="428"/>
        <v>-13.474999999999994</v>
      </c>
      <c r="AP563" s="9">
        <f t="shared" si="429"/>
        <v>-12.649999999999991</v>
      </c>
      <c r="AQ563" s="9">
        <f t="shared" si="430"/>
        <v>-11.349999999999994</v>
      </c>
      <c r="AR563" s="9">
        <f t="shared" si="431"/>
        <v>-10.5</v>
      </c>
      <c r="AS563" s="9">
        <f t="shared" si="432"/>
        <v>2.7999999999999972</v>
      </c>
      <c r="AT563" s="9">
        <f t="shared" si="433"/>
        <v>-2.2000000000000028</v>
      </c>
      <c r="AU563" s="9">
        <f t="shared" si="434"/>
        <v>0</v>
      </c>
      <c r="AV563" s="9">
        <f t="shared" si="435"/>
        <v>-9.7000000000000028</v>
      </c>
      <c r="AW563" s="9">
        <f t="shared" si="436"/>
        <v>-3.9000000000000057</v>
      </c>
      <c r="AX563" s="9">
        <f t="shared" si="437"/>
        <v>-4.4500000000000028</v>
      </c>
      <c r="AY563" s="9">
        <f t="shared" si="438"/>
        <v>-6</v>
      </c>
      <c r="AZ563" s="9">
        <f t="shared" si="439"/>
        <v>-2.7000000000000028</v>
      </c>
      <c r="BA563" s="9">
        <f t="shared" si="440"/>
        <v>-1.5750000000000028</v>
      </c>
      <c r="BB563" s="9">
        <f t="shared" si="441"/>
        <v>2.5</v>
      </c>
      <c r="BC563" s="9">
        <f t="shared" si="442"/>
        <v>-2.2999999999999972</v>
      </c>
      <c r="BD563" s="9">
        <f t="shared" si="443"/>
        <v>0.25</v>
      </c>
      <c r="BE563" s="9">
        <f t="shared" si="444"/>
        <v>-9</v>
      </c>
      <c r="BF563" s="9">
        <f t="shared" si="445"/>
        <v>-3</v>
      </c>
      <c r="BG563" s="9">
        <f t="shared" si="446"/>
        <v>-3.25</v>
      </c>
      <c r="BH563" s="9">
        <f t="shared" si="447"/>
        <v>-3.2999999999999972</v>
      </c>
      <c r="BI563" s="9">
        <f t="shared" si="448"/>
        <v>-1.875</v>
      </c>
      <c r="BJ563" s="9">
        <f t="shared" si="449"/>
        <v>-0.875</v>
      </c>
    </row>
    <row r="564" spans="1:62" x14ac:dyDescent="0.2">
      <c r="A564" s="9">
        <f>data!M565-data!M564</f>
        <v>1.4373000000000076</v>
      </c>
      <c r="B564" s="9">
        <f>data!C565-data!C564</f>
        <v>-0.58999999999999986</v>
      </c>
      <c r="C564" s="9">
        <f>data!D565-data!D564</f>
        <v>-0.125</v>
      </c>
      <c r="D564" s="10">
        <f>data!B565-data!B564</f>
        <v>8.2500000000000018E-2</v>
      </c>
      <c r="E564" s="9">
        <f>data!E564-data!G564</f>
        <v>1.7183999999999999</v>
      </c>
      <c r="F564" s="9">
        <f>(data!E564-data!F564)-(data!G564-data!H564)</f>
        <v>1.1135999999999999</v>
      </c>
      <c r="G564" s="9">
        <f t="shared" si="400"/>
        <v>7.0199999999999818E-2</v>
      </c>
      <c r="H564" s="9">
        <f t="shared" si="401"/>
        <v>4.4699999999999962E-2</v>
      </c>
      <c r="I564" s="9">
        <f>IF(data!M565&gt; 111.81,1,0)</f>
        <v>0</v>
      </c>
      <c r="J564" s="9">
        <f t="shared" si="402"/>
        <v>1</v>
      </c>
      <c r="K564" s="9">
        <f t="shared" si="403"/>
        <v>0</v>
      </c>
      <c r="L564" s="9">
        <f t="shared" si="404"/>
        <v>1.4373000000000076</v>
      </c>
      <c r="M564" s="9">
        <f>data!J564</f>
        <v>-47.625</v>
      </c>
      <c r="N564" s="9">
        <f>data!I564</f>
        <v>-76.75</v>
      </c>
      <c r="O564" s="9">
        <f>data!L564</f>
        <v>-70.400000000000006</v>
      </c>
      <c r="P564" s="9">
        <f>data!K564</f>
        <v>-48</v>
      </c>
      <c r="Q564" s="9">
        <f>data!R564</f>
        <v>-38.5</v>
      </c>
      <c r="R564" s="9">
        <f t="shared" si="405"/>
        <v>-3.625</v>
      </c>
      <c r="S564" s="9">
        <f t="shared" si="406"/>
        <v>-4.875</v>
      </c>
      <c r="T564" s="9">
        <f t="shared" si="407"/>
        <v>-17.875</v>
      </c>
      <c r="U564" s="9">
        <f t="shared" si="408"/>
        <v>-19.875</v>
      </c>
      <c r="V564" s="9">
        <f t="shared" si="409"/>
        <v>-16.375</v>
      </c>
      <c r="W564" s="9">
        <f t="shared" si="410"/>
        <v>-14.125</v>
      </c>
      <c r="X564" s="9">
        <f t="shared" si="411"/>
        <v>-11.875</v>
      </c>
      <c r="Y564" s="9">
        <f t="shared" si="412"/>
        <v>-13.125</v>
      </c>
      <c r="Z564" s="9">
        <f t="shared" si="413"/>
        <v>-5.875</v>
      </c>
      <c r="AA564" s="9">
        <f t="shared" si="414"/>
        <v>-4.1500000000000057</v>
      </c>
      <c r="AB564" s="9">
        <f t="shared" si="415"/>
        <v>-5.25</v>
      </c>
      <c r="AC564" s="9">
        <f t="shared" si="416"/>
        <v>-17</v>
      </c>
      <c r="AD564" s="9">
        <f t="shared" si="417"/>
        <v>-14.849999999999994</v>
      </c>
      <c r="AE564" s="9">
        <f t="shared" si="418"/>
        <v>-13.25</v>
      </c>
      <c r="AF564" s="9">
        <f t="shared" si="419"/>
        <v>-12.75</v>
      </c>
      <c r="AG564" s="9">
        <f t="shared" si="420"/>
        <v>-13.5</v>
      </c>
      <c r="AH564" s="9">
        <f t="shared" si="421"/>
        <v>-11.650000000000006</v>
      </c>
      <c r="AI564" s="9">
        <f t="shared" si="422"/>
        <v>-7.25</v>
      </c>
      <c r="AJ564" s="9">
        <f t="shared" si="423"/>
        <v>-4.8499999999999943</v>
      </c>
      <c r="AK564" s="9">
        <f t="shared" si="424"/>
        <v>-4.5</v>
      </c>
      <c r="AL564" s="9">
        <f t="shared" si="425"/>
        <v>-16.549999999999997</v>
      </c>
      <c r="AM564" s="9">
        <f t="shared" si="426"/>
        <v>-14</v>
      </c>
      <c r="AN564" s="9">
        <f t="shared" si="427"/>
        <v>-15.974999999999994</v>
      </c>
      <c r="AO564" s="9">
        <f t="shared" si="428"/>
        <v>-15.149999999999991</v>
      </c>
      <c r="AP564" s="9">
        <f t="shared" si="429"/>
        <v>-13.849999999999994</v>
      </c>
      <c r="AQ564" s="9">
        <f t="shared" si="430"/>
        <v>-13</v>
      </c>
      <c r="AR564" s="9">
        <f t="shared" si="431"/>
        <v>-10.474999999999994</v>
      </c>
      <c r="AS564" s="9">
        <f t="shared" si="432"/>
        <v>-5</v>
      </c>
      <c r="AT564" s="9">
        <f t="shared" si="433"/>
        <v>-2.7999999999999972</v>
      </c>
      <c r="AU564" s="9">
        <f t="shared" si="434"/>
        <v>-12.5</v>
      </c>
      <c r="AV564" s="9">
        <f t="shared" si="435"/>
        <v>-6.7000000000000028</v>
      </c>
      <c r="AW564" s="9">
        <f t="shared" si="436"/>
        <v>-7.25</v>
      </c>
      <c r="AX564" s="9">
        <f t="shared" si="437"/>
        <v>-8.7999999999999972</v>
      </c>
      <c r="AY564" s="9">
        <f t="shared" si="438"/>
        <v>-5.5</v>
      </c>
      <c r="AZ564" s="9">
        <f t="shared" si="439"/>
        <v>-4.375</v>
      </c>
      <c r="BA564" s="9">
        <f t="shared" si="440"/>
        <v>-1.5</v>
      </c>
      <c r="BB564" s="9">
        <f t="shared" si="441"/>
        <v>-4.7999999999999972</v>
      </c>
      <c r="BC564" s="9">
        <f t="shared" si="442"/>
        <v>-2.25</v>
      </c>
      <c r="BD564" s="9">
        <f t="shared" si="443"/>
        <v>-11.5</v>
      </c>
      <c r="BE564" s="9">
        <f t="shared" si="444"/>
        <v>-5.5</v>
      </c>
      <c r="BF564" s="9">
        <f t="shared" si="445"/>
        <v>-5.75</v>
      </c>
      <c r="BG564" s="9">
        <f t="shared" si="446"/>
        <v>-5.7999999999999972</v>
      </c>
      <c r="BH564" s="9">
        <f t="shared" si="447"/>
        <v>-4.375</v>
      </c>
      <c r="BI564" s="9">
        <f t="shared" si="448"/>
        <v>-3.375</v>
      </c>
      <c r="BJ564" s="9">
        <f t="shared" si="449"/>
        <v>-0.5</v>
      </c>
    </row>
    <row r="565" spans="1:62" x14ac:dyDescent="0.2">
      <c r="A565" s="9">
        <f>data!M566-data!M565</f>
        <v>-0.22500000000000853</v>
      </c>
      <c r="B565" s="9">
        <f>data!C566-data!C565</f>
        <v>0.60999999999999943</v>
      </c>
      <c r="C565" s="9">
        <f>data!D566-data!D565</f>
        <v>-0.66999999999999993</v>
      </c>
      <c r="D565" s="10">
        <f>data!B566-data!B565</f>
        <v>-4.9999999999998934E-3</v>
      </c>
      <c r="E565" s="9">
        <f>data!E565-data!G565</f>
        <v>1.7885999999999997</v>
      </c>
      <c r="F565" s="9">
        <f>(data!E565-data!F565)-(data!G565-data!H565)</f>
        <v>1.1582999999999999</v>
      </c>
      <c r="G565" s="9">
        <f t="shared" si="400"/>
        <v>4.9500000000000322E-2</v>
      </c>
      <c r="H565" s="9">
        <f t="shared" si="401"/>
        <v>-4.2199999999999793E-2</v>
      </c>
      <c r="I565" s="9">
        <f>IF(data!M566&gt; 111.81,1,0)</f>
        <v>0</v>
      </c>
      <c r="J565" s="9">
        <f t="shared" si="402"/>
        <v>1</v>
      </c>
      <c r="K565" s="9">
        <f t="shared" si="403"/>
        <v>0</v>
      </c>
      <c r="L565" s="9">
        <f t="shared" si="404"/>
        <v>-0.22500000000000853</v>
      </c>
      <c r="M565" s="9">
        <f>data!J565</f>
        <v>-51.25</v>
      </c>
      <c r="N565" s="9">
        <f>data!I565</f>
        <v>-80.900000000000006</v>
      </c>
      <c r="O565" s="9">
        <f>data!L565</f>
        <v>-75.25</v>
      </c>
      <c r="P565" s="9">
        <f>data!K565</f>
        <v>-53</v>
      </c>
      <c r="Q565" s="9">
        <f>data!R565</f>
        <v>-43.3</v>
      </c>
      <c r="R565" s="9">
        <f t="shared" si="405"/>
        <v>-1.25</v>
      </c>
      <c r="S565" s="9">
        <f t="shared" si="406"/>
        <v>-14.25</v>
      </c>
      <c r="T565" s="9">
        <f t="shared" si="407"/>
        <v>-16.25</v>
      </c>
      <c r="U565" s="9">
        <f t="shared" si="408"/>
        <v>-12.75</v>
      </c>
      <c r="V565" s="9">
        <f t="shared" si="409"/>
        <v>-10.5</v>
      </c>
      <c r="W565" s="9">
        <f t="shared" si="410"/>
        <v>-8.25</v>
      </c>
      <c r="X565" s="9">
        <f t="shared" si="411"/>
        <v>-9.5</v>
      </c>
      <c r="Y565" s="9">
        <f t="shared" si="412"/>
        <v>-2.25</v>
      </c>
      <c r="Z565" s="9">
        <f t="shared" si="413"/>
        <v>1</v>
      </c>
      <c r="AA565" s="9">
        <f t="shared" si="414"/>
        <v>-1.0999999999999943</v>
      </c>
      <c r="AB565" s="9">
        <f t="shared" si="415"/>
        <v>-12.849999999999994</v>
      </c>
      <c r="AC565" s="9">
        <f t="shared" si="416"/>
        <v>-10.699999999999989</v>
      </c>
      <c r="AD565" s="9">
        <f t="shared" si="417"/>
        <v>-9.0999999999999943</v>
      </c>
      <c r="AE565" s="9">
        <f t="shared" si="418"/>
        <v>-8.5999999999999943</v>
      </c>
      <c r="AF565" s="9">
        <f t="shared" si="419"/>
        <v>-9.3499999999999943</v>
      </c>
      <c r="AG565" s="9">
        <f t="shared" si="420"/>
        <v>-7.5</v>
      </c>
      <c r="AH565" s="9">
        <f t="shared" si="421"/>
        <v>-3.0999999999999943</v>
      </c>
      <c r="AI565" s="9">
        <f t="shared" si="422"/>
        <v>-1.1999999999999886</v>
      </c>
      <c r="AJ565" s="9">
        <f t="shared" si="423"/>
        <v>0.34999999999999432</v>
      </c>
      <c r="AK565" s="9">
        <f t="shared" si="424"/>
        <v>-11.700000000000003</v>
      </c>
      <c r="AL565" s="9">
        <f t="shared" si="425"/>
        <v>-9.1500000000000057</v>
      </c>
      <c r="AM565" s="9">
        <f t="shared" si="426"/>
        <v>-11.125</v>
      </c>
      <c r="AN565" s="9">
        <f t="shared" si="427"/>
        <v>-10.299999999999997</v>
      </c>
      <c r="AO565" s="9">
        <f t="shared" si="428"/>
        <v>-9</v>
      </c>
      <c r="AP565" s="9">
        <f t="shared" si="429"/>
        <v>-8.1500000000000057</v>
      </c>
      <c r="AQ565" s="9">
        <f t="shared" si="430"/>
        <v>-5.625</v>
      </c>
      <c r="AR565" s="9">
        <f t="shared" si="431"/>
        <v>-5.3499999999999943</v>
      </c>
      <c r="AS565" s="9">
        <f t="shared" si="432"/>
        <v>2.2000000000000028</v>
      </c>
      <c r="AT565" s="9">
        <f t="shared" si="433"/>
        <v>-7.5</v>
      </c>
      <c r="AU565" s="9">
        <f t="shared" si="434"/>
        <v>-1.7000000000000028</v>
      </c>
      <c r="AV565" s="9">
        <f t="shared" si="435"/>
        <v>-2.25</v>
      </c>
      <c r="AW565" s="9">
        <f t="shared" si="436"/>
        <v>-3.7999999999999972</v>
      </c>
      <c r="AX565" s="9">
        <f t="shared" si="437"/>
        <v>-0.5</v>
      </c>
      <c r="AY565" s="9">
        <f t="shared" si="438"/>
        <v>0.625</v>
      </c>
      <c r="AZ565" s="9">
        <f t="shared" si="439"/>
        <v>3.5</v>
      </c>
      <c r="BA565" s="9">
        <f t="shared" si="440"/>
        <v>1.6000000000000014</v>
      </c>
      <c r="BB565" s="9">
        <f t="shared" si="441"/>
        <v>2.5499999999999972</v>
      </c>
      <c r="BC565" s="9">
        <f t="shared" si="442"/>
        <v>-6.7000000000000028</v>
      </c>
      <c r="BD565" s="9">
        <f t="shared" si="443"/>
        <v>-0.70000000000000284</v>
      </c>
      <c r="BE565" s="9">
        <f t="shared" si="444"/>
        <v>-0.95000000000000284</v>
      </c>
      <c r="BF565" s="9">
        <f t="shared" si="445"/>
        <v>-1</v>
      </c>
      <c r="BG565" s="9">
        <f t="shared" si="446"/>
        <v>0.42499999999999716</v>
      </c>
      <c r="BH565" s="9">
        <f t="shared" si="447"/>
        <v>1.4249999999999972</v>
      </c>
      <c r="BI565" s="9">
        <f t="shared" si="448"/>
        <v>4.2999999999999972</v>
      </c>
      <c r="BJ565" s="9">
        <f t="shared" si="449"/>
        <v>2.3999999999999986</v>
      </c>
    </row>
    <row r="566" spans="1:62" x14ac:dyDescent="0.2">
      <c r="A566" s="9">
        <f>data!M567-data!M566</f>
        <v>1.5524000000000058</v>
      </c>
      <c r="B566" s="9">
        <f>data!C567-data!C566</f>
        <v>-0.74000000000000021</v>
      </c>
      <c r="C566" s="9">
        <f>data!D567-data!D566</f>
        <v>0.47999999999999865</v>
      </c>
      <c r="D566" s="10">
        <f>data!B567-data!B566</f>
        <v>7.0000000000000062E-2</v>
      </c>
      <c r="E566" s="9">
        <f>data!E566-data!G566</f>
        <v>1.8381000000000001</v>
      </c>
      <c r="F566" s="9">
        <f>(data!E566-data!F566)-(data!G566-data!H566)</f>
        <v>1.1161000000000001</v>
      </c>
      <c r="G566" s="9">
        <f t="shared" si="400"/>
        <v>0.17110000000000025</v>
      </c>
      <c r="H566" s="9">
        <f t="shared" si="401"/>
        <v>3.2000000000000917E-3</v>
      </c>
      <c r="I566" s="9">
        <f>IF(data!M567&gt; 111.81,1,0)</f>
        <v>0</v>
      </c>
      <c r="J566" s="9">
        <f t="shared" si="402"/>
        <v>1</v>
      </c>
      <c r="K566" s="9">
        <f t="shared" si="403"/>
        <v>0</v>
      </c>
      <c r="L566" s="9">
        <f t="shared" si="404"/>
        <v>1.5524000000000058</v>
      </c>
      <c r="M566" s="9">
        <f>data!J566</f>
        <v>-52.5</v>
      </c>
      <c r="N566" s="9">
        <f>data!I566</f>
        <v>-82</v>
      </c>
      <c r="O566" s="9">
        <f>data!L566</f>
        <v>-74.900000000000006</v>
      </c>
      <c r="P566" s="9">
        <f>data!K566</f>
        <v>-50.8</v>
      </c>
      <c r="Q566" s="9">
        <f>data!R566</f>
        <v>-40.75</v>
      </c>
      <c r="R566" s="9">
        <f t="shared" si="405"/>
        <v>-13</v>
      </c>
      <c r="S566" s="9">
        <f t="shared" si="406"/>
        <v>-15</v>
      </c>
      <c r="T566" s="9">
        <f t="shared" si="407"/>
        <v>-11.5</v>
      </c>
      <c r="U566" s="9">
        <f t="shared" si="408"/>
        <v>-9.25</v>
      </c>
      <c r="V566" s="9">
        <f t="shared" si="409"/>
        <v>-7</v>
      </c>
      <c r="W566" s="9">
        <f t="shared" si="410"/>
        <v>-8.25</v>
      </c>
      <c r="X566" s="9">
        <f t="shared" si="411"/>
        <v>-1</v>
      </c>
      <c r="Y566" s="9">
        <f t="shared" si="412"/>
        <v>2.25</v>
      </c>
      <c r="Z566" s="9">
        <f t="shared" si="413"/>
        <v>-3.375</v>
      </c>
      <c r="AA566" s="9">
        <f t="shared" si="414"/>
        <v>-11.75</v>
      </c>
      <c r="AB566" s="9">
        <f t="shared" si="415"/>
        <v>-9.5999999999999943</v>
      </c>
      <c r="AC566" s="9">
        <f t="shared" si="416"/>
        <v>-8</v>
      </c>
      <c r="AD566" s="9">
        <f t="shared" si="417"/>
        <v>-7.5</v>
      </c>
      <c r="AE566" s="9">
        <f t="shared" si="418"/>
        <v>-8.25</v>
      </c>
      <c r="AF566" s="9">
        <f t="shared" si="419"/>
        <v>-6.4000000000000057</v>
      </c>
      <c r="AG566" s="9">
        <f t="shared" si="420"/>
        <v>-2</v>
      </c>
      <c r="AH566" s="9">
        <f t="shared" si="421"/>
        <v>-9.9999999999994316E-2</v>
      </c>
      <c r="AI566" s="9">
        <f t="shared" si="422"/>
        <v>-0.59999999999999432</v>
      </c>
      <c r="AJ566" s="9">
        <f t="shared" si="423"/>
        <v>-12.049999999999997</v>
      </c>
      <c r="AK566" s="9">
        <f t="shared" si="424"/>
        <v>-9.5</v>
      </c>
      <c r="AL566" s="9">
        <f t="shared" si="425"/>
        <v>-11.474999999999994</v>
      </c>
      <c r="AM566" s="9">
        <f t="shared" si="426"/>
        <v>-10.649999999999991</v>
      </c>
      <c r="AN566" s="9">
        <f t="shared" si="427"/>
        <v>-9.3499999999999943</v>
      </c>
      <c r="AO566" s="9">
        <f t="shared" si="428"/>
        <v>-8.5</v>
      </c>
      <c r="AP566" s="9">
        <f t="shared" si="429"/>
        <v>-5.9749999999999943</v>
      </c>
      <c r="AQ566" s="9">
        <f t="shared" si="430"/>
        <v>-5.6999999999999886</v>
      </c>
      <c r="AR566" s="9">
        <f t="shared" si="431"/>
        <v>-4.1999999999999886</v>
      </c>
      <c r="AS566" s="9">
        <f t="shared" si="432"/>
        <v>-9.7000000000000028</v>
      </c>
      <c r="AT566" s="9">
        <f t="shared" si="433"/>
        <v>-3.9000000000000057</v>
      </c>
      <c r="AU566" s="9">
        <f t="shared" si="434"/>
        <v>-4.4500000000000028</v>
      </c>
      <c r="AV566" s="9">
        <f t="shared" si="435"/>
        <v>-6</v>
      </c>
      <c r="AW566" s="9">
        <f t="shared" si="436"/>
        <v>-2.7000000000000028</v>
      </c>
      <c r="AX566" s="9">
        <f t="shared" si="437"/>
        <v>-1.5750000000000028</v>
      </c>
      <c r="AY566" s="9">
        <f t="shared" si="438"/>
        <v>1.2999999999999972</v>
      </c>
      <c r="AZ566" s="9">
        <f t="shared" si="439"/>
        <v>-0.60000000000000142</v>
      </c>
      <c r="BA566" s="9">
        <f t="shared" si="440"/>
        <v>1</v>
      </c>
      <c r="BB566" s="9">
        <f t="shared" si="441"/>
        <v>-9.25</v>
      </c>
      <c r="BC566" s="9">
        <f t="shared" si="442"/>
        <v>-3.25</v>
      </c>
      <c r="BD566" s="9">
        <f t="shared" si="443"/>
        <v>-3.5</v>
      </c>
      <c r="BE566" s="9">
        <f t="shared" si="444"/>
        <v>-3.5499999999999972</v>
      </c>
      <c r="BF566" s="9">
        <f t="shared" si="445"/>
        <v>-2.125</v>
      </c>
      <c r="BG566" s="9">
        <f t="shared" si="446"/>
        <v>-1.125</v>
      </c>
      <c r="BH566" s="9">
        <f t="shared" si="447"/>
        <v>1.75</v>
      </c>
      <c r="BI566" s="9">
        <f t="shared" si="448"/>
        <v>-0.14999999999999858</v>
      </c>
      <c r="BJ566" s="9">
        <f t="shared" si="449"/>
        <v>0.64999999999999858</v>
      </c>
    </row>
    <row r="567" spans="1:62" x14ac:dyDescent="0.2">
      <c r="A567" s="9">
        <f>data!M568-data!M567</f>
        <v>0.26609999999999445</v>
      </c>
      <c r="B567" s="9">
        <f>data!C568-data!C567</f>
        <v>5.7499999999999982</v>
      </c>
      <c r="C567" s="9">
        <f>data!D568-data!D567</f>
        <v>-0.16000000000000014</v>
      </c>
      <c r="D567" s="10">
        <f>data!B568-data!B567</f>
        <v>9.9999999999999867E-2</v>
      </c>
      <c r="E567" s="9">
        <f>data!E567-data!G567</f>
        <v>2.0092000000000003</v>
      </c>
      <c r="F567" s="9">
        <f>(data!E567-data!F567)-(data!G567-data!H567)</f>
        <v>1.1193000000000002</v>
      </c>
      <c r="G567" s="9">
        <f t="shared" si="400"/>
        <v>-4.3400000000000327E-2</v>
      </c>
      <c r="H567" s="9">
        <f t="shared" si="401"/>
        <v>7.9999999999991189E-4</v>
      </c>
      <c r="I567" s="9">
        <f>IF(data!M568&gt; 111.81,1,0)</f>
        <v>1</v>
      </c>
      <c r="J567" s="9">
        <f t="shared" si="402"/>
        <v>0</v>
      </c>
      <c r="K567" s="9">
        <f t="shared" si="403"/>
        <v>0.26609999999999445</v>
      </c>
      <c r="L567" s="9">
        <f t="shared" si="404"/>
        <v>0</v>
      </c>
      <c r="M567" s="9">
        <f>data!J567</f>
        <v>-65.5</v>
      </c>
      <c r="N567" s="9">
        <f>data!I567</f>
        <v>-93.75</v>
      </c>
      <c r="O567" s="9">
        <f>data!L567</f>
        <v>-86.95</v>
      </c>
      <c r="P567" s="9">
        <f>data!K567</f>
        <v>-60.5</v>
      </c>
      <c r="Q567" s="9">
        <f>data!R567</f>
        <v>-50</v>
      </c>
      <c r="R567" s="9">
        <f t="shared" si="405"/>
        <v>-2</v>
      </c>
      <c r="S567" s="9">
        <f t="shared" si="406"/>
        <v>1.5</v>
      </c>
      <c r="T567" s="9">
        <f t="shared" si="407"/>
        <v>3.75</v>
      </c>
      <c r="U567" s="9">
        <f t="shared" si="408"/>
        <v>6</v>
      </c>
      <c r="V567" s="9">
        <f t="shared" si="409"/>
        <v>4.75</v>
      </c>
      <c r="W567" s="9">
        <f t="shared" si="410"/>
        <v>12</v>
      </c>
      <c r="X567" s="9">
        <f t="shared" si="411"/>
        <v>15.25</v>
      </c>
      <c r="Y567" s="9">
        <f t="shared" si="412"/>
        <v>9.625</v>
      </c>
      <c r="Z567" s="9">
        <f t="shared" si="413"/>
        <v>11.875</v>
      </c>
      <c r="AA567" s="9">
        <f t="shared" si="414"/>
        <v>2.1500000000000057</v>
      </c>
      <c r="AB567" s="9">
        <f t="shared" si="415"/>
        <v>3.75</v>
      </c>
      <c r="AC567" s="9">
        <f t="shared" si="416"/>
        <v>4.25</v>
      </c>
      <c r="AD567" s="9">
        <f t="shared" si="417"/>
        <v>3.5</v>
      </c>
      <c r="AE567" s="9">
        <f t="shared" si="418"/>
        <v>5.3499999999999943</v>
      </c>
      <c r="AF567" s="9">
        <f t="shared" si="419"/>
        <v>9.75</v>
      </c>
      <c r="AG567" s="9">
        <f t="shared" si="420"/>
        <v>11.650000000000006</v>
      </c>
      <c r="AH567" s="9">
        <f t="shared" si="421"/>
        <v>11.150000000000006</v>
      </c>
      <c r="AI567" s="9">
        <f t="shared" si="422"/>
        <v>11.75</v>
      </c>
      <c r="AJ567" s="9">
        <f t="shared" si="423"/>
        <v>2.5499999999999972</v>
      </c>
      <c r="AK567" s="9">
        <f t="shared" si="424"/>
        <v>0.57500000000000284</v>
      </c>
      <c r="AL567" s="9">
        <f t="shared" si="425"/>
        <v>1.4000000000000057</v>
      </c>
      <c r="AM567" s="9">
        <f t="shared" si="426"/>
        <v>2.7000000000000028</v>
      </c>
      <c r="AN567" s="9">
        <f t="shared" si="427"/>
        <v>3.5499999999999972</v>
      </c>
      <c r="AO567" s="9">
        <f t="shared" si="428"/>
        <v>6.0750000000000028</v>
      </c>
      <c r="AP567" s="9">
        <f t="shared" si="429"/>
        <v>6.3500000000000085</v>
      </c>
      <c r="AQ567" s="9">
        <f t="shared" si="430"/>
        <v>7.8500000000000085</v>
      </c>
      <c r="AR567" s="9">
        <f t="shared" si="431"/>
        <v>8.7000000000000028</v>
      </c>
      <c r="AS567" s="9">
        <f t="shared" si="432"/>
        <v>5.7999999999999972</v>
      </c>
      <c r="AT567" s="9">
        <f t="shared" si="433"/>
        <v>5.25</v>
      </c>
      <c r="AU567" s="9">
        <f t="shared" si="434"/>
        <v>3.7000000000000028</v>
      </c>
      <c r="AV567" s="9">
        <f t="shared" si="435"/>
        <v>7</v>
      </c>
      <c r="AW567" s="9">
        <f t="shared" si="436"/>
        <v>8.125</v>
      </c>
      <c r="AX567" s="9">
        <f t="shared" si="437"/>
        <v>11</v>
      </c>
      <c r="AY567" s="9">
        <f t="shared" si="438"/>
        <v>9.1000000000000014</v>
      </c>
      <c r="AZ567" s="9">
        <f t="shared" si="439"/>
        <v>10.700000000000003</v>
      </c>
      <c r="BA567" s="9">
        <f t="shared" si="440"/>
        <v>11</v>
      </c>
      <c r="BB567" s="9">
        <f t="shared" si="441"/>
        <v>6</v>
      </c>
      <c r="BC567" s="9">
        <f t="shared" si="442"/>
        <v>5.75</v>
      </c>
      <c r="BD567" s="9">
        <f t="shared" si="443"/>
        <v>5.7000000000000028</v>
      </c>
      <c r="BE567" s="9">
        <f t="shared" si="444"/>
        <v>7.125</v>
      </c>
      <c r="BF567" s="9">
        <f t="shared" si="445"/>
        <v>8.125</v>
      </c>
      <c r="BG567" s="9">
        <f t="shared" si="446"/>
        <v>11</v>
      </c>
      <c r="BH567" s="9">
        <f t="shared" si="447"/>
        <v>9.1000000000000014</v>
      </c>
      <c r="BI567" s="9">
        <f t="shared" si="448"/>
        <v>9.8999999999999986</v>
      </c>
      <c r="BJ567" s="9">
        <f t="shared" si="449"/>
        <v>10</v>
      </c>
    </row>
    <row r="568" spans="1:62" x14ac:dyDescent="0.2">
      <c r="A568" s="9">
        <f>data!M569-data!M568</f>
        <v>-0.2464999999999975</v>
      </c>
      <c r="B568" s="9">
        <f>data!C569-data!C568</f>
        <v>-4.6099999999999977</v>
      </c>
      <c r="C568" s="9">
        <f>data!D569-data!D568</f>
        <v>-0.33999999999999986</v>
      </c>
      <c r="D568" s="10">
        <f>data!B569-data!B568</f>
        <v>0.16500000000000004</v>
      </c>
      <c r="E568" s="9">
        <f>data!E568-data!G568</f>
        <v>1.9658</v>
      </c>
      <c r="F568" s="9">
        <f>(data!E568-data!F568)-(data!G568-data!H568)</f>
        <v>1.1201000000000001</v>
      </c>
      <c r="G568" s="9">
        <f t="shared" si="400"/>
        <v>-2.2499999999999742E-2</v>
      </c>
      <c r="H568" s="9">
        <f t="shared" si="401"/>
        <v>-0.11899999999999999</v>
      </c>
      <c r="I568" s="9">
        <f>IF(data!M569&gt; 111.81,1,0)</f>
        <v>0</v>
      </c>
      <c r="J568" s="9">
        <f t="shared" si="402"/>
        <v>1</v>
      </c>
      <c r="K568" s="9">
        <f t="shared" si="403"/>
        <v>0</v>
      </c>
      <c r="L568" s="9">
        <f t="shared" si="404"/>
        <v>-0.2464999999999975</v>
      </c>
      <c r="M568" s="9">
        <f>data!J568</f>
        <v>-67.5</v>
      </c>
      <c r="N568" s="9">
        <f>data!I568</f>
        <v>-91.6</v>
      </c>
      <c r="O568" s="9">
        <f>data!L568</f>
        <v>-84.4</v>
      </c>
      <c r="P568" s="9">
        <f>data!K568</f>
        <v>-54.7</v>
      </c>
      <c r="Q568" s="9">
        <f>data!R568</f>
        <v>-44</v>
      </c>
      <c r="R568" s="9">
        <f t="shared" si="405"/>
        <v>3.5</v>
      </c>
      <c r="S568" s="9">
        <f t="shared" si="406"/>
        <v>5.75</v>
      </c>
      <c r="T568" s="9">
        <f t="shared" si="407"/>
        <v>8</v>
      </c>
      <c r="U568" s="9">
        <f t="shared" si="408"/>
        <v>6.75</v>
      </c>
      <c r="V568" s="9">
        <f t="shared" si="409"/>
        <v>14</v>
      </c>
      <c r="W568" s="9">
        <f t="shared" si="410"/>
        <v>17.25</v>
      </c>
      <c r="X568" s="9">
        <f t="shared" si="411"/>
        <v>11.625</v>
      </c>
      <c r="Y568" s="9">
        <f t="shared" si="412"/>
        <v>13.875</v>
      </c>
      <c r="Z568" s="9">
        <f t="shared" si="413"/>
        <v>14.75</v>
      </c>
      <c r="AA568" s="9">
        <f t="shared" si="414"/>
        <v>1.5999999999999943</v>
      </c>
      <c r="AB568" s="9">
        <f t="shared" si="415"/>
        <v>2.0999999999999943</v>
      </c>
      <c r="AC568" s="9">
        <f t="shared" si="416"/>
        <v>1.3499999999999943</v>
      </c>
      <c r="AD568" s="9">
        <f t="shared" si="417"/>
        <v>3.1999999999999886</v>
      </c>
      <c r="AE568" s="9">
        <f t="shared" si="418"/>
        <v>7.5999999999999943</v>
      </c>
      <c r="AF568" s="9">
        <f t="shared" si="419"/>
        <v>9.5</v>
      </c>
      <c r="AG568" s="9">
        <f t="shared" si="420"/>
        <v>9</v>
      </c>
      <c r="AH568" s="9">
        <f t="shared" si="421"/>
        <v>9.5999999999999943</v>
      </c>
      <c r="AI568" s="9">
        <f t="shared" si="422"/>
        <v>8.9749999999999943</v>
      </c>
      <c r="AJ568" s="9">
        <f t="shared" si="423"/>
        <v>-1.9749999999999943</v>
      </c>
      <c r="AK568" s="9">
        <f t="shared" si="424"/>
        <v>-1.1499999999999915</v>
      </c>
      <c r="AL568" s="9">
        <f t="shared" si="425"/>
        <v>0.15000000000000568</v>
      </c>
      <c r="AM568" s="9">
        <f t="shared" si="426"/>
        <v>1</v>
      </c>
      <c r="AN568" s="9">
        <f t="shared" si="427"/>
        <v>3.5250000000000057</v>
      </c>
      <c r="AO568" s="9">
        <f t="shared" si="428"/>
        <v>3.8000000000000114</v>
      </c>
      <c r="AP568" s="9">
        <f t="shared" si="429"/>
        <v>5.3000000000000114</v>
      </c>
      <c r="AQ568" s="9">
        <f t="shared" si="430"/>
        <v>6.1500000000000057</v>
      </c>
      <c r="AR568" s="9">
        <f t="shared" si="431"/>
        <v>5.6500000000000057</v>
      </c>
      <c r="AS568" s="9">
        <f t="shared" si="432"/>
        <v>-0.54999999999999716</v>
      </c>
      <c r="AT568" s="9">
        <f t="shared" si="433"/>
        <v>-2.0999999999999943</v>
      </c>
      <c r="AU568" s="9">
        <f t="shared" si="434"/>
        <v>1.2000000000000028</v>
      </c>
      <c r="AV568" s="9">
        <f t="shared" si="435"/>
        <v>2.3250000000000028</v>
      </c>
      <c r="AW568" s="9">
        <f t="shared" si="436"/>
        <v>5.2000000000000028</v>
      </c>
      <c r="AX568" s="9">
        <f t="shared" si="437"/>
        <v>3.3000000000000043</v>
      </c>
      <c r="AY568" s="9">
        <f t="shared" si="438"/>
        <v>4.9000000000000057</v>
      </c>
      <c r="AZ568" s="9">
        <f t="shared" si="439"/>
        <v>5.2000000000000028</v>
      </c>
      <c r="BA568" s="9">
        <f t="shared" si="440"/>
        <v>4.4500000000000028</v>
      </c>
      <c r="BB568" s="9">
        <f t="shared" si="441"/>
        <v>-0.25</v>
      </c>
      <c r="BC568" s="9">
        <f t="shared" si="442"/>
        <v>-0.29999999999999716</v>
      </c>
      <c r="BD568" s="9">
        <f t="shared" si="443"/>
        <v>1.125</v>
      </c>
      <c r="BE568" s="9">
        <f t="shared" si="444"/>
        <v>2.125</v>
      </c>
      <c r="BF568" s="9">
        <f t="shared" si="445"/>
        <v>5</v>
      </c>
      <c r="BG568" s="9">
        <f t="shared" si="446"/>
        <v>3.1000000000000014</v>
      </c>
      <c r="BH568" s="9">
        <f t="shared" si="447"/>
        <v>3.8999999999999986</v>
      </c>
      <c r="BI568" s="9">
        <f t="shared" si="448"/>
        <v>4</v>
      </c>
      <c r="BJ568" s="9">
        <f t="shared" si="449"/>
        <v>3</v>
      </c>
    </row>
    <row r="569" spans="1:62" x14ac:dyDescent="0.2">
      <c r="A569" s="9">
        <f>data!M570-data!M569</f>
        <v>0.50249999999999773</v>
      </c>
      <c r="B569" s="9">
        <f>data!C570-data!C569</f>
        <v>-0.35000000000000142</v>
      </c>
      <c r="C569" s="9">
        <f>data!D570-data!D569</f>
        <v>7.0000000000000284E-2</v>
      </c>
      <c r="D569" s="10">
        <f>data!B570-data!B569</f>
        <v>-6.0000000000000053E-2</v>
      </c>
      <c r="E569" s="9">
        <f>data!E569-data!G569</f>
        <v>1.9433000000000002</v>
      </c>
      <c r="F569" s="9">
        <f>(data!E569-data!F569)-(data!G569-data!H569)</f>
        <v>1.0011000000000001</v>
      </c>
      <c r="G569" s="9">
        <f t="shared" si="400"/>
        <v>-2.3200000000000331E-2</v>
      </c>
      <c r="H569" s="9">
        <f t="shared" si="401"/>
        <v>-1.2499999999999956E-2</v>
      </c>
      <c r="I569" s="9">
        <f>IF(data!M570&gt; 111.81,1,0)</f>
        <v>1</v>
      </c>
      <c r="J569" s="9">
        <f t="shared" si="402"/>
        <v>0</v>
      </c>
      <c r="K569" s="9">
        <f t="shared" si="403"/>
        <v>0.50249999999999773</v>
      </c>
      <c r="L569" s="9">
        <f t="shared" si="404"/>
        <v>0</v>
      </c>
      <c r="M569" s="9">
        <f>data!J569</f>
        <v>-64</v>
      </c>
      <c r="N569" s="9">
        <f>data!I569</f>
        <v>-90</v>
      </c>
      <c r="O569" s="9">
        <f>data!L569</f>
        <v>-86.375</v>
      </c>
      <c r="P569" s="9">
        <f>data!K569</f>
        <v>-55.25</v>
      </c>
      <c r="Q569" s="9">
        <f>data!R569</f>
        <v>-44.25</v>
      </c>
      <c r="R569" s="9">
        <f t="shared" si="405"/>
        <v>2.25</v>
      </c>
      <c r="S569" s="9">
        <f t="shared" si="406"/>
        <v>4.5</v>
      </c>
      <c r="T569" s="9">
        <f t="shared" si="407"/>
        <v>3.25</v>
      </c>
      <c r="U569" s="9">
        <f t="shared" si="408"/>
        <v>10.5</v>
      </c>
      <c r="V569" s="9">
        <f t="shared" si="409"/>
        <v>13.75</v>
      </c>
      <c r="W569" s="9">
        <f t="shared" si="410"/>
        <v>8.125</v>
      </c>
      <c r="X569" s="9">
        <f t="shared" si="411"/>
        <v>10.375</v>
      </c>
      <c r="Y569" s="9">
        <f t="shared" si="412"/>
        <v>11.25</v>
      </c>
      <c r="Z569" s="9">
        <f t="shared" si="413"/>
        <v>13</v>
      </c>
      <c r="AA569" s="9">
        <f t="shared" si="414"/>
        <v>0.5</v>
      </c>
      <c r="AB569" s="9">
        <f t="shared" si="415"/>
        <v>-0.25</v>
      </c>
      <c r="AC569" s="9">
        <f t="shared" si="416"/>
        <v>1.5999999999999943</v>
      </c>
      <c r="AD569" s="9">
        <f t="shared" si="417"/>
        <v>6</v>
      </c>
      <c r="AE569" s="9">
        <f t="shared" si="418"/>
        <v>7.9000000000000057</v>
      </c>
      <c r="AF569" s="9">
        <f t="shared" si="419"/>
        <v>7.4000000000000057</v>
      </c>
      <c r="AG569" s="9">
        <f t="shared" si="420"/>
        <v>8</v>
      </c>
      <c r="AH569" s="9">
        <f t="shared" si="421"/>
        <v>7.375</v>
      </c>
      <c r="AI569" s="9">
        <f t="shared" si="422"/>
        <v>9</v>
      </c>
      <c r="AJ569" s="9">
        <f t="shared" si="423"/>
        <v>0.82500000000000284</v>
      </c>
      <c r="AK569" s="9">
        <f t="shared" si="424"/>
        <v>2.125</v>
      </c>
      <c r="AL569" s="9">
        <f t="shared" si="425"/>
        <v>2.9749999999999943</v>
      </c>
      <c r="AM569" s="9">
        <f t="shared" si="426"/>
        <v>5.5</v>
      </c>
      <c r="AN569" s="9">
        <f t="shared" si="427"/>
        <v>5.7750000000000057</v>
      </c>
      <c r="AO569" s="9">
        <f t="shared" si="428"/>
        <v>7.2750000000000057</v>
      </c>
      <c r="AP569" s="9">
        <f t="shared" si="429"/>
        <v>8.125</v>
      </c>
      <c r="AQ569" s="9">
        <f t="shared" si="430"/>
        <v>7.625</v>
      </c>
      <c r="AR569" s="9">
        <f t="shared" si="431"/>
        <v>8.75</v>
      </c>
      <c r="AS569" s="9">
        <f t="shared" si="432"/>
        <v>-1.5499999999999972</v>
      </c>
      <c r="AT569" s="9">
        <f t="shared" si="433"/>
        <v>1.75</v>
      </c>
      <c r="AU569" s="9">
        <f t="shared" si="434"/>
        <v>2.875</v>
      </c>
      <c r="AV569" s="9">
        <f t="shared" si="435"/>
        <v>5.75</v>
      </c>
      <c r="AW569" s="9">
        <f t="shared" si="436"/>
        <v>3.8500000000000014</v>
      </c>
      <c r="AX569" s="9">
        <f t="shared" si="437"/>
        <v>5.4500000000000028</v>
      </c>
      <c r="AY569" s="9">
        <f t="shared" si="438"/>
        <v>5.75</v>
      </c>
      <c r="AZ569" s="9">
        <f t="shared" si="439"/>
        <v>5</v>
      </c>
      <c r="BA569" s="9">
        <f t="shared" si="440"/>
        <v>5.4500000000000028</v>
      </c>
      <c r="BB569" s="9">
        <f t="shared" si="441"/>
        <v>-4.9999999999997158E-2</v>
      </c>
      <c r="BC569" s="9">
        <f t="shared" si="442"/>
        <v>1.375</v>
      </c>
      <c r="BD569" s="9">
        <f t="shared" si="443"/>
        <v>2.375</v>
      </c>
      <c r="BE569" s="9">
        <f t="shared" si="444"/>
        <v>5.25</v>
      </c>
      <c r="BF569" s="9">
        <f t="shared" si="445"/>
        <v>3.3500000000000014</v>
      </c>
      <c r="BG569" s="9">
        <f t="shared" si="446"/>
        <v>4.1499999999999986</v>
      </c>
      <c r="BH569" s="9">
        <f t="shared" si="447"/>
        <v>4.25</v>
      </c>
      <c r="BI569" s="9">
        <f t="shared" si="448"/>
        <v>3.25</v>
      </c>
      <c r="BJ569" s="9">
        <f t="shared" si="449"/>
        <v>3.25</v>
      </c>
    </row>
    <row r="570" spans="1:62" x14ac:dyDescent="0.2">
      <c r="A570" s="9">
        <f>data!M571-data!M570</f>
        <v>-0.73609999999999332</v>
      </c>
      <c r="B570" s="9">
        <f>data!C571-data!C570</f>
        <v>-0.30999999999999872</v>
      </c>
      <c r="C570" s="9">
        <f>data!D571-data!D570</f>
        <v>-0.60499999999999954</v>
      </c>
      <c r="D570" s="10">
        <f>data!B571-data!B570</f>
        <v>-1.0000000000000009E-2</v>
      </c>
      <c r="E570" s="9">
        <f>data!E570-data!G570</f>
        <v>1.9200999999999999</v>
      </c>
      <c r="F570" s="9">
        <f>(data!E570-data!F570)-(data!G570-data!H570)</f>
        <v>0.98860000000000015</v>
      </c>
      <c r="G570" s="9">
        <f t="shared" si="400"/>
        <v>1.3199999999999878E-2</v>
      </c>
      <c r="H570" s="9">
        <f t="shared" si="401"/>
        <v>-1.7100000000000337E-2</v>
      </c>
      <c r="I570" s="9">
        <f>IF(data!M571&gt; 111.81,1,0)</f>
        <v>0</v>
      </c>
      <c r="J570" s="9">
        <f t="shared" si="402"/>
        <v>1</v>
      </c>
      <c r="K570" s="9">
        <f t="shared" si="403"/>
        <v>0</v>
      </c>
      <c r="L570" s="9">
        <f t="shared" si="404"/>
        <v>-0.73609999999999332</v>
      </c>
      <c r="M570" s="9">
        <f>data!J570</f>
        <v>-61.75</v>
      </c>
      <c r="N570" s="9">
        <f>data!I570</f>
        <v>-89.5</v>
      </c>
      <c r="O570" s="9">
        <f>data!L570</f>
        <v>-85.55</v>
      </c>
      <c r="P570" s="9">
        <f>data!K570</f>
        <v>-56.8</v>
      </c>
      <c r="Q570" s="9">
        <f>data!R570</f>
        <v>-44.3</v>
      </c>
      <c r="R570" s="9">
        <f t="shared" si="405"/>
        <v>2.25</v>
      </c>
      <c r="S570" s="9">
        <f t="shared" si="406"/>
        <v>1</v>
      </c>
      <c r="T570" s="9">
        <f t="shared" si="407"/>
        <v>8.25</v>
      </c>
      <c r="U570" s="9">
        <f t="shared" si="408"/>
        <v>11.5</v>
      </c>
      <c r="V570" s="9">
        <f t="shared" si="409"/>
        <v>5.875</v>
      </c>
      <c r="W570" s="9">
        <f t="shared" si="410"/>
        <v>8.125</v>
      </c>
      <c r="X570" s="9">
        <f t="shared" si="411"/>
        <v>9</v>
      </c>
      <c r="Y570" s="9">
        <f t="shared" si="412"/>
        <v>10.75</v>
      </c>
      <c r="Z570" s="9">
        <f t="shared" si="413"/>
        <v>2.5</v>
      </c>
      <c r="AA570" s="9">
        <f t="shared" si="414"/>
        <v>-0.75</v>
      </c>
      <c r="AB570" s="9">
        <f t="shared" si="415"/>
        <v>1.0999999999999943</v>
      </c>
      <c r="AC570" s="9">
        <f t="shared" si="416"/>
        <v>5.5</v>
      </c>
      <c r="AD570" s="9">
        <f t="shared" si="417"/>
        <v>7.4000000000000057</v>
      </c>
      <c r="AE570" s="9">
        <f t="shared" si="418"/>
        <v>6.9000000000000057</v>
      </c>
      <c r="AF570" s="9">
        <f t="shared" si="419"/>
        <v>7.5</v>
      </c>
      <c r="AG570" s="9">
        <f t="shared" si="420"/>
        <v>6.875</v>
      </c>
      <c r="AH570" s="9">
        <f t="shared" si="421"/>
        <v>8.5</v>
      </c>
      <c r="AI570" s="9">
        <f t="shared" si="422"/>
        <v>-2.25</v>
      </c>
      <c r="AJ570" s="9">
        <f t="shared" si="423"/>
        <v>1.2999999999999972</v>
      </c>
      <c r="AK570" s="9">
        <f t="shared" si="424"/>
        <v>2.1499999999999915</v>
      </c>
      <c r="AL570" s="9">
        <f t="shared" si="425"/>
        <v>4.6749999999999972</v>
      </c>
      <c r="AM570" s="9">
        <f t="shared" si="426"/>
        <v>4.9500000000000028</v>
      </c>
      <c r="AN570" s="9">
        <f t="shared" si="427"/>
        <v>6.4500000000000028</v>
      </c>
      <c r="AO570" s="9">
        <f t="shared" si="428"/>
        <v>7.2999999999999972</v>
      </c>
      <c r="AP570" s="9">
        <f t="shared" si="429"/>
        <v>6.7999999999999972</v>
      </c>
      <c r="AQ570" s="9">
        <f t="shared" si="430"/>
        <v>7.9249999999999972</v>
      </c>
      <c r="AR570" s="9">
        <f t="shared" si="431"/>
        <v>-3.7000000000000028</v>
      </c>
      <c r="AS570" s="9">
        <f t="shared" si="432"/>
        <v>3.2999999999999972</v>
      </c>
      <c r="AT570" s="9">
        <f t="shared" si="433"/>
        <v>4.4249999999999972</v>
      </c>
      <c r="AU570" s="9">
        <f t="shared" si="434"/>
        <v>7.2999999999999972</v>
      </c>
      <c r="AV570" s="9">
        <f t="shared" si="435"/>
        <v>5.3999999999999986</v>
      </c>
      <c r="AW570" s="9">
        <f t="shared" si="436"/>
        <v>7</v>
      </c>
      <c r="AX570" s="9">
        <f t="shared" si="437"/>
        <v>7.2999999999999972</v>
      </c>
      <c r="AY570" s="9">
        <f t="shared" si="438"/>
        <v>6.5499999999999972</v>
      </c>
      <c r="AZ570" s="9">
        <f t="shared" si="439"/>
        <v>7</v>
      </c>
      <c r="BA570" s="9">
        <f t="shared" si="440"/>
        <v>-6.7000000000000028</v>
      </c>
      <c r="BB570" s="9">
        <f t="shared" si="441"/>
        <v>1.4249999999999972</v>
      </c>
      <c r="BC570" s="9">
        <f t="shared" si="442"/>
        <v>2.4249999999999972</v>
      </c>
      <c r="BD570" s="9">
        <f t="shared" si="443"/>
        <v>5.2999999999999972</v>
      </c>
      <c r="BE570" s="9">
        <f t="shared" si="444"/>
        <v>3.3999999999999986</v>
      </c>
      <c r="BF570" s="9">
        <f t="shared" si="445"/>
        <v>4.1999999999999957</v>
      </c>
      <c r="BG570" s="9">
        <f t="shared" si="446"/>
        <v>4.2999999999999972</v>
      </c>
      <c r="BH570" s="9">
        <f t="shared" si="447"/>
        <v>3.2999999999999972</v>
      </c>
      <c r="BI570" s="9">
        <f t="shared" si="448"/>
        <v>3.2999999999999972</v>
      </c>
      <c r="BJ570" s="9">
        <f t="shared" si="449"/>
        <v>-10.200000000000003</v>
      </c>
    </row>
    <row r="571" spans="1:62" x14ac:dyDescent="0.2">
      <c r="A571" s="9">
        <f>data!M572-data!M571</f>
        <v>1.1683999999999912</v>
      </c>
      <c r="B571" s="9">
        <f>data!C572-data!C571</f>
        <v>9.58</v>
      </c>
      <c r="C571" s="9">
        <f>data!D572-data!D571</f>
        <v>1.0300000000000002</v>
      </c>
      <c r="D571" s="10">
        <f>data!B572-data!B571</f>
        <v>-0.12749999999999995</v>
      </c>
      <c r="E571" s="9">
        <f>data!E571-data!G571</f>
        <v>1.9332999999999998</v>
      </c>
      <c r="F571" s="9">
        <f>(data!E571-data!F571)-(data!G571-data!H571)</f>
        <v>0.97149999999999981</v>
      </c>
      <c r="G571" s="9">
        <f t="shared" si="400"/>
        <v>-0.12329999999999997</v>
      </c>
      <c r="H571" s="9">
        <f t="shared" si="401"/>
        <v>-6.5500000000000114E-2</v>
      </c>
      <c r="I571" s="9">
        <f>IF(data!M572&gt; 111.81,1,0)</f>
        <v>1</v>
      </c>
      <c r="J571" s="9">
        <f t="shared" si="402"/>
        <v>0</v>
      </c>
      <c r="K571" s="9">
        <f t="shared" si="403"/>
        <v>1.1683999999999912</v>
      </c>
      <c r="L571" s="9">
        <f t="shared" si="404"/>
        <v>0</v>
      </c>
      <c r="M571" s="9">
        <f>data!J571</f>
        <v>-59.5</v>
      </c>
      <c r="N571" s="9">
        <f>data!I571</f>
        <v>-90.25</v>
      </c>
      <c r="O571" s="9">
        <f>data!L571</f>
        <v>-84.25</v>
      </c>
      <c r="P571" s="9">
        <f>data!K571</f>
        <v>-53.5</v>
      </c>
      <c r="Q571" s="9">
        <f>data!R571</f>
        <v>-42.875</v>
      </c>
      <c r="R571" s="9">
        <f t="shared" si="405"/>
        <v>-1.25</v>
      </c>
      <c r="S571" s="9">
        <f t="shared" si="406"/>
        <v>6</v>
      </c>
      <c r="T571" s="9">
        <f t="shared" si="407"/>
        <v>9.25</v>
      </c>
      <c r="U571" s="9">
        <f t="shared" si="408"/>
        <v>3.625</v>
      </c>
      <c r="V571" s="9">
        <f t="shared" si="409"/>
        <v>5.875</v>
      </c>
      <c r="W571" s="9">
        <f t="shared" si="410"/>
        <v>6.75</v>
      </c>
      <c r="X571" s="9">
        <f t="shared" si="411"/>
        <v>8.5</v>
      </c>
      <c r="Y571" s="9">
        <f t="shared" si="412"/>
        <v>0.25</v>
      </c>
      <c r="Z571" s="9">
        <f t="shared" si="413"/>
        <v>-4.5</v>
      </c>
      <c r="AA571" s="9">
        <f t="shared" si="414"/>
        <v>1.8499999999999943</v>
      </c>
      <c r="AB571" s="9">
        <f t="shared" si="415"/>
        <v>6.25</v>
      </c>
      <c r="AC571" s="9">
        <f t="shared" si="416"/>
        <v>8.1500000000000057</v>
      </c>
      <c r="AD571" s="9">
        <f t="shared" si="417"/>
        <v>7.6500000000000057</v>
      </c>
      <c r="AE571" s="9">
        <f t="shared" si="418"/>
        <v>8.25</v>
      </c>
      <c r="AF571" s="9">
        <f t="shared" si="419"/>
        <v>7.625</v>
      </c>
      <c r="AG571" s="9">
        <f t="shared" si="420"/>
        <v>9.25</v>
      </c>
      <c r="AH571" s="9">
        <f t="shared" si="421"/>
        <v>-1.5</v>
      </c>
      <c r="AI571" s="9">
        <f t="shared" si="422"/>
        <v>-6.25</v>
      </c>
      <c r="AJ571" s="9">
        <f t="shared" si="423"/>
        <v>0.84999999999999432</v>
      </c>
      <c r="AK571" s="9">
        <f t="shared" si="424"/>
        <v>3.375</v>
      </c>
      <c r="AL571" s="9">
        <f t="shared" si="425"/>
        <v>3.6500000000000057</v>
      </c>
      <c r="AM571" s="9">
        <f t="shared" si="426"/>
        <v>5.1500000000000057</v>
      </c>
      <c r="AN571" s="9">
        <f t="shared" si="427"/>
        <v>6</v>
      </c>
      <c r="AO571" s="9">
        <f t="shared" si="428"/>
        <v>5.5</v>
      </c>
      <c r="AP571" s="9">
        <f t="shared" si="429"/>
        <v>6.625</v>
      </c>
      <c r="AQ571" s="9">
        <f t="shared" si="430"/>
        <v>-5</v>
      </c>
      <c r="AR571" s="9">
        <f t="shared" si="431"/>
        <v>-9.5</v>
      </c>
      <c r="AS571" s="9">
        <f t="shared" si="432"/>
        <v>1.125</v>
      </c>
      <c r="AT571" s="9">
        <f t="shared" si="433"/>
        <v>4</v>
      </c>
      <c r="AU571" s="9">
        <f t="shared" si="434"/>
        <v>2.1000000000000014</v>
      </c>
      <c r="AV571" s="9">
        <f t="shared" si="435"/>
        <v>3.7000000000000028</v>
      </c>
      <c r="AW571" s="9">
        <f t="shared" si="436"/>
        <v>4</v>
      </c>
      <c r="AX571" s="9">
        <f t="shared" si="437"/>
        <v>3.25</v>
      </c>
      <c r="AY571" s="9">
        <f t="shared" si="438"/>
        <v>3.7000000000000028</v>
      </c>
      <c r="AZ571" s="9">
        <f t="shared" si="439"/>
        <v>-10</v>
      </c>
      <c r="BA571" s="9">
        <f t="shared" si="440"/>
        <v>-14.799999999999997</v>
      </c>
      <c r="BB571" s="9">
        <f t="shared" si="441"/>
        <v>1</v>
      </c>
      <c r="BC571" s="9">
        <f t="shared" si="442"/>
        <v>3.875</v>
      </c>
      <c r="BD571" s="9">
        <f t="shared" si="443"/>
        <v>1.9750000000000014</v>
      </c>
      <c r="BE571" s="9">
        <f t="shared" si="444"/>
        <v>2.7749999999999986</v>
      </c>
      <c r="BF571" s="9">
        <f t="shared" si="445"/>
        <v>2.875</v>
      </c>
      <c r="BG571" s="9">
        <f t="shared" si="446"/>
        <v>1.875</v>
      </c>
      <c r="BH571" s="9">
        <f t="shared" si="447"/>
        <v>1.875</v>
      </c>
      <c r="BI571" s="9">
        <f t="shared" si="448"/>
        <v>-11.625</v>
      </c>
      <c r="BJ571" s="9">
        <f t="shared" si="449"/>
        <v>-16.625</v>
      </c>
    </row>
    <row r="572" spans="1:62" x14ac:dyDescent="0.2">
      <c r="A572" s="9">
        <f>data!M573-data!M572</f>
        <v>0.56900000000000261</v>
      </c>
      <c r="B572" s="9">
        <f>data!C573-data!C572</f>
        <v>-3.6900000000000013</v>
      </c>
      <c r="C572" s="9">
        <f>data!D573-data!D572</f>
        <v>-0.52000000000000135</v>
      </c>
      <c r="D572" s="10">
        <f>data!B573-data!B572</f>
        <v>-4.9999999999998934E-3</v>
      </c>
      <c r="E572" s="9">
        <f>data!E572-data!G572</f>
        <v>1.8099999999999998</v>
      </c>
      <c r="F572" s="9">
        <f>(data!E572-data!F572)-(data!G572-data!H572)</f>
        <v>0.90599999999999969</v>
      </c>
      <c r="G572" s="9">
        <f t="shared" si="400"/>
        <v>0.12900000000000023</v>
      </c>
      <c r="H572" s="9">
        <f t="shared" si="401"/>
        <v>2.7800000000000491E-2</v>
      </c>
      <c r="I572" s="9">
        <f>IF(data!M573&gt; 111.81,1,0)</f>
        <v>1</v>
      </c>
      <c r="J572" s="9">
        <f t="shared" si="402"/>
        <v>0</v>
      </c>
      <c r="K572" s="9">
        <f t="shared" si="403"/>
        <v>0.56900000000000261</v>
      </c>
      <c r="L572" s="9">
        <f t="shared" si="404"/>
        <v>0</v>
      </c>
      <c r="M572" s="9">
        <f>data!J572</f>
        <v>-60.75</v>
      </c>
      <c r="N572" s="9">
        <f>data!I572</f>
        <v>-88.4</v>
      </c>
      <c r="O572" s="9">
        <f>data!L572</f>
        <v>-83.4</v>
      </c>
      <c r="P572" s="9">
        <f>data!K572</f>
        <v>-52.375</v>
      </c>
      <c r="Q572" s="9">
        <f>data!R572</f>
        <v>-41.875</v>
      </c>
      <c r="R572" s="9">
        <f t="shared" si="405"/>
        <v>7.25</v>
      </c>
      <c r="S572" s="9">
        <f t="shared" si="406"/>
        <v>10.5</v>
      </c>
      <c r="T572" s="9">
        <f t="shared" si="407"/>
        <v>4.875</v>
      </c>
      <c r="U572" s="9">
        <f t="shared" si="408"/>
        <v>7.125</v>
      </c>
      <c r="V572" s="9">
        <f t="shared" si="409"/>
        <v>8</v>
      </c>
      <c r="W572" s="9">
        <f t="shared" si="410"/>
        <v>9.75</v>
      </c>
      <c r="X572" s="9">
        <f t="shared" si="411"/>
        <v>1.5</v>
      </c>
      <c r="Y572" s="9">
        <f t="shared" si="412"/>
        <v>-3.25</v>
      </c>
      <c r="Z572" s="9">
        <f t="shared" si="413"/>
        <v>-4.25</v>
      </c>
      <c r="AA572" s="9">
        <f t="shared" si="414"/>
        <v>4.4000000000000057</v>
      </c>
      <c r="AB572" s="9">
        <f t="shared" si="415"/>
        <v>6.3000000000000114</v>
      </c>
      <c r="AC572" s="9">
        <f t="shared" si="416"/>
        <v>5.8000000000000114</v>
      </c>
      <c r="AD572" s="9">
        <f t="shared" si="417"/>
        <v>6.4000000000000057</v>
      </c>
      <c r="AE572" s="9">
        <f t="shared" si="418"/>
        <v>5.7750000000000057</v>
      </c>
      <c r="AF572" s="9">
        <f t="shared" si="419"/>
        <v>7.4000000000000057</v>
      </c>
      <c r="AG572" s="9">
        <f t="shared" si="420"/>
        <v>-3.3499999999999943</v>
      </c>
      <c r="AH572" s="9">
        <f t="shared" si="421"/>
        <v>-8.0999999999999943</v>
      </c>
      <c r="AI572" s="9">
        <f t="shared" si="422"/>
        <v>-9.2749999999999915</v>
      </c>
      <c r="AJ572" s="9">
        <f t="shared" si="423"/>
        <v>2.5250000000000057</v>
      </c>
      <c r="AK572" s="9">
        <f t="shared" si="424"/>
        <v>2.8000000000000114</v>
      </c>
      <c r="AL572" s="9">
        <f t="shared" si="425"/>
        <v>4.3000000000000114</v>
      </c>
      <c r="AM572" s="9">
        <f t="shared" si="426"/>
        <v>5.1500000000000057</v>
      </c>
      <c r="AN572" s="9">
        <f t="shared" si="427"/>
        <v>4.6500000000000057</v>
      </c>
      <c r="AO572" s="9">
        <f t="shared" si="428"/>
        <v>5.7750000000000057</v>
      </c>
      <c r="AP572" s="9">
        <f t="shared" si="429"/>
        <v>-5.8499999999999943</v>
      </c>
      <c r="AQ572" s="9">
        <f t="shared" si="430"/>
        <v>-10.349999999999994</v>
      </c>
      <c r="AR572" s="9">
        <f t="shared" si="431"/>
        <v>-11.149999999999991</v>
      </c>
      <c r="AS572" s="9">
        <f t="shared" si="432"/>
        <v>2.875</v>
      </c>
      <c r="AT572" s="9">
        <f t="shared" si="433"/>
        <v>0.97500000000000142</v>
      </c>
      <c r="AU572" s="9">
        <f t="shared" si="434"/>
        <v>2.5750000000000028</v>
      </c>
      <c r="AV572" s="9">
        <f t="shared" si="435"/>
        <v>2.875</v>
      </c>
      <c r="AW572" s="9">
        <f t="shared" si="436"/>
        <v>2.125</v>
      </c>
      <c r="AX572" s="9">
        <f t="shared" si="437"/>
        <v>2.5750000000000028</v>
      </c>
      <c r="AY572" s="9">
        <f t="shared" si="438"/>
        <v>-11.125</v>
      </c>
      <c r="AZ572" s="9">
        <f t="shared" si="439"/>
        <v>-15.924999999999997</v>
      </c>
      <c r="BA572" s="9">
        <f t="shared" si="440"/>
        <v>-17.575000000000003</v>
      </c>
      <c r="BB572" s="9">
        <f t="shared" si="441"/>
        <v>2.875</v>
      </c>
      <c r="BC572" s="9">
        <f t="shared" si="442"/>
        <v>0.97500000000000142</v>
      </c>
      <c r="BD572" s="9">
        <f t="shared" si="443"/>
        <v>1.7749999999999986</v>
      </c>
      <c r="BE572" s="9">
        <f t="shared" si="444"/>
        <v>1.875</v>
      </c>
      <c r="BF572" s="9">
        <f t="shared" si="445"/>
        <v>0.875</v>
      </c>
      <c r="BG572" s="9">
        <f t="shared" si="446"/>
        <v>0.875</v>
      </c>
      <c r="BH572" s="9">
        <f t="shared" si="447"/>
        <v>-12.625</v>
      </c>
      <c r="BI572" s="9">
        <f t="shared" si="448"/>
        <v>-17.625</v>
      </c>
      <c r="BJ572" s="9">
        <f t="shared" si="449"/>
        <v>-19.674999999999997</v>
      </c>
    </row>
    <row r="573" spans="1:62" x14ac:dyDescent="0.2">
      <c r="A573" s="9">
        <f>data!M574-data!M573</f>
        <v>-0.23409999999999798</v>
      </c>
      <c r="B573" s="9">
        <f>data!C574-data!C573</f>
        <v>-4.9599999999999991</v>
      </c>
      <c r="C573" s="9">
        <f>data!D574-data!D573</f>
        <v>-9.9999999999997868E-3</v>
      </c>
      <c r="D573" s="10">
        <f>data!B574-data!B573</f>
        <v>3.9999999999999813E-2</v>
      </c>
      <c r="E573" s="9">
        <f>data!E573-data!G573</f>
        <v>1.9390000000000001</v>
      </c>
      <c r="F573" s="9">
        <f>(data!E573-data!F573)-(data!G573-data!H573)</f>
        <v>0.93380000000000019</v>
      </c>
      <c r="G573" s="9">
        <f t="shared" si="400"/>
        <v>2.8000000000000025E-2</v>
      </c>
      <c r="H573" s="9">
        <f t="shared" si="401"/>
        <v>2.289999999999992E-2</v>
      </c>
      <c r="I573" s="9">
        <f>IF(data!M574&gt; 111.81,1,0)</f>
        <v>1</v>
      </c>
      <c r="J573" s="9">
        <f t="shared" si="402"/>
        <v>0</v>
      </c>
      <c r="K573" s="9">
        <f t="shared" si="403"/>
        <v>-0.23409999999999798</v>
      </c>
      <c r="L573" s="9">
        <f t="shared" si="404"/>
        <v>0</v>
      </c>
      <c r="M573" s="9">
        <f>data!J573</f>
        <v>-53.5</v>
      </c>
      <c r="N573" s="9">
        <f>data!I573</f>
        <v>-84</v>
      </c>
      <c r="O573" s="9">
        <f>data!L573</f>
        <v>-80.875</v>
      </c>
      <c r="P573" s="9">
        <f>data!K573</f>
        <v>-49.5</v>
      </c>
      <c r="Q573" s="9">
        <f>data!R573</f>
        <v>-39</v>
      </c>
      <c r="R573" s="9">
        <f t="shared" si="405"/>
        <v>3.25</v>
      </c>
      <c r="S573" s="9">
        <f t="shared" si="406"/>
        <v>-2.375</v>
      </c>
      <c r="T573" s="9">
        <f t="shared" si="407"/>
        <v>-0.125</v>
      </c>
      <c r="U573" s="9">
        <f t="shared" si="408"/>
        <v>0.75</v>
      </c>
      <c r="V573" s="9">
        <f t="shared" si="409"/>
        <v>2.5</v>
      </c>
      <c r="W573" s="9">
        <f t="shared" si="410"/>
        <v>-5.75</v>
      </c>
      <c r="X573" s="9">
        <f t="shared" si="411"/>
        <v>-10.5</v>
      </c>
      <c r="Y573" s="9">
        <f t="shared" si="412"/>
        <v>-11.5</v>
      </c>
      <c r="Z573" s="9">
        <f t="shared" si="413"/>
        <v>-11</v>
      </c>
      <c r="AA573" s="9">
        <f t="shared" si="414"/>
        <v>1.9000000000000057</v>
      </c>
      <c r="AB573" s="9">
        <f t="shared" si="415"/>
        <v>1.4000000000000057</v>
      </c>
      <c r="AC573" s="9">
        <f t="shared" si="416"/>
        <v>2</v>
      </c>
      <c r="AD573" s="9">
        <f t="shared" si="417"/>
        <v>1.375</v>
      </c>
      <c r="AE573" s="9">
        <f t="shared" si="418"/>
        <v>3</v>
      </c>
      <c r="AF573" s="9">
        <f t="shared" si="419"/>
        <v>-7.75</v>
      </c>
      <c r="AG573" s="9">
        <f t="shared" si="420"/>
        <v>-12.5</v>
      </c>
      <c r="AH573" s="9">
        <f t="shared" si="421"/>
        <v>-13.674999999999997</v>
      </c>
      <c r="AI573" s="9">
        <f t="shared" si="422"/>
        <v>-13.5</v>
      </c>
      <c r="AJ573" s="9">
        <f t="shared" si="423"/>
        <v>0.27500000000000568</v>
      </c>
      <c r="AK573" s="9">
        <f t="shared" si="424"/>
        <v>1.7750000000000057</v>
      </c>
      <c r="AL573" s="9">
        <f t="shared" si="425"/>
        <v>2.625</v>
      </c>
      <c r="AM573" s="9">
        <f t="shared" si="426"/>
        <v>2.125</v>
      </c>
      <c r="AN573" s="9">
        <f t="shared" si="427"/>
        <v>3.25</v>
      </c>
      <c r="AO573" s="9">
        <f t="shared" si="428"/>
        <v>-8.375</v>
      </c>
      <c r="AP573" s="9">
        <f t="shared" si="429"/>
        <v>-12.875</v>
      </c>
      <c r="AQ573" s="9">
        <f t="shared" si="430"/>
        <v>-13.674999999999997</v>
      </c>
      <c r="AR573" s="9">
        <f t="shared" si="431"/>
        <v>-12.375</v>
      </c>
      <c r="AS573" s="9">
        <f t="shared" si="432"/>
        <v>-1.8999999999999986</v>
      </c>
      <c r="AT573" s="9">
        <f t="shared" si="433"/>
        <v>-0.29999999999999716</v>
      </c>
      <c r="AU573" s="9">
        <f t="shared" si="434"/>
        <v>0</v>
      </c>
      <c r="AV573" s="9">
        <f t="shared" si="435"/>
        <v>-0.75</v>
      </c>
      <c r="AW573" s="9">
        <f t="shared" si="436"/>
        <v>-0.29999999999999716</v>
      </c>
      <c r="AX573" s="9">
        <f t="shared" si="437"/>
        <v>-14</v>
      </c>
      <c r="AY573" s="9">
        <f t="shared" si="438"/>
        <v>-18.799999999999997</v>
      </c>
      <c r="AZ573" s="9">
        <f t="shared" si="439"/>
        <v>-20.450000000000003</v>
      </c>
      <c r="BA573" s="9">
        <f t="shared" si="440"/>
        <v>-18.799999999999997</v>
      </c>
      <c r="BB573" s="9">
        <f t="shared" si="441"/>
        <v>-1.8999999999999986</v>
      </c>
      <c r="BC573" s="9">
        <f t="shared" si="442"/>
        <v>-1.1000000000000014</v>
      </c>
      <c r="BD573" s="9">
        <f t="shared" si="443"/>
        <v>-1</v>
      </c>
      <c r="BE573" s="9">
        <f t="shared" si="444"/>
        <v>-2</v>
      </c>
      <c r="BF573" s="9">
        <f t="shared" si="445"/>
        <v>-2</v>
      </c>
      <c r="BG573" s="9">
        <f t="shared" si="446"/>
        <v>-15.5</v>
      </c>
      <c r="BH573" s="9">
        <f t="shared" si="447"/>
        <v>-20.5</v>
      </c>
      <c r="BI573" s="9">
        <f t="shared" si="448"/>
        <v>-22.549999999999997</v>
      </c>
      <c r="BJ573" s="9">
        <f t="shared" si="449"/>
        <v>-20.799999999999997</v>
      </c>
    </row>
    <row r="574" spans="1:62" x14ac:dyDescent="0.2">
      <c r="A574" s="9">
        <f>data!M575-data!M574</f>
        <v>0.29330000000000211</v>
      </c>
      <c r="B574" s="9">
        <f>data!C575-data!C574</f>
        <v>2.4700000000000006</v>
      </c>
      <c r="C574" s="9">
        <f>data!D575-data!D574</f>
        <v>-0.26999999999999957</v>
      </c>
      <c r="D574" s="10">
        <f>data!B575-data!B574</f>
        <v>6.5000000000000169E-2</v>
      </c>
      <c r="E574" s="9">
        <f>data!E574-data!G574</f>
        <v>1.9670000000000001</v>
      </c>
      <c r="F574" s="9">
        <f>(data!E574-data!F574)-(data!G574-data!H574)</f>
        <v>0.95670000000000011</v>
      </c>
      <c r="G574" s="9">
        <f t="shared" si="400"/>
        <v>4.2400000000000215E-2</v>
      </c>
      <c r="H574" s="9">
        <f t="shared" si="401"/>
        <v>-9.000000000000119E-3</v>
      </c>
      <c r="I574" s="9">
        <f>IF(data!M575&gt; 111.81,1,0)</f>
        <v>1</v>
      </c>
      <c r="J574" s="9">
        <f t="shared" si="402"/>
        <v>0</v>
      </c>
      <c r="K574" s="9">
        <f t="shared" si="403"/>
        <v>0.29330000000000211</v>
      </c>
      <c r="L574" s="9">
        <f t="shared" si="404"/>
        <v>0</v>
      </c>
      <c r="M574" s="9">
        <f>data!J574</f>
        <v>-50.25</v>
      </c>
      <c r="N574" s="9">
        <f>data!I574</f>
        <v>-82.1</v>
      </c>
      <c r="O574" s="9">
        <f>data!L574</f>
        <v>-80.599999999999994</v>
      </c>
      <c r="P574" s="9">
        <f>data!K574</f>
        <v>-51.4</v>
      </c>
      <c r="Q574" s="9">
        <f>data!R574</f>
        <v>-40.9</v>
      </c>
      <c r="R574" s="9">
        <f t="shared" si="405"/>
        <v>-5.625</v>
      </c>
      <c r="S574" s="9">
        <f t="shared" si="406"/>
        <v>-3.375</v>
      </c>
      <c r="T574" s="9">
        <f t="shared" si="407"/>
        <v>-2.5</v>
      </c>
      <c r="U574" s="9">
        <f t="shared" si="408"/>
        <v>-0.75</v>
      </c>
      <c r="V574" s="9">
        <f t="shared" si="409"/>
        <v>-9</v>
      </c>
      <c r="W574" s="9">
        <f t="shared" si="410"/>
        <v>-13.75</v>
      </c>
      <c r="X574" s="9">
        <f t="shared" si="411"/>
        <v>-14.75</v>
      </c>
      <c r="Y574" s="9">
        <f t="shared" si="412"/>
        <v>-14.25</v>
      </c>
      <c r="Z574" s="9">
        <f t="shared" si="413"/>
        <v>-13.25</v>
      </c>
      <c r="AA574" s="9">
        <f t="shared" si="414"/>
        <v>-0.5</v>
      </c>
      <c r="AB574" s="9">
        <f t="shared" si="415"/>
        <v>9.9999999999994316E-2</v>
      </c>
      <c r="AC574" s="9">
        <f t="shared" si="416"/>
        <v>-0.52500000000000568</v>
      </c>
      <c r="AD574" s="9">
        <f t="shared" si="417"/>
        <v>1.0999999999999943</v>
      </c>
      <c r="AE574" s="9">
        <f t="shared" si="418"/>
        <v>-9.6500000000000057</v>
      </c>
      <c r="AF574" s="9">
        <f t="shared" si="419"/>
        <v>-14.400000000000006</v>
      </c>
      <c r="AG574" s="9">
        <f t="shared" si="420"/>
        <v>-15.575000000000003</v>
      </c>
      <c r="AH574" s="9">
        <f t="shared" si="421"/>
        <v>-15.400000000000006</v>
      </c>
      <c r="AI574" s="9">
        <f t="shared" si="422"/>
        <v>-16.200000000000003</v>
      </c>
      <c r="AJ574" s="9">
        <f t="shared" si="423"/>
        <v>1.5</v>
      </c>
      <c r="AK574" s="9">
        <f t="shared" si="424"/>
        <v>2.3499999999999943</v>
      </c>
      <c r="AL574" s="9">
        <f t="shared" si="425"/>
        <v>1.8499999999999943</v>
      </c>
      <c r="AM574" s="9">
        <f t="shared" si="426"/>
        <v>2.9749999999999943</v>
      </c>
      <c r="AN574" s="9">
        <f t="shared" si="427"/>
        <v>-8.6500000000000057</v>
      </c>
      <c r="AO574" s="9">
        <f t="shared" si="428"/>
        <v>-13.150000000000006</v>
      </c>
      <c r="AP574" s="9">
        <f t="shared" si="429"/>
        <v>-13.950000000000003</v>
      </c>
      <c r="AQ574" s="9">
        <f t="shared" si="430"/>
        <v>-12.650000000000006</v>
      </c>
      <c r="AR574" s="9">
        <f t="shared" si="431"/>
        <v>-13.400000000000006</v>
      </c>
      <c r="AS574" s="9">
        <f t="shared" si="432"/>
        <v>1.6000000000000014</v>
      </c>
      <c r="AT574" s="9">
        <f t="shared" si="433"/>
        <v>1.8999999999999986</v>
      </c>
      <c r="AU574" s="9">
        <f t="shared" si="434"/>
        <v>1.1499999999999986</v>
      </c>
      <c r="AV574" s="9">
        <f t="shared" si="435"/>
        <v>1.6000000000000014</v>
      </c>
      <c r="AW574" s="9">
        <f t="shared" si="436"/>
        <v>-12.100000000000001</v>
      </c>
      <c r="AX574" s="9">
        <f t="shared" si="437"/>
        <v>-16.899999999999999</v>
      </c>
      <c r="AY574" s="9">
        <f t="shared" si="438"/>
        <v>-18.550000000000004</v>
      </c>
      <c r="AZ574" s="9">
        <f t="shared" si="439"/>
        <v>-16.899999999999999</v>
      </c>
      <c r="BA574" s="9">
        <f t="shared" si="440"/>
        <v>-16.600000000000001</v>
      </c>
      <c r="BB574" s="9">
        <f t="shared" si="441"/>
        <v>0.79999999999999716</v>
      </c>
      <c r="BC574" s="9">
        <f t="shared" si="442"/>
        <v>0.89999999999999858</v>
      </c>
      <c r="BD574" s="9">
        <f t="shared" si="443"/>
        <v>-0.10000000000000142</v>
      </c>
      <c r="BE574" s="9">
        <f t="shared" si="444"/>
        <v>-0.10000000000000142</v>
      </c>
      <c r="BF574" s="9">
        <f t="shared" si="445"/>
        <v>-13.600000000000001</v>
      </c>
      <c r="BG574" s="9">
        <f t="shared" si="446"/>
        <v>-18.600000000000001</v>
      </c>
      <c r="BH574" s="9">
        <f t="shared" si="447"/>
        <v>-20.65</v>
      </c>
      <c r="BI574" s="9">
        <f t="shared" si="448"/>
        <v>-18.899999999999999</v>
      </c>
      <c r="BJ574" s="9">
        <f t="shared" si="449"/>
        <v>-18.600000000000001</v>
      </c>
    </row>
    <row r="575" spans="1:62" x14ac:dyDescent="0.2">
      <c r="A575" s="9">
        <f>data!M576-data!M575</f>
        <v>1.6666000000000025</v>
      </c>
      <c r="B575" s="9">
        <f>data!C576-data!C575</f>
        <v>8.8000000000000007</v>
      </c>
      <c r="C575" s="9">
        <f>data!D576-data!D575</f>
        <v>1.5899999999999999</v>
      </c>
      <c r="D575" s="10">
        <f>data!B576-data!B575</f>
        <v>-0.65999999999999992</v>
      </c>
      <c r="E575" s="9">
        <f>data!E575-data!G575</f>
        <v>2.0094000000000003</v>
      </c>
      <c r="F575" s="9">
        <f>(data!E575-data!F575)-(data!G575-data!H575)</f>
        <v>0.94769999999999999</v>
      </c>
      <c r="G575" s="9">
        <f t="shared" si="400"/>
        <v>-0.11480000000000024</v>
      </c>
      <c r="H575" s="9">
        <f t="shared" si="401"/>
        <v>-9.8999999999997979E-3</v>
      </c>
      <c r="I575" s="9">
        <f>IF(data!M576&gt; 111.81,1,0)</f>
        <v>1</v>
      </c>
      <c r="J575" s="9">
        <f t="shared" si="402"/>
        <v>0</v>
      </c>
      <c r="K575" s="9">
        <f t="shared" si="403"/>
        <v>1.6666000000000025</v>
      </c>
      <c r="L575" s="9">
        <f t="shared" si="404"/>
        <v>0</v>
      </c>
      <c r="M575" s="9">
        <f>data!J575</f>
        <v>-55.875</v>
      </c>
      <c r="N575" s="9">
        <f>data!I575</f>
        <v>-82.6</v>
      </c>
      <c r="O575" s="9">
        <f>data!L575</f>
        <v>-79.099999999999994</v>
      </c>
      <c r="P575" s="9">
        <f>data!K575</f>
        <v>-49.8</v>
      </c>
      <c r="Q575" s="9">
        <f>data!R575</f>
        <v>-40.1</v>
      </c>
      <c r="R575" s="9">
        <f t="shared" si="405"/>
        <v>2.25</v>
      </c>
      <c r="S575" s="9">
        <f t="shared" si="406"/>
        <v>3.125</v>
      </c>
      <c r="T575" s="9">
        <f t="shared" si="407"/>
        <v>4.875</v>
      </c>
      <c r="U575" s="9">
        <f t="shared" si="408"/>
        <v>-3.375</v>
      </c>
      <c r="V575" s="9">
        <f t="shared" si="409"/>
        <v>-8.125</v>
      </c>
      <c r="W575" s="9">
        <f t="shared" si="410"/>
        <v>-9.125</v>
      </c>
      <c r="X575" s="9">
        <f t="shared" si="411"/>
        <v>-8.625</v>
      </c>
      <c r="Y575" s="9">
        <f t="shared" si="412"/>
        <v>-7.625</v>
      </c>
      <c r="Z575" s="9">
        <f t="shared" si="413"/>
        <v>-7.375</v>
      </c>
      <c r="AA575" s="9">
        <f t="shared" si="414"/>
        <v>0.59999999999999432</v>
      </c>
      <c r="AB575" s="9">
        <f t="shared" si="415"/>
        <v>-2.5000000000005684E-2</v>
      </c>
      <c r="AC575" s="9">
        <f t="shared" si="416"/>
        <v>1.5999999999999943</v>
      </c>
      <c r="AD575" s="9">
        <f t="shared" si="417"/>
        <v>-9.1500000000000057</v>
      </c>
      <c r="AE575" s="9">
        <f t="shared" si="418"/>
        <v>-13.900000000000006</v>
      </c>
      <c r="AF575" s="9">
        <f t="shared" si="419"/>
        <v>-15.075000000000003</v>
      </c>
      <c r="AG575" s="9">
        <f t="shared" si="420"/>
        <v>-14.900000000000006</v>
      </c>
      <c r="AH575" s="9">
        <f t="shared" si="421"/>
        <v>-15.700000000000003</v>
      </c>
      <c r="AI575" s="9">
        <f t="shared" si="422"/>
        <v>-18.900000000000006</v>
      </c>
      <c r="AJ575" s="9">
        <f t="shared" si="423"/>
        <v>0.84999999999999432</v>
      </c>
      <c r="AK575" s="9">
        <f t="shared" si="424"/>
        <v>0.34999999999999432</v>
      </c>
      <c r="AL575" s="9">
        <f t="shared" si="425"/>
        <v>1.4749999999999943</v>
      </c>
      <c r="AM575" s="9">
        <f t="shared" si="426"/>
        <v>-10.150000000000006</v>
      </c>
      <c r="AN575" s="9">
        <f t="shared" si="427"/>
        <v>-14.650000000000006</v>
      </c>
      <c r="AO575" s="9">
        <f t="shared" si="428"/>
        <v>-15.450000000000003</v>
      </c>
      <c r="AP575" s="9">
        <f t="shared" si="429"/>
        <v>-14.150000000000006</v>
      </c>
      <c r="AQ575" s="9">
        <f t="shared" si="430"/>
        <v>-14.900000000000006</v>
      </c>
      <c r="AR575" s="9">
        <f t="shared" si="431"/>
        <v>-18.400000000000006</v>
      </c>
      <c r="AS575" s="9">
        <f t="shared" si="432"/>
        <v>0.29999999999999716</v>
      </c>
      <c r="AT575" s="9">
        <f t="shared" si="433"/>
        <v>-0.45000000000000284</v>
      </c>
      <c r="AU575" s="9">
        <f t="shared" si="434"/>
        <v>0</v>
      </c>
      <c r="AV575" s="9">
        <f t="shared" si="435"/>
        <v>-13.700000000000003</v>
      </c>
      <c r="AW575" s="9">
        <f t="shared" si="436"/>
        <v>-18.5</v>
      </c>
      <c r="AX575" s="9">
        <f t="shared" si="437"/>
        <v>-20.150000000000006</v>
      </c>
      <c r="AY575" s="9">
        <f t="shared" si="438"/>
        <v>-18.5</v>
      </c>
      <c r="AZ575" s="9">
        <f t="shared" si="439"/>
        <v>-18.200000000000003</v>
      </c>
      <c r="BA575" s="9">
        <f t="shared" si="440"/>
        <v>-21.5</v>
      </c>
      <c r="BB575" s="9">
        <f t="shared" si="441"/>
        <v>0.10000000000000142</v>
      </c>
      <c r="BC575" s="9">
        <f t="shared" si="442"/>
        <v>-0.89999999999999858</v>
      </c>
      <c r="BD575" s="9">
        <f t="shared" si="443"/>
        <v>-0.89999999999999858</v>
      </c>
      <c r="BE575" s="9">
        <f t="shared" si="444"/>
        <v>-14.399999999999999</v>
      </c>
      <c r="BF575" s="9">
        <f t="shared" si="445"/>
        <v>-19.399999999999999</v>
      </c>
      <c r="BG575" s="9">
        <f t="shared" si="446"/>
        <v>-21.449999999999996</v>
      </c>
      <c r="BH575" s="9">
        <f t="shared" si="447"/>
        <v>-19.699999999999996</v>
      </c>
      <c r="BI575" s="9">
        <f t="shared" si="448"/>
        <v>-19.399999999999999</v>
      </c>
      <c r="BJ575" s="9">
        <f t="shared" si="449"/>
        <v>-22.65</v>
      </c>
    </row>
    <row r="576" spans="1:62" x14ac:dyDescent="0.2">
      <c r="A576" s="9">
        <f>data!M577-data!M576</f>
        <v>0.73089999999999122</v>
      </c>
      <c r="B576" s="9">
        <f>data!C577-data!C576</f>
        <v>9.9999999999980105E-3</v>
      </c>
      <c r="C576" s="9">
        <f>data!D577-data!D576</f>
        <v>0.73750000000000071</v>
      </c>
      <c r="D576" s="10">
        <f>data!B577-data!B576</f>
        <v>-0.14250000000000007</v>
      </c>
      <c r="E576" s="9">
        <f>data!E576-data!G576</f>
        <v>1.8946000000000001</v>
      </c>
      <c r="F576" s="9">
        <f>(data!E576-data!F576)-(data!G576-data!H576)</f>
        <v>0.93780000000000019</v>
      </c>
      <c r="G576" s="9">
        <f t="shared" si="400"/>
        <v>-7.3900000000000077E-2</v>
      </c>
      <c r="H576" s="9">
        <f t="shared" si="401"/>
        <v>-1.1000000000003229E-3</v>
      </c>
      <c r="I576" s="9">
        <f>IF(data!M577&gt; 111.81,1,0)</f>
        <v>1</v>
      </c>
      <c r="J576" s="9">
        <f t="shared" si="402"/>
        <v>0</v>
      </c>
      <c r="K576" s="9">
        <f t="shared" si="403"/>
        <v>0.73089999999999122</v>
      </c>
      <c r="L576" s="9">
        <f t="shared" si="404"/>
        <v>0</v>
      </c>
      <c r="M576" s="9">
        <f>data!J576</f>
        <v>-53.625</v>
      </c>
      <c r="N576" s="9">
        <f>data!I576</f>
        <v>-82</v>
      </c>
      <c r="O576" s="9">
        <f>data!L576</f>
        <v>-78.25</v>
      </c>
      <c r="P576" s="9">
        <f>data!K576</f>
        <v>-49.5</v>
      </c>
      <c r="Q576" s="9">
        <f>data!R576</f>
        <v>-40</v>
      </c>
      <c r="R576" s="9">
        <f t="shared" si="405"/>
        <v>0.875</v>
      </c>
      <c r="S576" s="9">
        <f t="shared" si="406"/>
        <v>2.625</v>
      </c>
      <c r="T576" s="9">
        <f t="shared" si="407"/>
        <v>-5.625</v>
      </c>
      <c r="U576" s="9">
        <f t="shared" si="408"/>
        <v>-10.375</v>
      </c>
      <c r="V576" s="9">
        <f t="shared" si="409"/>
        <v>-11.375</v>
      </c>
      <c r="W576" s="9">
        <f t="shared" si="410"/>
        <v>-10.875</v>
      </c>
      <c r="X576" s="9">
        <f t="shared" si="411"/>
        <v>-9.875</v>
      </c>
      <c r="Y576" s="9">
        <f t="shared" si="412"/>
        <v>-9.625</v>
      </c>
      <c r="Z576" s="9">
        <f t="shared" si="413"/>
        <v>-6.625</v>
      </c>
      <c r="AA576" s="9">
        <f t="shared" si="414"/>
        <v>-0.625</v>
      </c>
      <c r="AB576" s="9">
        <f t="shared" si="415"/>
        <v>1</v>
      </c>
      <c r="AC576" s="9">
        <f t="shared" si="416"/>
        <v>-9.75</v>
      </c>
      <c r="AD576" s="9">
        <f t="shared" si="417"/>
        <v>-14.5</v>
      </c>
      <c r="AE576" s="9">
        <f t="shared" si="418"/>
        <v>-15.674999999999997</v>
      </c>
      <c r="AF576" s="9">
        <f t="shared" si="419"/>
        <v>-15.5</v>
      </c>
      <c r="AG576" s="9">
        <f t="shared" si="420"/>
        <v>-16.299999999999997</v>
      </c>
      <c r="AH576" s="9">
        <f t="shared" si="421"/>
        <v>-19.5</v>
      </c>
      <c r="AI576" s="9">
        <f t="shared" si="422"/>
        <v>-17.799999999999997</v>
      </c>
      <c r="AJ576" s="9">
        <f t="shared" si="423"/>
        <v>-0.5</v>
      </c>
      <c r="AK576" s="9">
        <f t="shared" si="424"/>
        <v>0.625</v>
      </c>
      <c r="AL576" s="9">
        <f t="shared" si="425"/>
        <v>-11</v>
      </c>
      <c r="AM576" s="9">
        <f t="shared" si="426"/>
        <v>-15.5</v>
      </c>
      <c r="AN576" s="9">
        <f t="shared" si="427"/>
        <v>-16.299999999999997</v>
      </c>
      <c r="AO576" s="9">
        <f t="shared" si="428"/>
        <v>-15</v>
      </c>
      <c r="AP576" s="9">
        <f t="shared" si="429"/>
        <v>-15.75</v>
      </c>
      <c r="AQ576" s="9">
        <f t="shared" si="430"/>
        <v>-19.25</v>
      </c>
      <c r="AR576" s="9">
        <f t="shared" si="431"/>
        <v>-18.75</v>
      </c>
      <c r="AS576" s="9">
        <f t="shared" si="432"/>
        <v>-0.75</v>
      </c>
      <c r="AT576" s="9">
        <f t="shared" si="433"/>
        <v>-0.29999999999999716</v>
      </c>
      <c r="AU576" s="9">
        <f t="shared" si="434"/>
        <v>-14</v>
      </c>
      <c r="AV576" s="9">
        <f t="shared" si="435"/>
        <v>-18.799999999999997</v>
      </c>
      <c r="AW576" s="9">
        <f t="shared" si="436"/>
        <v>-20.450000000000003</v>
      </c>
      <c r="AX576" s="9">
        <f t="shared" si="437"/>
        <v>-18.799999999999997</v>
      </c>
      <c r="AY576" s="9">
        <f t="shared" si="438"/>
        <v>-18.5</v>
      </c>
      <c r="AZ576" s="9">
        <f t="shared" si="439"/>
        <v>-21.799999999999997</v>
      </c>
      <c r="BA576" s="9">
        <f t="shared" si="440"/>
        <v>-22</v>
      </c>
      <c r="BB576" s="9">
        <f t="shared" si="441"/>
        <v>-1</v>
      </c>
      <c r="BC576" s="9">
        <f t="shared" si="442"/>
        <v>-1</v>
      </c>
      <c r="BD576" s="9">
        <f t="shared" si="443"/>
        <v>-14.5</v>
      </c>
      <c r="BE576" s="9">
        <f t="shared" si="444"/>
        <v>-19.5</v>
      </c>
      <c r="BF576" s="9">
        <f t="shared" si="445"/>
        <v>-21.549999999999997</v>
      </c>
      <c r="BG576" s="9">
        <f t="shared" si="446"/>
        <v>-19.799999999999997</v>
      </c>
      <c r="BH576" s="9">
        <f t="shared" si="447"/>
        <v>-19.5</v>
      </c>
      <c r="BI576" s="9">
        <f t="shared" si="448"/>
        <v>-22.75</v>
      </c>
      <c r="BJ576" s="9">
        <f t="shared" si="449"/>
        <v>-22.5</v>
      </c>
    </row>
    <row r="577" spans="1:62" x14ac:dyDescent="0.2">
      <c r="A577" s="9">
        <f>data!M578-data!M577</f>
        <v>0.24290000000000589</v>
      </c>
      <c r="B577" s="9">
        <f>data!C578-data!C577</f>
        <v>-4.68</v>
      </c>
      <c r="C577" s="9">
        <f>data!D578-data!D577</f>
        <v>-0.33750000000000036</v>
      </c>
      <c r="D577" s="10">
        <f>data!B578-data!B577</f>
        <v>0.20750000000000002</v>
      </c>
      <c r="E577" s="9">
        <f>data!E577-data!G577</f>
        <v>1.8207</v>
      </c>
      <c r="F577" s="9">
        <f>(data!E577-data!F577)-(data!G577-data!H577)</f>
        <v>0.93669999999999987</v>
      </c>
      <c r="G577" s="9">
        <f t="shared" si="400"/>
        <v>-8.0000000000013394E-4</v>
      </c>
      <c r="H577" s="9">
        <f t="shared" si="401"/>
        <v>-1.0900000000000021E-2</v>
      </c>
      <c r="I577" s="9">
        <f>IF(data!M578&gt; 111.81,1,0)</f>
        <v>1</v>
      </c>
      <c r="J577" s="9">
        <f t="shared" si="402"/>
        <v>0</v>
      </c>
      <c r="K577" s="9">
        <f t="shared" si="403"/>
        <v>0.24290000000000589</v>
      </c>
      <c r="L577" s="9">
        <f t="shared" si="404"/>
        <v>0</v>
      </c>
      <c r="M577" s="9">
        <f>data!J577</f>
        <v>-52.75</v>
      </c>
      <c r="N577" s="9">
        <f>data!I577</f>
        <v>-82.625</v>
      </c>
      <c r="O577" s="9">
        <f>data!L577</f>
        <v>-78.75</v>
      </c>
      <c r="P577" s="9">
        <f>data!K577</f>
        <v>-50.25</v>
      </c>
      <c r="Q577" s="9">
        <f>data!R577</f>
        <v>-41</v>
      </c>
      <c r="R577" s="9">
        <f t="shared" si="405"/>
        <v>1.75</v>
      </c>
      <c r="S577" s="9">
        <f t="shared" si="406"/>
        <v>-6.5</v>
      </c>
      <c r="T577" s="9">
        <f t="shared" si="407"/>
        <v>-11.25</v>
      </c>
      <c r="U577" s="9">
        <f t="shared" si="408"/>
        <v>-12.25</v>
      </c>
      <c r="V577" s="9">
        <f t="shared" si="409"/>
        <v>-11.75</v>
      </c>
      <c r="W577" s="9">
        <f t="shared" si="410"/>
        <v>-10.75</v>
      </c>
      <c r="X577" s="9">
        <f t="shared" si="411"/>
        <v>-10.5</v>
      </c>
      <c r="Y577" s="9">
        <f t="shared" si="412"/>
        <v>-7.5</v>
      </c>
      <c r="Z577" s="9">
        <f t="shared" si="413"/>
        <v>-3.75</v>
      </c>
      <c r="AA577" s="9">
        <f t="shared" si="414"/>
        <v>1.625</v>
      </c>
      <c r="AB577" s="9">
        <f t="shared" si="415"/>
        <v>-9.125</v>
      </c>
      <c r="AC577" s="9">
        <f t="shared" si="416"/>
        <v>-13.875</v>
      </c>
      <c r="AD577" s="9">
        <f t="shared" si="417"/>
        <v>-15.049999999999997</v>
      </c>
      <c r="AE577" s="9">
        <f t="shared" si="418"/>
        <v>-14.875</v>
      </c>
      <c r="AF577" s="9">
        <f t="shared" si="419"/>
        <v>-15.674999999999997</v>
      </c>
      <c r="AG577" s="9">
        <f t="shared" si="420"/>
        <v>-18.875</v>
      </c>
      <c r="AH577" s="9">
        <f t="shared" si="421"/>
        <v>-17.174999999999997</v>
      </c>
      <c r="AI577" s="9">
        <f t="shared" si="422"/>
        <v>-14.174999999999997</v>
      </c>
      <c r="AJ577" s="9">
        <f t="shared" si="423"/>
        <v>1.125</v>
      </c>
      <c r="AK577" s="9">
        <f t="shared" si="424"/>
        <v>-10.5</v>
      </c>
      <c r="AL577" s="9">
        <f t="shared" si="425"/>
        <v>-15</v>
      </c>
      <c r="AM577" s="9">
        <f t="shared" si="426"/>
        <v>-15.799999999999997</v>
      </c>
      <c r="AN577" s="9">
        <f t="shared" si="427"/>
        <v>-14.5</v>
      </c>
      <c r="AO577" s="9">
        <f t="shared" si="428"/>
        <v>-15.25</v>
      </c>
      <c r="AP577" s="9">
        <f t="shared" si="429"/>
        <v>-18.75</v>
      </c>
      <c r="AQ577" s="9">
        <f t="shared" si="430"/>
        <v>-18.25</v>
      </c>
      <c r="AR577" s="9">
        <f t="shared" si="431"/>
        <v>-16</v>
      </c>
      <c r="AS577" s="9">
        <f t="shared" si="432"/>
        <v>0.45000000000000284</v>
      </c>
      <c r="AT577" s="9">
        <f t="shared" si="433"/>
        <v>-13.25</v>
      </c>
      <c r="AU577" s="9">
        <f t="shared" si="434"/>
        <v>-18.049999999999997</v>
      </c>
      <c r="AV577" s="9">
        <f t="shared" si="435"/>
        <v>-19.700000000000003</v>
      </c>
      <c r="AW577" s="9">
        <f t="shared" si="436"/>
        <v>-18.049999999999997</v>
      </c>
      <c r="AX577" s="9">
        <f t="shared" si="437"/>
        <v>-17.75</v>
      </c>
      <c r="AY577" s="9">
        <f t="shared" si="438"/>
        <v>-21.049999999999997</v>
      </c>
      <c r="AZ577" s="9">
        <f t="shared" si="439"/>
        <v>-21.25</v>
      </c>
      <c r="BA577" s="9">
        <f t="shared" si="440"/>
        <v>-19.75</v>
      </c>
      <c r="BB577" s="9">
        <f t="shared" si="441"/>
        <v>0</v>
      </c>
      <c r="BC577" s="9">
        <f t="shared" si="442"/>
        <v>-13.5</v>
      </c>
      <c r="BD577" s="9">
        <f t="shared" si="443"/>
        <v>-18.5</v>
      </c>
      <c r="BE577" s="9">
        <f t="shared" si="444"/>
        <v>-20.549999999999997</v>
      </c>
      <c r="BF577" s="9">
        <f t="shared" si="445"/>
        <v>-18.799999999999997</v>
      </c>
      <c r="BG577" s="9">
        <f t="shared" si="446"/>
        <v>-18.5</v>
      </c>
      <c r="BH577" s="9">
        <f t="shared" si="447"/>
        <v>-21.75</v>
      </c>
      <c r="BI577" s="9">
        <f t="shared" si="448"/>
        <v>-21.5</v>
      </c>
      <c r="BJ577" s="9">
        <f t="shared" si="449"/>
        <v>-20.125</v>
      </c>
    </row>
    <row r="578" spans="1:62" x14ac:dyDescent="0.2">
      <c r="A578" s="9">
        <f>data!M579-data!M578</f>
        <v>-0.41020000000000323</v>
      </c>
      <c r="B578" s="9">
        <f>data!C579-data!C578</f>
        <v>-2.1400000000000006</v>
      </c>
      <c r="C578" s="9">
        <f>data!D579-data!D578</f>
        <v>-0.42249999999999943</v>
      </c>
      <c r="D578" s="10">
        <f>data!B579-data!B578</f>
        <v>4.4999999999999929E-2</v>
      </c>
      <c r="E578" s="9">
        <f>data!E578-data!G578</f>
        <v>1.8198999999999999</v>
      </c>
      <c r="F578" s="9">
        <f>(data!E578-data!F578)-(data!G578-data!H578)</f>
        <v>0.92579999999999985</v>
      </c>
      <c r="G578" s="9">
        <f t="shared" si="400"/>
        <v>6.0000000000002274E-3</v>
      </c>
      <c r="H578" s="9">
        <f t="shared" si="401"/>
        <v>4.6400000000000108E-2</v>
      </c>
      <c r="I578" s="9">
        <f>IF(data!M579&gt; 111.81,1,0)</f>
        <v>1</v>
      </c>
      <c r="J578" s="9">
        <f t="shared" si="402"/>
        <v>0</v>
      </c>
      <c r="K578" s="9">
        <f t="shared" si="403"/>
        <v>-0.41020000000000323</v>
      </c>
      <c r="L578" s="9">
        <f t="shared" si="404"/>
        <v>0</v>
      </c>
      <c r="M578" s="9">
        <f>data!J578</f>
        <v>-51</v>
      </c>
      <c r="N578" s="9">
        <f>data!I578</f>
        <v>-81</v>
      </c>
      <c r="O578" s="9">
        <f>data!L578</f>
        <v>-77.625</v>
      </c>
      <c r="P578" s="9">
        <f>data!K578</f>
        <v>-49.8</v>
      </c>
      <c r="Q578" s="9">
        <f>data!R578</f>
        <v>-41</v>
      </c>
      <c r="R578" s="9">
        <f t="shared" si="405"/>
        <v>-8.25</v>
      </c>
      <c r="S578" s="9">
        <f t="shared" si="406"/>
        <v>-13</v>
      </c>
      <c r="T578" s="9">
        <f t="shared" si="407"/>
        <v>-14</v>
      </c>
      <c r="U578" s="9">
        <f t="shared" si="408"/>
        <v>-13.5</v>
      </c>
      <c r="V578" s="9">
        <f t="shared" si="409"/>
        <v>-12.5</v>
      </c>
      <c r="W578" s="9">
        <f t="shared" si="410"/>
        <v>-12.25</v>
      </c>
      <c r="X578" s="9">
        <f t="shared" si="411"/>
        <v>-9.25</v>
      </c>
      <c r="Y578" s="9">
        <f t="shared" si="412"/>
        <v>-5.5</v>
      </c>
      <c r="Z578" s="9">
        <f t="shared" si="413"/>
        <v>-3</v>
      </c>
      <c r="AA578" s="9">
        <f t="shared" si="414"/>
        <v>-10.75</v>
      </c>
      <c r="AB578" s="9">
        <f t="shared" si="415"/>
        <v>-15.5</v>
      </c>
      <c r="AC578" s="9">
        <f t="shared" si="416"/>
        <v>-16.674999999999997</v>
      </c>
      <c r="AD578" s="9">
        <f t="shared" si="417"/>
        <v>-16.5</v>
      </c>
      <c r="AE578" s="9">
        <f t="shared" si="418"/>
        <v>-17.299999999999997</v>
      </c>
      <c r="AF578" s="9">
        <f t="shared" si="419"/>
        <v>-20.5</v>
      </c>
      <c r="AG578" s="9">
        <f t="shared" si="420"/>
        <v>-18.799999999999997</v>
      </c>
      <c r="AH578" s="9">
        <f t="shared" si="421"/>
        <v>-15.799999999999997</v>
      </c>
      <c r="AI578" s="9">
        <f t="shared" si="422"/>
        <v>-13.799999999999997</v>
      </c>
      <c r="AJ578" s="9">
        <f t="shared" si="423"/>
        <v>-11.625</v>
      </c>
      <c r="AK578" s="9">
        <f t="shared" si="424"/>
        <v>-16.125</v>
      </c>
      <c r="AL578" s="9">
        <f t="shared" si="425"/>
        <v>-16.924999999999997</v>
      </c>
      <c r="AM578" s="9">
        <f t="shared" si="426"/>
        <v>-15.625</v>
      </c>
      <c r="AN578" s="9">
        <f t="shared" si="427"/>
        <v>-16.375</v>
      </c>
      <c r="AO578" s="9">
        <f t="shared" si="428"/>
        <v>-19.875</v>
      </c>
      <c r="AP578" s="9">
        <f t="shared" si="429"/>
        <v>-19.375</v>
      </c>
      <c r="AQ578" s="9">
        <f t="shared" si="430"/>
        <v>-17.125</v>
      </c>
      <c r="AR578" s="9">
        <f t="shared" si="431"/>
        <v>-19.375</v>
      </c>
      <c r="AS578" s="9">
        <f t="shared" si="432"/>
        <v>-13.700000000000003</v>
      </c>
      <c r="AT578" s="9">
        <f t="shared" si="433"/>
        <v>-18.5</v>
      </c>
      <c r="AU578" s="9">
        <f t="shared" si="434"/>
        <v>-20.150000000000006</v>
      </c>
      <c r="AV578" s="9">
        <f t="shared" si="435"/>
        <v>-18.5</v>
      </c>
      <c r="AW578" s="9">
        <f t="shared" si="436"/>
        <v>-18.200000000000003</v>
      </c>
      <c r="AX578" s="9">
        <f t="shared" si="437"/>
        <v>-21.5</v>
      </c>
      <c r="AY578" s="9">
        <f t="shared" si="438"/>
        <v>-21.700000000000003</v>
      </c>
      <c r="AZ578" s="9">
        <f t="shared" si="439"/>
        <v>-20.200000000000003</v>
      </c>
      <c r="BA578" s="9">
        <f t="shared" si="440"/>
        <v>-18</v>
      </c>
      <c r="BB578" s="9">
        <f t="shared" si="441"/>
        <v>-13.5</v>
      </c>
      <c r="BC578" s="9">
        <f t="shared" si="442"/>
        <v>-18.5</v>
      </c>
      <c r="BD578" s="9">
        <f t="shared" si="443"/>
        <v>-20.549999999999997</v>
      </c>
      <c r="BE578" s="9">
        <f t="shared" si="444"/>
        <v>-18.799999999999997</v>
      </c>
      <c r="BF578" s="9">
        <f t="shared" si="445"/>
        <v>-18.5</v>
      </c>
      <c r="BG578" s="9">
        <f t="shared" si="446"/>
        <v>-21.75</v>
      </c>
      <c r="BH578" s="9">
        <f t="shared" si="447"/>
        <v>-21.5</v>
      </c>
      <c r="BI578" s="9">
        <f t="shared" si="448"/>
        <v>-20.125</v>
      </c>
      <c r="BJ578" s="9">
        <f t="shared" si="449"/>
        <v>-21.9</v>
      </c>
    </row>
    <row r="579" spans="1:62" x14ac:dyDescent="0.2">
      <c r="A579" s="9">
        <f>data!M580-data!M579</f>
        <v>-1.2796000000000021</v>
      </c>
      <c r="B579" s="9">
        <f>data!C580-data!C579</f>
        <v>3.1799999999999997</v>
      </c>
      <c r="C579" s="9">
        <f>data!D580-data!D579</f>
        <v>0.64999999999999858</v>
      </c>
      <c r="D579" s="10">
        <f>data!B580-data!B579</f>
        <v>0.18999999999999995</v>
      </c>
      <c r="E579" s="9">
        <f>data!E579-data!G579</f>
        <v>1.8259000000000001</v>
      </c>
      <c r="F579" s="9">
        <f>(data!E579-data!F579)-(data!G579-data!H579)</f>
        <v>0.97219999999999995</v>
      </c>
      <c r="G579" s="9">
        <f t="shared" ref="G579:G642" si="450">E580-E579</f>
        <v>-1.2199999999999989E-2</v>
      </c>
      <c r="H579" s="9">
        <f t="shared" ref="H579:H642" si="451">F580-F579</f>
        <v>-7.6599999999999779E-2</v>
      </c>
      <c r="I579" s="9">
        <f>IF(data!M580&gt; 111.81,1,0)</f>
        <v>1</v>
      </c>
      <c r="J579" s="9">
        <f t="shared" ref="J579:J642" si="452">1-I579</f>
        <v>0</v>
      </c>
      <c r="K579" s="9">
        <f t="shared" ref="K579:K642" si="453">A579*I579</f>
        <v>-1.2796000000000021</v>
      </c>
      <c r="L579" s="9">
        <f t="shared" ref="L579:L642" si="454">A579*J579</f>
        <v>0</v>
      </c>
      <c r="M579" s="9">
        <f>data!J579</f>
        <v>-59.25</v>
      </c>
      <c r="N579" s="9">
        <f>data!I579</f>
        <v>-91.75</v>
      </c>
      <c r="O579" s="9">
        <f>data!L579</f>
        <v>-89.25</v>
      </c>
      <c r="P579" s="9">
        <f>data!K579</f>
        <v>-63.5</v>
      </c>
      <c r="Q579" s="9">
        <f>data!R579</f>
        <v>-54.5</v>
      </c>
      <c r="R579" s="9">
        <f t="shared" ref="R579:R642" si="455">M580-M579</f>
        <v>-4.75</v>
      </c>
      <c r="S579" s="9">
        <f t="shared" ref="S579:S642" si="456">M581-M579</f>
        <v>-5.75</v>
      </c>
      <c r="T579" s="9">
        <f t="shared" ref="T579:T642" si="457">M582-M579</f>
        <v>-5.25</v>
      </c>
      <c r="U579" s="9">
        <f t="shared" ref="U579:U642" si="458">M583-M579</f>
        <v>-4.25</v>
      </c>
      <c r="V579" s="9">
        <f t="shared" ref="V579:V642" si="459">M584-M579</f>
        <v>-4</v>
      </c>
      <c r="W579" s="9">
        <f t="shared" ref="W579:W642" si="460">M585-M579</f>
        <v>-1</v>
      </c>
      <c r="X579" s="9">
        <f t="shared" ref="X579:X642" si="461">M586-M579</f>
        <v>2.75</v>
      </c>
      <c r="Y579" s="9">
        <f t="shared" ref="Y579:Y642" si="462">M587-M579</f>
        <v>5.25</v>
      </c>
      <c r="Z579" s="9">
        <f t="shared" ref="Z579:Z642" si="463">M588-M579</f>
        <v>2.25</v>
      </c>
      <c r="AA579" s="9">
        <f t="shared" ref="AA579:AA642" si="464">N580-N579</f>
        <v>-4.75</v>
      </c>
      <c r="AB579" s="9">
        <f t="shared" ref="AB579:AB642" si="465">N581-N579</f>
        <v>-5.9249999999999972</v>
      </c>
      <c r="AC579" s="9">
        <f t="shared" ref="AC579:AC642" si="466">N582-N579</f>
        <v>-5.75</v>
      </c>
      <c r="AD579" s="9">
        <f t="shared" ref="AD579:AD642" si="467">N583-N579</f>
        <v>-6.5499999999999972</v>
      </c>
      <c r="AE579" s="9">
        <f t="shared" ref="AE579:AE642" si="468">N584-N579</f>
        <v>-9.75</v>
      </c>
      <c r="AF579" s="9">
        <f t="shared" ref="AF579:AF642" si="469">N585-N579</f>
        <v>-8.0499999999999972</v>
      </c>
      <c r="AG579" s="9">
        <f t="shared" ref="AG579:AG642" si="470">N586-N579</f>
        <v>-5.0499999999999972</v>
      </c>
      <c r="AH579" s="9">
        <f t="shared" ref="AH579:AH642" si="471">N587-N579</f>
        <v>-3.0499999999999972</v>
      </c>
      <c r="AI579" s="9">
        <f t="shared" ref="AI579:AI642" si="472">N588-N579</f>
        <v>-0.54999999999999716</v>
      </c>
      <c r="AJ579" s="9">
        <f t="shared" ref="AJ579:AJ642" si="473">O580-O579</f>
        <v>-4.5</v>
      </c>
      <c r="AK579" s="9">
        <f t="shared" ref="AK579:AK642" si="474">O581-O579</f>
        <v>-5.2999999999999972</v>
      </c>
      <c r="AL579" s="9">
        <f t="shared" ref="AL579:AL642" si="475">O582-O579</f>
        <v>-4</v>
      </c>
      <c r="AM579" s="9">
        <f t="shared" ref="AM579:AM642" si="476">O583-O579</f>
        <v>-4.75</v>
      </c>
      <c r="AN579" s="9">
        <f t="shared" ref="AN579:AN642" si="477">O584-O579</f>
        <v>-8.25</v>
      </c>
      <c r="AO579" s="9">
        <f t="shared" ref="AO579:AO642" si="478">O585-O579</f>
        <v>-7.75</v>
      </c>
      <c r="AP579" s="9">
        <f t="shared" ref="AP579:AP642" si="479">O586-O579</f>
        <v>-5.5</v>
      </c>
      <c r="AQ579" s="9">
        <f t="shared" ref="AQ579:AQ642" si="480">O587-O579</f>
        <v>-7.75</v>
      </c>
      <c r="AR579" s="9">
        <f t="shared" ref="AR579:AR642" si="481">O588-O579</f>
        <v>-0.625</v>
      </c>
      <c r="AS579" s="9">
        <f t="shared" ref="AS579:AS642" si="482">P580 - P579</f>
        <v>-4.7999999999999972</v>
      </c>
      <c r="AT579" s="9">
        <f t="shared" ref="AT579:AT642" si="483">P581 - P579</f>
        <v>-6.4500000000000028</v>
      </c>
      <c r="AU579" s="9">
        <f t="shared" ref="AU579:AU642" si="484">P582 - P579</f>
        <v>-4.7999999999999972</v>
      </c>
      <c r="AV579" s="9">
        <f t="shared" ref="AV579:AV642" si="485">P583 - P579</f>
        <v>-4.5</v>
      </c>
      <c r="AW579" s="9">
        <f t="shared" ref="AW579:AW642" si="486">P584 - P579</f>
        <v>-7.7999999999999972</v>
      </c>
      <c r="AX579" s="9">
        <f t="shared" ref="AX579:AX642" si="487">P585 - P579</f>
        <v>-8</v>
      </c>
      <c r="AY579" s="9">
        <f t="shared" ref="AY579:AY642" si="488">P586 - P579</f>
        <v>-6.5</v>
      </c>
      <c r="AZ579" s="9">
        <f t="shared" ref="AZ579:AZ642" si="489">P587 - P579</f>
        <v>-4.2999999999999972</v>
      </c>
      <c r="BA579" s="9">
        <f t="shared" ref="BA579:BA642" si="490">P588 - P579</f>
        <v>-1.5</v>
      </c>
      <c r="BB579" s="9">
        <f t="shared" ref="BB579:BB642" si="491">Q580 - Q579</f>
        <v>-5</v>
      </c>
      <c r="BC579" s="9">
        <f t="shared" ref="BC579:BC642" si="492">Q581 - Q579</f>
        <v>-7.0499999999999972</v>
      </c>
      <c r="BD579" s="9">
        <f t="shared" ref="BD579:BD642" si="493">Q582 - Q579</f>
        <v>-5.2999999999999972</v>
      </c>
      <c r="BE579" s="9">
        <f t="shared" ref="BE579:BE642" si="494">Q583 - Q579</f>
        <v>-5</v>
      </c>
      <c r="BF579" s="9">
        <f t="shared" ref="BF579:BF642" si="495">Q584 - Q579</f>
        <v>-8.25</v>
      </c>
      <c r="BG579" s="9">
        <f t="shared" ref="BG579:BG642" si="496">Q585 - Q579</f>
        <v>-8</v>
      </c>
      <c r="BH579" s="9">
        <f t="shared" ref="BH579:BH642" si="497">Q586 - Q579</f>
        <v>-6.625</v>
      </c>
      <c r="BI579" s="9">
        <f t="shared" ref="BI579:BI642" si="498">Q587 - Q579</f>
        <v>-8.3999999999999986</v>
      </c>
      <c r="BJ579" s="9">
        <f t="shared" ref="BJ579:BJ642" si="499">Q588 - Q579</f>
        <v>-1.875</v>
      </c>
    </row>
    <row r="580" spans="1:62" x14ac:dyDescent="0.2">
      <c r="A580" s="9">
        <f>data!M581-data!M580</f>
        <v>5.7000000000044793E-3</v>
      </c>
      <c r="B580" s="9">
        <f>data!C581-data!C580</f>
        <v>2.0199999999999996</v>
      </c>
      <c r="C580" s="9">
        <f>data!D581-data!D580</f>
        <v>2.8425000000000011</v>
      </c>
      <c r="D580" s="10">
        <f>data!B581-data!B580</f>
        <v>-0.33999999999999986</v>
      </c>
      <c r="E580" s="9">
        <f>data!E580-data!G580</f>
        <v>1.8137000000000001</v>
      </c>
      <c r="F580" s="9">
        <f>(data!E580-data!F580)-(data!G580-data!H580)</f>
        <v>0.89560000000000017</v>
      </c>
      <c r="G580" s="9">
        <f t="shared" si="450"/>
        <v>-0.14560000000000017</v>
      </c>
      <c r="H580" s="9">
        <f t="shared" si="451"/>
        <v>-0.10620000000000018</v>
      </c>
      <c r="I580" s="9">
        <f>IF(data!M581&gt; 111.81,1,0)</f>
        <v>1</v>
      </c>
      <c r="J580" s="9">
        <f t="shared" si="452"/>
        <v>0</v>
      </c>
      <c r="K580" s="9">
        <f t="shared" si="453"/>
        <v>5.7000000000044793E-3</v>
      </c>
      <c r="L580" s="9">
        <f t="shared" si="454"/>
        <v>0</v>
      </c>
      <c r="M580" s="9">
        <f>data!J580</f>
        <v>-64</v>
      </c>
      <c r="N580" s="9">
        <f>data!I580</f>
        <v>-96.5</v>
      </c>
      <c r="O580" s="9">
        <f>data!L580</f>
        <v>-93.75</v>
      </c>
      <c r="P580" s="9">
        <f>data!K580</f>
        <v>-68.3</v>
      </c>
      <c r="Q580" s="9">
        <f>data!R580</f>
        <v>-59.5</v>
      </c>
      <c r="R580" s="9">
        <f t="shared" si="455"/>
        <v>-1</v>
      </c>
      <c r="S580" s="9">
        <f t="shared" si="456"/>
        <v>-0.5</v>
      </c>
      <c r="T580" s="9">
        <f t="shared" si="457"/>
        <v>0.5</v>
      </c>
      <c r="U580" s="9">
        <f t="shared" si="458"/>
        <v>0.75</v>
      </c>
      <c r="V580" s="9">
        <f t="shared" si="459"/>
        <v>3.75</v>
      </c>
      <c r="W580" s="9">
        <f t="shared" si="460"/>
        <v>7.5</v>
      </c>
      <c r="X580" s="9">
        <f t="shared" si="461"/>
        <v>10</v>
      </c>
      <c r="Y580" s="9">
        <f t="shared" si="462"/>
        <v>7</v>
      </c>
      <c r="Z580" s="9">
        <f t="shared" si="463"/>
        <v>5.75</v>
      </c>
      <c r="AA580" s="9">
        <f t="shared" si="464"/>
        <v>-1.1749999999999972</v>
      </c>
      <c r="AB580" s="9">
        <f t="shared" si="465"/>
        <v>-1</v>
      </c>
      <c r="AC580" s="9">
        <f t="shared" si="466"/>
        <v>-1.7999999999999972</v>
      </c>
      <c r="AD580" s="9">
        <f t="shared" si="467"/>
        <v>-5</v>
      </c>
      <c r="AE580" s="9">
        <f t="shared" si="468"/>
        <v>-3.2999999999999972</v>
      </c>
      <c r="AF580" s="9">
        <f t="shared" si="469"/>
        <v>-0.29999999999999716</v>
      </c>
      <c r="AG580" s="9">
        <f t="shared" si="470"/>
        <v>1.7000000000000028</v>
      </c>
      <c r="AH580" s="9">
        <f t="shared" si="471"/>
        <v>4.2000000000000028</v>
      </c>
      <c r="AI580" s="9">
        <f t="shared" si="472"/>
        <v>5</v>
      </c>
      <c r="AJ580" s="9">
        <f t="shared" si="473"/>
        <v>-0.79999999999999716</v>
      </c>
      <c r="AK580" s="9">
        <f t="shared" si="474"/>
        <v>0.5</v>
      </c>
      <c r="AL580" s="9">
        <f t="shared" si="475"/>
        <v>-0.25</v>
      </c>
      <c r="AM580" s="9">
        <f t="shared" si="476"/>
        <v>-3.75</v>
      </c>
      <c r="AN580" s="9">
        <f t="shared" si="477"/>
        <v>-3.25</v>
      </c>
      <c r="AO580" s="9">
        <f t="shared" si="478"/>
        <v>-1</v>
      </c>
      <c r="AP580" s="9">
        <f t="shared" si="479"/>
        <v>-3.25</v>
      </c>
      <c r="AQ580" s="9">
        <f t="shared" si="480"/>
        <v>3.875</v>
      </c>
      <c r="AR580" s="9">
        <f t="shared" si="481"/>
        <v>3.6500000000000057</v>
      </c>
      <c r="AS580" s="9">
        <f t="shared" si="482"/>
        <v>-1.6500000000000057</v>
      </c>
      <c r="AT580" s="9">
        <f t="shared" si="483"/>
        <v>0</v>
      </c>
      <c r="AU580" s="9">
        <f t="shared" si="484"/>
        <v>0.29999999999999716</v>
      </c>
      <c r="AV580" s="9">
        <f t="shared" si="485"/>
        <v>-3</v>
      </c>
      <c r="AW580" s="9">
        <f t="shared" si="486"/>
        <v>-3.2000000000000028</v>
      </c>
      <c r="AX580" s="9">
        <f t="shared" si="487"/>
        <v>-1.7000000000000028</v>
      </c>
      <c r="AY580" s="9">
        <f t="shared" si="488"/>
        <v>0.5</v>
      </c>
      <c r="AZ580" s="9">
        <f t="shared" si="489"/>
        <v>3.2999999999999972</v>
      </c>
      <c r="BA580" s="9">
        <f t="shared" si="490"/>
        <v>5.2999999999999972</v>
      </c>
      <c r="BB580" s="9">
        <f t="shared" si="491"/>
        <v>-2.0499999999999972</v>
      </c>
      <c r="BC580" s="9">
        <f t="shared" si="492"/>
        <v>-0.29999999999999716</v>
      </c>
      <c r="BD580" s="9">
        <f t="shared" si="493"/>
        <v>0</v>
      </c>
      <c r="BE580" s="9">
        <f t="shared" si="494"/>
        <v>-3.25</v>
      </c>
      <c r="BF580" s="9">
        <f t="shared" si="495"/>
        <v>-3</v>
      </c>
      <c r="BG580" s="9">
        <f t="shared" si="496"/>
        <v>-1.625</v>
      </c>
      <c r="BH580" s="9">
        <f t="shared" si="497"/>
        <v>-3.3999999999999986</v>
      </c>
      <c r="BI580" s="9">
        <f t="shared" si="498"/>
        <v>3.125</v>
      </c>
      <c r="BJ580" s="9">
        <f t="shared" si="499"/>
        <v>4.7000000000000028</v>
      </c>
    </row>
    <row r="581" spans="1:62" x14ac:dyDescent="0.2">
      <c r="A581" s="9">
        <f>data!M582-data!M581</f>
        <v>-0.34340000000000259</v>
      </c>
      <c r="B581" s="9">
        <f>data!C582-data!C581</f>
        <v>-4.8699999999999974</v>
      </c>
      <c r="C581" s="9">
        <f>data!D582-data!D581</f>
        <v>-0.30000000000000071</v>
      </c>
      <c r="D581" s="10">
        <f>data!B582-data!B581</f>
        <v>0.10000000000000009</v>
      </c>
      <c r="E581" s="9">
        <f>data!E581-data!G581</f>
        <v>1.6680999999999999</v>
      </c>
      <c r="F581" s="9">
        <f>(data!E581-data!F581)-(data!G581-data!H581)</f>
        <v>0.78939999999999999</v>
      </c>
      <c r="G581" s="9">
        <f t="shared" si="450"/>
        <v>7.0799999999999974E-2</v>
      </c>
      <c r="H581" s="9">
        <f t="shared" si="451"/>
        <v>7.6999999999999291E-3</v>
      </c>
      <c r="I581" s="9">
        <f>IF(data!M582&gt; 111.81,1,0)</f>
        <v>1</v>
      </c>
      <c r="J581" s="9">
        <f t="shared" si="452"/>
        <v>0</v>
      </c>
      <c r="K581" s="9">
        <f t="shared" si="453"/>
        <v>-0.34340000000000259</v>
      </c>
      <c r="L581" s="9">
        <f t="shared" si="454"/>
        <v>0</v>
      </c>
      <c r="M581" s="9">
        <f>data!J581</f>
        <v>-65</v>
      </c>
      <c r="N581" s="9">
        <f>data!I581</f>
        <v>-97.674999999999997</v>
      </c>
      <c r="O581" s="9">
        <f>data!L581</f>
        <v>-94.55</v>
      </c>
      <c r="P581" s="9">
        <f>data!K581</f>
        <v>-69.95</v>
      </c>
      <c r="Q581" s="9">
        <f>data!R581</f>
        <v>-61.55</v>
      </c>
      <c r="R581" s="9">
        <f t="shared" si="455"/>
        <v>0.5</v>
      </c>
      <c r="S581" s="9">
        <f t="shared" si="456"/>
        <v>1.5</v>
      </c>
      <c r="T581" s="9">
        <f t="shared" si="457"/>
        <v>1.75</v>
      </c>
      <c r="U581" s="9">
        <f t="shared" si="458"/>
        <v>4.75</v>
      </c>
      <c r="V581" s="9">
        <f t="shared" si="459"/>
        <v>8.5</v>
      </c>
      <c r="W581" s="9">
        <f t="shared" si="460"/>
        <v>11</v>
      </c>
      <c r="X581" s="9">
        <f t="shared" si="461"/>
        <v>8</v>
      </c>
      <c r="Y581" s="9">
        <f t="shared" si="462"/>
        <v>6.75</v>
      </c>
      <c r="Z581" s="9">
        <f t="shared" si="463"/>
        <v>8.375</v>
      </c>
      <c r="AA581" s="9">
        <f t="shared" si="464"/>
        <v>0.17499999999999716</v>
      </c>
      <c r="AB581" s="9">
        <f t="shared" si="465"/>
        <v>-0.625</v>
      </c>
      <c r="AC581" s="9">
        <f t="shared" si="466"/>
        <v>-3.8250000000000028</v>
      </c>
      <c r="AD581" s="9">
        <f t="shared" si="467"/>
        <v>-2.125</v>
      </c>
      <c r="AE581" s="9">
        <f t="shared" si="468"/>
        <v>0.875</v>
      </c>
      <c r="AF581" s="9">
        <f t="shared" si="469"/>
        <v>2.875</v>
      </c>
      <c r="AG581" s="9">
        <f t="shared" si="470"/>
        <v>5.375</v>
      </c>
      <c r="AH581" s="9">
        <f t="shared" si="471"/>
        <v>6.1749999999999972</v>
      </c>
      <c r="AI581" s="9">
        <f t="shared" si="472"/>
        <v>6.1749999999999972</v>
      </c>
      <c r="AJ581" s="9">
        <f t="shared" si="473"/>
        <v>1.2999999999999972</v>
      </c>
      <c r="AK581" s="9">
        <f t="shared" si="474"/>
        <v>0.54999999999999716</v>
      </c>
      <c r="AL581" s="9">
        <f t="shared" si="475"/>
        <v>-2.9500000000000028</v>
      </c>
      <c r="AM581" s="9">
        <f t="shared" si="476"/>
        <v>-2.4500000000000028</v>
      </c>
      <c r="AN581" s="9">
        <f t="shared" si="477"/>
        <v>-0.20000000000000284</v>
      </c>
      <c r="AO581" s="9">
        <f t="shared" si="478"/>
        <v>-2.4500000000000028</v>
      </c>
      <c r="AP581" s="9">
        <f t="shared" si="479"/>
        <v>4.6749999999999972</v>
      </c>
      <c r="AQ581" s="9">
        <f t="shared" si="480"/>
        <v>4.4500000000000028</v>
      </c>
      <c r="AR581" s="9">
        <f t="shared" si="481"/>
        <v>4.4249999999999972</v>
      </c>
      <c r="AS581" s="9">
        <f t="shared" si="482"/>
        <v>1.6500000000000057</v>
      </c>
      <c r="AT581" s="9">
        <f t="shared" si="483"/>
        <v>1.9500000000000028</v>
      </c>
      <c r="AU581" s="9">
        <f t="shared" si="484"/>
        <v>-1.3499999999999943</v>
      </c>
      <c r="AV581" s="9">
        <f t="shared" si="485"/>
        <v>-1.5499999999999972</v>
      </c>
      <c r="AW581" s="9">
        <f t="shared" si="486"/>
        <v>-4.9999999999997158E-2</v>
      </c>
      <c r="AX581" s="9">
        <f t="shared" si="487"/>
        <v>2.1500000000000057</v>
      </c>
      <c r="AY581" s="9">
        <f t="shared" si="488"/>
        <v>4.9500000000000028</v>
      </c>
      <c r="AZ581" s="9">
        <f t="shared" si="489"/>
        <v>6.9500000000000028</v>
      </c>
      <c r="BA581" s="9">
        <f t="shared" si="490"/>
        <v>8.2000000000000028</v>
      </c>
      <c r="BB581" s="9">
        <f t="shared" si="491"/>
        <v>1.75</v>
      </c>
      <c r="BC581" s="9">
        <f t="shared" si="492"/>
        <v>2.0499999999999972</v>
      </c>
      <c r="BD581" s="9">
        <f t="shared" si="493"/>
        <v>-1.2000000000000028</v>
      </c>
      <c r="BE581" s="9">
        <f t="shared" si="494"/>
        <v>-0.95000000000000284</v>
      </c>
      <c r="BF581" s="9">
        <f t="shared" si="495"/>
        <v>0.42499999999999716</v>
      </c>
      <c r="BG581" s="9">
        <f t="shared" si="496"/>
        <v>-1.3500000000000014</v>
      </c>
      <c r="BH581" s="9">
        <f t="shared" si="497"/>
        <v>5.1749999999999972</v>
      </c>
      <c r="BI581" s="9">
        <f t="shared" si="498"/>
        <v>6.75</v>
      </c>
      <c r="BJ581" s="9">
        <f t="shared" si="499"/>
        <v>8.0499999999999972</v>
      </c>
    </row>
    <row r="582" spans="1:62" x14ac:dyDescent="0.2">
      <c r="A582" s="9">
        <f>data!M583-data!M582</f>
        <v>0.41500000000000625</v>
      </c>
      <c r="B582" s="9">
        <f>data!C583-data!C582</f>
        <v>-0.72000000000000242</v>
      </c>
      <c r="C582" s="9">
        <f>data!D583-data!D582</f>
        <v>-0.69999999999999929</v>
      </c>
      <c r="D582" s="10">
        <f>data!B583-data!B582</f>
        <v>-3.5000000000000142E-2</v>
      </c>
      <c r="E582" s="9">
        <f>data!E582-data!G582</f>
        <v>1.7388999999999999</v>
      </c>
      <c r="F582" s="9">
        <f>(data!E582-data!F582)-(data!G582-data!H582)</f>
        <v>0.79709999999999992</v>
      </c>
      <c r="G582" s="9">
        <f t="shared" si="450"/>
        <v>9.7400000000000153E-2</v>
      </c>
      <c r="H582" s="9">
        <f t="shared" si="451"/>
        <v>1.4800000000000035E-2</v>
      </c>
      <c r="I582" s="9">
        <f>IF(data!M583&gt; 111.81,1,0)</f>
        <v>1</v>
      </c>
      <c r="J582" s="9">
        <f t="shared" si="452"/>
        <v>0</v>
      </c>
      <c r="K582" s="9">
        <f t="shared" si="453"/>
        <v>0.41500000000000625</v>
      </c>
      <c r="L582" s="9">
        <f t="shared" si="454"/>
        <v>0</v>
      </c>
      <c r="M582" s="9">
        <f>data!J582</f>
        <v>-64.5</v>
      </c>
      <c r="N582" s="9">
        <f>data!I582</f>
        <v>-97.5</v>
      </c>
      <c r="O582" s="9">
        <f>data!L582</f>
        <v>-93.25</v>
      </c>
      <c r="P582" s="9">
        <f>data!K582</f>
        <v>-68.3</v>
      </c>
      <c r="Q582" s="9">
        <f>data!R582</f>
        <v>-59.8</v>
      </c>
      <c r="R582" s="9">
        <f t="shared" si="455"/>
        <v>1</v>
      </c>
      <c r="S582" s="9">
        <f t="shared" si="456"/>
        <v>1.25</v>
      </c>
      <c r="T582" s="9">
        <f t="shared" si="457"/>
        <v>4.25</v>
      </c>
      <c r="U582" s="9">
        <f t="shared" si="458"/>
        <v>8</v>
      </c>
      <c r="V582" s="9">
        <f t="shared" si="459"/>
        <v>10.5</v>
      </c>
      <c r="W582" s="9">
        <f t="shared" si="460"/>
        <v>7.5</v>
      </c>
      <c r="X582" s="9">
        <f t="shared" si="461"/>
        <v>6.25</v>
      </c>
      <c r="Y582" s="9">
        <f t="shared" si="462"/>
        <v>7.875</v>
      </c>
      <c r="Z582" s="9">
        <f t="shared" si="463"/>
        <v>8.375</v>
      </c>
      <c r="AA582" s="9">
        <f t="shared" si="464"/>
        <v>-0.79999999999999716</v>
      </c>
      <c r="AB582" s="9">
        <f t="shared" si="465"/>
        <v>-4</v>
      </c>
      <c r="AC582" s="9">
        <f t="shared" si="466"/>
        <v>-2.2999999999999972</v>
      </c>
      <c r="AD582" s="9">
        <f t="shared" si="467"/>
        <v>0.70000000000000284</v>
      </c>
      <c r="AE582" s="9">
        <f t="shared" si="468"/>
        <v>2.7000000000000028</v>
      </c>
      <c r="AF582" s="9">
        <f t="shared" si="469"/>
        <v>5.2000000000000028</v>
      </c>
      <c r="AG582" s="9">
        <f t="shared" si="470"/>
        <v>6</v>
      </c>
      <c r="AH582" s="9">
        <f t="shared" si="471"/>
        <v>6</v>
      </c>
      <c r="AI582" s="9">
        <f t="shared" si="472"/>
        <v>9.75</v>
      </c>
      <c r="AJ582" s="9">
        <f t="shared" si="473"/>
        <v>-0.75</v>
      </c>
      <c r="AK582" s="9">
        <f t="shared" si="474"/>
        <v>-4.25</v>
      </c>
      <c r="AL582" s="9">
        <f t="shared" si="475"/>
        <v>-3.75</v>
      </c>
      <c r="AM582" s="9">
        <f t="shared" si="476"/>
        <v>-1.5</v>
      </c>
      <c r="AN582" s="9">
        <f t="shared" si="477"/>
        <v>-3.75</v>
      </c>
      <c r="AO582" s="9">
        <f t="shared" si="478"/>
        <v>3.375</v>
      </c>
      <c r="AP582" s="9">
        <f t="shared" si="479"/>
        <v>3.1500000000000057</v>
      </c>
      <c r="AQ582" s="9">
        <f t="shared" si="480"/>
        <v>3.125</v>
      </c>
      <c r="AR582" s="9">
        <f t="shared" si="481"/>
        <v>6</v>
      </c>
      <c r="AS582" s="9">
        <f t="shared" si="482"/>
        <v>0.29999999999999716</v>
      </c>
      <c r="AT582" s="9">
        <f t="shared" si="483"/>
        <v>-3</v>
      </c>
      <c r="AU582" s="9">
        <f t="shared" si="484"/>
        <v>-3.2000000000000028</v>
      </c>
      <c r="AV582" s="9">
        <f t="shared" si="485"/>
        <v>-1.7000000000000028</v>
      </c>
      <c r="AW582" s="9">
        <f t="shared" si="486"/>
        <v>0.5</v>
      </c>
      <c r="AX582" s="9">
        <f t="shared" si="487"/>
        <v>3.2999999999999972</v>
      </c>
      <c r="AY582" s="9">
        <f t="shared" si="488"/>
        <v>5.2999999999999972</v>
      </c>
      <c r="AZ582" s="9">
        <f t="shared" si="489"/>
        <v>6.5499999999999972</v>
      </c>
      <c r="BA582" s="9">
        <f t="shared" si="490"/>
        <v>12.049999999999997</v>
      </c>
      <c r="BB582" s="9">
        <f t="shared" si="491"/>
        <v>0.29999999999999716</v>
      </c>
      <c r="BC582" s="9">
        <f t="shared" si="492"/>
        <v>-2.9500000000000028</v>
      </c>
      <c r="BD582" s="9">
        <f t="shared" si="493"/>
        <v>-2.7000000000000028</v>
      </c>
      <c r="BE582" s="9">
        <f t="shared" si="494"/>
        <v>-1.3250000000000028</v>
      </c>
      <c r="BF582" s="9">
        <f t="shared" si="495"/>
        <v>-3.1000000000000014</v>
      </c>
      <c r="BG582" s="9">
        <f t="shared" si="496"/>
        <v>3.4249999999999972</v>
      </c>
      <c r="BH582" s="9">
        <f t="shared" si="497"/>
        <v>5</v>
      </c>
      <c r="BI582" s="9">
        <f t="shared" si="498"/>
        <v>6.2999999999999972</v>
      </c>
      <c r="BJ582" s="9">
        <f t="shared" si="499"/>
        <v>11.799999999999997</v>
      </c>
    </row>
    <row r="583" spans="1:62" x14ac:dyDescent="0.2">
      <c r="A583" s="9">
        <f>data!M584-data!M583</f>
        <v>-1.7321000000000026</v>
      </c>
      <c r="B583" s="9">
        <f>data!C584-data!C583</f>
        <v>-2.9499999999999993</v>
      </c>
      <c r="C583" s="9">
        <f>data!D584-data!D583</f>
        <v>-1.4875000000000007</v>
      </c>
      <c r="D583" s="10">
        <f>data!B584-data!B583</f>
        <v>0.3125</v>
      </c>
      <c r="E583" s="9">
        <f>data!E583-data!G583</f>
        <v>1.8363</v>
      </c>
      <c r="F583" s="9">
        <f>(data!E583-data!F583)-(data!G583-data!H583)</f>
        <v>0.81189999999999996</v>
      </c>
      <c r="G583" s="9">
        <f t="shared" si="450"/>
        <v>8.78000000000001E-2</v>
      </c>
      <c r="H583" s="9">
        <f t="shared" si="451"/>
        <v>4.4600000000000306E-2</v>
      </c>
      <c r="I583" s="9">
        <f>IF(data!M584&gt; 111.81,1,0)</f>
        <v>1</v>
      </c>
      <c r="J583" s="9">
        <f t="shared" si="452"/>
        <v>0</v>
      </c>
      <c r="K583" s="9">
        <f t="shared" si="453"/>
        <v>-1.7321000000000026</v>
      </c>
      <c r="L583" s="9">
        <f t="shared" si="454"/>
        <v>0</v>
      </c>
      <c r="M583" s="9">
        <f>data!J583</f>
        <v>-63.5</v>
      </c>
      <c r="N583" s="9">
        <f>data!I583</f>
        <v>-98.3</v>
      </c>
      <c r="O583" s="9">
        <f>data!L583</f>
        <v>-94</v>
      </c>
      <c r="P583" s="9">
        <f>data!K583</f>
        <v>-68</v>
      </c>
      <c r="Q583" s="9">
        <f>data!R583</f>
        <v>-59.5</v>
      </c>
      <c r="R583" s="9">
        <f t="shared" si="455"/>
        <v>0.25</v>
      </c>
      <c r="S583" s="9">
        <f t="shared" si="456"/>
        <v>3.25</v>
      </c>
      <c r="T583" s="9">
        <f t="shared" si="457"/>
        <v>7</v>
      </c>
      <c r="U583" s="9">
        <f t="shared" si="458"/>
        <v>9.5</v>
      </c>
      <c r="V583" s="9">
        <f t="shared" si="459"/>
        <v>6.5</v>
      </c>
      <c r="W583" s="9">
        <f t="shared" si="460"/>
        <v>5.25</v>
      </c>
      <c r="X583" s="9">
        <f t="shared" si="461"/>
        <v>6.875</v>
      </c>
      <c r="Y583" s="9">
        <f t="shared" si="462"/>
        <v>7.375</v>
      </c>
      <c r="Z583" s="9">
        <f t="shared" si="463"/>
        <v>10.25</v>
      </c>
      <c r="AA583" s="9">
        <f t="shared" si="464"/>
        <v>-3.2000000000000028</v>
      </c>
      <c r="AB583" s="9">
        <f t="shared" si="465"/>
        <v>-1.5</v>
      </c>
      <c r="AC583" s="9">
        <f t="shared" si="466"/>
        <v>1.5</v>
      </c>
      <c r="AD583" s="9">
        <f t="shared" si="467"/>
        <v>3.5</v>
      </c>
      <c r="AE583" s="9">
        <f t="shared" si="468"/>
        <v>6</v>
      </c>
      <c r="AF583" s="9">
        <f t="shared" si="469"/>
        <v>6.7999999999999972</v>
      </c>
      <c r="AG583" s="9">
        <f t="shared" si="470"/>
        <v>6.7999999999999972</v>
      </c>
      <c r="AH583" s="9">
        <f t="shared" si="471"/>
        <v>10.549999999999997</v>
      </c>
      <c r="AI583" s="9">
        <f t="shared" si="472"/>
        <v>14.549999999999997</v>
      </c>
      <c r="AJ583" s="9">
        <f t="shared" si="473"/>
        <v>-3.5</v>
      </c>
      <c r="AK583" s="9">
        <f t="shared" si="474"/>
        <v>-3</v>
      </c>
      <c r="AL583" s="9">
        <f t="shared" si="475"/>
        <v>-0.75</v>
      </c>
      <c r="AM583" s="9">
        <f t="shared" si="476"/>
        <v>-3</v>
      </c>
      <c r="AN583" s="9">
        <f t="shared" si="477"/>
        <v>4.125</v>
      </c>
      <c r="AO583" s="9">
        <f t="shared" si="478"/>
        <v>3.9000000000000057</v>
      </c>
      <c r="AP583" s="9">
        <f t="shared" si="479"/>
        <v>3.875</v>
      </c>
      <c r="AQ583" s="9">
        <f t="shared" si="480"/>
        <v>6.75</v>
      </c>
      <c r="AR583" s="9">
        <f t="shared" si="481"/>
        <v>10.5</v>
      </c>
      <c r="AS583" s="9">
        <f t="shared" si="482"/>
        <v>-3.2999999999999972</v>
      </c>
      <c r="AT583" s="9">
        <f t="shared" si="483"/>
        <v>-3.5</v>
      </c>
      <c r="AU583" s="9">
        <f t="shared" si="484"/>
        <v>-2</v>
      </c>
      <c r="AV583" s="9">
        <f t="shared" si="485"/>
        <v>0.20000000000000284</v>
      </c>
      <c r="AW583" s="9">
        <f t="shared" si="486"/>
        <v>3</v>
      </c>
      <c r="AX583" s="9">
        <f t="shared" si="487"/>
        <v>5</v>
      </c>
      <c r="AY583" s="9">
        <f t="shared" si="488"/>
        <v>6.25</v>
      </c>
      <c r="AZ583" s="9">
        <f t="shared" si="489"/>
        <v>11.75</v>
      </c>
      <c r="BA583" s="9">
        <f t="shared" si="490"/>
        <v>14.25</v>
      </c>
      <c r="BB583" s="9">
        <f t="shared" si="491"/>
        <v>-3.25</v>
      </c>
      <c r="BC583" s="9">
        <f t="shared" si="492"/>
        <v>-3</v>
      </c>
      <c r="BD583" s="9">
        <f t="shared" si="493"/>
        <v>-1.625</v>
      </c>
      <c r="BE583" s="9">
        <f t="shared" si="494"/>
        <v>-3.3999999999999986</v>
      </c>
      <c r="BF583" s="9">
        <f t="shared" si="495"/>
        <v>3.125</v>
      </c>
      <c r="BG583" s="9">
        <f t="shared" si="496"/>
        <v>4.7000000000000028</v>
      </c>
      <c r="BH583" s="9">
        <f t="shared" si="497"/>
        <v>6</v>
      </c>
      <c r="BI583" s="9">
        <f t="shared" si="498"/>
        <v>11.5</v>
      </c>
      <c r="BJ583" s="9">
        <f t="shared" si="499"/>
        <v>15</v>
      </c>
    </row>
    <row r="584" spans="1:62" x14ac:dyDescent="0.2">
      <c r="A584" s="9">
        <f>data!M585-data!M584</f>
        <v>-0.89770000000000039</v>
      </c>
      <c r="B584" s="9">
        <f>data!C585-data!C584</f>
        <v>-0.35999999999999943</v>
      </c>
      <c r="C584" s="9">
        <f>data!D585-data!D584</f>
        <v>0.17999999999999972</v>
      </c>
      <c r="D584" s="10">
        <f>data!B585-data!B584</f>
        <v>-4.2499999999999982E-2</v>
      </c>
      <c r="E584" s="9">
        <f>data!E584-data!G584</f>
        <v>1.9241000000000001</v>
      </c>
      <c r="F584" s="9">
        <f>(data!E584-data!F584)-(data!G584-data!H584)</f>
        <v>0.85650000000000026</v>
      </c>
      <c r="G584" s="9">
        <f t="shared" si="450"/>
        <v>7.2799999999999754E-2</v>
      </c>
      <c r="H584" s="9">
        <f t="shared" si="451"/>
        <v>2.4999999999999689E-2</v>
      </c>
      <c r="I584" s="9">
        <f>IF(data!M585&gt; 111.81,1,0)</f>
        <v>0</v>
      </c>
      <c r="J584" s="9">
        <f t="shared" si="452"/>
        <v>1</v>
      </c>
      <c r="K584" s="9">
        <f t="shared" si="453"/>
        <v>0</v>
      </c>
      <c r="L584" s="9">
        <f t="shared" si="454"/>
        <v>-0.89770000000000039</v>
      </c>
      <c r="M584" s="9">
        <f>data!J584</f>
        <v>-63.25</v>
      </c>
      <c r="N584" s="9">
        <f>data!I584</f>
        <v>-101.5</v>
      </c>
      <c r="O584" s="9">
        <f>data!L584</f>
        <v>-97.5</v>
      </c>
      <c r="P584" s="9">
        <f>data!K584</f>
        <v>-71.3</v>
      </c>
      <c r="Q584" s="9">
        <f>data!R584</f>
        <v>-62.75</v>
      </c>
      <c r="R584" s="9">
        <f t="shared" si="455"/>
        <v>3</v>
      </c>
      <c r="S584" s="9">
        <f t="shared" si="456"/>
        <v>6.75</v>
      </c>
      <c r="T584" s="9">
        <f t="shared" si="457"/>
        <v>9.25</v>
      </c>
      <c r="U584" s="9">
        <f t="shared" si="458"/>
        <v>6.25</v>
      </c>
      <c r="V584" s="9">
        <f t="shared" si="459"/>
        <v>5</v>
      </c>
      <c r="W584" s="9">
        <f t="shared" si="460"/>
        <v>6.625</v>
      </c>
      <c r="X584" s="9">
        <f t="shared" si="461"/>
        <v>7.125</v>
      </c>
      <c r="Y584" s="9">
        <f t="shared" si="462"/>
        <v>10</v>
      </c>
      <c r="Z584" s="9">
        <f t="shared" si="463"/>
        <v>8.75</v>
      </c>
      <c r="AA584" s="9">
        <f t="shared" si="464"/>
        <v>1.7000000000000028</v>
      </c>
      <c r="AB584" s="9">
        <f t="shared" si="465"/>
        <v>4.7000000000000028</v>
      </c>
      <c r="AC584" s="9">
        <f t="shared" si="466"/>
        <v>6.7000000000000028</v>
      </c>
      <c r="AD584" s="9">
        <f t="shared" si="467"/>
        <v>9.2000000000000028</v>
      </c>
      <c r="AE584" s="9">
        <f t="shared" si="468"/>
        <v>10</v>
      </c>
      <c r="AF584" s="9">
        <f t="shared" si="469"/>
        <v>10</v>
      </c>
      <c r="AG584" s="9">
        <f t="shared" si="470"/>
        <v>13.75</v>
      </c>
      <c r="AH584" s="9">
        <f t="shared" si="471"/>
        <v>17.75</v>
      </c>
      <c r="AI584" s="9">
        <f t="shared" si="472"/>
        <v>17.75</v>
      </c>
      <c r="AJ584" s="9">
        <f t="shared" si="473"/>
        <v>0.5</v>
      </c>
      <c r="AK584" s="9">
        <f t="shared" si="474"/>
        <v>2.75</v>
      </c>
      <c r="AL584" s="9">
        <f t="shared" si="475"/>
        <v>0.5</v>
      </c>
      <c r="AM584" s="9">
        <f t="shared" si="476"/>
        <v>7.625</v>
      </c>
      <c r="AN584" s="9">
        <f t="shared" si="477"/>
        <v>7.4000000000000057</v>
      </c>
      <c r="AO584" s="9">
        <f t="shared" si="478"/>
        <v>7.375</v>
      </c>
      <c r="AP584" s="9">
        <f t="shared" si="479"/>
        <v>10.25</v>
      </c>
      <c r="AQ584" s="9">
        <f t="shared" si="480"/>
        <v>14</v>
      </c>
      <c r="AR584" s="9">
        <f t="shared" si="481"/>
        <v>13.5</v>
      </c>
      <c r="AS584" s="9">
        <f t="shared" si="482"/>
        <v>-0.20000000000000284</v>
      </c>
      <c r="AT584" s="9">
        <f t="shared" si="483"/>
        <v>1.2999999999999972</v>
      </c>
      <c r="AU584" s="9">
        <f t="shared" si="484"/>
        <v>3.5</v>
      </c>
      <c r="AV584" s="9">
        <f t="shared" si="485"/>
        <v>6.2999999999999972</v>
      </c>
      <c r="AW584" s="9">
        <f t="shared" si="486"/>
        <v>8.2999999999999972</v>
      </c>
      <c r="AX584" s="9">
        <f t="shared" si="487"/>
        <v>9.5499999999999972</v>
      </c>
      <c r="AY584" s="9">
        <f t="shared" si="488"/>
        <v>15.049999999999997</v>
      </c>
      <c r="AZ584" s="9">
        <f t="shared" si="489"/>
        <v>17.549999999999997</v>
      </c>
      <c r="BA584" s="9">
        <f t="shared" si="490"/>
        <v>16.174999999999997</v>
      </c>
      <c r="BB584" s="9">
        <f t="shared" si="491"/>
        <v>0.25</v>
      </c>
      <c r="BC584" s="9">
        <f t="shared" si="492"/>
        <v>1.625</v>
      </c>
      <c r="BD584" s="9">
        <f t="shared" si="493"/>
        <v>-0.14999999999999858</v>
      </c>
      <c r="BE584" s="9">
        <f t="shared" si="494"/>
        <v>6.375</v>
      </c>
      <c r="BF584" s="9">
        <f t="shared" si="495"/>
        <v>7.9500000000000028</v>
      </c>
      <c r="BG584" s="9">
        <f t="shared" si="496"/>
        <v>9.25</v>
      </c>
      <c r="BH584" s="9">
        <f t="shared" si="497"/>
        <v>14.75</v>
      </c>
      <c r="BI584" s="9">
        <f t="shared" si="498"/>
        <v>18.25</v>
      </c>
      <c r="BJ584" s="9">
        <f t="shared" si="499"/>
        <v>16.625</v>
      </c>
    </row>
    <row r="585" spans="1:62" x14ac:dyDescent="0.2">
      <c r="A585" s="9">
        <f>data!M586-data!M585</f>
        <v>-1.3408000000000015</v>
      </c>
      <c r="B585" s="9">
        <f>data!C586-data!C585</f>
        <v>-2.4800000000000004</v>
      </c>
      <c r="C585" s="9">
        <f>data!D586-data!D585</f>
        <v>-0.56749999999999901</v>
      </c>
      <c r="D585" s="10">
        <f>data!B586-data!B585</f>
        <v>0.25</v>
      </c>
      <c r="E585" s="9">
        <f>data!E585-data!G585</f>
        <v>1.9968999999999999</v>
      </c>
      <c r="F585" s="9">
        <f>(data!E585-data!F585)-(data!G585-data!H585)</f>
        <v>0.88149999999999995</v>
      </c>
      <c r="G585" s="9">
        <f t="shared" si="450"/>
        <v>-2.5699999999999834E-2</v>
      </c>
      <c r="H585" s="9">
        <f t="shared" si="451"/>
        <v>1.540000000000008E-2</v>
      </c>
      <c r="I585" s="9">
        <f>IF(data!M586&gt; 111.81,1,0)</f>
        <v>0</v>
      </c>
      <c r="J585" s="9">
        <f t="shared" si="452"/>
        <v>1</v>
      </c>
      <c r="K585" s="9">
        <f t="shared" si="453"/>
        <v>0</v>
      </c>
      <c r="L585" s="9">
        <f t="shared" si="454"/>
        <v>-1.3408000000000015</v>
      </c>
      <c r="M585" s="9">
        <f>data!J585</f>
        <v>-60.25</v>
      </c>
      <c r="N585" s="9">
        <f>data!I585</f>
        <v>-99.8</v>
      </c>
      <c r="O585" s="9">
        <f>data!L585</f>
        <v>-97</v>
      </c>
      <c r="P585" s="9">
        <f>data!K585</f>
        <v>-71.5</v>
      </c>
      <c r="Q585" s="9">
        <f>data!R585</f>
        <v>-62.5</v>
      </c>
      <c r="R585" s="9">
        <f t="shared" si="455"/>
        <v>3.75</v>
      </c>
      <c r="S585" s="9">
        <f t="shared" si="456"/>
        <v>6.25</v>
      </c>
      <c r="T585" s="9">
        <f t="shared" si="457"/>
        <v>3.25</v>
      </c>
      <c r="U585" s="9">
        <f t="shared" si="458"/>
        <v>2</v>
      </c>
      <c r="V585" s="9">
        <f t="shared" si="459"/>
        <v>3.625</v>
      </c>
      <c r="W585" s="9">
        <f t="shared" si="460"/>
        <v>4.125</v>
      </c>
      <c r="X585" s="9">
        <f t="shared" si="461"/>
        <v>7</v>
      </c>
      <c r="Y585" s="9">
        <f t="shared" si="462"/>
        <v>5.75</v>
      </c>
      <c r="Z585" s="9">
        <f t="shared" si="463"/>
        <v>2.875</v>
      </c>
      <c r="AA585" s="9">
        <f t="shared" si="464"/>
        <v>3</v>
      </c>
      <c r="AB585" s="9">
        <f t="shared" si="465"/>
        <v>5</v>
      </c>
      <c r="AC585" s="9">
        <f t="shared" si="466"/>
        <v>7.5</v>
      </c>
      <c r="AD585" s="9">
        <f t="shared" si="467"/>
        <v>8.2999999999999972</v>
      </c>
      <c r="AE585" s="9">
        <f t="shared" si="468"/>
        <v>8.2999999999999972</v>
      </c>
      <c r="AF585" s="9">
        <f t="shared" si="469"/>
        <v>12.049999999999997</v>
      </c>
      <c r="AG585" s="9">
        <f t="shared" si="470"/>
        <v>16.049999999999997</v>
      </c>
      <c r="AH585" s="9">
        <f t="shared" si="471"/>
        <v>16.049999999999997</v>
      </c>
      <c r="AI585" s="9">
        <f t="shared" si="472"/>
        <v>12.049999999999997</v>
      </c>
      <c r="AJ585" s="9">
        <f t="shared" si="473"/>
        <v>2.25</v>
      </c>
      <c r="AK585" s="9">
        <f t="shared" si="474"/>
        <v>0</v>
      </c>
      <c r="AL585" s="9">
        <f t="shared" si="475"/>
        <v>7.125</v>
      </c>
      <c r="AM585" s="9">
        <f t="shared" si="476"/>
        <v>6.9000000000000057</v>
      </c>
      <c r="AN585" s="9">
        <f t="shared" si="477"/>
        <v>6.875</v>
      </c>
      <c r="AO585" s="9">
        <f t="shared" si="478"/>
        <v>9.75</v>
      </c>
      <c r="AP585" s="9">
        <f t="shared" si="479"/>
        <v>13.5</v>
      </c>
      <c r="AQ585" s="9">
        <f t="shared" si="480"/>
        <v>13</v>
      </c>
      <c r="AR585" s="9">
        <f t="shared" si="481"/>
        <v>6.75</v>
      </c>
      <c r="AS585" s="9">
        <f t="shared" si="482"/>
        <v>1.5</v>
      </c>
      <c r="AT585" s="9">
        <f t="shared" si="483"/>
        <v>3.7000000000000028</v>
      </c>
      <c r="AU585" s="9">
        <f t="shared" si="484"/>
        <v>6.5</v>
      </c>
      <c r="AV585" s="9">
        <f t="shared" si="485"/>
        <v>8.5</v>
      </c>
      <c r="AW585" s="9">
        <f t="shared" si="486"/>
        <v>9.75</v>
      </c>
      <c r="AX585" s="9">
        <f t="shared" si="487"/>
        <v>15.25</v>
      </c>
      <c r="AY585" s="9">
        <f t="shared" si="488"/>
        <v>17.75</v>
      </c>
      <c r="AZ585" s="9">
        <f t="shared" si="489"/>
        <v>16.375</v>
      </c>
      <c r="BA585" s="9">
        <f t="shared" si="490"/>
        <v>9.625</v>
      </c>
      <c r="BB585" s="9">
        <f t="shared" si="491"/>
        <v>1.375</v>
      </c>
      <c r="BC585" s="9">
        <f t="shared" si="492"/>
        <v>-0.39999999999999858</v>
      </c>
      <c r="BD585" s="9">
        <f t="shared" si="493"/>
        <v>6.125</v>
      </c>
      <c r="BE585" s="9">
        <f t="shared" si="494"/>
        <v>7.7000000000000028</v>
      </c>
      <c r="BF585" s="9">
        <f t="shared" si="495"/>
        <v>9</v>
      </c>
      <c r="BG585" s="9">
        <f t="shared" si="496"/>
        <v>14.5</v>
      </c>
      <c r="BH585" s="9">
        <f t="shared" si="497"/>
        <v>18</v>
      </c>
      <c r="BI585" s="9">
        <f t="shared" si="498"/>
        <v>16.375</v>
      </c>
      <c r="BJ585" s="9">
        <f t="shared" si="499"/>
        <v>10</v>
      </c>
    </row>
    <row r="586" spans="1:62" x14ac:dyDescent="0.2">
      <c r="A586" s="9">
        <f>data!M587-data!M586</f>
        <v>1.3696000000000055</v>
      </c>
      <c r="B586" s="9">
        <f>data!C587-data!C586</f>
        <v>0.72000000000000064</v>
      </c>
      <c r="C586" s="9">
        <f>data!D587-data!D586</f>
        <v>0.3100000000000005</v>
      </c>
      <c r="D586" s="10">
        <f>data!B587-data!B586</f>
        <v>-1.5000000000000124E-2</v>
      </c>
      <c r="E586" s="9">
        <f>data!E586-data!G586</f>
        <v>1.9712000000000001</v>
      </c>
      <c r="F586" s="9">
        <f>(data!E586-data!F586)-(data!G586-data!H586)</f>
        <v>0.89690000000000003</v>
      </c>
      <c r="G586" s="9">
        <f t="shared" si="450"/>
        <v>2.6799999999999935E-2</v>
      </c>
      <c r="H586" s="9">
        <f t="shared" si="451"/>
        <v>-1.2800000000000145E-2</v>
      </c>
      <c r="I586" s="9">
        <f>IF(data!M587&gt; 111.81,1,0)</f>
        <v>0</v>
      </c>
      <c r="J586" s="9">
        <f t="shared" si="452"/>
        <v>1</v>
      </c>
      <c r="K586" s="9">
        <f t="shared" si="453"/>
        <v>0</v>
      </c>
      <c r="L586" s="9">
        <f t="shared" si="454"/>
        <v>1.3696000000000055</v>
      </c>
      <c r="M586" s="9">
        <f>data!J586</f>
        <v>-56.5</v>
      </c>
      <c r="N586" s="9">
        <f>data!I586</f>
        <v>-96.8</v>
      </c>
      <c r="O586" s="9">
        <f>data!L586</f>
        <v>-94.75</v>
      </c>
      <c r="P586" s="9">
        <f>data!K586</f>
        <v>-70</v>
      </c>
      <c r="Q586" s="9">
        <f>data!R586</f>
        <v>-61.125</v>
      </c>
      <c r="R586" s="9">
        <f t="shared" si="455"/>
        <v>2.5</v>
      </c>
      <c r="S586" s="9">
        <f t="shared" si="456"/>
        <v>-0.5</v>
      </c>
      <c r="T586" s="9">
        <f t="shared" si="457"/>
        <v>-1.75</v>
      </c>
      <c r="U586" s="9">
        <f t="shared" si="458"/>
        <v>-0.125</v>
      </c>
      <c r="V586" s="9">
        <f t="shared" si="459"/>
        <v>0.375</v>
      </c>
      <c r="W586" s="9">
        <f t="shared" si="460"/>
        <v>3.25</v>
      </c>
      <c r="X586" s="9">
        <f t="shared" si="461"/>
        <v>2</v>
      </c>
      <c r="Y586" s="9">
        <f t="shared" si="462"/>
        <v>-0.875</v>
      </c>
      <c r="Z586" s="9">
        <f t="shared" si="463"/>
        <v>-1.25</v>
      </c>
      <c r="AA586" s="9">
        <f t="shared" si="464"/>
        <v>2</v>
      </c>
      <c r="AB586" s="9">
        <f t="shared" si="465"/>
        <v>4.5</v>
      </c>
      <c r="AC586" s="9">
        <f t="shared" si="466"/>
        <v>5.2999999999999972</v>
      </c>
      <c r="AD586" s="9">
        <f t="shared" si="467"/>
        <v>5.2999999999999972</v>
      </c>
      <c r="AE586" s="9">
        <f t="shared" si="468"/>
        <v>9.0499999999999972</v>
      </c>
      <c r="AF586" s="9">
        <f t="shared" si="469"/>
        <v>13.049999999999997</v>
      </c>
      <c r="AG586" s="9">
        <f t="shared" si="470"/>
        <v>13.049999999999997</v>
      </c>
      <c r="AH586" s="9">
        <f t="shared" si="471"/>
        <v>9.0499999999999972</v>
      </c>
      <c r="AI586" s="9">
        <f t="shared" si="472"/>
        <v>7.5499999999999972</v>
      </c>
      <c r="AJ586" s="9">
        <f t="shared" si="473"/>
        <v>-2.25</v>
      </c>
      <c r="AK586" s="9">
        <f t="shared" si="474"/>
        <v>4.875</v>
      </c>
      <c r="AL586" s="9">
        <f t="shared" si="475"/>
        <v>4.6500000000000057</v>
      </c>
      <c r="AM586" s="9">
        <f t="shared" si="476"/>
        <v>4.625</v>
      </c>
      <c r="AN586" s="9">
        <f t="shared" si="477"/>
        <v>7.5</v>
      </c>
      <c r="AO586" s="9">
        <f t="shared" si="478"/>
        <v>11.25</v>
      </c>
      <c r="AP586" s="9">
        <f t="shared" si="479"/>
        <v>10.75</v>
      </c>
      <c r="AQ586" s="9">
        <f t="shared" si="480"/>
        <v>4.5</v>
      </c>
      <c r="AR586" s="9">
        <f t="shared" si="481"/>
        <v>3.5</v>
      </c>
      <c r="AS586" s="9">
        <f t="shared" si="482"/>
        <v>2.2000000000000028</v>
      </c>
      <c r="AT586" s="9">
        <f t="shared" si="483"/>
        <v>5</v>
      </c>
      <c r="AU586" s="9">
        <f t="shared" si="484"/>
        <v>7</v>
      </c>
      <c r="AV586" s="9">
        <f t="shared" si="485"/>
        <v>8.25</v>
      </c>
      <c r="AW586" s="9">
        <f t="shared" si="486"/>
        <v>13.75</v>
      </c>
      <c r="AX586" s="9">
        <f t="shared" si="487"/>
        <v>16.25</v>
      </c>
      <c r="AY586" s="9">
        <f t="shared" si="488"/>
        <v>14.875</v>
      </c>
      <c r="AZ586" s="9">
        <f t="shared" si="489"/>
        <v>8.125</v>
      </c>
      <c r="BA586" s="9">
        <f t="shared" si="490"/>
        <v>5.625</v>
      </c>
      <c r="BB586" s="9">
        <f t="shared" si="491"/>
        <v>-1.7749999999999986</v>
      </c>
      <c r="BC586" s="9">
        <f t="shared" si="492"/>
        <v>4.75</v>
      </c>
      <c r="BD586" s="9">
        <f t="shared" si="493"/>
        <v>6.3250000000000028</v>
      </c>
      <c r="BE586" s="9">
        <f t="shared" si="494"/>
        <v>7.625</v>
      </c>
      <c r="BF586" s="9">
        <f t="shared" si="495"/>
        <v>13.125</v>
      </c>
      <c r="BG586" s="9">
        <f t="shared" si="496"/>
        <v>16.625</v>
      </c>
      <c r="BH586" s="9">
        <f t="shared" si="497"/>
        <v>15</v>
      </c>
      <c r="BI586" s="9">
        <f t="shared" si="498"/>
        <v>8.625</v>
      </c>
      <c r="BJ586" s="9">
        <f t="shared" si="499"/>
        <v>6.125</v>
      </c>
    </row>
    <row r="587" spans="1:62" x14ac:dyDescent="0.2">
      <c r="A587" s="9">
        <f>data!M588-data!M587</f>
        <v>-1.4720999999999975</v>
      </c>
      <c r="B587" s="9">
        <f>data!C588-data!C587</f>
        <v>-1.6400000000000006</v>
      </c>
      <c r="C587" s="9">
        <f>data!D588-data!D587</f>
        <v>-0.57500000000000107</v>
      </c>
      <c r="D587" s="10">
        <f>data!B588-data!B587</f>
        <v>0.22999999999999998</v>
      </c>
      <c r="E587" s="9">
        <f>data!E587-data!G587</f>
        <v>1.998</v>
      </c>
      <c r="F587" s="9">
        <f>(data!E587-data!F587)-(data!G587-data!H587)</f>
        <v>0.88409999999999989</v>
      </c>
      <c r="G587" s="9">
        <f t="shared" si="450"/>
        <v>-0.16050000000000009</v>
      </c>
      <c r="H587" s="9">
        <f t="shared" si="451"/>
        <v>2.9999999999998916E-3</v>
      </c>
      <c r="I587" s="9">
        <f>IF(data!M588&gt; 111.81,1,0)</f>
        <v>0</v>
      </c>
      <c r="J587" s="9">
        <f t="shared" si="452"/>
        <v>1</v>
      </c>
      <c r="K587" s="9">
        <f t="shared" si="453"/>
        <v>0</v>
      </c>
      <c r="L587" s="9">
        <f t="shared" si="454"/>
        <v>-1.4720999999999975</v>
      </c>
      <c r="M587" s="9">
        <f>data!J587</f>
        <v>-54</v>
      </c>
      <c r="N587" s="9">
        <f>data!I587</f>
        <v>-94.8</v>
      </c>
      <c r="O587" s="9">
        <f>data!L587</f>
        <v>-97</v>
      </c>
      <c r="P587" s="9">
        <f>data!K587</f>
        <v>-67.8</v>
      </c>
      <c r="Q587" s="9">
        <f>data!R587</f>
        <v>-62.9</v>
      </c>
      <c r="R587" s="9">
        <f t="shared" si="455"/>
        <v>-3</v>
      </c>
      <c r="S587" s="9">
        <f t="shared" si="456"/>
        <v>-4.25</v>
      </c>
      <c r="T587" s="9">
        <f t="shared" si="457"/>
        <v>-2.625</v>
      </c>
      <c r="U587" s="9">
        <f t="shared" si="458"/>
        <v>-2.125</v>
      </c>
      <c r="V587" s="9">
        <f t="shared" si="459"/>
        <v>0.75</v>
      </c>
      <c r="W587" s="9">
        <f t="shared" si="460"/>
        <v>-0.5</v>
      </c>
      <c r="X587" s="9">
        <f t="shared" si="461"/>
        <v>-3.375</v>
      </c>
      <c r="Y587" s="9">
        <f t="shared" si="462"/>
        <v>-3.75</v>
      </c>
      <c r="Z587" s="9">
        <f t="shared" si="463"/>
        <v>-6.5</v>
      </c>
      <c r="AA587" s="9">
        <f t="shared" si="464"/>
        <v>2.5</v>
      </c>
      <c r="AB587" s="9">
        <f t="shared" si="465"/>
        <v>3.2999999999999972</v>
      </c>
      <c r="AC587" s="9">
        <f t="shared" si="466"/>
        <v>3.2999999999999972</v>
      </c>
      <c r="AD587" s="9">
        <f t="shared" si="467"/>
        <v>7.0499999999999972</v>
      </c>
      <c r="AE587" s="9">
        <f t="shared" si="468"/>
        <v>11.049999999999997</v>
      </c>
      <c r="AF587" s="9">
        <f t="shared" si="469"/>
        <v>11.049999999999997</v>
      </c>
      <c r="AG587" s="9">
        <f t="shared" si="470"/>
        <v>7.0499999999999972</v>
      </c>
      <c r="AH587" s="9">
        <f t="shared" si="471"/>
        <v>5.5499999999999972</v>
      </c>
      <c r="AI587" s="9">
        <f t="shared" si="472"/>
        <v>3.2999999999999972</v>
      </c>
      <c r="AJ587" s="9">
        <f t="shared" si="473"/>
        <v>7.125</v>
      </c>
      <c r="AK587" s="9">
        <f t="shared" si="474"/>
        <v>6.9000000000000057</v>
      </c>
      <c r="AL587" s="9">
        <f t="shared" si="475"/>
        <v>6.875</v>
      </c>
      <c r="AM587" s="9">
        <f t="shared" si="476"/>
        <v>9.75</v>
      </c>
      <c r="AN587" s="9">
        <f t="shared" si="477"/>
        <v>13.5</v>
      </c>
      <c r="AO587" s="9">
        <f t="shared" si="478"/>
        <v>13</v>
      </c>
      <c r="AP587" s="9">
        <f t="shared" si="479"/>
        <v>6.75</v>
      </c>
      <c r="AQ587" s="9">
        <f t="shared" si="480"/>
        <v>5.75</v>
      </c>
      <c r="AR587" s="9">
        <f t="shared" si="481"/>
        <v>3.375</v>
      </c>
      <c r="AS587" s="9">
        <f t="shared" si="482"/>
        <v>2.7999999999999972</v>
      </c>
      <c r="AT587" s="9">
        <f t="shared" si="483"/>
        <v>4.7999999999999972</v>
      </c>
      <c r="AU587" s="9">
        <f t="shared" si="484"/>
        <v>6.0499999999999972</v>
      </c>
      <c r="AV587" s="9">
        <f t="shared" si="485"/>
        <v>11.549999999999997</v>
      </c>
      <c r="AW587" s="9">
        <f t="shared" si="486"/>
        <v>14.049999999999997</v>
      </c>
      <c r="AX587" s="9">
        <f t="shared" si="487"/>
        <v>12.674999999999997</v>
      </c>
      <c r="AY587" s="9">
        <f t="shared" si="488"/>
        <v>5.9249999999999972</v>
      </c>
      <c r="AZ587" s="9">
        <f t="shared" si="489"/>
        <v>3.4249999999999972</v>
      </c>
      <c r="BA587" s="9">
        <f t="shared" si="490"/>
        <v>1.7999999999999972</v>
      </c>
      <c r="BB587" s="9">
        <f t="shared" si="491"/>
        <v>6.5249999999999986</v>
      </c>
      <c r="BC587" s="9">
        <f t="shared" si="492"/>
        <v>8.1000000000000014</v>
      </c>
      <c r="BD587" s="9">
        <f t="shared" si="493"/>
        <v>9.3999999999999986</v>
      </c>
      <c r="BE587" s="9">
        <f t="shared" si="494"/>
        <v>14.899999999999999</v>
      </c>
      <c r="BF587" s="9">
        <f t="shared" si="495"/>
        <v>18.399999999999999</v>
      </c>
      <c r="BG587" s="9">
        <f t="shared" si="496"/>
        <v>16.774999999999999</v>
      </c>
      <c r="BH587" s="9">
        <f t="shared" si="497"/>
        <v>10.399999999999999</v>
      </c>
      <c r="BI587" s="9">
        <f t="shared" si="498"/>
        <v>7.8999999999999986</v>
      </c>
      <c r="BJ587" s="9">
        <f t="shared" si="499"/>
        <v>6.3999999999999986</v>
      </c>
    </row>
    <row r="588" spans="1:62" x14ac:dyDescent="0.2">
      <c r="A588" s="9">
        <f>data!M589-data!M588</f>
        <v>0.12359999999999616</v>
      </c>
      <c r="B588" s="9">
        <f>data!C589-data!C588</f>
        <v>2.2599999999999998</v>
      </c>
      <c r="C588" s="9">
        <f>data!D589-data!D588</f>
        <v>1.7750000000000004</v>
      </c>
      <c r="D588" s="10">
        <f>data!B589-data!B588</f>
        <v>-0.24</v>
      </c>
      <c r="E588" s="9">
        <f>data!E588-data!G588</f>
        <v>1.8374999999999999</v>
      </c>
      <c r="F588" s="9">
        <f>(data!E588-data!F588)-(data!G588-data!H588)</f>
        <v>0.88709999999999978</v>
      </c>
      <c r="G588" s="9">
        <f t="shared" si="450"/>
        <v>-3.279999999999994E-2</v>
      </c>
      <c r="H588" s="9">
        <f t="shared" si="451"/>
        <v>-3.4399999999999764E-2</v>
      </c>
      <c r="I588" s="9">
        <f>IF(data!M589&gt; 111.81,1,0)</f>
        <v>0</v>
      </c>
      <c r="J588" s="9">
        <f t="shared" si="452"/>
        <v>1</v>
      </c>
      <c r="K588" s="9">
        <f t="shared" si="453"/>
        <v>0</v>
      </c>
      <c r="L588" s="9">
        <f t="shared" si="454"/>
        <v>0.12359999999999616</v>
      </c>
      <c r="M588" s="9">
        <f>data!J588</f>
        <v>-57</v>
      </c>
      <c r="N588" s="9">
        <f>data!I588</f>
        <v>-92.3</v>
      </c>
      <c r="O588" s="9">
        <f>data!L588</f>
        <v>-89.875</v>
      </c>
      <c r="P588" s="9">
        <f>data!K588</f>
        <v>-65</v>
      </c>
      <c r="Q588" s="9">
        <f>data!R588</f>
        <v>-56.375</v>
      </c>
      <c r="R588" s="9">
        <f t="shared" si="455"/>
        <v>-1.25</v>
      </c>
      <c r="S588" s="9">
        <f t="shared" si="456"/>
        <v>0.375</v>
      </c>
      <c r="T588" s="9">
        <f t="shared" si="457"/>
        <v>0.875</v>
      </c>
      <c r="U588" s="9">
        <f t="shared" si="458"/>
        <v>3.75</v>
      </c>
      <c r="V588" s="9">
        <f t="shared" si="459"/>
        <v>2.5</v>
      </c>
      <c r="W588" s="9">
        <f t="shared" si="460"/>
        <v>-0.375</v>
      </c>
      <c r="X588" s="9">
        <f t="shared" si="461"/>
        <v>-0.75</v>
      </c>
      <c r="Y588" s="9">
        <f t="shared" si="462"/>
        <v>-3.5</v>
      </c>
      <c r="Z588" s="9">
        <f t="shared" si="463"/>
        <v>-3.875</v>
      </c>
      <c r="AA588" s="9">
        <f t="shared" si="464"/>
        <v>0.79999999999999716</v>
      </c>
      <c r="AB588" s="9">
        <f t="shared" si="465"/>
        <v>0.79999999999999716</v>
      </c>
      <c r="AC588" s="9">
        <f t="shared" si="466"/>
        <v>4.5499999999999972</v>
      </c>
      <c r="AD588" s="9">
        <f t="shared" si="467"/>
        <v>8.5499999999999972</v>
      </c>
      <c r="AE588" s="9">
        <f t="shared" si="468"/>
        <v>8.5499999999999972</v>
      </c>
      <c r="AF588" s="9">
        <f t="shared" si="469"/>
        <v>4.5499999999999972</v>
      </c>
      <c r="AG588" s="9">
        <f t="shared" si="470"/>
        <v>3.0499999999999972</v>
      </c>
      <c r="AH588" s="9">
        <f t="shared" si="471"/>
        <v>0.79999999999999716</v>
      </c>
      <c r="AI588" s="9">
        <f t="shared" si="472"/>
        <v>1.7999999999999972</v>
      </c>
      <c r="AJ588" s="9">
        <f t="shared" si="473"/>
        <v>-0.22499999999999432</v>
      </c>
      <c r="AK588" s="9">
        <f t="shared" si="474"/>
        <v>-0.25</v>
      </c>
      <c r="AL588" s="9">
        <f t="shared" si="475"/>
        <v>2.625</v>
      </c>
      <c r="AM588" s="9">
        <f t="shared" si="476"/>
        <v>6.375</v>
      </c>
      <c r="AN588" s="9">
        <f t="shared" si="477"/>
        <v>5.875</v>
      </c>
      <c r="AO588" s="9">
        <f t="shared" si="478"/>
        <v>-0.375</v>
      </c>
      <c r="AP588" s="9">
        <f t="shared" si="479"/>
        <v>-1.375</v>
      </c>
      <c r="AQ588" s="9">
        <f t="shared" si="480"/>
        <v>-3.75</v>
      </c>
      <c r="AR588" s="9">
        <f t="shared" si="481"/>
        <v>-3.375</v>
      </c>
      <c r="AS588" s="9">
        <f t="shared" si="482"/>
        <v>2</v>
      </c>
      <c r="AT588" s="9">
        <f t="shared" si="483"/>
        <v>3.25</v>
      </c>
      <c r="AU588" s="9">
        <f t="shared" si="484"/>
        <v>8.75</v>
      </c>
      <c r="AV588" s="9">
        <f t="shared" si="485"/>
        <v>11.25</v>
      </c>
      <c r="AW588" s="9">
        <f t="shared" si="486"/>
        <v>9.875</v>
      </c>
      <c r="AX588" s="9">
        <f t="shared" si="487"/>
        <v>3.125</v>
      </c>
      <c r="AY588" s="9">
        <f t="shared" si="488"/>
        <v>0.625</v>
      </c>
      <c r="AZ588" s="9">
        <f t="shared" si="489"/>
        <v>-1</v>
      </c>
      <c r="BA588" s="9">
        <f t="shared" si="490"/>
        <v>-0.75</v>
      </c>
      <c r="BB588" s="9">
        <f t="shared" si="491"/>
        <v>1.5750000000000028</v>
      </c>
      <c r="BC588" s="9">
        <f t="shared" si="492"/>
        <v>2.875</v>
      </c>
      <c r="BD588" s="9">
        <f t="shared" si="493"/>
        <v>8.375</v>
      </c>
      <c r="BE588" s="9">
        <f t="shared" si="494"/>
        <v>11.875</v>
      </c>
      <c r="BF588" s="9">
        <f t="shared" si="495"/>
        <v>10.25</v>
      </c>
      <c r="BG588" s="9">
        <f t="shared" si="496"/>
        <v>3.875</v>
      </c>
      <c r="BH588" s="9">
        <f t="shared" si="497"/>
        <v>1.375</v>
      </c>
      <c r="BI588" s="9">
        <f t="shared" si="498"/>
        <v>-0.125</v>
      </c>
      <c r="BJ588" s="9">
        <f t="shared" si="499"/>
        <v>0.125</v>
      </c>
    </row>
    <row r="589" spans="1:62" x14ac:dyDescent="0.2">
      <c r="A589" s="9">
        <f>data!M590-data!M589</f>
        <v>-0.22800000000000864</v>
      </c>
      <c r="B589" s="9">
        <f>data!C590-data!C589</f>
        <v>-1.7400000000000002</v>
      </c>
      <c r="C589" s="9">
        <f>data!D590-data!D589</f>
        <v>-0.42999999999999972</v>
      </c>
      <c r="D589" s="10">
        <f>data!B590-data!B589</f>
        <v>7.0000000000000062E-2</v>
      </c>
      <c r="E589" s="9">
        <f>data!E589-data!G589</f>
        <v>1.8047</v>
      </c>
      <c r="F589" s="9">
        <f>(data!E589-data!F589)-(data!G589-data!H589)</f>
        <v>0.85270000000000001</v>
      </c>
      <c r="G589" s="9">
        <f t="shared" si="450"/>
        <v>7.0100000000000051E-2</v>
      </c>
      <c r="H589" s="9">
        <f t="shared" si="451"/>
        <v>3.5599999999999965E-2</v>
      </c>
      <c r="I589" s="9">
        <f>IF(data!M590&gt; 111.81,1,0)</f>
        <v>0</v>
      </c>
      <c r="J589" s="9">
        <f t="shared" si="452"/>
        <v>1</v>
      </c>
      <c r="K589" s="9">
        <f t="shared" si="453"/>
        <v>0</v>
      </c>
      <c r="L589" s="9">
        <f t="shared" si="454"/>
        <v>-0.22800000000000864</v>
      </c>
      <c r="M589" s="9">
        <f>data!J589</f>
        <v>-58.25</v>
      </c>
      <c r="N589" s="9">
        <f>data!I589</f>
        <v>-91.5</v>
      </c>
      <c r="O589" s="9">
        <f>data!L589</f>
        <v>-90.1</v>
      </c>
      <c r="P589" s="9">
        <f>data!K589</f>
        <v>-63</v>
      </c>
      <c r="Q589" s="9">
        <f>data!R589</f>
        <v>-54.8</v>
      </c>
      <c r="R589" s="9">
        <f t="shared" si="455"/>
        <v>1.625</v>
      </c>
      <c r="S589" s="9">
        <f t="shared" si="456"/>
        <v>2.125</v>
      </c>
      <c r="T589" s="9">
        <f t="shared" si="457"/>
        <v>5</v>
      </c>
      <c r="U589" s="9">
        <f t="shared" si="458"/>
        <v>3.75</v>
      </c>
      <c r="V589" s="9">
        <f t="shared" si="459"/>
        <v>0.875</v>
      </c>
      <c r="W589" s="9">
        <f t="shared" si="460"/>
        <v>0.5</v>
      </c>
      <c r="X589" s="9">
        <f t="shared" si="461"/>
        <v>-2.25</v>
      </c>
      <c r="Y589" s="9">
        <f t="shared" si="462"/>
        <v>-2.625</v>
      </c>
      <c r="Z589" s="9">
        <f t="shared" si="463"/>
        <v>-5.5</v>
      </c>
      <c r="AA589" s="9">
        <f t="shared" si="464"/>
        <v>0</v>
      </c>
      <c r="AB589" s="9">
        <f t="shared" si="465"/>
        <v>3.75</v>
      </c>
      <c r="AC589" s="9">
        <f t="shared" si="466"/>
        <v>7.75</v>
      </c>
      <c r="AD589" s="9">
        <f t="shared" si="467"/>
        <v>7.75</v>
      </c>
      <c r="AE589" s="9">
        <f t="shared" si="468"/>
        <v>3.75</v>
      </c>
      <c r="AF589" s="9">
        <f t="shared" si="469"/>
        <v>2.25</v>
      </c>
      <c r="AG589" s="9">
        <f t="shared" si="470"/>
        <v>0</v>
      </c>
      <c r="AH589" s="9">
        <f t="shared" si="471"/>
        <v>1</v>
      </c>
      <c r="AI589" s="9">
        <f t="shared" si="472"/>
        <v>-2.5</v>
      </c>
      <c r="AJ589" s="9">
        <f t="shared" si="473"/>
        <v>-2.5000000000005684E-2</v>
      </c>
      <c r="AK589" s="9">
        <f t="shared" si="474"/>
        <v>2.8499999999999943</v>
      </c>
      <c r="AL589" s="9">
        <f t="shared" si="475"/>
        <v>6.5999999999999943</v>
      </c>
      <c r="AM589" s="9">
        <f t="shared" si="476"/>
        <v>6.0999999999999943</v>
      </c>
      <c r="AN589" s="9">
        <f t="shared" si="477"/>
        <v>-0.15000000000000568</v>
      </c>
      <c r="AO589" s="9">
        <f t="shared" si="478"/>
        <v>-1.1500000000000057</v>
      </c>
      <c r="AP589" s="9">
        <f t="shared" si="479"/>
        <v>-3.5250000000000057</v>
      </c>
      <c r="AQ589" s="9">
        <f t="shared" si="480"/>
        <v>-3.1500000000000057</v>
      </c>
      <c r="AR589" s="9">
        <f t="shared" si="481"/>
        <v>-7.5250000000000057</v>
      </c>
      <c r="AS589" s="9">
        <f t="shared" si="482"/>
        <v>1.25</v>
      </c>
      <c r="AT589" s="9">
        <f t="shared" si="483"/>
        <v>6.75</v>
      </c>
      <c r="AU589" s="9">
        <f t="shared" si="484"/>
        <v>9.25</v>
      </c>
      <c r="AV589" s="9">
        <f t="shared" si="485"/>
        <v>7.875</v>
      </c>
      <c r="AW589" s="9">
        <f t="shared" si="486"/>
        <v>1.125</v>
      </c>
      <c r="AX589" s="9">
        <f t="shared" si="487"/>
        <v>-1.375</v>
      </c>
      <c r="AY589" s="9">
        <f t="shared" si="488"/>
        <v>-3</v>
      </c>
      <c r="AZ589" s="9">
        <f t="shared" si="489"/>
        <v>-2.75</v>
      </c>
      <c r="BA589" s="9">
        <f t="shared" si="490"/>
        <v>-7.375</v>
      </c>
      <c r="BB589" s="9">
        <f t="shared" si="491"/>
        <v>1.2999999999999972</v>
      </c>
      <c r="BC589" s="9">
        <f t="shared" si="492"/>
        <v>6.7999999999999972</v>
      </c>
      <c r="BD589" s="9">
        <f t="shared" si="493"/>
        <v>10.299999999999997</v>
      </c>
      <c r="BE589" s="9">
        <f t="shared" si="494"/>
        <v>8.6749999999999972</v>
      </c>
      <c r="BF589" s="9">
        <f t="shared" si="495"/>
        <v>2.2999999999999972</v>
      </c>
      <c r="BG589" s="9">
        <f t="shared" si="496"/>
        <v>-0.20000000000000284</v>
      </c>
      <c r="BH589" s="9">
        <f t="shared" si="497"/>
        <v>-1.7000000000000028</v>
      </c>
      <c r="BI589" s="9">
        <f t="shared" si="498"/>
        <v>-1.4500000000000028</v>
      </c>
      <c r="BJ589" s="9">
        <f t="shared" si="499"/>
        <v>-5.9500000000000028</v>
      </c>
    </row>
    <row r="590" spans="1:62" x14ac:dyDescent="0.2">
      <c r="A590" s="9">
        <f>data!M591-data!M590</f>
        <v>3.9799999999999613E-2</v>
      </c>
      <c r="B590" s="9">
        <f>data!C591-data!C590</f>
        <v>-0.39999999999999858</v>
      </c>
      <c r="C590" s="9">
        <f>data!D591-data!D590</f>
        <v>1.9999999999999574E-2</v>
      </c>
      <c r="D590" s="10">
        <f>data!B591-data!B590</f>
        <v>-0.12999999999999989</v>
      </c>
      <c r="E590" s="9">
        <f>data!E590-data!G590</f>
        <v>1.8748</v>
      </c>
      <c r="F590" s="9">
        <f>(data!E590-data!F590)-(data!G590-data!H590)</f>
        <v>0.88829999999999998</v>
      </c>
      <c r="G590" s="9">
        <f t="shared" si="450"/>
        <v>0.12800000000000011</v>
      </c>
      <c r="H590" s="9">
        <f t="shared" si="451"/>
        <v>1.0699999999999821E-2</v>
      </c>
      <c r="I590" s="9">
        <f>IF(data!M591&gt; 111.81,1,0)</f>
        <v>0</v>
      </c>
      <c r="J590" s="9">
        <f t="shared" si="452"/>
        <v>1</v>
      </c>
      <c r="K590" s="9">
        <f t="shared" si="453"/>
        <v>0</v>
      </c>
      <c r="L590" s="9">
        <f t="shared" si="454"/>
        <v>3.9799999999999613E-2</v>
      </c>
      <c r="M590" s="9">
        <f>data!J590</f>
        <v>-56.625</v>
      </c>
      <c r="N590" s="9">
        <f>data!I590</f>
        <v>-91.5</v>
      </c>
      <c r="O590" s="9">
        <f>data!L590</f>
        <v>-90.125</v>
      </c>
      <c r="P590" s="9">
        <f>data!K590</f>
        <v>-61.75</v>
      </c>
      <c r="Q590" s="9">
        <f>data!R590</f>
        <v>-53.5</v>
      </c>
      <c r="R590" s="9">
        <f t="shared" si="455"/>
        <v>0.5</v>
      </c>
      <c r="S590" s="9">
        <f t="shared" si="456"/>
        <v>3.375</v>
      </c>
      <c r="T590" s="9">
        <f t="shared" si="457"/>
        <v>2.125</v>
      </c>
      <c r="U590" s="9">
        <f t="shared" si="458"/>
        <v>-0.75</v>
      </c>
      <c r="V590" s="9">
        <f t="shared" si="459"/>
        <v>-1.125</v>
      </c>
      <c r="W590" s="9">
        <f t="shared" si="460"/>
        <v>-3.875</v>
      </c>
      <c r="X590" s="9">
        <f t="shared" si="461"/>
        <v>-4.25</v>
      </c>
      <c r="Y590" s="9">
        <f t="shared" si="462"/>
        <v>-7.125</v>
      </c>
      <c r="Z590" s="9">
        <f t="shared" si="463"/>
        <v>-7.625</v>
      </c>
      <c r="AA590" s="9">
        <f t="shared" si="464"/>
        <v>3.75</v>
      </c>
      <c r="AB590" s="9">
        <f t="shared" si="465"/>
        <v>7.75</v>
      </c>
      <c r="AC590" s="9">
        <f t="shared" si="466"/>
        <v>7.75</v>
      </c>
      <c r="AD590" s="9">
        <f t="shared" si="467"/>
        <v>3.75</v>
      </c>
      <c r="AE590" s="9">
        <f t="shared" si="468"/>
        <v>2.25</v>
      </c>
      <c r="AF590" s="9">
        <f t="shared" si="469"/>
        <v>0</v>
      </c>
      <c r="AG590" s="9">
        <f t="shared" si="470"/>
        <v>1</v>
      </c>
      <c r="AH590" s="9">
        <f t="shared" si="471"/>
        <v>-2.5</v>
      </c>
      <c r="AI590" s="9">
        <f t="shared" si="472"/>
        <v>-0.25</v>
      </c>
      <c r="AJ590" s="9">
        <f t="shared" si="473"/>
        <v>2.875</v>
      </c>
      <c r="AK590" s="9">
        <f t="shared" si="474"/>
        <v>6.625</v>
      </c>
      <c r="AL590" s="9">
        <f t="shared" si="475"/>
        <v>6.125</v>
      </c>
      <c r="AM590" s="9">
        <f t="shared" si="476"/>
        <v>-0.125</v>
      </c>
      <c r="AN590" s="9">
        <f t="shared" si="477"/>
        <v>-1.125</v>
      </c>
      <c r="AO590" s="9">
        <f t="shared" si="478"/>
        <v>-3.5</v>
      </c>
      <c r="AP590" s="9">
        <f t="shared" si="479"/>
        <v>-3.125</v>
      </c>
      <c r="AQ590" s="9">
        <f t="shared" si="480"/>
        <v>-7.5</v>
      </c>
      <c r="AR590" s="9">
        <f t="shared" si="481"/>
        <v>-4.625</v>
      </c>
      <c r="AS590" s="9">
        <f t="shared" si="482"/>
        <v>5.5</v>
      </c>
      <c r="AT590" s="9">
        <f t="shared" si="483"/>
        <v>8</v>
      </c>
      <c r="AU590" s="9">
        <f t="shared" si="484"/>
        <v>6.625</v>
      </c>
      <c r="AV590" s="9">
        <f t="shared" si="485"/>
        <v>-0.125</v>
      </c>
      <c r="AW590" s="9">
        <f t="shared" si="486"/>
        <v>-2.625</v>
      </c>
      <c r="AX590" s="9">
        <f t="shared" si="487"/>
        <v>-4.25</v>
      </c>
      <c r="AY590" s="9">
        <f t="shared" si="488"/>
        <v>-4</v>
      </c>
      <c r="AZ590" s="9">
        <f t="shared" si="489"/>
        <v>-8.625</v>
      </c>
      <c r="BA590" s="9">
        <f t="shared" si="490"/>
        <v>-6.125</v>
      </c>
      <c r="BB590" s="9">
        <f t="shared" si="491"/>
        <v>5.5</v>
      </c>
      <c r="BC590" s="9">
        <f t="shared" si="492"/>
        <v>9</v>
      </c>
      <c r="BD590" s="9">
        <f t="shared" si="493"/>
        <v>7.375</v>
      </c>
      <c r="BE590" s="9">
        <f t="shared" si="494"/>
        <v>1</v>
      </c>
      <c r="BF590" s="9">
        <f t="shared" si="495"/>
        <v>-1.5</v>
      </c>
      <c r="BG590" s="9">
        <f t="shared" si="496"/>
        <v>-3</v>
      </c>
      <c r="BH590" s="9">
        <f t="shared" si="497"/>
        <v>-2.75</v>
      </c>
      <c r="BI590" s="9">
        <f t="shared" si="498"/>
        <v>-7.25</v>
      </c>
      <c r="BJ590" s="9">
        <f t="shared" si="499"/>
        <v>-4.5</v>
      </c>
    </row>
    <row r="591" spans="1:62" x14ac:dyDescent="0.2">
      <c r="A591" s="9">
        <f>data!M592-data!M591</f>
        <v>-1.405699999999996</v>
      </c>
      <c r="B591" s="9">
        <f>data!C592-data!C591</f>
        <v>2.4799999999999986</v>
      </c>
      <c r="C591" s="9">
        <f>data!D592-data!D591</f>
        <v>0.51999999999999957</v>
      </c>
      <c r="D591" s="10">
        <f>data!B592-data!B591</f>
        <v>-0.10750000000000015</v>
      </c>
      <c r="E591" s="9">
        <f>data!E591-data!G591</f>
        <v>2.0028000000000001</v>
      </c>
      <c r="F591" s="9">
        <f>(data!E591-data!F591)-(data!G591-data!H591)</f>
        <v>0.8989999999999998</v>
      </c>
      <c r="G591" s="9">
        <f t="shared" si="450"/>
        <v>-8.6500000000000243E-2</v>
      </c>
      <c r="H591" s="9">
        <f t="shared" si="451"/>
        <v>-5.2999999999998604E-3</v>
      </c>
      <c r="I591" s="9">
        <f>IF(data!M592&gt; 111.81,1,0)</f>
        <v>0</v>
      </c>
      <c r="J591" s="9">
        <f t="shared" si="452"/>
        <v>1</v>
      </c>
      <c r="K591" s="9">
        <f t="shared" si="453"/>
        <v>0</v>
      </c>
      <c r="L591" s="9">
        <f t="shared" si="454"/>
        <v>-1.405699999999996</v>
      </c>
      <c r="M591" s="9">
        <f>data!J591</f>
        <v>-56.125</v>
      </c>
      <c r="N591" s="9">
        <f>data!I591</f>
        <v>-87.75</v>
      </c>
      <c r="O591" s="9">
        <f>data!L591</f>
        <v>-87.25</v>
      </c>
      <c r="P591" s="9">
        <f>data!K591</f>
        <v>-56.25</v>
      </c>
      <c r="Q591" s="9">
        <f>data!R591</f>
        <v>-48</v>
      </c>
      <c r="R591" s="9">
        <f t="shared" si="455"/>
        <v>2.875</v>
      </c>
      <c r="S591" s="9">
        <f t="shared" si="456"/>
        <v>1.625</v>
      </c>
      <c r="T591" s="9">
        <f t="shared" si="457"/>
        <v>-1.25</v>
      </c>
      <c r="U591" s="9">
        <f t="shared" si="458"/>
        <v>-1.625</v>
      </c>
      <c r="V591" s="9">
        <f t="shared" si="459"/>
        <v>-4.375</v>
      </c>
      <c r="W591" s="9">
        <f t="shared" si="460"/>
        <v>-4.75</v>
      </c>
      <c r="X591" s="9">
        <f t="shared" si="461"/>
        <v>-7.625</v>
      </c>
      <c r="Y591" s="9">
        <f t="shared" si="462"/>
        <v>-8.125</v>
      </c>
      <c r="Z591" s="9">
        <f t="shared" si="463"/>
        <v>-9.875</v>
      </c>
      <c r="AA591" s="9">
        <f t="shared" si="464"/>
        <v>4</v>
      </c>
      <c r="AB591" s="9">
        <f t="shared" si="465"/>
        <v>4</v>
      </c>
      <c r="AC591" s="9">
        <f t="shared" si="466"/>
        <v>0</v>
      </c>
      <c r="AD591" s="9">
        <f t="shared" si="467"/>
        <v>-1.5</v>
      </c>
      <c r="AE591" s="9">
        <f t="shared" si="468"/>
        <v>-3.75</v>
      </c>
      <c r="AF591" s="9">
        <f t="shared" si="469"/>
        <v>-2.75</v>
      </c>
      <c r="AG591" s="9">
        <f t="shared" si="470"/>
        <v>-6.25</v>
      </c>
      <c r="AH591" s="9">
        <f t="shared" si="471"/>
        <v>-4</v>
      </c>
      <c r="AI591" s="9">
        <f t="shared" si="472"/>
        <v>0.25</v>
      </c>
      <c r="AJ591" s="9">
        <f t="shared" si="473"/>
        <v>3.75</v>
      </c>
      <c r="AK591" s="9">
        <f t="shared" si="474"/>
        <v>3.25</v>
      </c>
      <c r="AL591" s="9">
        <f t="shared" si="475"/>
        <v>-3</v>
      </c>
      <c r="AM591" s="9">
        <f t="shared" si="476"/>
        <v>-4</v>
      </c>
      <c r="AN591" s="9">
        <f t="shared" si="477"/>
        <v>-6.375</v>
      </c>
      <c r="AO591" s="9">
        <f t="shared" si="478"/>
        <v>-6</v>
      </c>
      <c r="AP591" s="9">
        <f t="shared" si="479"/>
        <v>-10.375</v>
      </c>
      <c r="AQ591" s="9">
        <f t="shared" si="480"/>
        <v>-7.5</v>
      </c>
      <c r="AR591" s="9">
        <f t="shared" si="481"/>
        <v>-1.75</v>
      </c>
      <c r="AS591" s="9">
        <f t="shared" si="482"/>
        <v>2.5</v>
      </c>
      <c r="AT591" s="9">
        <f t="shared" si="483"/>
        <v>1.125</v>
      </c>
      <c r="AU591" s="9">
        <f t="shared" si="484"/>
        <v>-5.625</v>
      </c>
      <c r="AV591" s="9">
        <f t="shared" si="485"/>
        <v>-8.125</v>
      </c>
      <c r="AW591" s="9">
        <f t="shared" si="486"/>
        <v>-9.75</v>
      </c>
      <c r="AX591" s="9">
        <f t="shared" si="487"/>
        <v>-9.5</v>
      </c>
      <c r="AY591" s="9">
        <f t="shared" si="488"/>
        <v>-14.125</v>
      </c>
      <c r="AZ591" s="9">
        <f t="shared" si="489"/>
        <v>-11.625</v>
      </c>
      <c r="BA591" s="9">
        <f t="shared" si="490"/>
        <v>-4.5</v>
      </c>
      <c r="BB591" s="9">
        <f t="shared" si="491"/>
        <v>3.5</v>
      </c>
      <c r="BC591" s="9">
        <f t="shared" si="492"/>
        <v>1.875</v>
      </c>
      <c r="BD591" s="9">
        <f t="shared" si="493"/>
        <v>-4.5</v>
      </c>
      <c r="BE591" s="9">
        <f t="shared" si="494"/>
        <v>-7</v>
      </c>
      <c r="BF591" s="9">
        <f t="shared" si="495"/>
        <v>-8.5</v>
      </c>
      <c r="BG591" s="9">
        <f t="shared" si="496"/>
        <v>-8.25</v>
      </c>
      <c r="BH591" s="9">
        <f t="shared" si="497"/>
        <v>-12.75</v>
      </c>
      <c r="BI591" s="9">
        <f t="shared" si="498"/>
        <v>-10</v>
      </c>
      <c r="BJ591" s="9">
        <f t="shared" si="499"/>
        <v>-2.125</v>
      </c>
    </row>
    <row r="592" spans="1:62" x14ac:dyDescent="0.2">
      <c r="A592" s="9">
        <f>data!M593-data!M592</f>
        <v>1.5527000000000015</v>
      </c>
      <c r="B592" s="9">
        <f>data!C593-data!C592</f>
        <v>-0.97999999999999865</v>
      </c>
      <c r="C592" s="9">
        <f>data!D593-data!D592</f>
        <v>-0.22499999999999964</v>
      </c>
      <c r="D592" s="10">
        <f>data!B593-data!B592</f>
        <v>-0.16249999999999987</v>
      </c>
      <c r="E592" s="9">
        <f>data!E592-data!G592</f>
        <v>1.9162999999999999</v>
      </c>
      <c r="F592" s="9">
        <f>(data!E592-data!F592)-(data!G592-data!H592)</f>
        <v>0.89369999999999994</v>
      </c>
      <c r="G592" s="9">
        <f t="shared" si="450"/>
        <v>-1.4399999999999968E-2</v>
      </c>
      <c r="H592" s="9">
        <f t="shared" si="451"/>
        <v>2.1199999999999997E-2</v>
      </c>
      <c r="I592" s="9">
        <f>IF(data!M593&gt; 111.81,1,0)</f>
        <v>0</v>
      </c>
      <c r="J592" s="9">
        <f t="shared" si="452"/>
        <v>1</v>
      </c>
      <c r="K592" s="9">
        <f t="shared" si="453"/>
        <v>0</v>
      </c>
      <c r="L592" s="9">
        <f t="shared" si="454"/>
        <v>1.5527000000000015</v>
      </c>
      <c r="M592" s="9">
        <f>data!J592</f>
        <v>-53.25</v>
      </c>
      <c r="N592" s="9">
        <f>data!I592</f>
        <v>-83.75</v>
      </c>
      <c r="O592" s="9">
        <f>data!L592</f>
        <v>-83.5</v>
      </c>
      <c r="P592" s="9">
        <f>data!K592</f>
        <v>-53.75</v>
      </c>
      <c r="Q592" s="9">
        <f>data!R592</f>
        <v>-44.5</v>
      </c>
      <c r="R592" s="9">
        <f t="shared" si="455"/>
        <v>-1.25</v>
      </c>
      <c r="S592" s="9">
        <f t="shared" si="456"/>
        <v>-4.125</v>
      </c>
      <c r="T592" s="9">
        <f t="shared" si="457"/>
        <v>-4.5</v>
      </c>
      <c r="U592" s="9">
        <f t="shared" si="458"/>
        <v>-7.25</v>
      </c>
      <c r="V592" s="9">
        <f t="shared" si="459"/>
        <v>-7.625</v>
      </c>
      <c r="W592" s="9">
        <f t="shared" si="460"/>
        <v>-10.5</v>
      </c>
      <c r="X592" s="9">
        <f t="shared" si="461"/>
        <v>-11</v>
      </c>
      <c r="Y592" s="9">
        <f t="shared" si="462"/>
        <v>-12.75</v>
      </c>
      <c r="Z592" s="9">
        <f t="shared" si="463"/>
        <v>-12.5</v>
      </c>
      <c r="AA592" s="9">
        <f t="shared" si="464"/>
        <v>0</v>
      </c>
      <c r="AB592" s="9">
        <f t="shared" si="465"/>
        <v>-4</v>
      </c>
      <c r="AC592" s="9">
        <f t="shared" si="466"/>
        <v>-5.5</v>
      </c>
      <c r="AD592" s="9">
        <f t="shared" si="467"/>
        <v>-7.75</v>
      </c>
      <c r="AE592" s="9">
        <f t="shared" si="468"/>
        <v>-6.75</v>
      </c>
      <c r="AF592" s="9">
        <f t="shared" si="469"/>
        <v>-10.25</v>
      </c>
      <c r="AG592" s="9">
        <f t="shared" si="470"/>
        <v>-8</v>
      </c>
      <c r="AH592" s="9">
        <f t="shared" si="471"/>
        <v>-3.75</v>
      </c>
      <c r="AI592" s="9">
        <f t="shared" si="472"/>
        <v>-5.25</v>
      </c>
      <c r="AJ592" s="9">
        <f t="shared" si="473"/>
        <v>-0.5</v>
      </c>
      <c r="AK592" s="9">
        <f t="shared" si="474"/>
        <v>-6.75</v>
      </c>
      <c r="AL592" s="9">
        <f t="shared" si="475"/>
        <v>-7.75</v>
      </c>
      <c r="AM592" s="9">
        <f t="shared" si="476"/>
        <v>-10.125</v>
      </c>
      <c r="AN592" s="9">
        <f t="shared" si="477"/>
        <v>-9.75</v>
      </c>
      <c r="AO592" s="9">
        <f t="shared" si="478"/>
        <v>-14.125</v>
      </c>
      <c r="AP592" s="9">
        <f t="shared" si="479"/>
        <v>-11.25</v>
      </c>
      <c r="AQ592" s="9">
        <f t="shared" si="480"/>
        <v>-5.5</v>
      </c>
      <c r="AR592" s="9">
        <f t="shared" si="481"/>
        <v>-4.375</v>
      </c>
      <c r="AS592" s="9">
        <f t="shared" si="482"/>
        <v>-1.375</v>
      </c>
      <c r="AT592" s="9">
        <f t="shared" si="483"/>
        <v>-8.125</v>
      </c>
      <c r="AU592" s="9">
        <f t="shared" si="484"/>
        <v>-10.625</v>
      </c>
      <c r="AV592" s="9">
        <f t="shared" si="485"/>
        <v>-12.25</v>
      </c>
      <c r="AW592" s="9">
        <f t="shared" si="486"/>
        <v>-12</v>
      </c>
      <c r="AX592" s="9">
        <f t="shared" si="487"/>
        <v>-16.625</v>
      </c>
      <c r="AY592" s="9">
        <f t="shared" si="488"/>
        <v>-14.125</v>
      </c>
      <c r="AZ592" s="9">
        <f t="shared" si="489"/>
        <v>-7</v>
      </c>
      <c r="BA592" s="9">
        <f t="shared" si="490"/>
        <v>-4.0499999999999972</v>
      </c>
      <c r="BB592" s="9">
        <f t="shared" si="491"/>
        <v>-1.625</v>
      </c>
      <c r="BC592" s="9">
        <f t="shared" si="492"/>
        <v>-8</v>
      </c>
      <c r="BD592" s="9">
        <f t="shared" si="493"/>
        <v>-10.5</v>
      </c>
      <c r="BE592" s="9">
        <f t="shared" si="494"/>
        <v>-12</v>
      </c>
      <c r="BF592" s="9">
        <f t="shared" si="495"/>
        <v>-11.75</v>
      </c>
      <c r="BG592" s="9">
        <f t="shared" si="496"/>
        <v>-16.25</v>
      </c>
      <c r="BH592" s="9">
        <f t="shared" si="497"/>
        <v>-13.5</v>
      </c>
      <c r="BI592" s="9">
        <f t="shared" si="498"/>
        <v>-5.625</v>
      </c>
      <c r="BJ592" s="9">
        <f t="shared" si="499"/>
        <v>-4.2999999999999972</v>
      </c>
    </row>
    <row r="593" spans="1:62" x14ac:dyDescent="0.2">
      <c r="A593" s="9">
        <f>data!M594-data!M593</f>
        <v>0.87199999999999989</v>
      </c>
      <c r="B593" s="9">
        <f>data!C594-data!C593</f>
        <v>0.31999999999999851</v>
      </c>
      <c r="C593" s="9">
        <f>data!D594-data!D593</f>
        <v>-9.9999999999997868E-3</v>
      </c>
      <c r="D593" s="10">
        <f>data!B594-data!B593</f>
        <v>-4.2499999999999982E-2</v>
      </c>
      <c r="E593" s="9">
        <f>data!E593-data!G593</f>
        <v>1.9018999999999999</v>
      </c>
      <c r="F593" s="9">
        <f>(data!E593-data!F593)-(data!G593-data!H593)</f>
        <v>0.91489999999999994</v>
      </c>
      <c r="G593" s="9">
        <f t="shared" si="450"/>
        <v>-8.7799999999999878E-2</v>
      </c>
      <c r="H593" s="9">
        <f t="shared" si="451"/>
        <v>-0.10170000000000001</v>
      </c>
      <c r="I593" s="9">
        <f>IF(data!M594&gt; 111.81,1,0)</f>
        <v>0</v>
      </c>
      <c r="J593" s="9">
        <f t="shared" si="452"/>
        <v>1</v>
      </c>
      <c r="K593" s="9">
        <f t="shared" si="453"/>
        <v>0</v>
      </c>
      <c r="L593" s="9">
        <f t="shared" si="454"/>
        <v>0.87199999999999989</v>
      </c>
      <c r="M593" s="9">
        <f>data!J593</f>
        <v>-54.5</v>
      </c>
      <c r="N593" s="9">
        <f>data!I593</f>
        <v>-83.75</v>
      </c>
      <c r="O593" s="9">
        <f>data!L593</f>
        <v>-84</v>
      </c>
      <c r="P593" s="9">
        <f>data!K593</f>
        <v>-55.125</v>
      </c>
      <c r="Q593" s="9">
        <f>data!R593</f>
        <v>-46.125</v>
      </c>
      <c r="R593" s="9">
        <f t="shared" si="455"/>
        <v>-2.875</v>
      </c>
      <c r="S593" s="9">
        <f t="shared" si="456"/>
        <v>-3.25</v>
      </c>
      <c r="T593" s="9">
        <f t="shared" si="457"/>
        <v>-6</v>
      </c>
      <c r="U593" s="9">
        <f t="shared" si="458"/>
        <v>-6.375</v>
      </c>
      <c r="V593" s="9">
        <f t="shared" si="459"/>
        <v>-9.25</v>
      </c>
      <c r="W593" s="9">
        <f t="shared" si="460"/>
        <v>-9.75</v>
      </c>
      <c r="X593" s="9">
        <f t="shared" si="461"/>
        <v>-11.5</v>
      </c>
      <c r="Y593" s="9">
        <f t="shared" si="462"/>
        <v>-11.25</v>
      </c>
      <c r="Z593" s="9">
        <f t="shared" si="463"/>
        <v>-15.375</v>
      </c>
      <c r="AA593" s="9">
        <f t="shared" si="464"/>
        <v>-4</v>
      </c>
      <c r="AB593" s="9">
        <f t="shared" si="465"/>
        <v>-5.5</v>
      </c>
      <c r="AC593" s="9">
        <f t="shared" si="466"/>
        <v>-7.75</v>
      </c>
      <c r="AD593" s="9">
        <f t="shared" si="467"/>
        <v>-6.75</v>
      </c>
      <c r="AE593" s="9">
        <f t="shared" si="468"/>
        <v>-10.25</v>
      </c>
      <c r="AF593" s="9">
        <f t="shared" si="469"/>
        <v>-8</v>
      </c>
      <c r="AG593" s="9">
        <f t="shared" si="470"/>
        <v>-3.75</v>
      </c>
      <c r="AH593" s="9">
        <f t="shared" si="471"/>
        <v>-5.25</v>
      </c>
      <c r="AI593" s="9">
        <f t="shared" si="472"/>
        <v>-0.75</v>
      </c>
      <c r="AJ593" s="9">
        <f t="shared" si="473"/>
        <v>-6.25</v>
      </c>
      <c r="AK593" s="9">
        <f t="shared" si="474"/>
        <v>-7.25</v>
      </c>
      <c r="AL593" s="9">
        <f t="shared" si="475"/>
        <v>-9.625</v>
      </c>
      <c r="AM593" s="9">
        <f t="shared" si="476"/>
        <v>-9.25</v>
      </c>
      <c r="AN593" s="9">
        <f t="shared" si="477"/>
        <v>-13.625</v>
      </c>
      <c r="AO593" s="9">
        <f t="shared" si="478"/>
        <v>-10.75</v>
      </c>
      <c r="AP593" s="9">
        <f t="shared" si="479"/>
        <v>-5</v>
      </c>
      <c r="AQ593" s="9">
        <f t="shared" si="480"/>
        <v>-3.875</v>
      </c>
      <c r="AR593" s="9">
        <f t="shared" si="481"/>
        <v>-0.25</v>
      </c>
      <c r="AS593" s="9">
        <f t="shared" si="482"/>
        <v>-6.75</v>
      </c>
      <c r="AT593" s="9">
        <f t="shared" si="483"/>
        <v>-9.25</v>
      </c>
      <c r="AU593" s="9">
        <f t="shared" si="484"/>
        <v>-10.875</v>
      </c>
      <c r="AV593" s="9">
        <f t="shared" si="485"/>
        <v>-10.625</v>
      </c>
      <c r="AW593" s="9">
        <f t="shared" si="486"/>
        <v>-15.25</v>
      </c>
      <c r="AX593" s="9">
        <f t="shared" si="487"/>
        <v>-12.75</v>
      </c>
      <c r="AY593" s="9">
        <f t="shared" si="488"/>
        <v>-5.625</v>
      </c>
      <c r="AZ593" s="9">
        <f t="shared" si="489"/>
        <v>-2.6749999999999972</v>
      </c>
      <c r="BA593" s="9">
        <f t="shared" si="490"/>
        <v>-1.625</v>
      </c>
      <c r="BB593" s="9">
        <f t="shared" si="491"/>
        <v>-6.375</v>
      </c>
      <c r="BC593" s="9">
        <f t="shared" si="492"/>
        <v>-8.875</v>
      </c>
      <c r="BD593" s="9">
        <f t="shared" si="493"/>
        <v>-10.375</v>
      </c>
      <c r="BE593" s="9">
        <f t="shared" si="494"/>
        <v>-10.125</v>
      </c>
      <c r="BF593" s="9">
        <f t="shared" si="495"/>
        <v>-14.625</v>
      </c>
      <c r="BG593" s="9">
        <f t="shared" si="496"/>
        <v>-11.875</v>
      </c>
      <c r="BH593" s="9">
        <f t="shared" si="497"/>
        <v>-4</v>
      </c>
      <c r="BI593" s="9">
        <f t="shared" si="498"/>
        <v>-2.6749999999999972</v>
      </c>
      <c r="BJ593" s="9">
        <f t="shared" si="499"/>
        <v>0.5</v>
      </c>
    </row>
    <row r="594" spans="1:62" x14ac:dyDescent="0.2">
      <c r="A594" s="9">
        <f>data!M595-data!M594</f>
        <v>0.93009999999999593</v>
      </c>
      <c r="B594" s="9">
        <f>data!C595-data!C594</f>
        <v>0.16000000000000014</v>
      </c>
      <c r="C594" s="9">
        <f>data!D595-data!D594</f>
        <v>-0.82750000000000057</v>
      </c>
      <c r="D594" s="10">
        <f>data!B595-data!B594</f>
        <v>0.11999999999999988</v>
      </c>
      <c r="E594" s="9">
        <f>data!E594-data!G594</f>
        <v>1.8141</v>
      </c>
      <c r="F594" s="9">
        <f>(data!E594-data!F594)-(data!G594-data!H594)</f>
        <v>0.81319999999999992</v>
      </c>
      <c r="G594" s="9">
        <f t="shared" si="450"/>
        <v>0.14229999999999987</v>
      </c>
      <c r="H594" s="9">
        <f t="shared" si="451"/>
        <v>1.7900000000000138E-2</v>
      </c>
      <c r="I594" s="9">
        <f>IF(data!M595&gt; 111.81,1,0)</f>
        <v>1</v>
      </c>
      <c r="J594" s="9">
        <f t="shared" si="452"/>
        <v>0</v>
      </c>
      <c r="K594" s="9">
        <f t="shared" si="453"/>
        <v>0.93009999999999593</v>
      </c>
      <c r="L594" s="9">
        <f t="shared" si="454"/>
        <v>0</v>
      </c>
      <c r="M594" s="9">
        <f>data!J594</f>
        <v>-57.375</v>
      </c>
      <c r="N594" s="9">
        <f>data!I594</f>
        <v>-87.75</v>
      </c>
      <c r="O594" s="9">
        <f>data!L594</f>
        <v>-90.25</v>
      </c>
      <c r="P594" s="9">
        <f>data!K594</f>
        <v>-61.875</v>
      </c>
      <c r="Q594" s="9">
        <f>data!R594</f>
        <v>-52.5</v>
      </c>
      <c r="R594" s="9">
        <f t="shared" si="455"/>
        <v>-0.375</v>
      </c>
      <c r="S594" s="9">
        <f t="shared" si="456"/>
        <v>-3.125</v>
      </c>
      <c r="T594" s="9">
        <f t="shared" si="457"/>
        <v>-3.5</v>
      </c>
      <c r="U594" s="9">
        <f t="shared" si="458"/>
        <v>-6.375</v>
      </c>
      <c r="V594" s="9">
        <f t="shared" si="459"/>
        <v>-6.875</v>
      </c>
      <c r="W594" s="9">
        <f t="shared" si="460"/>
        <v>-8.625</v>
      </c>
      <c r="X594" s="9">
        <f t="shared" si="461"/>
        <v>-8.375</v>
      </c>
      <c r="Y594" s="9">
        <f t="shared" si="462"/>
        <v>-12.5</v>
      </c>
      <c r="Z594" s="9">
        <f t="shared" si="463"/>
        <v>-17.875</v>
      </c>
      <c r="AA594" s="9">
        <f t="shared" si="464"/>
        <v>-1.5</v>
      </c>
      <c r="AB594" s="9">
        <f t="shared" si="465"/>
        <v>-3.75</v>
      </c>
      <c r="AC594" s="9">
        <f t="shared" si="466"/>
        <v>-2.75</v>
      </c>
      <c r="AD594" s="9">
        <f t="shared" si="467"/>
        <v>-6.25</v>
      </c>
      <c r="AE594" s="9">
        <f t="shared" si="468"/>
        <v>-4</v>
      </c>
      <c r="AF594" s="9">
        <f t="shared" si="469"/>
        <v>0.25</v>
      </c>
      <c r="AG594" s="9">
        <f t="shared" si="470"/>
        <v>-1.25</v>
      </c>
      <c r="AH594" s="9">
        <f t="shared" si="471"/>
        <v>3.25</v>
      </c>
      <c r="AI594" s="9">
        <f t="shared" si="472"/>
        <v>1.75</v>
      </c>
      <c r="AJ594" s="9">
        <f t="shared" si="473"/>
        <v>-1</v>
      </c>
      <c r="AK594" s="9">
        <f t="shared" si="474"/>
        <v>-3.375</v>
      </c>
      <c r="AL594" s="9">
        <f t="shared" si="475"/>
        <v>-3</v>
      </c>
      <c r="AM594" s="9">
        <f t="shared" si="476"/>
        <v>-7.375</v>
      </c>
      <c r="AN594" s="9">
        <f t="shared" si="477"/>
        <v>-4.5</v>
      </c>
      <c r="AO594" s="9">
        <f t="shared" si="478"/>
        <v>1.25</v>
      </c>
      <c r="AP594" s="9">
        <f t="shared" si="479"/>
        <v>2.375</v>
      </c>
      <c r="AQ594" s="9">
        <f t="shared" si="480"/>
        <v>6</v>
      </c>
      <c r="AR594" s="9">
        <f t="shared" si="481"/>
        <v>5.25</v>
      </c>
      <c r="AS594" s="9">
        <f t="shared" si="482"/>
        <v>-2.5</v>
      </c>
      <c r="AT594" s="9">
        <f t="shared" si="483"/>
        <v>-4.125</v>
      </c>
      <c r="AU594" s="9">
        <f t="shared" si="484"/>
        <v>-3.875</v>
      </c>
      <c r="AV594" s="9">
        <f t="shared" si="485"/>
        <v>-8.5</v>
      </c>
      <c r="AW594" s="9">
        <f t="shared" si="486"/>
        <v>-6</v>
      </c>
      <c r="AX594" s="9">
        <f t="shared" si="487"/>
        <v>1.125</v>
      </c>
      <c r="AY594" s="9">
        <f t="shared" si="488"/>
        <v>4.0750000000000028</v>
      </c>
      <c r="AZ594" s="9">
        <f t="shared" si="489"/>
        <v>5.125</v>
      </c>
      <c r="BA594" s="9">
        <f t="shared" si="490"/>
        <v>2.625</v>
      </c>
      <c r="BB594" s="9">
        <f t="shared" si="491"/>
        <v>-2.5</v>
      </c>
      <c r="BC594" s="9">
        <f t="shared" si="492"/>
        <v>-4</v>
      </c>
      <c r="BD594" s="9">
        <f t="shared" si="493"/>
        <v>-3.75</v>
      </c>
      <c r="BE594" s="9">
        <f t="shared" si="494"/>
        <v>-8.25</v>
      </c>
      <c r="BF594" s="9">
        <f t="shared" si="495"/>
        <v>-5.5</v>
      </c>
      <c r="BG594" s="9">
        <f t="shared" si="496"/>
        <v>2.375</v>
      </c>
      <c r="BH594" s="9">
        <f t="shared" si="497"/>
        <v>3.7000000000000028</v>
      </c>
      <c r="BI594" s="9">
        <f t="shared" si="498"/>
        <v>6.875</v>
      </c>
      <c r="BJ594" s="9">
        <f t="shared" si="499"/>
        <v>4</v>
      </c>
    </row>
    <row r="595" spans="1:62" x14ac:dyDescent="0.2">
      <c r="A595" s="9">
        <f>data!M596-data!M595</f>
        <v>-9.9999999999994316E-2</v>
      </c>
      <c r="B595" s="9">
        <f>data!C596-data!C595</f>
        <v>-2.08</v>
      </c>
      <c r="C595" s="9">
        <f>data!D596-data!D595</f>
        <v>-0.70249999999999879</v>
      </c>
      <c r="D595" s="10">
        <f>data!B596-data!B595</f>
        <v>0.16250000000000009</v>
      </c>
      <c r="E595" s="9">
        <f>data!E595-data!G595</f>
        <v>1.9563999999999999</v>
      </c>
      <c r="F595" s="9">
        <f>(data!E595-data!F595)-(data!G595-data!H595)</f>
        <v>0.83110000000000006</v>
      </c>
      <c r="G595" s="9">
        <f t="shared" si="450"/>
        <v>1.5600000000000058E-2</v>
      </c>
      <c r="H595" s="9">
        <f t="shared" si="451"/>
        <v>-9.7000000000000419E-3</v>
      </c>
      <c r="I595" s="9">
        <f>IF(data!M596&gt; 111.81,1,0)</f>
        <v>1</v>
      </c>
      <c r="J595" s="9">
        <f t="shared" si="452"/>
        <v>0</v>
      </c>
      <c r="K595" s="9">
        <f t="shared" si="453"/>
        <v>-9.9999999999994316E-2</v>
      </c>
      <c r="L595" s="9">
        <f t="shared" si="454"/>
        <v>0</v>
      </c>
      <c r="M595" s="9">
        <f>data!J595</f>
        <v>-57.75</v>
      </c>
      <c r="N595" s="9">
        <f>data!I595</f>
        <v>-89.25</v>
      </c>
      <c r="O595" s="9">
        <f>data!L595</f>
        <v>-91.25</v>
      </c>
      <c r="P595" s="9">
        <f>data!K595</f>
        <v>-64.375</v>
      </c>
      <c r="Q595" s="9">
        <f>data!R595</f>
        <v>-55</v>
      </c>
      <c r="R595" s="9">
        <f t="shared" si="455"/>
        <v>-2.75</v>
      </c>
      <c r="S595" s="9">
        <f t="shared" si="456"/>
        <v>-3.125</v>
      </c>
      <c r="T595" s="9">
        <f t="shared" si="457"/>
        <v>-6</v>
      </c>
      <c r="U595" s="9">
        <f t="shared" si="458"/>
        <v>-6.5</v>
      </c>
      <c r="V595" s="9">
        <f t="shared" si="459"/>
        <v>-8.25</v>
      </c>
      <c r="W595" s="9">
        <f t="shared" si="460"/>
        <v>-8</v>
      </c>
      <c r="X595" s="9">
        <f t="shared" si="461"/>
        <v>-12.125</v>
      </c>
      <c r="Y595" s="9">
        <f t="shared" si="462"/>
        <v>-17.5</v>
      </c>
      <c r="Z595" s="9">
        <f t="shared" si="463"/>
        <v>-14.5</v>
      </c>
      <c r="AA595" s="9">
        <f t="shared" si="464"/>
        <v>-2.25</v>
      </c>
      <c r="AB595" s="9">
        <f t="shared" si="465"/>
        <v>-1.25</v>
      </c>
      <c r="AC595" s="9">
        <f t="shared" si="466"/>
        <v>-4.75</v>
      </c>
      <c r="AD595" s="9">
        <f t="shared" si="467"/>
        <v>-2.5</v>
      </c>
      <c r="AE595" s="9">
        <f t="shared" si="468"/>
        <v>1.75</v>
      </c>
      <c r="AF595" s="9">
        <f t="shared" si="469"/>
        <v>0.25</v>
      </c>
      <c r="AG595" s="9">
        <f t="shared" si="470"/>
        <v>4.75</v>
      </c>
      <c r="AH595" s="9">
        <f t="shared" si="471"/>
        <v>3.25</v>
      </c>
      <c r="AI595" s="9">
        <f t="shared" si="472"/>
        <v>7.25</v>
      </c>
      <c r="AJ595" s="9">
        <f t="shared" si="473"/>
        <v>-2.375</v>
      </c>
      <c r="AK595" s="9">
        <f t="shared" si="474"/>
        <v>-2</v>
      </c>
      <c r="AL595" s="9">
        <f t="shared" si="475"/>
        <v>-6.375</v>
      </c>
      <c r="AM595" s="9">
        <f t="shared" si="476"/>
        <v>-3.5</v>
      </c>
      <c r="AN595" s="9">
        <f t="shared" si="477"/>
        <v>2.25</v>
      </c>
      <c r="AO595" s="9">
        <f t="shared" si="478"/>
        <v>3.375</v>
      </c>
      <c r="AP595" s="9">
        <f t="shared" si="479"/>
        <v>7</v>
      </c>
      <c r="AQ595" s="9">
        <f t="shared" si="480"/>
        <v>6.25</v>
      </c>
      <c r="AR595" s="9">
        <f t="shared" si="481"/>
        <v>11.25</v>
      </c>
      <c r="AS595" s="9">
        <f t="shared" si="482"/>
        <v>-1.625</v>
      </c>
      <c r="AT595" s="9">
        <f t="shared" si="483"/>
        <v>-1.375</v>
      </c>
      <c r="AU595" s="9">
        <f t="shared" si="484"/>
        <v>-6</v>
      </c>
      <c r="AV595" s="9">
        <f t="shared" si="485"/>
        <v>-3.5</v>
      </c>
      <c r="AW595" s="9">
        <f t="shared" si="486"/>
        <v>3.625</v>
      </c>
      <c r="AX595" s="9">
        <f t="shared" si="487"/>
        <v>6.5750000000000028</v>
      </c>
      <c r="AY595" s="9">
        <f t="shared" si="488"/>
        <v>7.625</v>
      </c>
      <c r="AZ595" s="9">
        <f t="shared" si="489"/>
        <v>5.125</v>
      </c>
      <c r="BA595" s="9">
        <f t="shared" si="490"/>
        <v>8.875</v>
      </c>
      <c r="BB595" s="9">
        <f t="shared" si="491"/>
        <v>-1.5</v>
      </c>
      <c r="BC595" s="9">
        <f t="shared" si="492"/>
        <v>-1.25</v>
      </c>
      <c r="BD595" s="9">
        <f t="shared" si="493"/>
        <v>-5.75</v>
      </c>
      <c r="BE595" s="9">
        <f t="shared" si="494"/>
        <v>-3</v>
      </c>
      <c r="BF595" s="9">
        <f t="shared" si="495"/>
        <v>4.875</v>
      </c>
      <c r="BG595" s="9">
        <f t="shared" si="496"/>
        <v>6.2000000000000028</v>
      </c>
      <c r="BH595" s="9">
        <f t="shared" si="497"/>
        <v>9.375</v>
      </c>
      <c r="BI595" s="9">
        <f t="shared" si="498"/>
        <v>6.5</v>
      </c>
      <c r="BJ595" s="9">
        <f t="shared" si="499"/>
        <v>9.5</v>
      </c>
    </row>
    <row r="596" spans="1:62" x14ac:dyDescent="0.2">
      <c r="A596" s="9">
        <f>data!M597-data!M596</f>
        <v>-0.63710000000000377</v>
      </c>
      <c r="B596" s="9">
        <f>data!C597-data!C596</f>
        <v>0.35000000000000142</v>
      </c>
      <c r="C596" s="9">
        <f>data!D597-data!D596</f>
        <v>0.98499999999999943</v>
      </c>
      <c r="D596" s="10">
        <f>data!B597-data!B596</f>
        <v>3.9999999999999813E-2</v>
      </c>
      <c r="E596" s="9">
        <f>data!E596-data!G596</f>
        <v>1.972</v>
      </c>
      <c r="F596" s="9">
        <f>(data!E596-data!F596)-(data!G596-data!H596)</f>
        <v>0.82140000000000002</v>
      </c>
      <c r="G596" s="9">
        <f t="shared" si="450"/>
        <v>-0.16759999999999997</v>
      </c>
      <c r="H596" s="9">
        <f t="shared" si="451"/>
        <v>-3.3600000000000074E-2</v>
      </c>
      <c r="I596" s="9">
        <f>IF(data!M597&gt; 111.81,1,0)</f>
        <v>0</v>
      </c>
      <c r="J596" s="9">
        <f t="shared" si="452"/>
        <v>1</v>
      </c>
      <c r="K596" s="9">
        <f t="shared" si="453"/>
        <v>0</v>
      </c>
      <c r="L596" s="9">
        <f t="shared" si="454"/>
        <v>-0.63710000000000377</v>
      </c>
      <c r="M596" s="9">
        <f>data!J596</f>
        <v>-60.5</v>
      </c>
      <c r="N596" s="9">
        <f>data!I596</f>
        <v>-91.5</v>
      </c>
      <c r="O596" s="9">
        <f>data!L596</f>
        <v>-93.625</v>
      </c>
      <c r="P596" s="9">
        <f>data!K596</f>
        <v>-66</v>
      </c>
      <c r="Q596" s="9">
        <f>data!R596</f>
        <v>-56.5</v>
      </c>
      <c r="R596" s="9">
        <f t="shared" si="455"/>
        <v>-0.375</v>
      </c>
      <c r="S596" s="9">
        <f t="shared" si="456"/>
        <v>-3.25</v>
      </c>
      <c r="T596" s="9">
        <f t="shared" si="457"/>
        <v>-3.75</v>
      </c>
      <c r="U596" s="9">
        <f t="shared" si="458"/>
        <v>-5.5</v>
      </c>
      <c r="V596" s="9">
        <f t="shared" si="459"/>
        <v>-5.25</v>
      </c>
      <c r="W596" s="9">
        <f t="shared" si="460"/>
        <v>-9.375</v>
      </c>
      <c r="X596" s="9">
        <f t="shared" si="461"/>
        <v>-14.75</v>
      </c>
      <c r="Y596" s="9">
        <f t="shared" si="462"/>
        <v>-11.75</v>
      </c>
      <c r="Z596" s="9">
        <f t="shared" si="463"/>
        <v>-6.75</v>
      </c>
      <c r="AA596" s="9">
        <f t="shared" si="464"/>
        <v>1</v>
      </c>
      <c r="AB596" s="9">
        <f t="shared" si="465"/>
        <v>-2.5</v>
      </c>
      <c r="AC596" s="9">
        <f t="shared" si="466"/>
        <v>-0.25</v>
      </c>
      <c r="AD596" s="9">
        <f t="shared" si="467"/>
        <v>4</v>
      </c>
      <c r="AE596" s="9">
        <f t="shared" si="468"/>
        <v>2.5</v>
      </c>
      <c r="AF596" s="9">
        <f t="shared" si="469"/>
        <v>7</v>
      </c>
      <c r="AG596" s="9">
        <f t="shared" si="470"/>
        <v>5.5</v>
      </c>
      <c r="AH596" s="9">
        <f t="shared" si="471"/>
        <v>9.5</v>
      </c>
      <c r="AI596" s="9">
        <f t="shared" si="472"/>
        <v>8.25</v>
      </c>
      <c r="AJ596" s="9">
        <f t="shared" si="473"/>
        <v>0.375</v>
      </c>
      <c r="AK596" s="9">
        <f t="shared" si="474"/>
        <v>-4</v>
      </c>
      <c r="AL596" s="9">
        <f t="shared" si="475"/>
        <v>-1.125</v>
      </c>
      <c r="AM596" s="9">
        <f t="shared" si="476"/>
        <v>4.625</v>
      </c>
      <c r="AN596" s="9">
        <f t="shared" si="477"/>
        <v>5.75</v>
      </c>
      <c r="AO596" s="9">
        <f t="shared" si="478"/>
        <v>9.375</v>
      </c>
      <c r="AP596" s="9">
        <f t="shared" si="479"/>
        <v>8.625</v>
      </c>
      <c r="AQ596" s="9">
        <f t="shared" si="480"/>
        <v>13.625</v>
      </c>
      <c r="AR596" s="9">
        <f t="shared" si="481"/>
        <v>10.25</v>
      </c>
      <c r="AS596" s="9">
        <f t="shared" si="482"/>
        <v>0.25</v>
      </c>
      <c r="AT596" s="9">
        <f t="shared" si="483"/>
        <v>-4.375</v>
      </c>
      <c r="AU596" s="9">
        <f t="shared" si="484"/>
        <v>-1.875</v>
      </c>
      <c r="AV596" s="9">
        <f t="shared" si="485"/>
        <v>5.25</v>
      </c>
      <c r="AW596" s="9">
        <f t="shared" si="486"/>
        <v>8.2000000000000028</v>
      </c>
      <c r="AX596" s="9">
        <f t="shared" si="487"/>
        <v>9.25</v>
      </c>
      <c r="AY596" s="9">
        <f t="shared" si="488"/>
        <v>6.75</v>
      </c>
      <c r="AZ596" s="9">
        <f t="shared" si="489"/>
        <v>10.5</v>
      </c>
      <c r="BA596" s="9">
        <f t="shared" si="490"/>
        <v>6.625</v>
      </c>
      <c r="BB596" s="9">
        <f t="shared" si="491"/>
        <v>0.25</v>
      </c>
      <c r="BC596" s="9">
        <f t="shared" si="492"/>
        <v>-4.25</v>
      </c>
      <c r="BD596" s="9">
        <f t="shared" si="493"/>
        <v>-1.5</v>
      </c>
      <c r="BE596" s="9">
        <f t="shared" si="494"/>
        <v>6.375</v>
      </c>
      <c r="BF596" s="9">
        <f t="shared" si="495"/>
        <v>7.7000000000000028</v>
      </c>
      <c r="BG596" s="9">
        <f t="shared" si="496"/>
        <v>10.875</v>
      </c>
      <c r="BH596" s="9">
        <f t="shared" si="497"/>
        <v>8</v>
      </c>
      <c r="BI596" s="9">
        <f t="shared" si="498"/>
        <v>11</v>
      </c>
      <c r="BJ596" s="9">
        <f t="shared" si="499"/>
        <v>7</v>
      </c>
    </row>
    <row r="597" spans="1:62" x14ac:dyDescent="0.2">
      <c r="A597" s="9">
        <f>data!M598-data!M597</f>
        <v>-0.34239999999999782</v>
      </c>
      <c r="B597" s="9">
        <f>data!C598-data!C597</f>
        <v>3.5600000000000005</v>
      </c>
      <c r="C597" s="9">
        <f>data!D598-data!D597</f>
        <v>0.91499999999999915</v>
      </c>
      <c r="D597" s="10">
        <f>data!B598-data!B597</f>
        <v>5.0000000000000044E-2</v>
      </c>
      <c r="E597" s="9">
        <f>data!E597-data!G597</f>
        <v>1.8044</v>
      </c>
      <c r="F597" s="9">
        <f>(data!E597-data!F597)-(data!G597-data!H597)</f>
        <v>0.78779999999999994</v>
      </c>
      <c r="G597" s="9">
        <f t="shared" si="450"/>
        <v>-8.999999999999897E-3</v>
      </c>
      <c r="H597" s="9">
        <f t="shared" si="451"/>
        <v>7.1000000000001062E-3</v>
      </c>
      <c r="I597" s="9">
        <f>IF(data!M598&gt; 111.81,1,0)</f>
        <v>0</v>
      </c>
      <c r="J597" s="9">
        <f t="shared" si="452"/>
        <v>1</v>
      </c>
      <c r="K597" s="9">
        <f t="shared" si="453"/>
        <v>0</v>
      </c>
      <c r="L597" s="9">
        <f t="shared" si="454"/>
        <v>-0.34239999999999782</v>
      </c>
      <c r="M597" s="9">
        <f>data!J597</f>
        <v>-60.875</v>
      </c>
      <c r="N597" s="9">
        <f>data!I597</f>
        <v>-90.5</v>
      </c>
      <c r="O597" s="9">
        <f>data!L597</f>
        <v>-93.25</v>
      </c>
      <c r="P597" s="9">
        <f>data!K597</f>
        <v>-65.75</v>
      </c>
      <c r="Q597" s="9">
        <f>data!R597</f>
        <v>-56.25</v>
      </c>
      <c r="R597" s="9">
        <f t="shared" si="455"/>
        <v>-2.875</v>
      </c>
      <c r="S597" s="9">
        <f t="shared" si="456"/>
        <v>-3.375</v>
      </c>
      <c r="T597" s="9">
        <f t="shared" si="457"/>
        <v>-5.125</v>
      </c>
      <c r="U597" s="9">
        <f t="shared" si="458"/>
        <v>-4.875</v>
      </c>
      <c r="V597" s="9">
        <f t="shared" si="459"/>
        <v>-9</v>
      </c>
      <c r="W597" s="9">
        <f t="shared" si="460"/>
        <v>-14.375</v>
      </c>
      <c r="X597" s="9">
        <f t="shared" si="461"/>
        <v>-11.375</v>
      </c>
      <c r="Y597" s="9">
        <f t="shared" si="462"/>
        <v>-6.375</v>
      </c>
      <c r="Z597" s="9">
        <f t="shared" si="463"/>
        <v>-8.625</v>
      </c>
      <c r="AA597" s="9">
        <f t="shared" si="464"/>
        <v>-3.5</v>
      </c>
      <c r="AB597" s="9">
        <f t="shared" si="465"/>
        <v>-1.25</v>
      </c>
      <c r="AC597" s="9">
        <f t="shared" si="466"/>
        <v>3</v>
      </c>
      <c r="AD597" s="9">
        <f t="shared" si="467"/>
        <v>1.5</v>
      </c>
      <c r="AE597" s="9">
        <f t="shared" si="468"/>
        <v>6</v>
      </c>
      <c r="AF597" s="9">
        <f t="shared" si="469"/>
        <v>4.5</v>
      </c>
      <c r="AG597" s="9">
        <f t="shared" si="470"/>
        <v>8.5</v>
      </c>
      <c r="AH597" s="9">
        <f t="shared" si="471"/>
        <v>7.25</v>
      </c>
      <c r="AI597" s="9">
        <f t="shared" si="472"/>
        <v>8.125</v>
      </c>
      <c r="AJ597" s="9">
        <f t="shared" si="473"/>
        <v>-4.375</v>
      </c>
      <c r="AK597" s="9">
        <f t="shared" si="474"/>
        <v>-1.5</v>
      </c>
      <c r="AL597" s="9">
        <f t="shared" si="475"/>
        <v>4.25</v>
      </c>
      <c r="AM597" s="9">
        <f t="shared" si="476"/>
        <v>5.375</v>
      </c>
      <c r="AN597" s="9">
        <f t="shared" si="477"/>
        <v>9</v>
      </c>
      <c r="AO597" s="9">
        <f t="shared" si="478"/>
        <v>8.25</v>
      </c>
      <c r="AP597" s="9">
        <f t="shared" si="479"/>
        <v>13.25</v>
      </c>
      <c r="AQ597" s="9">
        <f t="shared" si="480"/>
        <v>9.875</v>
      </c>
      <c r="AR597" s="9">
        <f t="shared" si="481"/>
        <v>11.75</v>
      </c>
      <c r="AS597" s="9">
        <f t="shared" si="482"/>
        <v>-4.625</v>
      </c>
      <c r="AT597" s="9">
        <f t="shared" si="483"/>
        <v>-2.125</v>
      </c>
      <c r="AU597" s="9">
        <f t="shared" si="484"/>
        <v>5</v>
      </c>
      <c r="AV597" s="9">
        <f t="shared" si="485"/>
        <v>7.9500000000000028</v>
      </c>
      <c r="AW597" s="9">
        <f t="shared" si="486"/>
        <v>9</v>
      </c>
      <c r="AX597" s="9">
        <f t="shared" si="487"/>
        <v>6.5</v>
      </c>
      <c r="AY597" s="9">
        <f t="shared" si="488"/>
        <v>10.25</v>
      </c>
      <c r="AZ597" s="9">
        <f t="shared" si="489"/>
        <v>6.375</v>
      </c>
      <c r="BA597" s="9">
        <f t="shared" si="490"/>
        <v>8.125</v>
      </c>
      <c r="BB597" s="9">
        <f t="shared" si="491"/>
        <v>-4.5</v>
      </c>
      <c r="BC597" s="9">
        <f t="shared" si="492"/>
        <v>-1.75</v>
      </c>
      <c r="BD597" s="9">
        <f t="shared" si="493"/>
        <v>6.125</v>
      </c>
      <c r="BE597" s="9">
        <f t="shared" si="494"/>
        <v>7.4500000000000028</v>
      </c>
      <c r="BF597" s="9">
        <f t="shared" si="495"/>
        <v>10.625</v>
      </c>
      <c r="BG597" s="9">
        <f t="shared" si="496"/>
        <v>7.75</v>
      </c>
      <c r="BH597" s="9">
        <f t="shared" si="497"/>
        <v>10.75</v>
      </c>
      <c r="BI597" s="9">
        <f t="shared" si="498"/>
        <v>6.75</v>
      </c>
      <c r="BJ597" s="9">
        <f t="shared" si="499"/>
        <v>8.875</v>
      </c>
    </row>
    <row r="598" spans="1:62" x14ac:dyDescent="0.2">
      <c r="A598" s="9">
        <f>data!M599-data!M598</f>
        <v>0.430499999999995</v>
      </c>
      <c r="B598" s="9">
        <f>data!C599-data!C598</f>
        <v>2.379999999999999</v>
      </c>
      <c r="C598" s="9">
        <f>data!D599-data!D598</f>
        <v>5.0000000000007816E-3</v>
      </c>
      <c r="D598" s="10">
        <f>data!B599-data!B598</f>
        <v>-0.61999999999999988</v>
      </c>
      <c r="E598" s="9">
        <f>data!E598-data!G598</f>
        <v>1.7954000000000001</v>
      </c>
      <c r="F598" s="9">
        <f>(data!E598-data!F598)-(data!G598-data!H598)</f>
        <v>0.79490000000000005</v>
      </c>
      <c r="G598" s="9">
        <f t="shared" si="450"/>
        <v>-3.2600000000000184E-2</v>
      </c>
      <c r="H598" s="9">
        <f t="shared" si="451"/>
        <v>1.7199999999999882E-2</v>
      </c>
      <c r="I598" s="9">
        <f>IF(data!M599&gt; 111.81,1,0)</f>
        <v>0</v>
      </c>
      <c r="J598" s="9">
        <f t="shared" si="452"/>
        <v>1</v>
      </c>
      <c r="K598" s="9">
        <f t="shared" si="453"/>
        <v>0</v>
      </c>
      <c r="L598" s="9">
        <f t="shared" si="454"/>
        <v>0.430499999999995</v>
      </c>
      <c r="M598" s="9">
        <f>data!J598</f>
        <v>-63.75</v>
      </c>
      <c r="N598" s="9">
        <f>data!I598</f>
        <v>-94</v>
      </c>
      <c r="O598" s="9">
        <f>data!L598</f>
        <v>-97.625</v>
      </c>
      <c r="P598" s="9">
        <f>data!K598</f>
        <v>-70.375</v>
      </c>
      <c r="Q598" s="9">
        <f>data!R598</f>
        <v>-60.75</v>
      </c>
      <c r="R598" s="9">
        <f t="shared" si="455"/>
        <v>-0.5</v>
      </c>
      <c r="S598" s="9">
        <f t="shared" si="456"/>
        <v>-2.25</v>
      </c>
      <c r="T598" s="9">
        <f t="shared" si="457"/>
        <v>-2</v>
      </c>
      <c r="U598" s="9">
        <f t="shared" si="458"/>
        <v>-6.125</v>
      </c>
      <c r="V598" s="9">
        <f t="shared" si="459"/>
        <v>-11.5</v>
      </c>
      <c r="W598" s="9">
        <f t="shared" si="460"/>
        <v>-8.5</v>
      </c>
      <c r="X598" s="9">
        <f t="shared" si="461"/>
        <v>-3.5</v>
      </c>
      <c r="Y598" s="9">
        <f t="shared" si="462"/>
        <v>-5.75</v>
      </c>
      <c r="Z598" s="9">
        <f t="shared" si="463"/>
        <v>-10.25</v>
      </c>
      <c r="AA598" s="9">
        <f t="shared" si="464"/>
        <v>2.25</v>
      </c>
      <c r="AB598" s="9">
        <f t="shared" si="465"/>
        <v>6.5</v>
      </c>
      <c r="AC598" s="9">
        <f t="shared" si="466"/>
        <v>5</v>
      </c>
      <c r="AD598" s="9">
        <f t="shared" si="467"/>
        <v>9.5</v>
      </c>
      <c r="AE598" s="9">
        <f t="shared" si="468"/>
        <v>8</v>
      </c>
      <c r="AF598" s="9">
        <f t="shared" si="469"/>
        <v>12</v>
      </c>
      <c r="AG598" s="9">
        <f t="shared" si="470"/>
        <v>10.75</v>
      </c>
      <c r="AH598" s="9">
        <f t="shared" si="471"/>
        <v>11.625</v>
      </c>
      <c r="AI598" s="9">
        <f t="shared" si="472"/>
        <v>12</v>
      </c>
      <c r="AJ598" s="9">
        <f t="shared" si="473"/>
        <v>2.875</v>
      </c>
      <c r="AK598" s="9">
        <f t="shared" si="474"/>
        <v>8.625</v>
      </c>
      <c r="AL598" s="9">
        <f t="shared" si="475"/>
        <v>9.75</v>
      </c>
      <c r="AM598" s="9">
        <f t="shared" si="476"/>
        <v>13.375</v>
      </c>
      <c r="AN598" s="9">
        <f t="shared" si="477"/>
        <v>12.625</v>
      </c>
      <c r="AO598" s="9">
        <f t="shared" si="478"/>
        <v>17.625</v>
      </c>
      <c r="AP598" s="9">
        <f t="shared" si="479"/>
        <v>14.25</v>
      </c>
      <c r="AQ598" s="9">
        <f t="shared" si="480"/>
        <v>16.125</v>
      </c>
      <c r="AR598" s="9">
        <f t="shared" si="481"/>
        <v>19.875</v>
      </c>
      <c r="AS598" s="9">
        <f t="shared" si="482"/>
        <v>2.5</v>
      </c>
      <c r="AT598" s="9">
        <f t="shared" si="483"/>
        <v>9.625</v>
      </c>
      <c r="AU598" s="9">
        <f t="shared" si="484"/>
        <v>12.575000000000003</v>
      </c>
      <c r="AV598" s="9">
        <f t="shared" si="485"/>
        <v>13.625</v>
      </c>
      <c r="AW598" s="9">
        <f t="shared" si="486"/>
        <v>11.125</v>
      </c>
      <c r="AX598" s="9">
        <f t="shared" si="487"/>
        <v>14.875</v>
      </c>
      <c r="AY598" s="9">
        <f t="shared" si="488"/>
        <v>11</v>
      </c>
      <c r="AZ598" s="9">
        <f t="shared" si="489"/>
        <v>12.75</v>
      </c>
      <c r="BA598" s="9">
        <f t="shared" si="490"/>
        <v>16.125</v>
      </c>
      <c r="BB598" s="9">
        <f t="shared" si="491"/>
        <v>2.75</v>
      </c>
      <c r="BC598" s="9">
        <f t="shared" si="492"/>
        <v>10.625</v>
      </c>
      <c r="BD598" s="9">
        <f t="shared" si="493"/>
        <v>11.950000000000003</v>
      </c>
      <c r="BE598" s="9">
        <f t="shared" si="494"/>
        <v>15.125</v>
      </c>
      <c r="BF598" s="9">
        <f t="shared" si="495"/>
        <v>12.25</v>
      </c>
      <c r="BG598" s="9">
        <f t="shared" si="496"/>
        <v>15.25</v>
      </c>
      <c r="BH598" s="9">
        <f t="shared" si="497"/>
        <v>11.25</v>
      </c>
      <c r="BI598" s="9">
        <f t="shared" si="498"/>
        <v>13.375</v>
      </c>
      <c r="BJ598" s="9">
        <f t="shared" si="499"/>
        <v>16.75</v>
      </c>
    </row>
    <row r="599" spans="1:62" x14ac:dyDescent="0.2">
      <c r="A599" s="9">
        <f>data!M600-data!M599</f>
        <v>0.60229999999999961</v>
      </c>
      <c r="B599" s="9">
        <f>data!C600-data!C599</f>
        <v>6.3500000000000014</v>
      </c>
      <c r="C599" s="9">
        <f>data!D600-data!D599</f>
        <v>1.7125000000000004</v>
      </c>
      <c r="D599" s="10">
        <f>data!B600-data!B599</f>
        <v>-0.11250000000000027</v>
      </c>
      <c r="E599" s="9">
        <f>data!E599-data!G599</f>
        <v>1.7627999999999999</v>
      </c>
      <c r="F599" s="9">
        <f>(data!E599-data!F599)-(data!G599-data!H599)</f>
        <v>0.81209999999999993</v>
      </c>
      <c r="G599" s="9">
        <f t="shared" si="450"/>
        <v>-2.4899999999999922E-2</v>
      </c>
      <c r="H599" s="9">
        <f t="shared" si="451"/>
        <v>2.0800000000000041E-2</v>
      </c>
      <c r="I599" s="9">
        <f>IF(data!M600&gt; 111.81,1,0)</f>
        <v>1</v>
      </c>
      <c r="J599" s="9">
        <f t="shared" si="452"/>
        <v>0</v>
      </c>
      <c r="K599" s="9">
        <f t="shared" si="453"/>
        <v>0.60229999999999961</v>
      </c>
      <c r="L599" s="9">
        <f t="shared" si="454"/>
        <v>0</v>
      </c>
      <c r="M599" s="9">
        <f>data!J599</f>
        <v>-64.25</v>
      </c>
      <c r="N599" s="9">
        <f>data!I599</f>
        <v>-91.75</v>
      </c>
      <c r="O599" s="9">
        <f>data!L599</f>
        <v>-94.75</v>
      </c>
      <c r="P599" s="9">
        <f>data!K599</f>
        <v>-67.875</v>
      </c>
      <c r="Q599" s="9">
        <f>data!R599</f>
        <v>-58</v>
      </c>
      <c r="R599" s="9">
        <f t="shared" si="455"/>
        <v>-1.75</v>
      </c>
      <c r="S599" s="9">
        <f t="shared" si="456"/>
        <v>-1.5</v>
      </c>
      <c r="T599" s="9">
        <f t="shared" si="457"/>
        <v>-5.625</v>
      </c>
      <c r="U599" s="9">
        <f t="shared" si="458"/>
        <v>-11</v>
      </c>
      <c r="V599" s="9">
        <f t="shared" si="459"/>
        <v>-8</v>
      </c>
      <c r="W599" s="9">
        <f t="shared" si="460"/>
        <v>-3</v>
      </c>
      <c r="X599" s="9">
        <f t="shared" si="461"/>
        <v>-5.25</v>
      </c>
      <c r="Y599" s="9">
        <f t="shared" si="462"/>
        <v>-9.75</v>
      </c>
      <c r="Z599" s="9">
        <f t="shared" si="463"/>
        <v>-7.25</v>
      </c>
      <c r="AA599" s="9">
        <f t="shared" si="464"/>
        <v>4.25</v>
      </c>
      <c r="AB599" s="9">
        <f t="shared" si="465"/>
        <v>2.75</v>
      </c>
      <c r="AC599" s="9">
        <f t="shared" si="466"/>
        <v>7.25</v>
      </c>
      <c r="AD599" s="9">
        <f t="shared" si="467"/>
        <v>5.75</v>
      </c>
      <c r="AE599" s="9">
        <f t="shared" si="468"/>
        <v>9.75</v>
      </c>
      <c r="AF599" s="9">
        <f t="shared" si="469"/>
        <v>8.5</v>
      </c>
      <c r="AG599" s="9">
        <f t="shared" si="470"/>
        <v>9.375</v>
      </c>
      <c r="AH599" s="9">
        <f t="shared" si="471"/>
        <v>9.75</v>
      </c>
      <c r="AI599" s="9">
        <f t="shared" si="472"/>
        <v>11</v>
      </c>
      <c r="AJ599" s="9">
        <f t="shared" si="473"/>
        <v>5.75</v>
      </c>
      <c r="AK599" s="9">
        <f t="shared" si="474"/>
        <v>6.875</v>
      </c>
      <c r="AL599" s="9">
        <f t="shared" si="475"/>
        <v>10.5</v>
      </c>
      <c r="AM599" s="9">
        <f t="shared" si="476"/>
        <v>9.75</v>
      </c>
      <c r="AN599" s="9">
        <f t="shared" si="477"/>
        <v>14.75</v>
      </c>
      <c r="AO599" s="9">
        <f t="shared" si="478"/>
        <v>11.375</v>
      </c>
      <c r="AP599" s="9">
        <f t="shared" si="479"/>
        <v>13.25</v>
      </c>
      <c r="AQ599" s="9">
        <f t="shared" si="480"/>
        <v>17</v>
      </c>
      <c r="AR599" s="9">
        <f t="shared" si="481"/>
        <v>20.625</v>
      </c>
      <c r="AS599" s="9">
        <f t="shared" si="482"/>
        <v>7.125</v>
      </c>
      <c r="AT599" s="9">
        <f t="shared" si="483"/>
        <v>10.075000000000003</v>
      </c>
      <c r="AU599" s="9">
        <f t="shared" si="484"/>
        <v>11.125</v>
      </c>
      <c r="AV599" s="9">
        <f t="shared" si="485"/>
        <v>8.625</v>
      </c>
      <c r="AW599" s="9">
        <f t="shared" si="486"/>
        <v>12.375</v>
      </c>
      <c r="AX599" s="9">
        <f t="shared" si="487"/>
        <v>8.5</v>
      </c>
      <c r="AY599" s="9">
        <f t="shared" si="488"/>
        <v>10.25</v>
      </c>
      <c r="AZ599" s="9">
        <f t="shared" si="489"/>
        <v>13.625</v>
      </c>
      <c r="BA599" s="9">
        <f t="shared" si="490"/>
        <v>17.625</v>
      </c>
      <c r="BB599" s="9">
        <f t="shared" si="491"/>
        <v>7.875</v>
      </c>
      <c r="BC599" s="9">
        <f t="shared" si="492"/>
        <v>9.2000000000000028</v>
      </c>
      <c r="BD599" s="9">
        <f t="shared" si="493"/>
        <v>12.375</v>
      </c>
      <c r="BE599" s="9">
        <f t="shared" si="494"/>
        <v>9.5</v>
      </c>
      <c r="BF599" s="9">
        <f t="shared" si="495"/>
        <v>12.5</v>
      </c>
      <c r="BG599" s="9">
        <f t="shared" si="496"/>
        <v>8.5</v>
      </c>
      <c r="BH599" s="9">
        <f t="shared" si="497"/>
        <v>10.625</v>
      </c>
      <c r="BI599" s="9">
        <f t="shared" si="498"/>
        <v>14</v>
      </c>
      <c r="BJ599" s="9">
        <f t="shared" si="499"/>
        <v>17.75</v>
      </c>
    </row>
    <row r="600" spans="1:62" x14ac:dyDescent="0.2">
      <c r="A600" s="9">
        <f>data!M601-data!M600</f>
        <v>-0.48460000000000036</v>
      </c>
      <c r="B600" s="9">
        <f>data!C601-data!C600</f>
        <v>-10.990000000000002</v>
      </c>
      <c r="C600" s="9">
        <f>data!D601-data!D600</f>
        <v>-1.4425000000000008</v>
      </c>
      <c r="D600" s="10">
        <f>data!B601-data!B600</f>
        <v>0.58000000000000029</v>
      </c>
      <c r="E600" s="9">
        <f>data!E600-data!G600</f>
        <v>1.7379</v>
      </c>
      <c r="F600" s="9">
        <f>(data!E600-data!F600)-(data!G600-data!H600)</f>
        <v>0.83289999999999997</v>
      </c>
      <c r="G600" s="9">
        <f t="shared" si="450"/>
        <v>-3.2800000000000162E-2</v>
      </c>
      <c r="H600" s="9">
        <f t="shared" si="451"/>
        <v>-5.3100000000000147E-2</v>
      </c>
      <c r="I600" s="9">
        <f>IF(data!M601&gt; 111.81,1,0)</f>
        <v>0</v>
      </c>
      <c r="J600" s="9">
        <f t="shared" si="452"/>
        <v>1</v>
      </c>
      <c r="K600" s="9">
        <f t="shared" si="453"/>
        <v>0</v>
      </c>
      <c r="L600" s="9">
        <f t="shared" si="454"/>
        <v>-0.48460000000000036</v>
      </c>
      <c r="M600" s="9">
        <f>data!J600</f>
        <v>-66</v>
      </c>
      <c r="N600" s="9">
        <f>data!I600</f>
        <v>-87.5</v>
      </c>
      <c r="O600" s="9">
        <f>data!L600</f>
        <v>-89</v>
      </c>
      <c r="P600" s="9">
        <f>data!K600</f>
        <v>-60.75</v>
      </c>
      <c r="Q600" s="9">
        <f>data!R600</f>
        <v>-50.125</v>
      </c>
      <c r="R600" s="9">
        <f t="shared" si="455"/>
        <v>0.25</v>
      </c>
      <c r="S600" s="9">
        <f t="shared" si="456"/>
        <v>-3.875</v>
      </c>
      <c r="T600" s="9">
        <f t="shared" si="457"/>
        <v>-9.25</v>
      </c>
      <c r="U600" s="9">
        <f t="shared" si="458"/>
        <v>-6.25</v>
      </c>
      <c r="V600" s="9">
        <f t="shared" si="459"/>
        <v>-1.25</v>
      </c>
      <c r="W600" s="9">
        <f t="shared" si="460"/>
        <v>-3.5</v>
      </c>
      <c r="X600" s="9">
        <f t="shared" si="461"/>
        <v>-8</v>
      </c>
      <c r="Y600" s="9">
        <f t="shared" si="462"/>
        <v>-5.5</v>
      </c>
      <c r="Z600" s="9">
        <f t="shared" si="463"/>
        <v>-6.5</v>
      </c>
      <c r="AA600" s="9">
        <f t="shared" si="464"/>
        <v>-1.5</v>
      </c>
      <c r="AB600" s="9">
        <f t="shared" si="465"/>
        <v>3</v>
      </c>
      <c r="AC600" s="9">
        <f t="shared" si="466"/>
        <v>1.5</v>
      </c>
      <c r="AD600" s="9">
        <f t="shared" si="467"/>
        <v>5.5</v>
      </c>
      <c r="AE600" s="9">
        <f t="shared" si="468"/>
        <v>4.25</v>
      </c>
      <c r="AF600" s="9">
        <f t="shared" si="469"/>
        <v>5.125</v>
      </c>
      <c r="AG600" s="9">
        <f t="shared" si="470"/>
        <v>5.5</v>
      </c>
      <c r="AH600" s="9">
        <f t="shared" si="471"/>
        <v>6.75</v>
      </c>
      <c r="AI600" s="9">
        <f t="shared" si="472"/>
        <v>10.5625</v>
      </c>
      <c r="AJ600" s="9">
        <f t="shared" si="473"/>
        <v>1.125</v>
      </c>
      <c r="AK600" s="9">
        <f t="shared" si="474"/>
        <v>4.75</v>
      </c>
      <c r="AL600" s="9">
        <f t="shared" si="475"/>
        <v>4</v>
      </c>
      <c r="AM600" s="9">
        <f t="shared" si="476"/>
        <v>9</v>
      </c>
      <c r="AN600" s="9">
        <f t="shared" si="477"/>
        <v>5.625</v>
      </c>
      <c r="AO600" s="9">
        <f t="shared" si="478"/>
        <v>7.5</v>
      </c>
      <c r="AP600" s="9">
        <f t="shared" si="479"/>
        <v>11.25</v>
      </c>
      <c r="AQ600" s="9">
        <f t="shared" si="480"/>
        <v>14.875</v>
      </c>
      <c r="AR600" s="9">
        <f t="shared" si="481"/>
        <v>16.375</v>
      </c>
      <c r="AS600" s="9">
        <f t="shared" si="482"/>
        <v>2.9500000000000028</v>
      </c>
      <c r="AT600" s="9">
        <f t="shared" si="483"/>
        <v>4</v>
      </c>
      <c r="AU600" s="9">
        <f t="shared" si="484"/>
        <v>1.5</v>
      </c>
      <c r="AV600" s="9">
        <f t="shared" si="485"/>
        <v>5.25</v>
      </c>
      <c r="AW600" s="9">
        <f t="shared" si="486"/>
        <v>1.375</v>
      </c>
      <c r="AX600" s="9">
        <f t="shared" si="487"/>
        <v>3.125</v>
      </c>
      <c r="AY600" s="9">
        <f t="shared" si="488"/>
        <v>6.5</v>
      </c>
      <c r="AZ600" s="9">
        <f t="shared" si="489"/>
        <v>10.5</v>
      </c>
      <c r="BA600" s="9">
        <f t="shared" si="490"/>
        <v>7.5</v>
      </c>
      <c r="BB600" s="9">
        <f t="shared" si="491"/>
        <v>1.3250000000000028</v>
      </c>
      <c r="BC600" s="9">
        <f t="shared" si="492"/>
        <v>4.5</v>
      </c>
      <c r="BD600" s="9">
        <f t="shared" si="493"/>
        <v>1.625</v>
      </c>
      <c r="BE600" s="9">
        <f t="shared" si="494"/>
        <v>4.625</v>
      </c>
      <c r="BF600" s="9">
        <f t="shared" si="495"/>
        <v>0.625</v>
      </c>
      <c r="BG600" s="9">
        <f t="shared" si="496"/>
        <v>2.75</v>
      </c>
      <c r="BH600" s="9">
        <f t="shared" si="497"/>
        <v>6.125</v>
      </c>
      <c r="BI600" s="9">
        <f t="shared" si="498"/>
        <v>9.875</v>
      </c>
      <c r="BJ600" s="9">
        <f t="shared" si="499"/>
        <v>5.875</v>
      </c>
    </row>
    <row r="601" spans="1:62" x14ac:dyDescent="0.2">
      <c r="A601" s="9">
        <f>data!M602-data!M601</f>
        <v>0.74540000000000362</v>
      </c>
      <c r="B601" s="9">
        <f>data!C602-data!C601</f>
        <v>-1.5700000000000003</v>
      </c>
      <c r="C601" s="9">
        <f>data!D602-data!D601</f>
        <v>0.63750000000000107</v>
      </c>
      <c r="D601" s="10">
        <f>data!B602-data!B601</f>
        <v>0.20750000000000002</v>
      </c>
      <c r="E601" s="9">
        <f>data!E601-data!G601</f>
        <v>1.7050999999999998</v>
      </c>
      <c r="F601" s="9">
        <f>(data!E601-data!F601)-(data!G601-data!H601)</f>
        <v>0.77979999999999983</v>
      </c>
      <c r="G601" s="9">
        <f t="shared" si="450"/>
        <v>-6.0199999999999809E-2</v>
      </c>
      <c r="H601" s="9">
        <f t="shared" si="451"/>
        <v>-9.8899999999999766E-2</v>
      </c>
      <c r="I601" s="9">
        <f>IF(data!M602&gt; 111.81,1,0)</f>
        <v>1</v>
      </c>
      <c r="J601" s="9">
        <f t="shared" si="452"/>
        <v>0</v>
      </c>
      <c r="K601" s="9">
        <f t="shared" si="453"/>
        <v>0.74540000000000362</v>
      </c>
      <c r="L601" s="9">
        <f t="shared" si="454"/>
        <v>0</v>
      </c>
      <c r="M601" s="9">
        <f>data!J601</f>
        <v>-65.75</v>
      </c>
      <c r="N601" s="9">
        <f>data!I601</f>
        <v>-89</v>
      </c>
      <c r="O601" s="9">
        <f>data!L601</f>
        <v>-87.875</v>
      </c>
      <c r="P601" s="9">
        <f>data!K601</f>
        <v>-57.8</v>
      </c>
      <c r="Q601" s="9">
        <f>data!R601</f>
        <v>-48.8</v>
      </c>
      <c r="R601" s="9">
        <f t="shared" si="455"/>
        <v>-4.125</v>
      </c>
      <c r="S601" s="9">
        <f t="shared" si="456"/>
        <v>-9.5</v>
      </c>
      <c r="T601" s="9">
        <f t="shared" si="457"/>
        <v>-6.5</v>
      </c>
      <c r="U601" s="9">
        <f t="shared" si="458"/>
        <v>-1.5</v>
      </c>
      <c r="V601" s="9">
        <f t="shared" si="459"/>
        <v>-3.75</v>
      </c>
      <c r="W601" s="9">
        <f t="shared" si="460"/>
        <v>-8.25</v>
      </c>
      <c r="X601" s="9">
        <f t="shared" si="461"/>
        <v>-5.75</v>
      </c>
      <c r="Y601" s="9">
        <f t="shared" si="462"/>
        <v>-6.75</v>
      </c>
      <c r="Z601" s="9">
        <f t="shared" si="463"/>
        <v>-9.125</v>
      </c>
      <c r="AA601" s="9">
        <f t="shared" si="464"/>
        <v>4.5</v>
      </c>
      <c r="AB601" s="9">
        <f t="shared" si="465"/>
        <v>3</v>
      </c>
      <c r="AC601" s="9">
        <f t="shared" si="466"/>
        <v>7</v>
      </c>
      <c r="AD601" s="9">
        <f t="shared" si="467"/>
        <v>5.75</v>
      </c>
      <c r="AE601" s="9">
        <f t="shared" si="468"/>
        <v>6.625</v>
      </c>
      <c r="AF601" s="9">
        <f t="shared" si="469"/>
        <v>7</v>
      </c>
      <c r="AG601" s="9">
        <f t="shared" si="470"/>
        <v>8.25</v>
      </c>
      <c r="AH601" s="9">
        <f t="shared" si="471"/>
        <v>12.0625</v>
      </c>
      <c r="AI601" s="9">
        <f t="shared" si="472"/>
        <v>10.4375</v>
      </c>
      <c r="AJ601" s="9">
        <f t="shared" si="473"/>
        <v>3.625</v>
      </c>
      <c r="AK601" s="9">
        <f t="shared" si="474"/>
        <v>2.875</v>
      </c>
      <c r="AL601" s="9">
        <f t="shared" si="475"/>
        <v>7.875</v>
      </c>
      <c r="AM601" s="9">
        <f t="shared" si="476"/>
        <v>4.5</v>
      </c>
      <c r="AN601" s="9">
        <f t="shared" si="477"/>
        <v>6.375</v>
      </c>
      <c r="AO601" s="9">
        <f t="shared" si="478"/>
        <v>10.125</v>
      </c>
      <c r="AP601" s="9">
        <f t="shared" si="479"/>
        <v>13.75</v>
      </c>
      <c r="AQ601" s="9">
        <f t="shared" si="480"/>
        <v>15.25</v>
      </c>
      <c r="AR601" s="9">
        <f t="shared" si="481"/>
        <v>14.25</v>
      </c>
      <c r="AS601" s="9">
        <f t="shared" si="482"/>
        <v>1.0499999999999972</v>
      </c>
      <c r="AT601" s="9">
        <f t="shared" si="483"/>
        <v>-1.4500000000000028</v>
      </c>
      <c r="AU601" s="9">
        <f t="shared" si="484"/>
        <v>2.2999999999999972</v>
      </c>
      <c r="AV601" s="9">
        <f t="shared" si="485"/>
        <v>-1.5750000000000028</v>
      </c>
      <c r="AW601" s="9">
        <f t="shared" si="486"/>
        <v>0.17499999999999716</v>
      </c>
      <c r="AX601" s="9">
        <f t="shared" si="487"/>
        <v>3.5499999999999972</v>
      </c>
      <c r="AY601" s="9">
        <f t="shared" si="488"/>
        <v>7.5499999999999972</v>
      </c>
      <c r="AZ601" s="9">
        <f t="shared" si="489"/>
        <v>4.5499999999999972</v>
      </c>
      <c r="BA601" s="9">
        <f t="shared" si="490"/>
        <v>2.4249999999999972</v>
      </c>
      <c r="BB601" s="9">
        <f t="shared" si="491"/>
        <v>3.1749999999999972</v>
      </c>
      <c r="BC601" s="9">
        <f t="shared" si="492"/>
        <v>0.29999999999999716</v>
      </c>
      <c r="BD601" s="9">
        <f t="shared" si="493"/>
        <v>3.2999999999999972</v>
      </c>
      <c r="BE601" s="9">
        <f t="shared" si="494"/>
        <v>-0.70000000000000284</v>
      </c>
      <c r="BF601" s="9">
        <f t="shared" si="495"/>
        <v>1.4249999999999972</v>
      </c>
      <c r="BG601" s="9">
        <f t="shared" si="496"/>
        <v>4.7999999999999972</v>
      </c>
      <c r="BH601" s="9">
        <f t="shared" si="497"/>
        <v>8.5499999999999972</v>
      </c>
      <c r="BI601" s="9">
        <f t="shared" si="498"/>
        <v>4.5499999999999972</v>
      </c>
      <c r="BJ601" s="9">
        <f t="shared" si="499"/>
        <v>2.0499999999999972</v>
      </c>
    </row>
    <row r="602" spans="1:62" x14ac:dyDescent="0.2">
      <c r="A602" s="9">
        <f>data!M603-data!M602</f>
        <v>-0.11299999999999955</v>
      </c>
      <c r="B602" s="9">
        <f>data!C603-data!C602</f>
        <v>-0.52999999999999936</v>
      </c>
      <c r="C602" s="9">
        <f>data!D603-data!D602</f>
        <v>0.34249999999999936</v>
      </c>
      <c r="D602" s="10">
        <f>data!B603-data!B602</f>
        <v>7.4999999999999956E-2</v>
      </c>
      <c r="E602" s="9">
        <f>data!E602-data!G602</f>
        <v>1.6449</v>
      </c>
      <c r="F602" s="9">
        <f>(data!E602-data!F602)-(data!G602-data!H602)</f>
        <v>0.68090000000000006</v>
      </c>
      <c r="G602" s="9">
        <f t="shared" si="450"/>
        <v>0.1379999999999999</v>
      </c>
      <c r="H602" s="9">
        <f t="shared" si="451"/>
        <v>9.9599999999999911E-2</v>
      </c>
      <c r="I602" s="9">
        <f>IF(data!M603&gt; 111.81,1,0)</f>
        <v>1</v>
      </c>
      <c r="J602" s="9">
        <f t="shared" si="452"/>
        <v>0</v>
      </c>
      <c r="K602" s="9">
        <f t="shared" si="453"/>
        <v>-0.11299999999999955</v>
      </c>
      <c r="L602" s="9">
        <f t="shared" si="454"/>
        <v>0</v>
      </c>
      <c r="M602" s="9">
        <f>data!J602</f>
        <v>-69.875</v>
      </c>
      <c r="N602" s="9">
        <f>data!I602</f>
        <v>-84.5</v>
      </c>
      <c r="O602" s="9">
        <f>data!L602</f>
        <v>-84.25</v>
      </c>
      <c r="P602" s="9">
        <f>data!K602</f>
        <v>-56.75</v>
      </c>
      <c r="Q602" s="9">
        <f>data!R602</f>
        <v>-45.625</v>
      </c>
      <c r="R602" s="9">
        <f t="shared" si="455"/>
        <v>-5.375</v>
      </c>
      <c r="S602" s="9">
        <f t="shared" si="456"/>
        <v>-2.375</v>
      </c>
      <c r="T602" s="9">
        <f t="shared" si="457"/>
        <v>2.625</v>
      </c>
      <c r="U602" s="9">
        <f t="shared" si="458"/>
        <v>0.375</v>
      </c>
      <c r="V602" s="9">
        <f t="shared" si="459"/>
        <v>-4.125</v>
      </c>
      <c r="W602" s="9">
        <f t="shared" si="460"/>
        <v>-1.625</v>
      </c>
      <c r="X602" s="9">
        <f t="shared" si="461"/>
        <v>-2.625</v>
      </c>
      <c r="Y602" s="9">
        <f t="shared" si="462"/>
        <v>-5</v>
      </c>
      <c r="Z602" s="9">
        <f t="shared" si="463"/>
        <v>-1.625</v>
      </c>
      <c r="AA602" s="9">
        <f t="shared" si="464"/>
        <v>-1.5</v>
      </c>
      <c r="AB602" s="9">
        <f t="shared" si="465"/>
        <v>2.5</v>
      </c>
      <c r="AC602" s="9">
        <f t="shared" si="466"/>
        <v>1.25</v>
      </c>
      <c r="AD602" s="9">
        <f t="shared" si="467"/>
        <v>2.125</v>
      </c>
      <c r="AE602" s="9">
        <f t="shared" si="468"/>
        <v>2.5</v>
      </c>
      <c r="AF602" s="9">
        <f t="shared" si="469"/>
        <v>3.75</v>
      </c>
      <c r="AG602" s="9">
        <f t="shared" si="470"/>
        <v>7.5625</v>
      </c>
      <c r="AH602" s="9">
        <f t="shared" si="471"/>
        <v>5.9375</v>
      </c>
      <c r="AI602" s="9">
        <f t="shared" si="472"/>
        <v>7.4375</v>
      </c>
      <c r="AJ602" s="9">
        <f t="shared" si="473"/>
        <v>-0.75</v>
      </c>
      <c r="AK602" s="9">
        <f t="shared" si="474"/>
        <v>4.25</v>
      </c>
      <c r="AL602" s="9">
        <f t="shared" si="475"/>
        <v>0.875</v>
      </c>
      <c r="AM602" s="9">
        <f t="shared" si="476"/>
        <v>2.75</v>
      </c>
      <c r="AN602" s="9">
        <f t="shared" si="477"/>
        <v>6.5</v>
      </c>
      <c r="AO602" s="9">
        <f t="shared" si="478"/>
        <v>10.125</v>
      </c>
      <c r="AP602" s="9">
        <f t="shared" si="479"/>
        <v>11.625</v>
      </c>
      <c r="AQ602" s="9">
        <f t="shared" si="480"/>
        <v>10.625</v>
      </c>
      <c r="AR602" s="9">
        <f t="shared" si="481"/>
        <v>11.875</v>
      </c>
      <c r="AS602" s="9">
        <f t="shared" si="482"/>
        <v>-2.5</v>
      </c>
      <c r="AT602" s="9">
        <f t="shared" si="483"/>
        <v>1.25</v>
      </c>
      <c r="AU602" s="9">
        <f t="shared" si="484"/>
        <v>-2.625</v>
      </c>
      <c r="AV602" s="9">
        <f t="shared" si="485"/>
        <v>-0.875</v>
      </c>
      <c r="AW602" s="9">
        <f t="shared" si="486"/>
        <v>2.5</v>
      </c>
      <c r="AX602" s="9">
        <f t="shared" si="487"/>
        <v>6.5</v>
      </c>
      <c r="AY602" s="9">
        <f t="shared" si="488"/>
        <v>3.5</v>
      </c>
      <c r="AZ602" s="9">
        <f t="shared" si="489"/>
        <v>1.375</v>
      </c>
      <c r="BA602" s="9">
        <f t="shared" si="490"/>
        <v>0.875</v>
      </c>
      <c r="BB602" s="9">
        <f t="shared" si="491"/>
        <v>-2.875</v>
      </c>
      <c r="BC602" s="9">
        <f t="shared" si="492"/>
        <v>0.125</v>
      </c>
      <c r="BD602" s="9">
        <f t="shared" si="493"/>
        <v>-3.875</v>
      </c>
      <c r="BE602" s="9">
        <f t="shared" si="494"/>
        <v>-1.75</v>
      </c>
      <c r="BF602" s="9">
        <f t="shared" si="495"/>
        <v>1.625</v>
      </c>
      <c r="BG602" s="9">
        <f t="shared" si="496"/>
        <v>5.375</v>
      </c>
      <c r="BH602" s="9">
        <f t="shared" si="497"/>
        <v>1.375</v>
      </c>
      <c r="BI602" s="9">
        <f t="shared" si="498"/>
        <v>-1.125</v>
      </c>
      <c r="BJ602" s="9">
        <f t="shared" si="499"/>
        <v>-1.75</v>
      </c>
    </row>
    <row r="603" spans="1:62" x14ac:dyDescent="0.2">
      <c r="A603" s="9">
        <f>data!M604-data!M603</f>
        <v>0.70570000000000732</v>
      </c>
      <c r="B603" s="9">
        <f>data!C604-data!C603</f>
        <v>-0.65000000000000036</v>
      </c>
      <c r="C603" s="9">
        <f>data!D604-data!D603</f>
        <v>0.11500000000000021</v>
      </c>
      <c r="D603" s="10">
        <f>data!B604-data!B603</f>
        <v>1.2499999999999956E-2</v>
      </c>
      <c r="E603" s="9">
        <f>data!E603-data!G603</f>
        <v>1.7828999999999999</v>
      </c>
      <c r="F603" s="9">
        <f>(data!E603-data!F603)-(data!G603-data!H603)</f>
        <v>0.78049999999999997</v>
      </c>
      <c r="G603" s="9">
        <f t="shared" si="450"/>
        <v>1.0400000000000187E-2</v>
      </c>
      <c r="H603" s="9">
        <f t="shared" si="451"/>
        <v>-2.4699999999999944E-2</v>
      </c>
      <c r="I603" s="9">
        <f>IF(data!M604&gt; 111.81,1,0)</f>
        <v>1</v>
      </c>
      <c r="J603" s="9">
        <f t="shared" si="452"/>
        <v>0</v>
      </c>
      <c r="K603" s="9">
        <f t="shared" si="453"/>
        <v>0.70570000000000732</v>
      </c>
      <c r="L603" s="9">
        <f t="shared" si="454"/>
        <v>0</v>
      </c>
      <c r="M603" s="9">
        <f>data!J603</f>
        <v>-75.25</v>
      </c>
      <c r="N603" s="9">
        <f>data!I603</f>
        <v>-86</v>
      </c>
      <c r="O603" s="9">
        <f>data!L603</f>
        <v>-85</v>
      </c>
      <c r="P603" s="9">
        <f>data!K603</f>
        <v>-59.25</v>
      </c>
      <c r="Q603" s="9">
        <f>data!R603</f>
        <v>-48.5</v>
      </c>
      <c r="R603" s="9">
        <f t="shared" si="455"/>
        <v>3</v>
      </c>
      <c r="S603" s="9">
        <f t="shared" si="456"/>
        <v>8</v>
      </c>
      <c r="T603" s="9">
        <f t="shared" si="457"/>
        <v>5.75</v>
      </c>
      <c r="U603" s="9">
        <f t="shared" si="458"/>
        <v>1.25</v>
      </c>
      <c r="V603" s="9">
        <f t="shared" si="459"/>
        <v>3.75</v>
      </c>
      <c r="W603" s="9">
        <f t="shared" si="460"/>
        <v>2.75</v>
      </c>
      <c r="X603" s="9">
        <f t="shared" si="461"/>
        <v>0.375</v>
      </c>
      <c r="Y603" s="9">
        <f t="shared" si="462"/>
        <v>3.75</v>
      </c>
      <c r="Z603" s="9">
        <f t="shared" si="463"/>
        <v>3.375</v>
      </c>
      <c r="AA603" s="9">
        <f t="shared" si="464"/>
        <v>4</v>
      </c>
      <c r="AB603" s="9">
        <f t="shared" si="465"/>
        <v>2.75</v>
      </c>
      <c r="AC603" s="9">
        <f t="shared" si="466"/>
        <v>3.625</v>
      </c>
      <c r="AD603" s="9">
        <f t="shared" si="467"/>
        <v>4</v>
      </c>
      <c r="AE603" s="9">
        <f t="shared" si="468"/>
        <v>5.25</v>
      </c>
      <c r="AF603" s="9">
        <f t="shared" si="469"/>
        <v>9.0625</v>
      </c>
      <c r="AG603" s="9">
        <f t="shared" si="470"/>
        <v>7.4375</v>
      </c>
      <c r="AH603" s="9">
        <f t="shared" si="471"/>
        <v>8.9375</v>
      </c>
      <c r="AI603" s="9">
        <f t="shared" si="472"/>
        <v>5.125</v>
      </c>
      <c r="AJ603" s="9">
        <f t="shared" si="473"/>
        <v>5</v>
      </c>
      <c r="AK603" s="9">
        <f t="shared" si="474"/>
        <v>1.625</v>
      </c>
      <c r="AL603" s="9">
        <f t="shared" si="475"/>
        <v>3.5</v>
      </c>
      <c r="AM603" s="9">
        <f t="shared" si="476"/>
        <v>7.25</v>
      </c>
      <c r="AN603" s="9">
        <f t="shared" si="477"/>
        <v>10.875</v>
      </c>
      <c r="AO603" s="9">
        <f t="shared" si="478"/>
        <v>12.375</v>
      </c>
      <c r="AP603" s="9">
        <f t="shared" si="479"/>
        <v>11.375</v>
      </c>
      <c r="AQ603" s="9">
        <f t="shared" si="480"/>
        <v>12.625</v>
      </c>
      <c r="AR603" s="9">
        <f t="shared" si="481"/>
        <v>8.75</v>
      </c>
      <c r="AS603" s="9">
        <f t="shared" si="482"/>
        <v>3.75</v>
      </c>
      <c r="AT603" s="9">
        <f t="shared" si="483"/>
        <v>-0.125</v>
      </c>
      <c r="AU603" s="9">
        <f t="shared" si="484"/>
        <v>1.625</v>
      </c>
      <c r="AV603" s="9">
        <f t="shared" si="485"/>
        <v>5</v>
      </c>
      <c r="AW603" s="9">
        <f t="shared" si="486"/>
        <v>9</v>
      </c>
      <c r="AX603" s="9">
        <f t="shared" si="487"/>
        <v>6</v>
      </c>
      <c r="AY603" s="9">
        <f t="shared" si="488"/>
        <v>3.875</v>
      </c>
      <c r="AZ603" s="9">
        <f t="shared" si="489"/>
        <v>3.375</v>
      </c>
      <c r="BA603" s="9">
        <f t="shared" si="490"/>
        <v>-1.25</v>
      </c>
      <c r="BB603" s="9">
        <f t="shared" si="491"/>
        <v>3</v>
      </c>
      <c r="BC603" s="9">
        <f t="shared" si="492"/>
        <v>-1</v>
      </c>
      <c r="BD603" s="9">
        <f t="shared" si="493"/>
        <v>1.125</v>
      </c>
      <c r="BE603" s="9">
        <f t="shared" si="494"/>
        <v>4.5</v>
      </c>
      <c r="BF603" s="9">
        <f t="shared" si="495"/>
        <v>8.25</v>
      </c>
      <c r="BG603" s="9">
        <f t="shared" si="496"/>
        <v>4.25</v>
      </c>
      <c r="BH603" s="9">
        <f t="shared" si="497"/>
        <v>1.75</v>
      </c>
      <c r="BI603" s="9">
        <f t="shared" si="498"/>
        <v>1.125</v>
      </c>
      <c r="BJ603" s="9">
        <f t="shared" si="499"/>
        <v>-3.25</v>
      </c>
    </row>
    <row r="604" spans="1:62" x14ac:dyDescent="0.2">
      <c r="A604" s="9">
        <f>data!M605-data!M604</f>
        <v>-1.1150000000000091</v>
      </c>
      <c r="B604" s="9">
        <f>data!C605-data!C604</f>
        <v>-0.15000000000000036</v>
      </c>
      <c r="C604" s="9">
        <f>data!D605-data!D604</f>
        <v>-1.8200000000000003</v>
      </c>
      <c r="D604" s="10">
        <f>data!B605-data!B604</f>
        <v>0.10499999999999998</v>
      </c>
      <c r="E604" s="9">
        <f>data!E604-data!G604</f>
        <v>1.7933000000000001</v>
      </c>
      <c r="F604" s="9">
        <f>(data!E604-data!F604)-(data!G604-data!H604)</f>
        <v>0.75580000000000003</v>
      </c>
      <c r="G604" s="9">
        <f t="shared" si="450"/>
        <v>-0.1452</v>
      </c>
      <c r="H604" s="9">
        <f t="shared" si="451"/>
        <v>-2.3099999999999898E-2</v>
      </c>
      <c r="I604" s="9">
        <f>IF(data!M605&gt; 111.81,1,0)</f>
        <v>1</v>
      </c>
      <c r="J604" s="9">
        <f t="shared" si="452"/>
        <v>0</v>
      </c>
      <c r="K604" s="9">
        <f t="shared" si="453"/>
        <v>-1.1150000000000091</v>
      </c>
      <c r="L604" s="9">
        <f t="shared" si="454"/>
        <v>0</v>
      </c>
      <c r="M604" s="9">
        <f>data!J604</f>
        <v>-72.25</v>
      </c>
      <c r="N604" s="9">
        <f>data!I604</f>
        <v>-82</v>
      </c>
      <c r="O604" s="9">
        <f>data!L604</f>
        <v>-80</v>
      </c>
      <c r="P604" s="9">
        <f>data!K604</f>
        <v>-55.5</v>
      </c>
      <c r="Q604" s="9">
        <f>data!R604</f>
        <v>-45.5</v>
      </c>
      <c r="R604" s="9">
        <f t="shared" si="455"/>
        <v>5</v>
      </c>
      <c r="S604" s="9">
        <f t="shared" si="456"/>
        <v>2.75</v>
      </c>
      <c r="T604" s="9">
        <f t="shared" si="457"/>
        <v>-1.75</v>
      </c>
      <c r="U604" s="9">
        <f t="shared" si="458"/>
        <v>0.75</v>
      </c>
      <c r="V604" s="9">
        <f t="shared" si="459"/>
        <v>-0.25</v>
      </c>
      <c r="W604" s="9">
        <f t="shared" si="460"/>
        <v>-2.625</v>
      </c>
      <c r="X604" s="9">
        <f t="shared" si="461"/>
        <v>0.75</v>
      </c>
      <c r="Y604" s="9">
        <f t="shared" si="462"/>
        <v>0.375</v>
      </c>
      <c r="Z604" s="9">
        <f t="shared" si="463"/>
        <v>3.25</v>
      </c>
      <c r="AA604" s="9">
        <f t="shared" si="464"/>
        <v>-1.25</v>
      </c>
      <c r="AB604" s="9">
        <f t="shared" si="465"/>
        <v>-0.375</v>
      </c>
      <c r="AC604" s="9">
        <f t="shared" si="466"/>
        <v>0</v>
      </c>
      <c r="AD604" s="9">
        <f t="shared" si="467"/>
        <v>1.25</v>
      </c>
      <c r="AE604" s="9">
        <f t="shared" si="468"/>
        <v>5.0625</v>
      </c>
      <c r="AF604" s="9">
        <f t="shared" si="469"/>
        <v>3.4375</v>
      </c>
      <c r="AG604" s="9">
        <f t="shared" si="470"/>
        <v>4.9375</v>
      </c>
      <c r="AH604" s="9">
        <f t="shared" si="471"/>
        <v>1.125</v>
      </c>
      <c r="AI604" s="9">
        <f t="shared" si="472"/>
        <v>2.75</v>
      </c>
      <c r="AJ604" s="9">
        <f t="shared" si="473"/>
        <v>-3.375</v>
      </c>
      <c r="AK604" s="9">
        <f t="shared" si="474"/>
        <v>-1.5</v>
      </c>
      <c r="AL604" s="9">
        <f t="shared" si="475"/>
        <v>2.25</v>
      </c>
      <c r="AM604" s="9">
        <f t="shared" si="476"/>
        <v>5.875</v>
      </c>
      <c r="AN604" s="9">
        <f t="shared" si="477"/>
        <v>7.375</v>
      </c>
      <c r="AO604" s="9">
        <f t="shared" si="478"/>
        <v>6.375</v>
      </c>
      <c r="AP604" s="9">
        <f t="shared" si="479"/>
        <v>7.625</v>
      </c>
      <c r="AQ604" s="9">
        <f t="shared" si="480"/>
        <v>3.75</v>
      </c>
      <c r="AR604" s="9">
        <f t="shared" si="481"/>
        <v>4.375</v>
      </c>
      <c r="AS604" s="9">
        <f t="shared" si="482"/>
        <v>-3.875</v>
      </c>
      <c r="AT604" s="9">
        <f t="shared" si="483"/>
        <v>-2.125</v>
      </c>
      <c r="AU604" s="9">
        <f t="shared" si="484"/>
        <v>1.25</v>
      </c>
      <c r="AV604" s="9">
        <f t="shared" si="485"/>
        <v>5.25</v>
      </c>
      <c r="AW604" s="9">
        <f t="shared" si="486"/>
        <v>2.25</v>
      </c>
      <c r="AX604" s="9">
        <f t="shared" si="487"/>
        <v>0.125</v>
      </c>
      <c r="AY604" s="9">
        <f t="shared" si="488"/>
        <v>-0.375</v>
      </c>
      <c r="AZ604" s="9">
        <f t="shared" si="489"/>
        <v>-5</v>
      </c>
      <c r="BA604" s="9">
        <f t="shared" si="490"/>
        <v>-4.875</v>
      </c>
      <c r="BB604" s="9">
        <f t="shared" si="491"/>
        <v>-4</v>
      </c>
      <c r="BC604" s="9">
        <f t="shared" si="492"/>
        <v>-1.875</v>
      </c>
      <c r="BD604" s="9">
        <f t="shared" si="493"/>
        <v>1.5</v>
      </c>
      <c r="BE604" s="9">
        <f t="shared" si="494"/>
        <v>5.25</v>
      </c>
      <c r="BF604" s="9">
        <f t="shared" si="495"/>
        <v>1.25</v>
      </c>
      <c r="BG604" s="9">
        <f t="shared" si="496"/>
        <v>-1.25</v>
      </c>
      <c r="BH604" s="9">
        <f t="shared" si="497"/>
        <v>-1.875</v>
      </c>
      <c r="BI604" s="9">
        <f t="shared" si="498"/>
        <v>-6.25</v>
      </c>
      <c r="BJ604" s="9">
        <f t="shared" si="499"/>
        <v>-6.125</v>
      </c>
    </row>
    <row r="605" spans="1:62" x14ac:dyDescent="0.2">
      <c r="A605" s="9">
        <f>data!M606-data!M605</f>
        <v>0.48490000000001032</v>
      </c>
      <c r="B605" s="9">
        <f>data!C606-data!C605</f>
        <v>-0.47999999999999865</v>
      </c>
      <c r="C605" s="9">
        <f>data!D606-data!D605</f>
        <v>6.0000000000000497E-2</v>
      </c>
      <c r="D605" s="10">
        <f>data!B606-data!B605</f>
        <v>7.2500000000000009E-2</v>
      </c>
      <c r="E605" s="9">
        <f>data!E605-data!G605</f>
        <v>1.6481000000000001</v>
      </c>
      <c r="F605" s="9">
        <f>(data!E605-data!F605)-(data!G605-data!H605)</f>
        <v>0.73270000000000013</v>
      </c>
      <c r="G605" s="9">
        <f t="shared" si="450"/>
        <v>3.839999999999999E-2</v>
      </c>
      <c r="H605" s="9">
        <f t="shared" si="451"/>
        <v>3.5699999999999954E-2</v>
      </c>
      <c r="I605" s="9">
        <f>IF(data!M606&gt; 111.81,1,0)</f>
        <v>1</v>
      </c>
      <c r="J605" s="9">
        <f t="shared" si="452"/>
        <v>0</v>
      </c>
      <c r="K605" s="9">
        <f t="shared" si="453"/>
        <v>0.48490000000001032</v>
      </c>
      <c r="L605" s="9">
        <f t="shared" si="454"/>
        <v>0</v>
      </c>
      <c r="M605" s="9">
        <f>data!J605</f>
        <v>-67.25</v>
      </c>
      <c r="N605" s="9">
        <f>data!I605</f>
        <v>-83.25</v>
      </c>
      <c r="O605" s="9">
        <f>data!L605</f>
        <v>-83.375</v>
      </c>
      <c r="P605" s="9">
        <f>data!K605</f>
        <v>-59.375</v>
      </c>
      <c r="Q605" s="9">
        <f>data!R605</f>
        <v>-49.5</v>
      </c>
      <c r="R605" s="9">
        <f t="shared" si="455"/>
        <v>-2.25</v>
      </c>
      <c r="S605" s="9">
        <f t="shared" si="456"/>
        <v>-6.75</v>
      </c>
      <c r="T605" s="9">
        <f t="shared" si="457"/>
        <v>-4.25</v>
      </c>
      <c r="U605" s="9">
        <f t="shared" si="458"/>
        <v>-5.25</v>
      </c>
      <c r="V605" s="9">
        <f t="shared" si="459"/>
        <v>-7.625</v>
      </c>
      <c r="W605" s="9">
        <f t="shared" si="460"/>
        <v>-4.25</v>
      </c>
      <c r="X605" s="9">
        <f t="shared" si="461"/>
        <v>-4.625</v>
      </c>
      <c r="Y605" s="9">
        <f t="shared" si="462"/>
        <v>-1.75</v>
      </c>
      <c r="Z605" s="9">
        <f t="shared" si="463"/>
        <v>-5.25</v>
      </c>
      <c r="AA605" s="9">
        <f t="shared" si="464"/>
        <v>0.875</v>
      </c>
      <c r="AB605" s="9">
        <f t="shared" si="465"/>
        <v>1.25</v>
      </c>
      <c r="AC605" s="9">
        <f t="shared" si="466"/>
        <v>2.5</v>
      </c>
      <c r="AD605" s="9">
        <f t="shared" si="467"/>
        <v>6.3125</v>
      </c>
      <c r="AE605" s="9">
        <f t="shared" si="468"/>
        <v>4.6875</v>
      </c>
      <c r="AF605" s="9">
        <f t="shared" si="469"/>
        <v>6.1875</v>
      </c>
      <c r="AG605" s="9">
        <f t="shared" si="470"/>
        <v>2.375</v>
      </c>
      <c r="AH605" s="9">
        <f t="shared" si="471"/>
        <v>4</v>
      </c>
      <c r="AI605" s="9">
        <f t="shared" si="472"/>
        <v>5.3125</v>
      </c>
      <c r="AJ605" s="9">
        <f t="shared" si="473"/>
        <v>1.875</v>
      </c>
      <c r="AK605" s="9">
        <f t="shared" si="474"/>
        <v>5.625</v>
      </c>
      <c r="AL605" s="9">
        <f t="shared" si="475"/>
        <v>9.25</v>
      </c>
      <c r="AM605" s="9">
        <f t="shared" si="476"/>
        <v>10.75</v>
      </c>
      <c r="AN605" s="9">
        <f t="shared" si="477"/>
        <v>9.75</v>
      </c>
      <c r="AO605" s="9">
        <f t="shared" si="478"/>
        <v>11</v>
      </c>
      <c r="AP605" s="9">
        <f t="shared" si="479"/>
        <v>7.125</v>
      </c>
      <c r="AQ605" s="9">
        <f t="shared" si="480"/>
        <v>7.75</v>
      </c>
      <c r="AR605" s="9">
        <f t="shared" si="481"/>
        <v>8.375</v>
      </c>
      <c r="AS605" s="9">
        <f t="shared" si="482"/>
        <v>1.75</v>
      </c>
      <c r="AT605" s="9">
        <f t="shared" si="483"/>
        <v>5.125</v>
      </c>
      <c r="AU605" s="9">
        <f t="shared" si="484"/>
        <v>9.125</v>
      </c>
      <c r="AV605" s="9">
        <f t="shared" si="485"/>
        <v>6.125</v>
      </c>
      <c r="AW605" s="9">
        <f t="shared" si="486"/>
        <v>4</v>
      </c>
      <c r="AX605" s="9">
        <f t="shared" si="487"/>
        <v>3.5</v>
      </c>
      <c r="AY605" s="9">
        <f t="shared" si="488"/>
        <v>-1.125</v>
      </c>
      <c r="AZ605" s="9">
        <f t="shared" si="489"/>
        <v>-1</v>
      </c>
      <c r="BA605" s="9">
        <f t="shared" si="490"/>
        <v>-1.125</v>
      </c>
      <c r="BB605" s="9">
        <f t="shared" si="491"/>
        <v>2.125</v>
      </c>
      <c r="BC605" s="9">
        <f t="shared" si="492"/>
        <v>5.5</v>
      </c>
      <c r="BD605" s="9">
        <f t="shared" si="493"/>
        <v>9.25</v>
      </c>
      <c r="BE605" s="9">
        <f t="shared" si="494"/>
        <v>5.25</v>
      </c>
      <c r="BF605" s="9">
        <f t="shared" si="495"/>
        <v>2.75</v>
      </c>
      <c r="BG605" s="9">
        <f t="shared" si="496"/>
        <v>2.125</v>
      </c>
      <c r="BH605" s="9">
        <f t="shared" si="497"/>
        <v>-2.25</v>
      </c>
      <c r="BI605" s="9">
        <f t="shared" si="498"/>
        <v>-2.125</v>
      </c>
      <c r="BJ605" s="9">
        <f t="shared" si="499"/>
        <v>-2.5</v>
      </c>
    </row>
    <row r="606" spans="1:62" x14ac:dyDescent="0.2">
      <c r="A606" s="9">
        <f>data!M607-data!M606</f>
        <v>-1.1801999999999992</v>
      </c>
      <c r="B606" s="9">
        <f>data!C607-data!C606</f>
        <v>0.16000000000000014</v>
      </c>
      <c r="C606" s="9">
        <f>data!D607-data!D606</f>
        <v>0.39499999999999957</v>
      </c>
      <c r="D606" s="10">
        <f>data!B607-data!B606</f>
        <v>7.7499999999999902E-2</v>
      </c>
      <c r="E606" s="9">
        <f>data!E606-data!G606</f>
        <v>1.6865000000000001</v>
      </c>
      <c r="F606" s="9">
        <f>(data!E606-data!F606)-(data!G606-data!H606)</f>
        <v>0.76840000000000008</v>
      </c>
      <c r="G606" s="9">
        <f t="shared" si="450"/>
        <v>-6.2999999999999945E-2</v>
      </c>
      <c r="H606" s="9">
        <f t="shared" si="451"/>
        <v>-4.9599999999999977E-2</v>
      </c>
      <c r="I606" s="9">
        <f>IF(data!M607&gt; 111.81,1,0)</f>
        <v>0</v>
      </c>
      <c r="J606" s="9">
        <f t="shared" si="452"/>
        <v>1</v>
      </c>
      <c r="K606" s="9">
        <f t="shared" si="453"/>
        <v>0</v>
      </c>
      <c r="L606" s="9">
        <f t="shared" si="454"/>
        <v>-1.1801999999999992</v>
      </c>
      <c r="M606" s="9">
        <f>data!J606</f>
        <v>-69.5</v>
      </c>
      <c r="N606" s="9">
        <f>data!I606</f>
        <v>-82.375</v>
      </c>
      <c r="O606" s="9">
        <f>data!L606</f>
        <v>-81.5</v>
      </c>
      <c r="P606" s="9">
        <f>data!K606</f>
        <v>-57.625</v>
      </c>
      <c r="Q606" s="9">
        <f>data!R606</f>
        <v>-47.375</v>
      </c>
      <c r="R606" s="9">
        <f t="shared" si="455"/>
        <v>-4.5</v>
      </c>
      <c r="S606" s="9">
        <f t="shared" si="456"/>
        <v>-2</v>
      </c>
      <c r="T606" s="9">
        <f t="shared" si="457"/>
        <v>-3</v>
      </c>
      <c r="U606" s="9">
        <f t="shared" si="458"/>
        <v>-5.375</v>
      </c>
      <c r="V606" s="9">
        <f t="shared" si="459"/>
        <v>-2</v>
      </c>
      <c r="W606" s="9">
        <f t="shared" si="460"/>
        <v>-2.375</v>
      </c>
      <c r="X606" s="9">
        <f t="shared" si="461"/>
        <v>0.5</v>
      </c>
      <c r="Y606" s="9">
        <f t="shared" si="462"/>
        <v>-3</v>
      </c>
      <c r="Z606" s="9">
        <f t="shared" si="463"/>
        <v>0.25</v>
      </c>
      <c r="AA606" s="9">
        <f t="shared" si="464"/>
        <v>0.375</v>
      </c>
      <c r="AB606" s="9">
        <f t="shared" si="465"/>
        <v>1.625</v>
      </c>
      <c r="AC606" s="9">
        <f t="shared" si="466"/>
        <v>5.4375</v>
      </c>
      <c r="AD606" s="9">
        <f t="shared" si="467"/>
        <v>3.8125</v>
      </c>
      <c r="AE606" s="9">
        <f t="shared" si="468"/>
        <v>5.3125</v>
      </c>
      <c r="AF606" s="9">
        <f t="shared" si="469"/>
        <v>1.5</v>
      </c>
      <c r="AG606" s="9">
        <f t="shared" si="470"/>
        <v>3.125</v>
      </c>
      <c r="AH606" s="9">
        <f t="shared" si="471"/>
        <v>4.4375</v>
      </c>
      <c r="AI606" s="9">
        <f t="shared" si="472"/>
        <v>3.375</v>
      </c>
      <c r="AJ606" s="9">
        <f t="shared" si="473"/>
        <v>3.75</v>
      </c>
      <c r="AK606" s="9">
        <f t="shared" si="474"/>
        <v>7.375</v>
      </c>
      <c r="AL606" s="9">
        <f t="shared" si="475"/>
        <v>8.875</v>
      </c>
      <c r="AM606" s="9">
        <f t="shared" si="476"/>
        <v>7.875</v>
      </c>
      <c r="AN606" s="9">
        <f t="shared" si="477"/>
        <v>9.125</v>
      </c>
      <c r="AO606" s="9">
        <f t="shared" si="478"/>
        <v>5.25</v>
      </c>
      <c r="AP606" s="9">
        <f t="shared" si="479"/>
        <v>5.875</v>
      </c>
      <c r="AQ606" s="9">
        <f t="shared" si="480"/>
        <v>6.5</v>
      </c>
      <c r="AR606" s="9">
        <f t="shared" si="481"/>
        <v>6</v>
      </c>
      <c r="AS606" s="9">
        <f t="shared" si="482"/>
        <v>3.375</v>
      </c>
      <c r="AT606" s="9">
        <f t="shared" si="483"/>
        <v>7.375</v>
      </c>
      <c r="AU606" s="9">
        <f t="shared" si="484"/>
        <v>4.375</v>
      </c>
      <c r="AV606" s="9">
        <f t="shared" si="485"/>
        <v>2.25</v>
      </c>
      <c r="AW606" s="9">
        <f t="shared" si="486"/>
        <v>1.75</v>
      </c>
      <c r="AX606" s="9">
        <f t="shared" si="487"/>
        <v>-2.875</v>
      </c>
      <c r="AY606" s="9">
        <f t="shared" si="488"/>
        <v>-2.75</v>
      </c>
      <c r="AZ606" s="9">
        <f t="shared" si="489"/>
        <v>-2.875</v>
      </c>
      <c r="BA606" s="9">
        <f t="shared" si="490"/>
        <v>-3</v>
      </c>
      <c r="BB606" s="9">
        <f t="shared" si="491"/>
        <v>3.375</v>
      </c>
      <c r="BC606" s="9">
        <f t="shared" si="492"/>
        <v>7.125</v>
      </c>
      <c r="BD606" s="9">
        <f t="shared" si="493"/>
        <v>3.125</v>
      </c>
      <c r="BE606" s="9">
        <f t="shared" si="494"/>
        <v>0.625</v>
      </c>
      <c r="BF606" s="9">
        <f t="shared" si="495"/>
        <v>0</v>
      </c>
      <c r="BG606" s="9">
        <f t="shared" si="496"/>
        <v>-4.375</v>
      </c>
      <c r="BH606" s="9">
        <f t="shared" si="497"/>
        <v>-4.25</v>
      </c>
      <c r="BI606" s="9">
        <f t="shared" si="498"/>
        <v>-4.625</v>
      </c>
      <c r="BJ606" s="9">
        <f t="shared" si="499"/>
        <v>-4.75</v>
      </c>
    </row>
    <row r="607" spans="1:62" x14ac:dyDescent="0.2">
      <c r="A607" s="9">
        <f>data!M608-data!M607</f>
        <v>-0.36240000000000805</v>
      </c>
      <c r="B607" s="9">
        <f>data!C608-data!C607</f>
        <v>-0.21000000000000085</v>
      </c>
      <c r="C607" s="9">
        <f>data!D608-data!D607</f>
        <v>1.0050000000000008</v>
      </c>
      <c r="D607" s="10">
        <f>data!B608-data!B607</f>
        <v>-3.7499999999999867E-2</v>
      </c>
      <c r="E607" s="9">
        <f>data!E607-data!G607</f>
        <v>1.6235000000000002</v>
      </c>
      <c r="F607" s="9">
        <f>(data!E607-data!F607)-(data!G607-data!H607)</f>
        <v>0.71880000000000011</v>
      </c>
      <c r="G607" s="9">
        <f t="shared" si="450"/>
        <v>3.7599999999999856E-2</v>
      </c>
      <c r="H607" s="9">
        <f t="shared" si="451"/>
        <v>-1.1600000000000055E-2</v>
      </c>
      <c r="I607" s="9">
        <f>IF(data!M608&gt; 111.81,1,0)</f>
        <v>0</v>
      </c>
      <c r="J607" s="9">
        <f t="shared" si="452"/>
        <v>1</v>
      </c>
      <c r="K607" s="9">
        <f t="shared" si="453"/>
        <v>0</v>
      </c>
      <c r="L607" s="9">
        <f t="shared" si="454"/>
        <v>-0.36240000000000805</v>
      </c>
      <c r="M607" s="9">
        <f>data!J607</f>
        <v>-74</v>
      </c>
      <c r="N607" s="9">
        <f>data!I607</f>
        <v>-82</v>
      </c>
      <c r="O607" s="9">
        <f>data!L607</f>
        <v>-77.75</v>
      </c>
      <c r="P607" s="9">
        <f>data!K607</f>
        <v>-54.25</v>
      </c>
      <c r="Q607" s="9">
        <f>data!R607</f>
        <v>-44</v>
      </c>
      <c r="R607" s="9">
        <f t="shared" si="455"/>
        <v>2.5</v>
      </c>
      <c r="S607" s="9">
        <f t="shared" si="456"/>
        <v>1.5</v>
      </c>
      <c r="T607" s="9">
        <f t="shared" si="457"/>
        <v>-0.875</v>
      </c>
      <c r="U607" s="9">
        <f t="shared" si="458"/>
        <v>2.5</v>
      </c>
      <c r="V607" s="9">
        <f t="shared" si="459"/>
        <v>2.125</v>
      </c>
      <c r="W607" s="9">
        <f t="shared" si="460"/>
        <v>5</v>
      </c>
      <c r="X607" s="9">
        <f t="shared" si="461"/>
        <v>1.5</v>
      </c>
      <c r="Y607" s="9">
        <f t="shared" si="462"/>
        <v>4.75</v>
      </c>
      <c r="Z607" s="9">
        <f t="shared" si="463"/>
        <v>5.5</v>
      </c>
      <c r="AA607" s="9">
        <f t="shared" si="464"/>
        <v>1.25</v>
      </c>
      <c r="AB607" s="9">
        <f t="shared" si="465"/>
        <v>5.0625</v>
      </c>
      <c r="AC607" s="9">
        <f t="shared" si="466"/>
        <v>3.4375</v>
      </c>
      <c r="AD607" s="9">
        <f t="shared" si="467"/>
        <v>4.9375</v>
      </c>
      <c r="AE607" s="9">
        <f t="shared" si="468"/>
        <v>1.125</v>
      </c>
      <c r="AF607" s="9">
        <f t="shared" si="469"/>
        <v>2.75</v>
      </c>
      <c r="AG607" s="9">
        <f t="shared" si="470"/>
        <v>4.0625</v>
      </c>
      <c r="AH607" s="9">
        <f t="shared" si="471"/>
        <v>3</v>
      </c>
      <c r="AI607" s="9">
        <f t="shared" si="472"/>
        <v>4.125</v>
      </c>
      <c r="AJ607" s="9">
        <f t="shared" si="473"/>
        <v>3.625</v>
      </c>
      <c r="AK607" s="9">
        <f t="shared" si="474"/>
        <v>5.125</v>
      </c>
      <c r="AL607" s="9">
        <f t="shared" si="475"/>
        <v>4.125</v>
      </c>
      <c r="AM607" s="9">
        <f t="shared" si="476"/>
        <v>5.375</v>
      </c>
      <c r="AN607" s="9">
        <f t="shared" si="477"/>
        <v>1.5</v>
      </c>
      <c r="AO607" s="9">
        <f t="shared" si="478"/>
        <v>2.125</v>
      </c>
      <c r="AP607" s="9">
        <f t="shared" si="479"/>
        <v>2.75</v>
      </c>
      <c r="AQ607" s="9">
        <f t="shared" si="480"/>
        <v>2.25</v>
      </c>
      <c r="AR607" s="9">
        <f t="shared" si="481"/>
        <v>3.75</v>
      </c>
      <c r="AS607" s="9">
        <f t="shared" si="482"/>
        <v>4</v>
      </c>
      <c r="AT607" s="9">
        <f t="shared" si="483"/>
        <v>1</v>
      </c>
      <c r="AU607" s="9">
        <f t="shared" si="484"/>
        <v>-1.125</v>
      </c>
      <c r="AV607" s="9">
        <f t="shared" si="485"/>
        <v>-1.625</v>
      </c>
      <c r="AW607" s="9">
        <f t="shared" si="486"/>
        <v>-6.25</v>
      </c>
      <c r="AX607" s="9">
        <f t="shared" si="487"/>
        <v>-6.125</v>
      </c>
      <c r="AY607" s="9">
        <f t="shared" si="488"/>
        <v>-6.25</v>
      </c>
      <c r="AZ607" s="9">
        <f t="shared" si="489"/>
        <v>-6.375</v>
      </c>
      <c r="BA607" s="9">
        <f t="shared" si="490"/>
        <v>-4.5</v>
      </c>
      <c r="BB607" s="9">
        <f t="shared" si="491"/>
        <v>3.75</v>
      </c>
      <c r="BC607" s="9">
        <f t="shared" si="492"/>
        <v>-0.25</v>
      </c>
      <c r="BD607" s="9">
        <f t="shared" si="493"/>
        <v>-2.75</v>
      </c>
      <c r="BE607" s="9">
        <f t="shared" si="494"/>
        <v>-3.375</v>
      </c>
      <c r="BF607" s="9">
        <f t="shared" si="495"/>
        <v>-7.75</v>
      </c>
      <c r="BG607" s="9">
        <f t="shared" si="496"/>
        <v>-7.625</v>
      </c>
      <c r="BH607" s="9">
        <f t="shared" si="497"/>
        <v>-8</v>
      </c>
      <c r="BI607" s="9">
        <f t="shared" si="498"/>
        <v>-8.125</v>
      </c>
      <c r="BJ607" s="9">
        <f t="shared" si="499"/>
        <v>-6</v>
      </c>
    </row>
    <row r="608" spans="1:62" x14ac:dyDescent="0.2">
      <c r="A608" s="9">
        <f>data!M609-data!M608</f>
        <v>0.38720000000000709</v>
      </c>
      <c r="B608" s="9">
        <f>data!C609-data!C608</f>
        <v>2.3100000000000005</v>
      </c>
      <c r="C608" s="9">
        <f>data!D609-data!D608</f>
        <v>-0.19500000000000028</v>
      </c>
      <c r="D608" s="10">
        <f>data!B609-data!B608</f>
        <v>-0.10000000000000009</v>
      </c>
      <c r="E608" s="9">
        <f>data!E608-data!G608</f>
        <v>1.6611</v>
      </c>
      <c r="F608" s="9">
        <f>(data!E608-data!F608)-(data!G608-data!H608)</f>
        <v>0.70720000000000005</v>
      </c>
      <c r="G608" s="9">
        <f t="shared" si="450"/>
        <v>4.3499999999999872E-2</v>
      </c>
      <c r="H608" s="9">
        <f t="shared" si="451"/>
        <v>-2.4400000000000088E-2</v>
      </c>
      <c r="I608" s="9">
        <f>IF(data!M609&gt; 111.81,1,0)</f>
        <v>0</v>
      </c>
      <c r="J608" s="9">
        <f t="shared" si="452"/>
        <v>1</v>
      </c>
      <c r="K608" s="9">
        <f t="shared" si="453"/>
        <v>0</v>
      </c>
      <c r="L608" s="9">
        <f t="shared" si="454"/>
        <v>0.38720000000000709</v>
      </c>
      <c r="M608" s="9">
        <f>data!J608</f>
        <v>-71.5</v>
      </c>
      <c r="N608" s="9">
        <f>data!I608</f>
        <v>-80.75</v>
      </c>
      <c r="O608" s="9">
        <f>data!L608</f>
        <v>-74.125</v>
      </c>
      <c r="P608" s="9">
        <f>data!K608</f>
        <v>-50.25</v>
      </c>
      <c r="Q608" s="9">
        <f>data!R608</f>
        <v>-40.25</v>
      </c>
      <c r="R608" s="9">
        <f t="shared" si="455"/>
        <v>-1</v>
      </c>
      <c r="S608" s="9">
        <f t="shared" si="456"/>
        <v>-3.375</v>
      </c>
      <c r="T608" s="9">
        <f t="shared" si="457"/>
        <v>0</v>
      </c>
      <c r="U608" s="9">
        <f t="shared" si="458"/>
        <v>-0.375</v>
      </c>
      <c r="V608" s="9">
        <f t="shared" si="459"/>
        <v>2.5</v>
      </c>
      <c r="W608" s="9">
        <f t="shared" si="460"/>
        <v>-1</v>
      </c>
      <c r="X608" s="9">
        <f t="shared" si="461"/>
        <v>2.25</v>
      </c>
      <c r="Y608" s="9">
        <f t="shared" si="462"/>
        <v>3</v>
      </c>
      <c r="Z608" s="9">
        <f t="shared" si="463"/>
        <v>9.375</v>
      </c>
      <c r="AA608" s="9">
        <f t="shared" si="464"/>
        <v>3.8125</v>
      </c>
      <c r="AB608" s="9">
        <f t="shared" si="465"/>
        <v>2.1875</v>
      </c>
      <c r="AC608" s="9">
        <f t="shared" si="466"/>
        <v>3.6875</v>
      </c>
      <c r="AD608" s="9">
        <f t="shared" si="467"/>
        <v>-0.125</v>
      </c>
      <c r="AE608" s="9">
        <f t="shared" si="468"/>
        <v>1.5</v>
      </c>
      <c r="AF608" s="9">
        <f t="shared" si="469"/>
        <v>2.8125</v>
      </c>
      <c r="AG608" s="9">
        <f t="shared" si="470"/>
        <v>1.75</v>
      </c>
      <c r="AH608" s="9">
        <f t="shared" si="471"/>
        <v>2.875</v>
      </c>
      <c r="AI608" s="9">
        <f t="shared" si="472"/>
        <v>5.875</v>
      </c>
      <c r="AJ608" s="9">
        <f t="shared" si="473"/>
        <v>1.5</v>
      </c>
      <c r="AK608" s="9">
        <f t="shared" si="474"/>
        <v>0.5</v>
      </c>
      <c r="AL608" s="9">
        <f t="shared" si="475"/>
        <v>1.75</v>
      </c>
      <c r="AM608" s="9">
        <f t="shared" si="476"/>
        <v>-2.125</v>
      </c>
      <c r="AN608" s="9">
        <f t="shared" si="477"/>
        <v>-1.5</v>
      </c>
      <c r="AO608" s="9">
        <f t="shared" si="478"/>
        <v>-0.875</v>
      </c>
      <c r="AP608" s="9">
        <f t="shared" si="479"/>
        <v>-1.375</v>
      </c>
      <c r="AQ608" s="9">
        <f t="shared" si="480"/>
        <v>0.125</v>
      </c>
      <c r="AR608" s="9">
        <f t="shared" si="481"/>
        <v>4</v>
      </c>
      <c r="AS608" s="9">
        <f t="shared" si="482"/>
        <v>-3</v>
      </c>
      <c r="AT608" s="9">
        <f t="shared" si="483"/>
        <v>-5.125</v>
      </c>
      <c r="AU608" s="9">
        <f t="shared" si="484"/>
        <v>-5.625</v>
      </c>
      <c r="AV608" s="9">
        <f t="shared" si="485"/>
        <v>-10.25</v>
      </c>
      <c r="AW608" s="9">
        <f t="shared" si="486"/>
        <v>-10.125</v>
      </c>
      <c r="AX608" s="9">
        <f t="shared" si="487"/>
        <v>-10.25</v>
      </c>
      <c r="AY608" s="9">
        <f t="shared" si="488"/>
        <v>-10.375</v>
      </c>
      <c r="AZ608" s="9">
        <f t="shared" si="489"/>
        <v>-8.5</v>
      </c>
      <c r="BA608" s="9">
        <f t="shared" si="490"/>
        <v>-4.875</v>
      </c>
      <c r="BB608" s="9">
        <f t="shared" si="491"/>
        <v>-4</v>
      </c>
      <c r="BC608" s="9">
        <f t="shared" si="492"/>
        <v>-6.5</v>
      </c>
      <c r="BD608" s="9">
        <f t="shared" si="493"/>
        <v>-7.125</v>
      </c>
      <c r="BE608" s="9">
        <f t="shared" si="494"/>
        <v>-11.5</v>
      </c>
      <c r="BF608" s="9">
        <f t="shared" si="495"/>
        <v>-11.375</v>
      </c>
      <c r="BG608" s="9">
        <f t="shared" si="496"/>
        <v>-11.75</v>
      </c>
      <c r="BH608" s="9">
        <f t="shared" si="497"/>
        <v>-11.875</v>
      </c>
      <c r="BI608" s="9">
        <f t="shared" si="498"/>
        <v>-9.75</v>
      </c>
      <c r="BJ608" s="9">
        <f t="shared" si="499"/>
        <v>-6.75</v>
      </c>
    </row>
    <row r="609" spans="1:62" x14ac:dyDescent="0.2">
      <c r="A609" s="9">
        <f>data!M610-data!M609</f>
        <v>0.79739999999999611</v>
      </c>
      <c r="B609" s="9">
        <f>data!C610-data!C609</f>
        <v>-1.67</v>
      </c>
      <c r="C609" s="9">
        <f>data!D610-data!D609</f>
        <v>-0.28000000000000114</v>
      </c>
      <c r="D609" s="10">
        <f>data!B610-data!B609</f>
        <v>-5.4999999999999938E-2</v>
      </c>
      <c r="E609" s="9">
        <f>data!E609-data!G609</f>
        <v>1.7045999999999999</v>
      </c>
      <c r="F609" s="9">
        <f>(data!E609-data!F609)-(data!G609-data!H609)</f>
        <v>0.68279999999999996</v>
      </c>
      <c r="G609" s="9">
        <f t="shared" si="450"/>
        <v>-6.4199999999999813E-2</v>
      </c>
      <c r="H609" s="9">
        <f t="shared" si="451"/>
        <v>-1.2199999999999989E-2</v>
      </c>
      <c r="I609" s="9">
        <f>IF(data!M610&gt; 111.81,1,0)</f>
        <v>1</v>
      </c>
      <c r="J609" s="9">
        <f t="shared" si="452"/>
        <v>0</v>
      </c>
      <c r="K609" s="9">
        <f t="shared" si="453"/>
        <v>0.79739999999999611</v>
      </c>
      <c r="L609" s="9">
        <f t="shared" si="454"/>
        <v>0</v>
      </c>
      <c r="M609" s="9">
        <f>data!J609</f>
        <v>-72.5</v>
      </c>
      <c r="N609" s="9">
        <f>data!I609</f>
        <v>-76.9375</v>
      </c>
      <c r="O609" s="9">
        <f>data!L609</f>
        <v>-72.625</v>
      </c>
      <c r="P609" s="9">
        <f>data!K609</f>
        <v>-53.25</v>
      </c>
      <c r="Q609" s="9">
        <f>data!R609</f>
        <v>-44.25</v>
      </c>
      <c r="R609" s="9">
        <f t="shared" si="455"/>
        <v>-2.375</v>
      </c>
      <c r="S609" s="9">
        <f t="shared" si="456"/>
        <v>1</v>
      </c>
      <c r="T609" s="9">
        <f t="shared" si="457"/>
        <v>0.625</v>
      </c>
      <c r="U609" s="9">
        <f t="shared" si="458"/>
        <v>3.5</v>
      </c>
      <c r="V609" s="9">
        <f t="shared" si="459"/>
        <v>0</v>
      </c>
      <c r="W609" s="9">
        <f t="shared" si="460"/>
        <v>3.25</v>
      </c>
      <c r="X609" s="9">
        <f t="shared" si="461"/>
        <v>4</v>
      </c>
      <c r="Y609" s="9">
        <f t="shared" si="462"/>
        <v>10.375</v>
      </c>
      <c r="Z609" s="9">
        <f t="shared" si="463"/>
        <v>9.5</v>
      </c>
      <c r="AA609" s="9">
        <f t="shared" si="464"/>
        <v>-1.625</v>
      </c>
      <c r="AB609" s="9">
        <f t="shared" si="465"/>
        <v>-0.125</v>
      </c>
      <c r="AC609" s="9">
        <f t="shared" si="466"/>
        <v>-3.9375</v>
      </c>
      <c r="AD609" s="9">
        <f t="shared" si="467"/>
        <v>-2.3125</v>
      </c>
      <c r="AE609" s="9">
        <f t="shared" si="468"/>
        <v>-1</v>
      </c>
      <c r="AF609" s="9">
        <f t="shared" si="469"/>
        <v>-2.0625</v>
      </c>
      <c r="AG609" s="9">
        <f t="shared" si="470"/>
        <v>-0.9375</v>
      </c>
      <c r="AH609" s="9">
        <f t="shared" si="471"/>
        <v>2.0625</v>
      </c>
      <c r="AI609" s="9">
        <f t="shared" si="472"/>
        <v>1.6875</v>
      </c>
      <c r="AJ609" s="9">
        <f t="shared" si="473"/>
        <v>-1</v>
      </c>
      <c r="AK609" s="9">
        <f t="shared" si="474"/>
        <v>0.25</v>
      </c>
      <c r="AL609" s="9">
        <f t="shared" si="475"/>
        <v>-3.625</v>
      </c>
      <c r="AM609" s="9">
        <f t="shared" si="476"/>
        <v>-3</v>
      </c>
      <c r="AN609" s="9">
        <f t="shared" si="477"/>
        <v>-2.375</v>
      </c>
      <c r="AO609" s="9">
        <f t="shared" si="478"/>
        <v>-2.875</v>
      </c>
      <c r="AP609" s="9">
        <f t="shared" si="479"/>
        <v>-1.375</v>
      </c>
      <c r="AQ609" s="9">
        <f t="shared" si="480"/>
        <v>2.5</v>
      </c>
      <c r="AR609" s="9">
        <f t="shared" si="481"/>
        <v>1.625</v>
      </c>
      <c r="AS609" s="9">
        <f t="shared" si="482"/>
        <v>-2.125</v>
      </c>
      <c r="AT609" s="9">
        <f t="shared" si="483"/>
        <v>-2.625</v>
      </c>
      <c r="AU609" s="9">
        <f t="shared" si="484"/>
        <v>-7.25</v>
      </c>
      <c r="AV609" s="9">
        <f t="shared" si="485"/>
        <v>-7.125</v>
      </c>
      <c r="AW609" s="9">
        <f t="shared" si="486"/>
        <v>-7.25</v>
      </c>
      <c r="AX609" s="9">
        <f t="shared" si="487"/>
        <v>-7.375</v>
      </c>
      <c r="AY609" s="9">
        <f t="shared" si="488"/>
        <v>-5.5</v>
      </c>
      <c r="AZ609" s="9">
        <f t="shared" si="489"/>
        <v>-1.875</v>
      </c>
      <c r="BA609" s="9">
        <f t="shared" si="490"/>
        <v>-3</v>
      </c>
      <c r="BB609" s="9">
        <f t="shared" si="491"/>
        <v>-2.5</v>
      </c>
      <c r="BC609" s="9">
        <f t="shared" si="492"/>
        <v>-3.125</v>
      </c>
      <c r="BD609" s="9">
        <f t="shared" si="493"/>
        <v>-7.5</v>
      </c>
      <c r="BE609" s="9">
        <f t="shared" si="494"/>
        <v>-7.375</v>
      </c>
      <c r="BF609" s="9">
        <f t="shared" si="495"/>
        <v>-7.75</v>
      </c>
      <c r="BG609" s="9">
        <f t="shared" si="496"/>
        <v>-7.875</v>
      </c>
      <c r="BH609" s="9">
        <f t="shared" si="497"/>
        <v>-5.75</v>
      </c>
      <c r="BI609" s="9">
        <f t="shared" si="498"/>
        <v>-2.75</v>
      </c>
      <c r="BJ609" s="9">
        <f t="shared" si="499"/>
        <v>-4.25</v>
      </c>
    </row>
    <row r="610" spans="1:62" x14ac:dyDescent="0.2">
      <c r="A610" s="9">
        <f>data!M611-data!M610</f>
        <v>-1.300000000000523E-2</v>
      </c>
      <c r="B610" s="9">
        <f>data!C611-data!C610</f>
        <v>5.52</v>
      </c>
      <c r="C610" s="9">
        <f>data!D611-data!D610</f>
        <v>5.0000000000000711E-2</v>
      </c>
      <c r="D610" s="10">
        <f>data!B611-data!B610</f>
        <v>0.125</v>
      </c>
      <c r="E610" s="9">
        <f>data!E610-data!G610</f>
        <v>1.6404000000000001</v>
      </c>
      <c r="F610" s="9">
        <f>(data!E610-data!F610)-(data!G610-data!H610)</f>
        <v>0.67059999999999997</v>
      </c>
      <c r="G610" s="9">
        <f t="shared" si="450"/>
        <v>5.4499999999999993E-2</v>
      </c>
      <c r="H610" s="9">
        <f t="shared" si="451"/>
        <v>3.2200000000000117E-2</v>
      </c>
      <c r="I610" s="9">
        <f>IF(data!M611&gt; 111.81,1,0)</f>
        <v>1</v>
      </c>
      <c r="J610" s="9">
        <f t="shared" si="452"/>
        <v>0</v>
      </c>
      <c r="K610" s="9">
        <f t="shared" si="453"/>
        <v>-1.300000000000523E-2</v>
      </c>
      <c r="L610" s="9">
        <f t="shared" si="454"/>
        <v>0</v>
      </c>
      <c r="M610" s="9">
        <f>data!J610</f>
        <v>-74.875</v>
      </c>
      <c r="N610" s="9">
        <f>data!I610</f>
        <v>-78.5625</v>
      </c>
      <c r="O610" s="9">
        <f>data!L610</f>
        <v>-73.625</v>
      </c>
      <c r="P610" s="9">
        <f>data!K610</f>
        <v>-55.375</v>
      </c>
      <c r="Q610" s="9">
        <f>data!R610</f>
        <v>-46.75</v>
      </c>
      <c r="R610" s="9">
        <f t="shared" si="455"/>
        <v>3.375</v>
      </c>
      <c r="S610" s="9">
        <f t="shared" si="456"/>
        <v>3</v>
      </c>
      <c r="T610" s="9">
        <f t="shared" si="457"/>
        <v>5.875</v>
      </c>
      <c r="U610" s="9">
        <f t="shared" si="458"/>
        <v>2.375</v>
      </c>
      <c r="V610" s="9">
        <f t="shared" si="459"/>
        <v>5.625</v>
      </c>
      <c r="W610" s="9">
        <f t="shared" si="460"/>
        <v>6.375</v>
      </c>
      <c r="X610" s="9">
        <f t="shared" si="461"/>
        <v>12.75</v>
      </c>
      <c r="Y610" s="9">
        <f t="shared" si="462"/>
        <v>11.875</v>
      </c>
      <c r="Z610" s="9">
        <f t="shared" si="463"/>
        <v>4.625</v>
      </c>
      <c r="AA610" s="9">
        <f t="shared" si="464"/>
        <v>1.5</v>
      </c>
      <c r="AB610" s="9">
        <f t="shared" si="465"/>
        <v>-2.3125</v>
      </c>
      <c r="AC610" s="9">
        <f t="shared" si="466"/>
        <v>-0.6875</v>
      </c>
      <c r="AD610" s="9">
        <f t="shared" si="467"/>
        <v>0.625</v>
      </c>
      <c r="AE610" s="9">
        <f t="shared" si="468"/>
        <v>-0.4375</v>
      </c>
      <c r="AF610" s="9">
        <f t="shared" si="469"/>
        <v>0.6875</v>
      </c>
      <c r="AG610" s="9">
        <f t="shared" si="470"/>
        <v>3.6875</v>
      </c>
      <c r="AH610" s="9">
        <f t="shared" si="471"/>
        <v>3.3125</v>
      </c>
      <c r="AI610" s="9">
        <f t="shared" si="472"/>
        <v>2.6875</v>
      </c>
      <c r="AJ610" s="9">
        <f t="shared" si="473"/>
        <v>1.25</v>
      </c>
      <c r="AK610" s="9">
        <f t="shared" si="474"/>
        <v>-2.625</v>
      </c>
      <c r="AL610" s="9">
        <f t="shared" si="475"/>
        <v>-2</v>
      </c>
      <c r="AM610" s="9">
        <f t="shared" si="476"/>
        <v>-1.375</v>
      </c>
      <c r="AN610" s="9">
        <f t="shared" si="477"/>
        <v>-1.875</v>
      </c>
      <c r="AO610" s="9">
        <f t="shared" si="478"/>
        <v>-0.375</v>
      </c>
      <c r="AP610" s="9">
        <f t="shared" si="479"/>
        <v>3.5</v>
      </c>
      <c r="AQ610" s="9">
        <f t="shared" si="480"/>
        <v>2.625</v>
      </c>
      <c r="AR610" s="9">
        <f t="shared" si="481"/>
        <v>3.125</v>
      </c>
      <c r="AS610" s="9">
        <f t="shared" si="482"/>
        <v>-0.5</v>
      </c>
      <c r="AT610" s="9">
        <f t="shared" si="483"/>
        <v>-5.125</v>
      </c>
      <c r="AU610" s="9">
        <f t="shared" si="484"/>
        <v>-5</v>
      </c>
      <c r="AV610" s="9">
        <f t="shared" si="485"/>
        <v>-5.125</v>
      </c>
      <c r="AW610" s="9">
        <f t="shared" si="486"/>
        <v>-5.25</v>
      </c>
      <c r="AX610" s="9">
        <f t="shared" si="487"/>
        <v>-3.375</v>
      </c>
      <c r="AY610" s="9">
        <f t="shared" si="488"/>
        <v>0.25</v>
      </c>
      <c r="AZ610" s="9">
        <f t="shared" si="489"/>
        <v>-0.875</v>
      </c>
      <c r="BA610" s="9">
        <f t="shared" si="490"/>
        <v>-0.125</v>
      </c>
      <c r="BB610" s="9">
        <f t="shared" si="491"/>
        <v>-0.625</v>
      </c>
      <c r="BC610" s="9">
        <f t="shared" si="492"/>
        <v>-5</v>
      </c>
      <c r="BD610" s="9">
        <f t="shared" si="493"/>
        <v>-4.875</v>
      </c>
      <c r="BE610" s="9">
        <f t="shared" si="494"/>
        <v>-5.25</v>
      </c>
      <c r="BF610" s="9">
        <f t="shared" si="495"/>
        <v>-5.375</v>
      </c>
      <c r="BG610" s="9">
        <f t="shared" si="496"/>
        <v>-3.25</v>
      </c>
      <c r="BH610" s="9">
        <f t="shared" si="497"/>
        <v>-0.25</v>
      </c>
      <c r="BI610" s="9">
        <f t="shared" si="498"/>
        <v>-1.75</v>
      </c>
      <c r="BJ610" s="9">
        <f t="shared" si="499"/>
        <v>-0.75</v>
      </c>
    </row>
    <row r="611" spans="1:62" x14ac:dyDescent="0.2">
      <c r="A611" s="9">
        <f>data!M612-data!M611</f>
        <v>1.1886000000000081</v>
      </c>
      <c r="B611" s="9">
        <f>data!C612-data!C611</f>
        <v>-2.1300000000000008</v>
      </c>
      <c r="C611" s="9">
        <f>data!D612-data!D611</f>
        <v>-0.15249999999999986</v>
      </c>
      <c r="D611" s="10">
        <f>data!B612-data!B611</f>
        <v>-0.46249999999999991</v>
      </c>
      <c r="E611" s="9">
        <f>data!E611-data!G611</f>
        <v>1.6949000000000001</v>
      </c>
      <c r="F611" s="9">
        <f>(data!E611-data!F611)-(data!G611-data!H611)</f>
        <v>0.70280000000000009</v>
      </c>
      <c r="G611" s="9">
        <f t="shared" si="450"/>
        <v>4.170000000000007E-2</v>
      </c>
      <c r="H611" s="9">
        <f t="shared" si="451"/>
        <v>1.7000000000000348E-3</v>
      </c>
      <c r="I611" s="9">
        <f>IF(data!M612&gt; 111.81,1,0)</f>
        <v>1</v>
      </c>
      <c r="J611" s="9">
        <f t="shared" si="452"/>
        <v>0</v>
      </c>
      <c r="K611" s="9">
        <f t="shared" si="453"/>
        <v>1.1886000000000081</v>
      </c>
      <c r="L611" s="9">
        <f t="shared" si="454"/>
        <v>0</v>
      </c>
      <c r="M611" s="9">
        <f>data!J611</f>
        <v>-71.5</v>
      </c>
      <c r="N611" s="9">
        <f>data!I611</f>
        <v>-77.0625</v>
      </c>
      <c r="O611" s="9">
        <f>data!L611</f>
        <v>-72.375</v>
      </c>
      <c r="P611" s="9">
        <f>data!K611</f>
        <v>-55.875</v>
      </c>
      <c r="Q611" s="9">
        <f>data!R611</f>
        <v>-47.375</v>
      </c>
      <c r="R611" s="9">
        <f t="shared" si="455"/>
        <v>-0.375</v>
      </c>
      <c r="S611" s="9">
        <f t="shared" si="456"/>
        <v>2.5</v>
      </c>
      <c r="T611" s="9">
        <f t="shared" si="457"/>
        <v>-1</v>
      </c>
      <c r="U611" s="9">
        <f t="shared" si="458"/>
        <v>2.25</v>
      </c>
      <c r="V611" s="9">
        <f t="shared" si="459"/>
        <v>3</v>
      </c>
      <c r="W611" s="9">
        <f t="shared" si="460"/>
        <v>9.375</v>
      </c>
      <c r="X611" s="9">
        <f t="shared" si="461"/>
        <v>8.5</v>
      </c>
      <c r="Y611" s="9">
        <f t="shared" si="462"/>
        <v>1.25</v>
      </c>
      <c r="Z611" s="9">
        <f t="shared" si="463"/>
        <v>3.25</v>
      </c>
      <c r="AA611" s="9">
        <f t="shared" si="464"/>
        <v>-3.8125</v>
      </c>
      <c r="AB611" s="9">
        <f t="shared" si="465"/>
        <v>-2.1875</v>
      </c>
      <c r="AC611" s="9">
        <f t="shared" si="466"/>
        <v>-0.875</v>
      </c>
      <c r="AD611" s="9">
        <f t="shared" si="467"/>
        <v>-1.9375</v>
      </c>
      <c r="AE611" s="9">
        <f t="shared" si="468"/>
        <v>-0.8125</v>
      </c>
      <c r="AF611" s="9">
        <f t="shared" si="469"/>
        <v>2.1875</v>
      </c>
      <c r="AG611" s="9">
        <f t="shared" si="470"/>
        <v>1.8125</v>
      </c>
      <c r="AH611" s="9">
        <f t="shared" si="471"/>
        <v>1.1875</v>
      </c>
      <c r="AI611" s="9">
        <f t="shared" si="472"/>
        <v>0.5625</v>
      </c>
      <c r="AJ611" s="9">
        <f t="shared" si="473"/>
        <v>-3.875</v>
      </c>
      <c r="AK611" s="9">
        <f t="shared" si="474"/>
        <v>-3.25</v>
      </c>
      <c r="AL611" s="9">
        <f t="shared" si="475"/>
        <v>-2.625</v>
      </c>
      <c r="AM611" s="9">
        <f t="shared" si="476"/>
        <v>-3.125</v>
      </c>
      <c r="AN611" s="9">
        <f t="shared" si="477"/>
        <v>-1.625</v>
      </c>
      <c r="AO611" s="9">
        <f t="shared" si="478"/>
        <v>2.25</v>
      </c>
      <c r="AP611" s="9">
        <f t="shared" si="479"/>
        <v>1.375</v>
      </c>
      <c r="AQ611" s="9">
        <f t="shared" si="480"/>
        <v>1.875</v>
      </c>
      <c r="AR611" s="9">
        <f t="shared" si="481"/>
        <v>3.375</v>
      </c>
      <c r="AS611" s="9">
        <f t="shared" si="482"/>
        <v>-4.625</v>
      </c>
      <c r="AT611" s="9">
        <f t="shared" si="483"/>
        <v>-4.5</v>
      </c>
      <c r="AU611" s="9">
        <f t="shared" si="484"/>
        <v>-4.625</v>
      </c>
      <c r="AV611" s="9">
        <f t="shared" si="485"/>
        <v>-4.75</v>
      </c>
      <c r="AW611" s="9">
        <f t="shared" si="486"/>
        <v>-2.875</v>
      </c>
      <c r="AX611" s="9">
        <f t="shared" si="487"/>
        <v>0.75</v>
      </c>
      <c r="AY611" s="9">
        <f t="shared" si="488"/>
        <v>-0.375</v>
      </c>
      <c r="AZ611" s="9">
        <f t="shared" si="489"/>
        <v>0.375</v>
      </c>
      <c r="BA611" s="9">
        <f t="shared" si="490"/>
        <v>1.0750000000000028</v>
      </c>
      <c r="BB611" s="9">
        <f t="shared" si="491"/>
        <v>-4.375</v>
      </c>
      <c r="BC611" s="9">
        <f t="shared" si="492"/>
        <v>-4.25</v>
      </c>
      <c r="BD611" s="9">
        <f t="shared" si="493"/>
        <v>-4.625</v>
      </c>
      <c r="BE611" s="9">
        <f t="shared" si="494"/>
        <v>-4.75</v>
      </c>
      <c r="BF611" s="9">
        <f t="shared" si="495"/>
        <v>-2.625</v>
      </c>
      <c r="BG611" s="9">
        <f t="shared" si="496"/>
        <v>0.375</v>
      </c>
      <c r="BH611" s="9">
        <f t="shared" si="497"/>
        <v>-1.125</v>
      </c>
      <c r="BI611" s="9">
        <f t="shared" si="498"/>
        <v>-0.125</v>
      </c>
      <c r="BJ611" s="9">
        <f t="shared" si="499"/>
        <v>0.875</v>
      </c>
    </row>
    <row r="612" spans="1:62" x14ac:dyDescent="0.2">
      <c r="A612" s="9">
        <f>data!M613-data!M612</f>
        <v>-0.45990000000000464</v>
      </c>
      <c r="B612" s="9">
        <f>data!C613-data!C612</f>
        <v>-3.08</v>
      </c>
      <c r="C612" s="9">
        <f>data!D613-data!D612</f>
        <v>-0.6274999999999995</v>
      </c>
      <c r="D612" s="10">
        <f>data!B613-data!B612</f>
        <v>1.7499999999999849E-2</v>
      </c>
      <c r="E612" s="9">
        <f>data!E612-data!G612</f>
        <v>1.7366000000000001</v>
      </c>
      <c r="F612" s="9">
        <f>(data!E612-data!F612)-(data!G612-data!H612)</f>
        <v>0.70450000000000013</v>
      </c>
      <c r="G612" s="9">
        <f t="shared" si="450"/>
        <v>-6.8200000000000038E-2</v>
      </c>
      <c r="H612" s="9">
        <f t="shared" si="451"/>
        <v>-1.4100000000000001E-2</v>
      </c>
      <c r="I612" s="9">
        <f>IF(data!M613&gt; 111.81,1,0)</f>
        <v>1</v>
      </c>
      <c r="J612" s="9">
        <f t="shared" si="452"/>
        <v>0</v>
      </c>
      <c r="K612" s="9">
        <f t="shared" si="453"/>
        <v>-0.45990000000000464</v>
      </c>
      <c r="L612" s="9">
        <f t="shared" si="454"/>
        <v>0</v>
      </c>
      <c r="M612" s="9">
        <f>data!J612</f>
        <v>-71.875</v>
      </c>
      <c r="N612" s="9">
        <f>data!I612</f>
        <v>-80.875</v>
      </c>
      <c r="O612" s="9">
        <f>data!L612</f>
        <v>-76.25</v>
      </c>
      <c r="P612" s="9">
        <f>data!K612</f>
        <v>-60.5</v>
      </c>
      <c r="Q612" s="9">
        <f>data!R612</f>
        <v>-51.75</v>
      </c>
      <c r="R612" s="9">
        <f t="shared" si="455"/>
        <v>2.875</v>
      </c>
      <c r="S612" s="9">
        <f t="shared" si="456"/>
        <v>-0.625</v>
      </c>
      <c r="T612" s="9">
        <f t="shared" si="457"/>
        <v>2.625</v>
      </c>
      <c r="U612" s="9">
        <f t="shared" si="458"/>
        <v>3.375</v>
      </c>
      <c r="V612" s="9">
        <f t="shared" si="459"/>
        <v>9.75</v>
      </c>
      <c r="W612" s="9">
        <f t="shared" si="460"/>
        <v>8.875</v>
      </c>
      <c r="X612" s="9">
        <f t="shared" si="461"/>
        <v>1.625</v>
      </c>
      <c r="Y612" s="9">
        <f t="shared" si="462"/>
        <v>3.625</v>
      </c>
      <c r="Z612" s="9">
        <f t="shared" si="463"/>
        <v>0.5</v>
      </c>
      <c r="AA612" s="9">
        <f t="shared" si="464"/>
        <v>1.625</v>
      </c>
      <c r="AB612" s="9">
        <f t="shared" si="465"/>
        <v>2.9375</v>
      </c>
      <c r="AC612" s="9">
        <f t="shared" si="466"/>
        <v>1.875</v>
      </c>
      <c r="AD612" s="9">
        <f t="shared" si="467"/>
        <v>3</v>
      </c>
      <c r="AE612" s="9">
        <f t="shared" si="468"/>
        <v>6</v>
      </c>
      <c r="AF612" s="9">
        <f t="shared" si="469"/>
        <v>5.625</v>
      </c>
      <c r="AG612" s="9">
        <f t="shared" si="470"/>
        <v>5</v>
      </c>
      <c r="AH612" s="9">
        <f t="shared" si="471"/>
        <v>4.375</v>
      </c>
      <c r="AI612" s="9">
        <f t="shared" si="472"/>
        <v>3.625</v>
      </c>
      <c r="AJ612" s="9">
        <f t="shared" si="473"/>
        <v>0.625</v>
      </c>
      <c r="AK612" s="9">
        <f t="shared" si="474"/>
        <v>1.25</v>
      </c>
      <c r="AL612" s="9">
        <f t="shared" si="475"/>
        <v>0.75</v>
      </c>
      <c r="AM612" s="9">
        <f t="shared" si="476"/>
        <v>2.25</v>
      </c>
      <c r="AN612" s="9">
        <f t="shared" si="477"/>
        <v>6.125</v>
      </c>
      <c r="AO612" s="9">
        <f t="shared" si="478"/>
        <v>5.25</v>
      </c>
      <c r="AP612" s="9">
        <f t="shared" si="479"/>
        <v>5.75</v>
      </c>
      <c r="AQ612" s="9">
        <f t="shared" si="480"/>
        <v>7.25</v>
      </c>
      <c r="AR612" s="9">
        <f t="shared" si="481"/>
        <v>5.625</v>
      </c>
      <c r="AS612" s="9">
        <f t="shared" si="482"/>
        <v>0.125</v>
      </c>
      <c r="AT612" s="9">
        <f t="shared" si="483"/>
        <v>0</v>
      </c>
      <c r="AU612" s="9">
        <f t="shared" si="484"/>
        <v>-0.125</v>
      </c>
      <c r="AV612" s="9">
        <f t="shared" si="485"/>
        <v>1.75</v>
      </c>
      <c r="AW612" s="9">
        <f t="shared" si="486"/>
        <v>5.375</v>
      </c>
      <c r="AX612" s="9">
        <f t="shared" si="487"/>
        <v>4.25</v>
      </c>
      <c r="AY612" s="9">
        <f t="shared" si="488"/>
        <v>5</v>
      </c>
      <c r="AZ612" s="9">
        <f t="shared" si="489"/>
        <v>5.7000000000000028</v>
      </c>
      <c r="BA612" s="9">
        <f t="shared" si="490"/>
        <v>3.5</v>
      </c>
      <c r="BB612" s="9">
        <f t="shared" si="491"/>
        <v>0.125</v>
      </c>
      <c r="BC612" s="9">
        <f t="shared" si="492"/>
        <v>-0.25</v>
      </c>
      <c r="BD612" s="9">
        <f t="shared" si="493"/>
        <v>-0.375</v>
      </c>
      <c r="BE612" s="9">
        <f t="shared" si="494"/>
        <v>1.75</v>
      </c>
      <c r="BF612" s="9">
        <f t="shared" si="495"/>
        <v>4.75</v>
      </c>
      <c r="BG612" s="9">
        <f t="shared" si="496"/>
        <v>3.25</v>
      </c>
      <c r="BH612" s="9">
        <f t="shared" si="497"/>
        <v>4.25</v>
      </c>
      <c r="BI612" s="9">
        <f t="shared" si="498"/>
        <v>5.25</v>
      </c>
      <c r="BJ612" s="9">
        <f t="shared" si="499"/>
        <v>2.875</v>
      </c>
    </row>
    <row r="613" spans="1:62" x14ac:dyDescent="0.2">
      <c r="A613" s="9">
        <f>data!M614-data!M613</f>
        <v>-0.43710000000000093</v>
      </c>
      <c r="B613" s="9">
        <f>data!C614-data!C613</f>
        <v>1</v>
      </c>
      <c r="C613" s="9">
        <f>data!D614-data!D613</f>
        <v>0.23499999999999943</v>
      </c>
      <c r="D613" s="10">
        <f>data!B614-data!B613</f>
        <v>-8.9999999999999858E-2</v>
      </c>
      <c r="E613" s="9">
        <f>data!E613-data!G613</f>
        <v>1.6684000000000001</v>
      </c>
      <c r="F613" s="9">
        <f>(data!E613-data!F613)-(data!G613-data!H613)</f>
        <v>0.69040000000000012</v>
      </c>
      <c r="G613" s="9">
        <f t="shared" si="450"/>
        <v>2.0000000000000018E-2</v>
      </c>
      <c r="H613" s="9">
        <f t="shared" si="451"/>
        <v>-5.5900000000000061E-2</v>
      </c>
      <c r="I613" s="9">
        <f>IF(data!M614&gt; 111.81,1,0)</f>
        <v>1</v>
      </c>
      <c r="J613" s="9">
        <f t="shared" si="452"/>
        <v>0</v>
      </c>
      <c r="K613" s="9">
        <f t="shared" si="453"/>
        <v>-0.43710000000000093</v>
      </c>
      <c r="L613" s="9">
        <f t="shared" si="454"/>
        <v>0</v>
      </c>
      <c r="M613" s="9">
        <f>data!J613</f>
        <v>-69</v>
      </c>
      <c r="N613" s="9">
        <f>data!I613</f>
        <v>-79.25</v>
      </c>
      <c r="O613" s="9">
        <f>data!L613</f>
        <v>-75.625</v>
      </c>
      <c r="P613" s="9">
        <f>data!K613</f>
        <v>-60.375</v>
      </c>
      <c r="Q613" s="9">
        <f>data!R613</f>
        <v>-51.625</v>
      </c>
      <c r="R613" s="9">
        <f t="shared" si="455"/>
        <v>-3.5</v>
      </c>
      <c r="S613" s="9">
        <f t="shared" si="456"/>
        <v>-0.25</v>
      </c>
      <c r="T613" s="9">
        <f t="shared" si="457"/>
        <v>0.5</v>
      </c>
      <c r="U613" s="9">
        <f t="shared" si="458"/>
        <v>6.875</v>
      </c>
      <c r="V613" s="9">
        <f t="shared" si="459"/>
        <v>6</v>
      </c>
      <c r="W613" s="9">
        <f t="shared" si="460"/>
        <v>-1.25</v>
      </c>
      <c r="X613" s="9">
        <f t="shared" si="461"/>
        <v>0.75</v>
      </c>
      <c r="Y613" s="9">
        <f t="shared" si="462"/>
        <v>-2.375</v>
      </c>
      <c r="Z613" s="9">
        <f t="shared" si="463"/>
        <v>-8.125</v>
      </c>
      <c r="AA613" s="9">
        <f t="shared" si="464"/>
        <v>1.3125</v>
      </c>
      <c r="AB613" s="9">
        <f t="shared" si="465"/>
        <v>0.25</v>
      </c>
      <c r="AC613" s="9">
        <f t="shared" si="466"/>
        <v>1.375</v>
      </c>
      <c r="AD613" s="9">
        <f t="shared" si="467"/>
        <v>4.375</v>
      </c>
      <c r="AE613" s="9">
        <f t="shared" si="468"/>
        <v>4</v>
      </c>
      <c r="AF613" s="9">
        <f t="shared" si="469"/>
        <v>3.375</v>
      </c>
      <c r="AG613" s="9">
        <f t="shared" si="470"/>
        <v>2.75</v>
      </c>
      <c r="AH613" s="9">
        <f t="shared" si="471"/>
        <v>2</v>
      </c>
      <c r="AI613" s="9">
        <f t="shared" si="472"/>
        <v>-1.6875</v>
      </c>
      <c r="AJ613" s="9">
        <f t="shared" si="473"/>
        <v>0.625</v>
      </c>
      <c r="AK613" s="9">
        <f t="shared" si="474"/>
        <v>0.125</v>
      </c>
      <c r="AL613" s="9">
        <f t="shared" si="475"/>
        <v>1.625</v>
      </c>
      <c r="AM613" s="9">
        <f t="shared" si="476"/>
        <v>5.5</v>
      </c>
      <c r="AN613" s="9">
        <f t="shared" si="477"/>
        <v>4.625</v>
      </c>
      <c r="AO613" s="9">
        <f t="shared" si="478"/>
        <v>5.125</v>
      </c>
      <c r="AP613" s="9">
        <f t="shared" si="479"/>
        <v>6.625</v>
      </c>
      <c r="AQ613" s="9">
        <f t="shared" si="480"/>
        <v>5</v>
      </c>
      <c r="AR613" s="9">
        <f t="shared" si="481"/>
        <v>2.125</v>
      </c>
      <c r="AS613" s="9">
        <f t="shared" si="482"/>
        <v>-0.125</v>
      </c>
      <c r="AT613" s="9">
        <f t="shared" si="483"/>
        <v>-0.25</v>
      </c>
      <c r="AU613" s="9">
        <f t="shared" si="484"/>
        <v>1.625</v>
      </c>
      <c r="AV613" s="9">
        <f t="shared" si="485"/>
        <v>5.25</v>
      </c>
      <c r="AW613" s="9">
        <f t="shared" si="486"/>
        <v>4.125</v>
      </c>
      <c r="AX613" s="9">
        <f t="shared" si="487"/>
        <v>4.875</v>
      </c>
      <c r="AY613" s="9">
        <f t="shared" si="488"/>
        <v>5.5750000000000028</v>
      </c>
      <c r="AZ613" s="9">
        <f t="shared" si="489"/>
        <v>3.375</v>
      </c>
      <c r="BA613" s="9">
        <f t="shared" si="490"/>
        <v>0.75</v>
      </c>
      <c r="BB613" s="9">
        <f t="shared" si="491"/>
        <v>-0.375</v>
      </c>
      <c r="BC613" s="9">
        <f t="shared" si="492"/>
        <v>-0.5</v>
      </c>
      <c r="BD613" s="9">
        <f t="shared" si="493"/>
        <v>1.625</v>
      </c>
      <c r="BE613" s="9">
        <f t="shared" si="494"/>
        <v>4.625</v>
      </c>
      <c r="BF613" s="9">
        <f t="shared" si="495"/>
        <v>3.125</v>
      </c>
      <c r="BG613" s="9">
        <f t="shared" si="496"/>
        <v>4.125</v>
      </c>
      <c r="BH613" s="9">
        <f t="shared" si="497"/>
        <v>5.125</v>
      </c>
      <c r="BI613" s="9">
        <f t="shared" si="498"/>
        <v>2.75</v>
      </c>
      <c r="BJ613" s="9">
        <f t="shared" si="499"/>
        <v>0.125</v>
      </c>
    </row>
    <row r="614" spans="1:62" x14ac:dyDescent="0.2">
      <c r="A614" s="9">
        <f>data!M615-data!M614</f>
        <v>1.0120000000000005</v>
      </c>
      <c r="B614" s="9">
        <f>data!C615-data!C614</f>
        <v>0.19000000000000128</v>
      </c>
      <c r="C614" s="9">
        <f>data!D615-data!D614</f>
        <v>-0.63000000000000078</v>
      </c>
      <c r="D614" s="10">
        <f>data!B615-data!B614</f>
        <v>-0.13750000000000018</v>
      </c>
      <c r="E614" s="9">
        <f>data!E614-data!G614</f>
        <v>1.6884000000000001</v>
      </c>
      <c r="F614" s="9">
        <f>(data!E614-data!F614)-(data!G614-data!H614)</f>
        <v>0.63450000000000006</v>
      </c>
      <c r="G614" s="9">
        <f t="shared" si="450"/>
        <v>9.3699999999999894E-2</v>
      </c>
      <c r="H614" s="9">
        <f t="shared" si="451"/>
        <v>3.9499999999999869E-2</v>
      </c>
      <c r="I614" s="9">
        <f>IF(data!M615&gt; 111.81,1,0)</f>
        <v>1</v>
      </c>
      <c r="J614" s="9">
        <f t="shared" si="452"/>
        <v>0</v>
      </c>
      <c r="K614" s="9">
        <f t="shared" si="453"/>
        <v>1.0120000000000005</v>
      </c>
      <c r="L614" s="9">
        <f t="shared" si="454"/>
        <v>0</v>
      </c>
      <c r="M614" s="9">
        <f>data!J614</f>
        <v>-72.5</v>
      </c>
      <c r="N614" s="9">
        <f>data!I614</f>
        <v>-77.9375</v>
      </c>
      <c r="O614" s="9">
        <f>data!L614</f>
        <v>-75</v>
      </c>
      <c r="P614" s="9">
        <f>data!K614</f>
        <v>-60.5</v>
      </c>
      <c r="Q614" s="9">
        <f>data!R614</f>
        <v>-52</v>
      </c>
      <c r="R614" s="9">
        <f t="shared" si="455"/>
        <v>3.25</v>
      </c>
      <c r="S614" s="9">
        <f t="shared" si="456"/>
        <v>4</v>
      </c>
      <c r="T614" s="9">
        <f t="shared" si="457"/>
        <v>10.375</v>
      </c>
      <c r="U614" s="9">
        <f t="shared" si="458"/>
        <v>9.5</v>
      </c>
      <c r="V614" s="9">
        <f t="shared" si="459"/>
        <v>2.25</v>
      </c>
      <c r="W614" s="9">
        <f t="shared" si="460"/>
        <v>4.25</v>
      </c>
      <c r="X614" s="9">
        <f t="shared" si="461"/>
        <v>1.125</v>
      </c>
      <c r="Y614" s="9">
        <f t="shared" si="462"/>
        <v>-4.625</v>
      </c>
      <c r="Z614" s="9">
        <f t="shared" si="463"/>
        <v>-6</v>
      </c>
      <c r="AA614" s="9">
        <f t="shared" si="464"/>
        <v>-1.0625</v>
      </c>
      <c r="AB614" s="9">
        <f t="shared" si="465"/>
        <v>6.25E-2</v>
      </c>
      <c r="AC614" s="9">
        <f t="shared" si="466"/>
        <v>3.0625</v>
      </c>
      <c r="AD614" s="9">
        <f t="shared" si="467"/>
        <v>2.6875</v>
      </c>
      <c r="AE614" s="9">
        <f t="shared" si="468"/>
        <v>2.0625</v>
      </c>
      <c r="AF614" s="9">
        <f t="shared" si="469"/>
        <v>1.4375</v>
      </c>
      <c r="AG614" s="9">
        <f t="shared" si="470"/>
        <v>0.6875</v>
      </c>
      <c r="AH614" s="9">
        <f t="shared" si="471"/>
        <v>-3</v>
      </c>
      <c r="AI614" s="9">
        <f t="shared" si="472"/>
        <v>-6.0625</v>
      </c>
      <c r="AJ614" s="9">
        <f t="shared" si="473"/>
        <v>-0.5</v>
      </c>
      <c r="AK614" s="9">
        <f t="shared" si="474"/>
        <v>1</v>
      </c>
      <c r="AL614" s="9">
        <f t="shared" si="475"/>
        <v>4.875</v>
      </c>
      <c r="AM614" s="9">
        <f t="shared" si="476"/>
        <v>4</v>
      </c>
      <c r="AN614" s="9">
        <f t="shared" si="477"/>
        <v>4.5</v>
      </c>
      <c r="AO614" s="9">
        <f t="shared" si="478"/>
        <v>6</v>
      </c>
      <c r="AP614" s="9">
        <f t="shared" si="479"/>
        <v>4.375</v>
      </c>
      <c r="AQ614" s="9">
        <f t="shared" si="480"/>
        <v>1.5</v>
      </c>
      <c r="AR614" s="9">
        <f t="shared" si="481"/>
        <v>-1.25</v>
      </c>
      <c r="AS614" s="9">
        <f t="shared" si="482"/>
        <v>-0.125</v>
      </c>
      <c r="AT614" s="9">
        <f t="shared" si="483"/>
        <v>1.75</v>
      </c>
      <c r="AU614" s="9">
        <f t="shared" si="484"/>
        <v>5.375</v>
      </c>
      <c r="AV614" s="9">
        <f t="shared" si="485"/>
        <v>4.25</v>
      </c>
      <c r="AW614" s="9">
        <f t="shared" si="486"/>
        <v>5</v>
      </c>
      <c r="AX614" s="9">
        <f t="shared" si="487"/>
        <v>5.7000000000000028</v>
      </c>
      <c r="AY614" s="9">
        <f t="shared" si="488"/>
        <v>3.5</v>
      </c>
      <c r="AZ614" s="9">
        <f t="shared" si="489"/>
        <v>0.875</v>
      </c>
      <c r="BA614" s="9">
        <f t="shared" si="490"/>
        <v>-1</v>
      </c>
      <c r="BB614" s="9">
        <f t="shared" si="491"/>
        <v>-0.125</v>
      </c>
      <c r="BC614" s="9">
        <f t="shared" si="492"/>
        <v>2</v>
      </c>
      <c r="BD614" s="9">
        <f t="shared" si="493"/>
        <v>5</v>
      </c>
      <c r="BE614" s="9">
        <f t="shared" si="494"/>
        <v>3.5</v>
      </c>
      <c r="BF614" s="9">
        <f t="shared" si="495"/>
        <v>4.5</v>
      </c>
      <c r="BG614" s="9">
        <f t="shared" si="496"/>
        <v>5.5</v>
      </c>
      <c r="BH614" s="9">
        <f t="shared" si="497"/>
        <v>3.125</v>
      </c>
      <c r="BI614" s="9">
        <f t="shared" si="498"/>
        <v>0.5</v>
      </c>
      <c r="BJ614" s="9">
        <f t="shared" si="499"/>
        <v>-1</v>
      </c>
    </row>
    <row r="615" spans="1:62" x14ac:dyDescent="0.2">
      <c r="A615" s="9">
        <f>data!M616-data!M615</f>
        <v>0.42040000000000077</v>
      </c>
      <c r="B615" s="9">
        <f>data!C616-data!C615</f>
        <v>2.6400000000000006</v>
      </c>
      <c r="C615" s="9">
        <f>data!D616-data!D615</f>
        <v>-0.19999999999999929</v>
      </c>
      <c r="D615" s="10">
        <f>data!B616-data!B615</f>
        <v>5.500000000000016E-2</v>
      </c>
      <c r="E615" s="9">
        <f>data!E615-data!G615</f>
        <v>1.7821</v>
      </c>
      <c r="F615" s="9">
        <f>(data!E615-data!F615)-(data!G615-data!H615)</f>
        <v>0.67399999999999993</v>
      </c>
      <c r="G615" s="9">
        <f t="shared" si="450"/>
        <v>7.46E-2</v>
      </c>
      <c r="H615" s="9">
        <f t="shared" si="451"/>
        <v>7.2900000000000187E-2</v>
      </c>
      <c r="I615" s="9">
        <f>IF(data!M616&gt; 111.81,1,0)</f>
        <v>1</v>
      </c>
      <c r="J615" s="9">
        <f t="shared" si="452"/>
        <v>0</v>
      </c>
      <c r="K615" s="9">
        <f t="shared" si="453"/>
        <v>0.42040000000000077</v>
      </c>
      <c r="L615" s="9">
        <f t="shared" si="454"/>
        <v>0</v>
      </c>
      <c r="M615" s="9">
        <f>data!J615</f>
        <v>-69.25</v>
      </c>
      <c r="N615" s="9">
        <f>data!I615</f>
        <v>-79</v>
      </c>
      <c r="O615" s="9">
        <f>data!L615</f>
        <v>-75.5</v>
      </c>
      <c r="P615" s="9">
        <f>data!K615</f>
        <v>-60.625</v>
      </c>
      <c r="Q615" s="9">
        <f>data!R615</f>
        <v>-52.125</v>
      </c>
      <c r="R615" s="9">
        <f t="shared" si="455"/>
        <v>0.75</v>
      </c>
      <c r="S615" s="9">
        <f t="shared" si="456"/>
        <v>7.125</v>
      </c>
      <c r="T615" s="9">
        <f t="shared" si="457"/>
        <v>6.25</v>
      </c>
      <c r="U615" s="9">
        <f t="shared" si="458"/>
        <v>-1</v>
      </c>
      <c r="V615" s="9">
        <f t="shared" si="459"/>
        <v>1</v>
      </c>
      <c r="W615" s="9">
        <f t="shared" si="460"/>
        <v>-2.125</v>
      </c>
      <c r="X615" s="9">
        <f t="shared" si="461"/>
        <v>-7.875</v>
      </c>
      <c r="Y615" s="9">
        <f t="shared" si="462"/>
        <v>-9.25</v>
      </c>
      <c r="Z615" s="9">
        <f t="shared" si="463"/>
        <v>-3.875</v>
      </c>
      <c r="AA615" s="9">
        <f t="shared" si="464"/>
        <v>1.125</v>
      </c>
      <c r="AB615" s="9">
        <f t="shared" si="465"/>
        <v>4.125</v>
      </c>
      <c r="AC615" s="9">
        <f t="shared" si="466"/>
        <v>3.75</v>
      </c>
      <c r="AD615" s="9">
        <f t="shared" si="467"/>
        <v>3.125</v>
      </c>
      <c r="AE615" s="9">
        <f t="shared" si="468"/>
        <v>2.5</v>
      </c>
      <c r="AF615" s="9">
        <f t="shared" si="469"/>
        <v>1.75</v>
      </c>
      <c r="AG615" s="9">
        <f t="shared" si="470"/>
        <v>-1.9375</v>
      </c>
      <c r="AH615" s="9">
        <f t="shared" si="471"/>
        <v>-5</v>
      </c>
      <c r="AI615" s="9">
        <f t="shared" si="472"/>
        <v>-3.5</v>
      </c>
      <c r="AJ615" s="9">
        <f t="shared" si="473"/>
        <v>1.5</v>
      </c>
      <c r="AK615" s="9">
        <f t="shared" si="474"/>
        <v>5.375</v>
      </c>
      <c r="AL615" s="9">
        <f t="shared" si="475"/>
        <v>4.5</v>
      </c>
      <c r="AM615" s="9">
        <f t="shared" si="476"/>
        <v>5</v>
      </c>
      <c r="AN615" s="9">
        <f t="shared" si="477"/>
        <v>6.5</v>
      </c>
      <c r="AO615" s="9">
        <f t="shared" si="478"/>
        <v>4.875</v>
      </c>
      <c r="AP615" s="9">
        <f t="shared" si="479"/>
        <v>2</v>
      </c>
      <c r="AQ615" s="9">
        <f t="shared" si="480"/>
        <v>-0.75</v>
      </c>
      <c r="AR615" s="9">
        <f t="shared" si="481"/>
        <v>-0.875</v>
      </c>
      <c r="AS615" s="9">
        <f t="shared" si="482"/>
        <v>1.875</v>
      </c>
      <c r="AT615" s="9">
        <f t="shared" si="483"/>
        <v>5.5</v>
      </c>
      <c r="AU615" s="9">
        <f t="shared" si="484"/>
        <v>4.375</v>
      </c>
      <c r="AV615" s="9">
        <f t="shared" si="485"/>
        <v>5.125</v>
      </c>
      <c r="AW615" s="9">
        <f t="shared" si="486"/>
        <v>5.8250000000000028</v>
      </c>
      <c r="AX615" s="9">
        <f t="shared" si="487"/>
        <v>3.625</v>
      </c>
      <c r="AY615" s="9">
        <f t="shared" si="488"/>
        <v>1</v>
      </c>
      <c r="AZ615" s="9">
        <f t="shared" si="489"/>
        <v>-0.875</v>
      </c>
      <c r="BA615" s="9">
        <f t="shared" si="490"/>
        <v>1.125</v>
      </c>
      <c r="BB615" s="9">
        <f t="shared" si="491"/>
        <v>2.125</v>
      </c>
      <c r="BC615" s="9">
        <f t="shared" si="492"/>
        <v>5.125</v>
      </c>
      <c r="BD615" s="9">
        <f t="shared" si="493"/>
        <v>3.625</v>
      </c>
      <c r="BE615" s="9">
        <f t="shared" si="494"/>
        <v>4.625</v>
      </c>
      <c r="BF615" s="9">
        <f t="shared" si="495"/>
        <v>5.625</v>
      </c>
      <c r="BG615" s="9">
        <f t="shared" si="496"/>
        <v>3.25</v>
      </c>
      <c r="BH615" s="9">
        <f t="shared" si="497"/>
        <v>0.625</v>
      </c>
      <c r="BI615" s="9">
        <f t="shared" si="498"/>
        <v>-0.875</v>
      </c>
      <c r="BJ615" s="9">
        <f t="shared" si="499"/>
        <v>1</v>
      </c>
    </row>
    <row r="616" spans="1:62" x14ac:dyDescent="0.2">
      <c r="A616" s="9">
        <f>data!M617-data!M616</f>
        <v>0.18959999999999866</v>
      </c>
      <c r="B616" s="9">
        <f>data!C617-data!C616</f>
        <v>-2.7800000000000011</v>
      </c>
      <c r="C616" s="9">
        <f>data!D617-data!D616</f>
        <v>-1.1775000000000002</v>
      </c>
      <c r="D616" s="10">
        <f>data!B617-data!B616</f>
        <v>0.19499999999999984</v>
      </c>
      <c r="E616" s="9">
        <f>data!E616-data!G616</f>
        <v>1.8567</v>
      </c>
      <c r="F616" s="9">
        <f>(data!E616-data!F616)-(data!G616-data!H616)</f>
        <v>0.74690000000000012</v>
      </c>
      <c r="G616" s="9">
        <f t="shared" si="450"/>
        <v>-6.1000000000000165E-2</v>
      </c>
      <c r="H616" s="9">
        <f t="shared" si="451"/>
        <v>-2.9600000000000293E-2</v>
      </c>
      <c r="I616" s="9">
        <f>IF(data!M617&gt; 111.81,1,0)</f>
        <v>1</v>
      </c>
      <c r="J616" s="9">
        <f t="shared" si="452"/>
        <v>0</v>
      </c>
      <c r="K616" s="9">
        <f t="shared" si="453"/>
        <v>0.18959999999999866</v>
      </c>
      <c r="L616" s="9">
        <f t="shared" si="454"/>
        <v>0</v>
      </c>
      <c r="M616" s="9">
        <f>data!J616</f>
        <v>-68.5</v>
      </c>
      <c r="N616" s="9">
        <f>data!I616</f>
        <v>-77.875</v>
      </c>
      <c r="O616" s="9">
        <f>data!L616</f>
        <v>-74</v>
      </c>
      <c r="P616" s="9">
        <f>data!K616</f>
        <v>-58.75</v>
      </c>
      <c r="Q616" s="9">
        <f>data!R616</f>
        <v>-50</v>
      </c>
      <c r="R616" s="9">
        <f t="shared" si="455"/>
        <v>6.375</v>
      </c>
      <c r="S616" s="9">
        <f t="shared" si="456"/>
        <v>5.5</v>
      </c>
      <c r="T616" s="9">
        <f t="shared" si="457"/>
        <v>-1.75</v>
      </c>
      <c r="U616" s="9">
        <f t="shared" si="458"/>
        <v>0.25</v>
      </c>
      <c r="V616" s="9">
        <f t="shared" si="459"/>
        <v>-2.875</v>
      </c>
      <c r="W616" s="9">
        <f t="shared" si="460"/>
        <v>-8.625</v>
      </c>
      <c r="X616" s="9">
        <f t="shared" si="461"/>
        <v>-10</v>
      </c>
      <c r="Y616" s="9">
        <f t="shared" si="462"/>
        <v>-4.625</v>
      </c>
      <c r="Z616" s="9">
        <f t="shared" si="463"/>
        <v>-2.75</v>
      </c>
      <c r="AA616" s="9">
        <f t="shared" si="464"/>
        <v>3</v>
      </c>
      <c r="AB616" s="9">
        <f t="shared" si="465"/>
        <v>2.625</v>
      </c>
      <c r="AC616" s="9">
        <f t="shared" si="466"/>
        <v>2</v>
      </c>
      <c r="AD616" s="9">
        <f t="shared" si="467"/>
        <v>1.375</v>
      </c>
      <c r="AE616" s="9">
        <f t="shared" si="468"/>
        <v>0.625</v>
      </c>
      <c r="AF616" s="9">
        <f t="shared" si="469"/>
        <v>-3.0625</v>
      </c>
      <c r="AG616" s="9">
        <f t="shared" si="470"/>
        <v>-6.125</v>
      </c>
      <c r="AH616" s="9">
        <f t="shared" si="471"/>
        <v>-4.625</v>
      </c>
      <c r="AI616" s="9">
        <f t="shared" si="472"/>
        <v>-6.375</v>
      </c>
      <c r="AJ616" s="9">
        <f t="shared" si="473"/>
        <v>3.875</v>
      </c>
      <c r="AK616" s="9">
        <f t="shared" si="474"/>
        <v>3</v>
      </c>
      <c r="AL616" s="9">
        <f t="shared" si="475"/>
        <v>3.5</v>
      </c>
      <c r="AM616" s="9">
        <f t="shared" si="476"/>
        <v>5</v>
      </c>
      <c r="AN616" s="9">
        <f t="shared" si="477"/>
        <v>3.375</v>
      </c>
      <c r="AO616" s="9">
        <f t="shared" si="478"/>
        <v>0.5</v>
      </c>
      <c r="AP616" s="9">
        <f t="shared" si="479"/>
        <v>-2.25</v>
      </c>
      <c r="AQ616" s="9">
        <f t="shared" si="480"/>
        <v>-2.375</v>
      </c>
      <c r="AR616" s="9">
        <f t="shared" si="481"/>
        <v>-4.75</v>
      </c>
      <c r="AS616" s="9">
        <f t="shared" si="482"/>
        <v>3.625</v>
      </c>
      <c r="AT616" s="9">
        <f t="shared" si="483"/>
        <v>2.5</v>
      </c>
      <c r="AU616" s="9">
        <f t="shared" si="484"/>
        <v>3.25</v>
      </c>
      <c r="AV616" s="9">
        <f t="shared" si="485"/>
        <v>3.9500000000000028</v>
      </c>
      <c r="AW616" s="9">
        <f t="shared" si="486"/>
        <v>1.75</v>
      </c>
      <c r="AX616" s="9">
        <f t="shared" si="487"/>
        <v>-0.875</v>
      </c>
      <c r="AY616" s="9">
        <f t="shared" si="488"/>
        <v>-2.75</v>
      </c>
      <c r="AZ616" s="9">
        <f t="shared" si="489"/>
        <v>-0.75</v>
      </c>
      <c r="BA616" s="9">
        <f t="shared" si="490"/>
        <v>-5.75</v>
      </c>
      <c r="BB616" s="9">
        <f t="shared" si="491"/>
        <v>3</v>
      </c>
      <c r="BC616" s="9">
        <f t="shared" si="492"/>
        <v>1.5</v>
      </c>
      <c r="BD616" s="9">
        <f t="shared" si="493"/>
        <v>2.5</v>
      </c>
      <c r="BE616" s="9">
        <f t="shared" si="494"/>
        <v>3.5</v>
      </c>
      <c r="BF616" s="9">
        <f t="shared" si="495"/>
        <v>1.125</v>
      </c>
      <c r="BG616" s="9">
        <f t="shared" si="496"/>
        <v>-1.5</v>
      </c>
      <c r="BH616" s="9">
        <f t="shared" si="497"/>
        <v>-3</v>
      </c>
      <c r="BI616" s="9">
        <f t="shared" si="498"/>
        <v>-1.125</v>
      </c>
      <c r="BJ616" s="9">
        <f t="shared" si="499"/>
        <v>-5.75</v>
      </c>
    </row>
    <row r="617" spans="1:62" x14ac:dyDescent="0.2">
      <c r="A617" s="9">
        <f>data!M618-data!M617</f>
        <v>0.19160000000000821</v>
      </c>
      <c r="B617" s="9">
        <f>data!C618-data!C617</f>
        <v>2.8500000000000014</v>
      </c>
      <c r="C617" s="9">
        <f>data!D618-data!D617</f>
        <v>0.51750000000000007</v>
      </c>
      <c r="D617" s="10">
        <f>data!B618-data!B617</f>
        <v>-2.4999999999999911E-2</v>
      </c>
      <c r="E617" s="9">
        <f>data!E617-data!G617</f>
        <v>1.7956999999999999</v>
      </c>
      <c r="F617" s="9">
        <f>(data!E617-data!F617)-(data!G617-data!H617)</f>
        <v>0.71729999999999983</v>
      </c>
      <c r="G617" s="9">
        <f t="shared" si="450"/>
        <v>0.10210000000000008</v>
      </c>
      <c r="H617" s="9">
        <f t="shared" si="451"/>
        <v>8.6900000000000199E-2</v>
      </c>
      <c r="I617" s="9">
        <f>IF(data!M618&gt; 111.81,1,0)</f>
        <v>1</v>
      </c>
      <c r="J617" s="9">
        <f t="shared" si="452"/>
        <v>0</v>
      </c>
      <c r="K617" s="9">
        <f t="shared" si="453"/>
        <v>0.19160000000000821</v>
      </c>
      <c r="L617" s="9">
        <f t="shared" si="454"/>
        <v>0</v>
      </c>
      <c r="M617" s="9">
        <f>data!J617</f>
        <v>-62.125</v>
      </c>
      <c r="N617" s="9">
        <f>data!I617</f>
        <v>-74.875</v>
      </c>
      <c r="O617" s="9">
        <f>data!L617</f>
        <v>-70.125</v>
      </c>
      <c r="P617" s="9">
        <f>data!K617</f>
        <v>-55.125</v>
      </c>
      <c r="Q617" s="9">
        <f>data!R617</f>
        <v>-47</v>
      </c>
      <c r="R617" s="9">
        <f t="shared" si="455"/>
        <v>-0.875</v>
      </c>
      <c r="S617" s="9">
        <f t="shared" si="456"/>
        <v>-8.125</v>
      </c>
      <c r="T617" s="9">
        <f t="shared" si="457"/>
        <v>-6.125</v>
      </c>
      <c r="U617" s="9">
        <f t="shared" si="458"/>
        <v>-9.25</v>
      </c>
      <c r="V617" s="9">
        <f t="shared" si="459"/>
        <v>-15</v>
      </c>
      <c r="W617" s="9">
        <f t="shared" si="460"/>
        <v>-16.375</v>
      </c>
      <c r="X617" s="9">
        <f t="shared" si="461"/>
        <v>-11</v>
      </c>
      <c r="Y617" s="9">
        <f t="shared" si="462"/>
        <v>-9.125</v>
      </c>
      <c r="Z617" s="9">
        <f t="shared" si="463"/>
        <v>-6.875</v>
      </c>
      <c r="AA617" s="9">
        <f t="shared" si="464"/>
        <v>-0.375</v>
      </c>
      <c r="AB617" s="9">
        <f t="shared" si="465"/>
        <v>-1</v>
      </c>
      <c r="AC617" s="9">
        <f t="shared" si="466"/>
        <v>-1.625</v>
      </c>
      <c r="AD617" s="9">
        <f t="shared" si="467"/>
        <v>-2.375</v>
      </c>
      <c r="AE617" s="9">
        <f t="shared" si="468"/>
        <v>-6.0625</v>
      </c>
      <c r="AF617" s="9">
        <f t="shared" si="469"/>
        <v>-9.125</v>
      </c>
      <c r="AG617" s="9">
        <f t="shared" si="470"/>
        <v>-7.625</v>
      </c>
      <c r="AH617" s="9">
        <f t="shared" si="471"/>
        <v>-9.375</v>
      </c>
      <c r="AI617" s="9">
        <f t="shared" si="472"/>
        <v>-6.625</v>
      </c>
      <c r="AJ617" s="9">
        <f t="shared" si="473"/>
        <v>-0.875</v>
      </c>
      <c r="AK617" s="9">
        <f t="shared" si="474"/>
        <v>-0.375</v>
      </c>
      <c r="AL617" s="9">
        <f t="shared" si="475"/>
        <v>1.125</v>
      </c>
      <c r="AM617" s="9">
        <f t="shared" si="476"/>
        <v>-0.5</v>
      </c>
      <c r="AN617" s="9">
        <f t="shared" si="477"/>
        <v>-3.375</v>
      </c>
      <c r="AO617" s="9">
        <f t="shared" si="478"/>
        <v>-6.125</v>
      </c>
      <c r="AP617" s="9">
        <f t="shared" si="479"/>
        <v>-6.25</v>
      </c>
      <c r="AQ617" s="9">
        <f t="shared" si="480"/>
        <v>-8.625</v>
      </c>
      <c r="AR617" s="9">
        <f t="shared" si="481"/>
        <v>-7.5</v>
      </c>
      <c r="AS617" s="9">
        <f t="shared" si="482"/>
        <v>-1.125</v>
      </c>
      <c r="AT617" s="9">
        <f t="shared" si="483"/>
        <v>-0.375</v>
      </c>
      <c r="AU617" s="9">
        <f t="shared" si="484"/>
        <v>0.32500000000000284</v>
      </c>
      <c r="AV617" s="9">
        <f t="shared" si="485"/>
        <v>-1.875</v>
      </c>
      <c r="AW617" s="9">
        <f t="shared" si="486"/>
        <v>-4.5</v>
      </c>
      <c r="AX617" s="9">
        <f t="shared" si="487"/>
        <v>-6.375</v>
      </c>
      <c r="AY617" s="9">
        <f t="shared" si="488"/>
        <v>-4.375</v>
      </c>
      <c r="AZ617" s="9">
        <f t="shared" si="489"/>
        <v>-9.375</v>
      </c>
      <c r="BA617" s="9">
        <f t="shared" si="490"/>
        <v>-8.375</v>
      </c>
      <c r="BB617" s="9">
        <f t="shared" si="491"/>
        <v>-1.5</v>
      </c>
      <c r="BC617" s="9">
        <f t="shared" si="492"/>
        <v>-0.5</v>
      </c>
      <c r="BD617" s="9">
        <f t="shared" si="493"/>
        <v>0.5</v>
      </c>
      <c r="BE617" s="9">
        <f t="shared" si="494"/>
        <v>-1.875</v>
      </c>
      <c r="BF617" s="9">
        <f t="shared" si="495"/>
        <v>-4.5</v>
      </c>
      <c r="BG617" s="9">
        <f t="shared" si="496"/>
        <v>-6</v>
      </c>
      <c r="BH617" s="9">
        <f t="shared" si="497"/>
        <v>-4.125</v>
      </c>
      <c r="BI617" s="9">
        <f t="shared" si="498"/>
        <v>-8.75</v>
      </c>
      <c r="BJ617" s="9">
        <f t="shared" si="499"/>
        <v>-7.375</v>
      </c>
    </row>
    <row r="618" spans="1:62" x14ac:dyDescent="0.2">
      <c r="A618" s="9">
        <f>data!M619-data!M618</f>
        <v>-0.51030000000000086</v>
      </c>
      <c r="B618" s="9">
        <f>data!C619-data!C618</f>
        <v>6.32</v>
      </c>
      <c r="C618" s="9">
        <f>data!D619-data!D618</f>
        <v>1.2524999999999995</v>
      </c>
      <c r="D618" s="10">
        <f>data!B619-data!B618</f>
        <v>-1.0000000000000009E-2</v>
      </c>
      <c r="E618" s="9">
        <f>data!E618-data!G618</f>
        <v>1.8977999999999999</v>
      </c>
      <c r="F618" s="9">
        <f>(data!E618-data!F618)-(data!G618-data!H618)</f>
        <v>0.80420000000000003</v>
      </c>
      <c r="G618" s="9">
        <f t="shared" si="450"/>
        <v>-5.4599999999999982E-2</v>
      </c>
      <c r="H618" s="9">
        <f t="shared" si="451"/>
        <v>-1.1800000000000033E-2</v>
      </c>
      <c r="I618" s="9">
        <f>IF(data!M619&gt; 111.81,1,0)</f>
        <v>1</v>
      </c>
      <c r="J618" s="9">
        <f t="shared" si="452"/>
        <v>0</v>
      </c>
      <c r="K618" s="9">
        <f t="shared" si="453"/>
        <v>-0.51030000000000086</v>
      </c>
      <c r="L618" s="9">
        <f t="shared" si="454"/>
        <v>0</v>
      </c>
      <c r="M618" s="9">
        <f>data!J618</f>
        <v>-63</v>
      </c>
      <c r="N618" s="9">
        <f>data!I618</f>
        <v>-75.25</v>
      </c>
      <c r="O618" s="9">
        <f>data!L618</f>
        <v>-71</v>
      </c>
      <c r="P618" s="9">
        <f>data!K618</f>
        <v>-56.25</v>
      </c>
      <c r="Q618" s="9">
        <f>data!R618</f>
        <v>-48.5</v>
      </c>
      <c r="R618" s="9">
        <f t="shared" si="455"/>
        <v>-7.25</v>
      </c>
      <c r="S618" s="9">
        <f t="shared" si="456"/>
        <v>-5.25</v>
      </c>
      <c r="T618" s="9">
        <f t="shared" si="457"/>
        <v>-8.375</v>
      </c>
      <c r="U618" s="9">
        <f t="shared" si="458"/>
        <v>-14.125</v>
      </c>
      <c r="V618" s="9">
        <f t="shared" si="459"/>
        <v>-15.5</v>
      </c>
      <c r="W618" s="9">
        <f t="shared" si="460"/>
        <v>-10.125</v>
      </c>
      <c r="X618" s="9">
        <f t="shared" si="461"/>
        <v>-8.25</v>
      </c>
      <c r="Y618" s="9">
        <f t="shared" si="462"/>
        <v>-6</v>
      </c>
      <c r="Z618" s="9">
        <f t="shared" si="463"/>
        <v>-16.625</v>
      </c>
      <c r="AA618" s="9">
        <f t="shared" si="464"/>
        <v>-0.625</v>
      </c>
      <c r="AB618" s="9">
        <f t="shared" si="465"/>
        <v>-1.25</v>
      </c>
      <c r="AC618" s="9">
        <f t="shared" si="466"/>
        <v>-2</v>
      </c>
      <c r="AD618" s="9">
        <f t="shared" si="467"/>
        <v>-5.6875</v>
      </c>
      <c r="AE618" s="9">
        <f t="shared" si="468"/>
        <v>-8.75</v>
      </c>
      <c r="AF618" s="9">
        <f t="shared" si="469"/>
        <v>-7.25</v>
      </c>
      <c r="AG618" s="9">
        <f t="shared" si="470"/>
        <v>-9</v>
      </c>
      <c r="AH618" s="9">
        <f t="shared" si="471"/>
        <v>-6.25</v>
      </c>
      <c r="AI618" s="9">
        <f t="shared" si="472"/>
        <v>-9.375</v>
      </c>
      <c r="AJ618" s="9">
        <f t="shared" si="473"/>
        <v>0.5</v>
      </c>
      <c r="AK618" s="9">
        <f t="shared" si="474"/>
        <v>2</v>
      </c>
      <c r="AL618" s="9">
        <f t="shared" si="475"/>
        <v>0.375</v>
      </c>
      <c r="AM618" s="9">
        <f t="shared" si="476"/>
        <v>-2.5</v>
      </c>
      <c r="AN618" s="9">
        <f t="shared" si="477"/>
        <v>-5.25</v>
      </c>
      <c r="AO618" s="9">
        <f t="shared" si="478"/>
        <v>-5.375</v>
      </c>
      <c r="AP618" s="9">
        <f t="shared" si="479"/>
        <v>-7.75</v>
      </c>
      <c r="AQ618" s="9">
        <f t="shared" si="480"/>
        <v>-6.625</v>
      </c>
      <c r="AR618" s="9">
        <f t="shared" si="481"/>
        <v>-8.875</v>
      </c>
      <c r="AS618" s="9">
        <f t="shared" si="482"/>
        <v>0.75</v>
      </c>
      <c r="AT618" s="9">
        <f t="shared" si="483"/>
        <v>1.4500000000000028</v>
      </c>
      <c r="AU618" s="9">
        <f t="shared" si="484"/>
        <v>-0.75</v>
      </c>
      <c r="AV618" s="9">
        <f t="shared" si="485"/>
        <v>-3.375</v>
      </c>
      <c r="AW618" s="9">
        <f t="shared" si="486"/>
        <v>-5.25</v>
      </c>
      <c r="AX618" s="9">
        <f t="shared" si="487"/>
        <v>-3.25</v>
      </c>
      <c r="AY618" s="9">
        <f t="shared" si="488"/>
        <v>-8.25</v>
      </c>
      <c r="AZ618" s="9">
        <f t="shared" si="489"/>
        <v>-7.25</v>
      </c>
      <c r="BA618" s="9">
        <f t="shared" si="490"/>
        <v>-9.375</v>
      </c>
      <c r="BB618" s="9">
        <f t="shared" si="491"/>
        <v>1</v>
      </c>
      <c r="BC618" s="9">
        <f t="shared" si="492"/>
        <v>2</v>
      </c>
      <c r="BD618" s="9">
        <f t="shared" si="493"/>
        <v>-0.375</v>
      </c>
      <c r="BE618" s="9">
        <f t="shared" si="494"/>
        <v>-3</v>
      </c>
      <c r="BF618" s="9">
        <f t="shared" si="495"/>
        <v>-4.5</v>
      </c>
      <c r="BG618" s="9">
        <f t="shared" si="496"/>
        <v>-2.625</v>
      </c>
      <c r="BH618" s="9">
        <f t="shared" si="497"/>
        <v>-7.25</v>
      </c>
      <c r="BI618" s="9">
        <f t="shared" si="498"/>
        <v>-5.875</v>
      </c>
      <c r="BJ618" s="9">
        <f t="shared" si="499"/>
        <v>-7.125</v>
      </c>
    </row>
    <row r="619" spans="1:62" x14ac:dyDescent="0.2">
      <c r="A619" s="9">
        <f>data!M620-data!M619</f>
        <v>2.354699999999994</v>
      </c>
      <c r="B619" s="9">
        <f>data!C620-data!C619</f>
        <v>-8.3400000000000016</v>
      </c>
      <c r="C619" s="9">
        <f>data!D620-data!D619</f>
        <v>0.14750000000000085</v>
      </c>
      <c r="D619" s="10">
        <f>data!B620-data!B619</f>
        <v>-0.2024999999999999</v>
      </c>
      <c r="E619" s="9">
        <f>data!E619-data!G619</f>
        <v>1.8431999999999999</v>
      </c>
      <c r="F619" s="9">
        <f>(data!E619-data!F619)-(data!G619-data!H619)</f>
        <v>0.79239999999999999</v>
      </c>
      <c r="G619" s="9">
        <f t="shared" si="450"/>
        <v>0.33790000000000031</v>
      </c>
      <c r="H619" s="9">
        <f t="shared" si="451"/>
        <v>0.22560000000000002</v>
      </c>
      <c r="I619" s="9">
        <f>IF(data!M620&gt; 111.81,1,0)</f>
        <v>1</v>
      </c>
      <c r="J619" s="9">
        <f t="shared" si="452"/>
        <v>0</v>
      </c>
      <c r="K619" s="9">
        <f t="shared" si="453"/>
        <v>2.354699999999994</v>
      </c>
      <c r="L619" s="9">
        <f t="shared" si="454"/>
        <v>0</v>
      </c>
      <c r="M619" s="9">
        <f>data!J619</f>
        <v>-70.25</v>
      </c>
      <c r="N619" s="9">
        <f>data!I619</f>
        <v>-75.875</v>
      </c>
      <c r="O619" s="9">
        <f>data!L619</f>
        <v>-70.5</v>
      </c>
      <c r="P619" s="9">
        <f>data!K619</f>
        <v>-55.5</v>
      </c>
      <c r="Q619" s="9">
        <f>data!R619</f>
        <v>-47.5</v>
      </c>
      <c r="R619" s="9">
        <f t="shared" si="455"/>
        <v>2</v>
      </c>
      <c r="S619" s="9">
        <f t="shared" si="456"/>
        <v>-1.125</v>
      </c>
      <c r="T619" s="9">
        <f t="shared" si="457"/>
        <v>-6.875</v>
      </c>
      <c r="U619" s="9">
        <f t="shared" si="458"/>
        <v>-8.25</v>
      </c>
      <c r="V619" s="9">
        <f t="shared" si="459"/>
        <v>-2.875</v>
      </c>
      <c r="W619" s="9">
        <f t="shared" si="460"/>
        <v>-1</v>
      </c>
      <c r="X619" s="9">
        <f t="shared" si="461"/>
        <v>1.25</v>
      </c>
      <c r="Y619" s="9">
        <f t="shared" si="462"/>
        <v>-9.375</v>
      </c>
      <c r="Z619" s="9">
        <f t="shared" si="463"/>
        <v>-5.25</v>
      </c>
      <c r="AA619" s="9">
        <f t="shared" si="464"/>
        <v>-0.625</v>
      </c>
      <c r="AB619" s="9">
        <f t="shared" si="465"/>
        <v>-1.375</v>
      </c>
      <c r="AC619" s="9">
        <f t="shared" si="466"/>
        <v>-5.0625</v>
      </c>
      <c r="AD619" s="9">
        <f t="shared" si="467"/>
        <v>-8.125</v>
      </c>
      <c r="AE619" s="9">
        <f t="shared" si="468"/>
        <v>-6.625</v>
      </c>
      <c r="AF619" s="9">
        <f t="shared" si="469"/>
        <v>-8.375</v>
      </c>
      <c r="AG619" s="9">
        <f t="shared" si="470"/>
        <v>-5.625</v>
      </c>
      <c r="AH619" s="9">
        <f t="shared" si="471"/>
        <v>-8.75</v>
      </c>
      <c r="AI619" s="9">
        <f t="shared" si="472"/>
        <v>-9.1875</v>
      </c>
      <c r="AJ619" s="9">
        <f t="shared" si="473"/>
        <v>1.5</v>
      </c>
      <c r="AK619" s="9">
        <f t="shared" si="474"/>
        <v>-0.125</v>
      </c>
      <c r="AL619" s="9">
        <f t="shared" si="475"/>
        <v>-3</v>
      </c>
      <c r="AM619" s="9">
        <f t="shared" si="476"/>
        <v>-5.75</v>
      </c>
      <c r="AN619" s="9">
        <f t="shared" si="477"/>
        <v>-5.875</v>
      </c>
      <c r="AO619" s="9">
        <f t="shared" si="478"/>
        <v>-8.25</v>
      </c>
      <c r="AP619" s="9">
        <f t="shared" si="479"/>
        <v>-7.125</v>
      </c>
      <c r="AQ619" s="9">
        <f t="shared" si="480"/>
        <v>-9.375</v>
      </c>
      <c r="AR619" s="9">
        <f t="shared" si="481"/>
        <v>-9</v>
      </c>
      <c r="AS619" s="9">
        <f t="shared" si="482"/>
        <v>0.70000000000000284</v>
      </c>
      <c r="AT619" s="9">
        <f t="shared" si="483"/>
        <v>-1.5</v>
      </c>
      <c r="AU619" s="9">
        <f t="shared" si="484"/>
        <v>-4.125</v>
      </c>
      <c r="AV619" s="9">
        <f t="shared" si="485"/>
        <v>-6</v>
      </c>
      <c r="AW619" s="9">
        <f t="shared" si="486"/>
        <v>-4</v>
      </c>
      <c r="AX619" s="9">
        <f t="shared" si="487"/>
        <v>-9</v>
      </c>
      <c r="AY619" s="9">
        <f t="shared" si="488"/>
        <v>-8</v>
      </c>
      <c r="AZ619" s="9">
        <f t="shared" si="489"/>
        <v>-10.125</v>
      </c>
      <c r="BA619" s="9">
        <f t="shared" si="490"/>
        <v>-9.75</v>
      </c>
      <c r="BB619" s="9">
        <f t="shared" si="491"/>
        <v>1</v>
      </c>
      <c r="BC619" s="9">
        <f t="shared" si="492"/>
        <v>-1.375</v>
      </c>
      <c r="BD619" s="9">
        <f t="shared" si="493"/>
        <v>-4</v>
      </c>
      <c r="BE619" s="9">
        <f t="shared" si="494"/>
        <v>-5.5</v>
      </c>
      <c r="BF619" s="9">
        <f t="shared" si="495"/>
        <v>-3.625</v>
      </c>
      <c r="BG619" s="9">
        <f t="shared" si="496"/>
        <v>-8.25</v>
      </c>
      <c r="BH619" s="9">
        <f t="shared" si="497"/>
        <v>-6.875</v>
      </c>
      <c r="BI619" s="9">
        <f t="shared" si="498"/>
        <v>-8.125</v>
      </c>
      <c r="BJ619" s="9">
        <f t="shared" si="499"/>
        <v>-7.875</v>
      </c>
    </row>
    <row r="620" spans="1:62" x14ac:dyDescent="0.2">
      <c r="A620" s="9">
        <f>data!M621-data!M620</f>
        <v>1.656099999999995</v>
      </c>
      <c r="B620" s="9">
        <f>data!C621-data!C620</f>
        <v>-1.3200000000000003</v>
      </c>
      <c r="C620" s="9">
        <f>data!D621-data!D620</f>
        <v>0.40499999999999936</v>
      </c>
      <c r="D620" s="10">
        <f>data!B621-data!B620</f>
        <v>0.11749999999999994</v>
      </c>
      <c r="E620" s="9">
        <f>data!E620-data!G620</f>
        <v>2.1811000000000003</v>
      </c>
      <c r="F620" s="9">
        <f>(data!E620-data!F620)-(data!G620-data!H620)</f>
        <v>1.018</v>
      </c>
      <c r="G620" s="9">
        <f t="shared" si="450"/>
        <v>0.14169999999999972</v>
      </c>
      <c r="H620" s="9">
        <f t="shared" si="451"/>
        <v>6.1999999999999833E-2</v>
      </c>
      <c r="I620" s="9">
        <f>IF(data!M621&gt; 111.81,1,0)</f>
        <v>1</v>
      </c>
      <c r="J620" s="9">
        <f t="shared" si="452"/>
        <v>0</v>
      </c>
      <c r="K620" s="9">
        <f t="shared" si="453"/>
        <v>1.656099999999995</v>
      </c>
      <c r="L620" s="9">
        <f t="shared" si="454"/>
        <v>0</v>
      </c>
      <c r="M620" s="9">
        <f>data!J620</f>
        <v>-68.25</v>
      </c>
      <c r="N620" s="9">
        <f>data!I620</f>
        <v>-76.5</v>
      </c>
      <c r="O620" s="9">
        <f>data!L620</f>
        <v>-69</v>
      </c>
      <c r="P620" s="9">
        <f>data!K620</f>
        <v>-54.8</v>
      </c>
      <c r="Q620" s="9">
        <f>data!R620</f>
        <v>-46.5</v>
      </c>
      <c r="R620" s="9">
        <f t="shared" si="455"/>
        <v>-3.125</v>
      </c>
      <c r="S620" s="9">
        <f t="shared" si="456"/>
        <v>-8.875</v>
      </c>
      <c r="T620" s="9">
        <f t="shared" si="457"/>
        <v>-10.25</v>
      </c>
      <c r="U620" s="9">
        <f t="shared" si="458"/>
        <v>-4.875</v>
      </c>
      <c r="V620" s="9">
        <f t="shared" si="459"/>
        <v>-3</v>
      </c>
      <c r="W620" s="9">
        <f t="shared" si="460"/>
        <v>-0.75</v>
      </c>
      <c r="X620" s="9">
        <f t="shared" si="461"/>
        <v>-11.375</v>
      </c>
      <c r="Y620" s="9">
        <f t="shared" si="462"/>
        <v>-7.25</v>
      </c>
      <c r="Z620" s="9">
        <f t="shared" si="463"/>
        <v>-8.75</v>
      </c>
      <c r="AA620" s="9">
        <f t="shared" si="464"/>
        <v>-0.75</v>
      </c>
      <c r="AB620" s="9">
        <f t="shared" si="465"/>
        <v>-4.4375</v>
      </c>
      <c r="AC620" s="9">
        <f t="shared" si="466"/>
        <v>-7.5</v>
      </c>
      <c r="AD620" s="9">
        <f t="shared" si="467"/>
        <v>-6</v>
      </c>
      <c r="AE620" s="9">
        <f t="shared" si="468"/>
        <v>-7.75</v>
      </c>
      <c r="AF620" s="9">
        <f t="shared" si="469"/>
        <v>-5</v>
      </c>
      <c r="AG620" s="9">
        <f t="shared" si="470"/>
        <v>-8.125</v>
      </c>
      <c r="AH620" s="9">
        <f t="shared" si="471"/>
        <v>-8.5625</v>
      </c>
      <c r="AI620" s="9">
        <f t="shared" si="472"/>
        <v>-12.9375</v>
      </c>
      <c r="AJ620" s="9">
        <f t="shared" si="473"/>
        <v>-1.625</v>
      </c>
      <c r="AK620" s="9">
        <f t="shared" si="474"/>
        <v>-4.5</v>
      </c>
      <c r="AL620" s="9">
        <f t="shared" si="475"/>
        <v>-7.25</v>
      </c>
      <c r="AM620" s="9">
        <f t="shared" si="476"/>
        <v>-7.375</v>
      </c>
      <c r="AN620" s="9">
        <f t="shared" si="477"/>
        <v>-9.75</v>
      </c>
      <c r="AO620" s="9">
        <f t="shared" si="478"/>
        <v>-8.625</v>
      </c>
      <c r="AP620" s="9">
        <f t="shared" si="479"/>
        <v>-10.875</v>
      </c>
      <c r="AQ620" s="9">
        <f t="shared" si="480"/>
        <v>-10.5</v>
      </c>
      <c r="AR620" s="9">
        <f t="shared" si="481"/>
        <v>-14</v>
      </c>
      <c r="AS620" s="9">
        <f t="shared" si="482"/>
        <v>-2.2000000000000028</v>
      </c>
      <c r="AT620" s="9">
        <f t="shared" si="483"/>
        <v>-4.8250000000000028</v>
      </c>
      <c r="AU620" s="9">
        <f t="shared" si="484"/>
        <v>-6.7000000000000028</v>
      </c>
      <c r="AV620" s="9">
        <f t="shared" si="485"/>
        <v>-4.7000000000000028</v>
      </c>
      <c r="AW620" s="9">
        <f t="shared" si="486"/>
        <v>-9.7000000000000028</v>
      </c>
      <c r="AX620" s="9">
        <f t="shared" si="487"/>
        <v>-8.7000000000000028</v>
      </c>
      <c r="AY620" s="9">
        <f t="shared" si="488"/>
        <v>-10.825000000000003</v>
      </c>
      <c r="AZ620" s="9">
        <f t="shared" si="489"/>
        <v>-10.450000000000003</v>
      </c>
      <c r="BA620" s="9">
        <f t="shared" si="490"/>
        <v>-14.075000000000003</v>
      </c>
      <c r="BB620" s="9">
        <f t="shared" si="491"/>
        <v>-2.375</v>
      </c>
      <c r="BC620" s="9">
        <f t="shared" si="492"/>
        <v>-5</v>
      </c>
      <c r="BD620" s="9">
        <f t="shared" si="493"/>
        <v>-6.5</v>
      </c>
      <c r="BE620" s="9">
        <f t="shared" si="494"/>
        <v>-4.625</v>
      </c>
      <c r="BF620" s="9">
        <f t="shared" si="495"/>
        <v>-9.25</v>
      </c>
      <c r="BG620" s="9">
        <f t="shared" si="496"/>
        <v>-7.875</v>
      </c>
      <c r="BH620" s="9">
        <f t="shared" si="497"/>
        <v>-9.125</v>
      </c>
      <c r="BI620" s="9">
        <f t="shared" si="498"/>
        <v>-8.875</v>
      </c>
      <c r="BJ620" s="9">
        <f t="shared" si="499"/>
        <v>-12.25</v>
      </c>
    </row>
    <row r="621" spans="1:62" x14ac:dyDescent="0.2">
      <c r="A621" s="9">
        <f>data!M622-data!M621</f>
        <v>0.426400000000001</v>
      </c>
      <c r="B621" s="9">
        <f>data!C622-data!C621</f>
        <v>-0.50999999999999979</v>
      </c>
      <c r="C621" s="9">
        <f>data!D622-data!D621</f>
        <v>0.14750000000000085</v>
      </c>
      <c r="D621" s="10">
        <f>data!B622-data!B621</f>
        <v>4.4999999999999929E-2</v>
      </c>
      <c r="E621" s="9">
        <f>data!E621-data!G621</f>
        <v>2.3228</v>
      </c>
      <c r="F621" s="9">
        <f>(data!E621-data!F621)-(data!G621-data!H621)</f>
        <v>1.0799999999999998</v>
      </c>
      <c r="G621" s="9">
        <f t="shared" si="450"/>
        <v>-1.5999999999998238E-3</v>
      </c>
      <c r="H621" s="9">
        <f t="shared" si="451"/>
        <v>-2.2599999999999731E-2</v>
      </c>
      <c r="I621" s="9">
        <f>IF(data!M622&gt; 111.81,1,0)</f>
        <v>1</v>
      </c>
      <c r="J621" s="9">
        <f t="shared" si="452"/>
        <v>0</v>
      </c>
      <c r="K621" s="9">
        <f t="shared" si="453"/>
        <v>0.426400000000001</v>
      </c>
      <c r="L621" s="9">
        <f t="shared" si="454"/>
        <v>0</v>
      </c>
      <c r="M621" s="9">
        <f>data!J621</f>
        <v>-71.375</v>
      </c>
      <c r="N621" s="9">
        <f>data!I621</f>
        <v>-77.25</v>
      </c>
      <c r="O621" s="9">
        <f>data!L621</f>
        <v>-70.625</v>
      </c>
      <c r="P621" s="9">
        <f>data!K621</f>
        <v>-57</v>
      </c>
      <c r="Q621" s="9">
        <f>data!R621</f>
        <v>-48.875</v>
      </c>
      <c r="R621" s="9">
        <f t="shared" si="455"/>
        <v>-5.75</v>
      </c>
      <c r="S621" s="9">
        <f t="shared" si="456"/>
        <v>-7.125</v>
      </c>
      <c r="T621" s="9">
        <f t="shared" si="457"/>
        <v>-1.75</v>
      </c>
      <c r="U621" s="9">
        <f t="shared" si="458"/>
        <v>0.125</v>
      </c>
      <c r="V621" s="9">
        <f t="shared" si="459"/>
        <v>2.375</v>
      </c>
      <c r="W621" s="9">
        <f t="shared" si="460"/>
        <v>-8.25</v>
      </c>
      <c r="X621" s="9">
        <f t="shared" si="461"/>
        <v>-4.125</v>
      </c>
      <c r="Y621" s="9">
        <f t="shared" si="462"/>
        <v>-5.625</v>
      </c>
      <c r="Z621" s="9">
        <f t="shared" si="463"/>
        <v>-1.5</v>
      </c>
      <c r="AA621" s="9">
        <f t="shared" si="464"/>
        <v>-3.6875</v>
      </c>
      <c r="AB621" s="9">
        <f t="shared" si="465"/>
        <v>-6.75</v>
      </c>
      <c r="AC621" s="9">
        <f t="shared" si="466"/>
        <v>-5.25</v>
      </c>
      <c r="AD621" s="9">
        <f t="shared" si="467"/>
        <v>-7</v>
      </c>
      <c r="AE621" s="9">
        <f t="shared" si="468"/>
        <v>-4.25</v>
      </c>
      <c r="AF621" s="9">
        <f t="shared" si="469"/>
        <v>-7.375</v>
      </c>
      <c r="AG621" s="9">
        <f t="shared" si="470"/>
        <v>-7.8125</v>
      </c>
      <c r="AH621" s="9">
        <f t="shared" si="471"/>
        <v>-12.1875</v>
      </c>
      <c r="AI621" s="9">
        <f t="shared" si="472"/>
        <v>-11.5</v>
      </c>
      <c r="AJ621" s="9">
        <f t="shared" si="473"/>
        <v>-2.875</v>
      </c>
      <c r="AK621" s="9">
        <f t="shared" si="474"/>
        <v>-5.625</v>
      </c>
      <c r="AL621" s="9">
        <f t="shared" si="475"/>
        <v>-5.75</v>
      </c>
      <c r="AM621" s="9">
        <f t="shared" si="476"/>
        <v>-8.125</v>
      </c>
      <c r="AN621" s="9">
        <f t="shared" si="477"/>
        <v>-7</v>
      </c>
      <c r="AO621" s="9">
        <f t="shared" si="478"/>
        <v>-9.25</v>
      </c>
      <c r="AP621" s="9">
        <f t="shared" si="479"/>
        <v>-8.875</v>
      </c>
      <c r="AQ621" s="9">
        <f t="shared" si="480"/>
        <v>-12.375</v>
      </c>
      <c r="AR621" s="9">
        <f t="shared" si="481"/>
        <v>-13.375</v>
      </c>
      <c r="AS621" s="9">
        <f t="shared" si="482"/>
        <v>-2.625</v>
      </c>
      <c r="AT621" s="9">
        <f t="shared" si="483"/>
        <v>-4.5</v>
      </c>
      <c r="AU621" s="9">
        <f t="shared" si="484"/>
        <v>-2.5</v>
      </c>
      <c r="AV621" s="9">
        <f t="shared" si="485"/>
        <v>-7.5</v>
      </c>
      <c r="AW621" s="9">
        <f t="shared" si="486"/>
        <v>-6.5</v>
      </c>
      <c r="AX621" s="9">
        <f t="shared" si="487"/>
        <v>-8.625</v>
      </c>
      <c r="AY621" s="9">
        <f t="shared" si="488"/>
        <v>-8.25</v>
      </c>
      <c r="AZ621" s="9">
        <f t="shared" si="489"/>
        <v>-11.875</v>
      </c>
      <c r="BA621" s="9">
        <f t="shared" si="490"/>
        <v>-12</v>
      </c>
      <c r="BB621" s="9">
        <f t="shared" si="491"/>
        <v>-2.625</v>
      </c>
      <c r="BC621" s="9">
        <f t="shared" si="492"/>
        <v>-4.125</v>
      </c>
      <c r="BD621" s="9">
        <f t="shared" si="493"/>
        <v>-2.25</v>
      </c>
      <c r="BE621" s="9">
        <f t="shared" si="494"/>
        <v>-6.875</v>
      </c>
      <c r="BF621" s="9">
        <f t="shared" si="495"/>
        <v>-5.5</v>
      </c>
      <c r="BG621" s="9">
        <f t="shared" si="496"/>
        <v>-6.75</v>
      </c>
      <c r="BH621" s="9">
        <f t="shared" si="497"/>
        <v>-6.5</v>
      </c>
      <c r="BI621" s="9">
        <f t="shared" si="498"/>
        <v>-9.875</v>
      </c>
      <c r="BJ621" s="9">
        <f t="shared" si="499"/>
        <v>-10</v>
      </c>
    </row>
    <row r="622" spans="1:62" x14ac:dyDescent="0.2">
      <c r="A622" s="9">
        <f>data!M623-data!M622</f>
        <v>-0.70839999999999748</v>
      </c>
      <c r="B622" s="9">
        <f>data!C623-data!C622</f>
        <v>1.7799999999999994</v>
      </c>
      <c r="C622" s="9">
        <f>data!D623-data!D622</f>
        <v>4.7499999999999432E-2</v>
      </c>
      <c r="D622" s="10">
        <f>data!B623-data!B622</f>
        <v>0.12749999999999995</v>
      </c>
      <c r="E622" s="9">
        <f>data!E622-data!G622</f>
        <v>2.3212000000000002</v>
      </c>
      <c r="F622" s="9">
        <f>(data!E622-data!F622)-(data!G622-data!H622)</f>
        <v>1.0574000000000001</v>
      </c>
      <c r="G622" s="9">
        <f t="shared" si="450"/>
        <v>2.9900000000000038E-2</v>
      </c>
      <c r="H622" s="9">
        <f t="shared" si="451"/>
        <v>1.2000000000000233E-2</v>
      </c>
      <c r="I622" s="9">
        <f>IF(data!M623&gt; 111.81,1,0)</f>
        <v>1</v>
      </c>
      <c r="J622" s="9">
        <f t="shared" si="452"/>
        <v>0</v>
      </c>
      <c r="K622" s="9">
        <f t="shared" si="453"/>
        <v>-0.70839999999999748</v>
      </c>
      <c r="L622" s="9">
        <f t="shared" si="454"/>
        <v>0</v>
      </c>
      <c r="M622" s="9">
        <f>data!J622</f>
        <v>-77.125</v>
      </c>
      <c r="N622" s="9">
        <f>data!I622</f>
        <v>-80.9375</v>
      </c>
      <c r="O622" s="9">
        <f>data!L622</f>
        <v>-73.5</v>
      </c>
      <c r="P622" s="9">
        <f>data!K622</f>
        <v>-59.625</v>
      </c>
      <c r="Q622" s="9">
        <f>data!R622</f>
        <v>-51.5</v>
      </c>
      <c r="R622" s="9">
        <f t="shared" si="455"/>
        <v>-1.375</v>
      </c>
      <c r="S622" s="9">
        <f t="shared" si="456"/>
        <v>4</v>
      </c>
      <c r="T622" s="9">
        <f t="shared" si="457"/>
        <v>5.875</v>
      </c>
      <c r="U622" s="9">
        <f t="shared" si="458"/>
        <v>8.125</v>
      </c>
      <c r="V622" s="9">
        <f t="shared" si="459"/>
        <v>-2.5</v>
      </c>
      <c r="W622" s="9">
        <f t="shared" si="460"/>
        <v>1.625</v>
      </c>
      <c r="X622" s="9">
        <f t="shared" si="461"/>
        <v>0.125</v>
      </c>
      <c r="Y622" s="9">
        <f t="shared" si="462"/>
        <v>4.25</v>
      </c>
      <c r="Z622" s="9">
        <f t="shared" si="463"/>
        <v>5.375</v>
      </c>
      <c r="AA622" s="9">
        <f t="shared" si="464"/>
        <v>-3.0625</v>
      </c>
      <c r="AB622" s="9">
        <f t="shared" si="465"/>
        <v>-1.5625</v>
      </c>
      <c r="AC622" s="9">
        <f t="shared" si="466"/>
        <v>-3.3125</v>
      </c>
      <c r="AD622" s="9">
        <f t="shared" si="467"/>
        <v>-0.5625</v>
      </c>
      <c r="AE622" s="9">
        <f t="shared" si="468"/>
        <v>-3.6875</v>
      </c>
      <c r="AF622" s="9">
        <f t="shared" si="469"/>
        <v>-4.125</v>
      </c>
      <c r="AG622" s="9">
        <f t="shared" si="470"/>
        <v>-8.5</v>
      </c>
      <c r="AH622" s="9">
        <f t="shared" si="471"/>
        <v>-7.8125</v>
      </c>
      <c r="AI622" s="9">
        <f t="shared" si="472"/>
        <v>-9.125</v>
      </c>
      <c r="AJ622" s="9">
        <f t="shared" si="473"/>
        <v>-2.75</v>
      </c>
      <c r="AK622" s="9">
        <f t="shared" si="474"/>
        <v>-2.875</v>
      </c>
      <c r="AL622" s="9">
        <f t="shared" si="475"/>
        <v>-5.25</v>
      </c>
      <c r="AM622" s="9">
        <f t="shared" si="476"/>
        <v>-4.125</v>
      </c>
      <c r="AN622" s="9">
        <f t="shared" si="477"/>
        <v>-6.375</v>
      </c>
      <c r="AO622" s="9">
        <f t="shared" si="478"/>
        <v>-6</v>
      </c>
      <c r="AP622" s="9">
        <f t="shared" si="479"/>
        <v>-9.5</v>
      </c>
      <c r="AQ622" s="9">
        <f t="shared" si="480"/>
        <v>-10.5</v>
      </c>
      <c r="AR622" s="9">
        <f t="shared" si="481"/>
        <v>-11.875</v>
      </c>
      <c r="AS622" s="9">
        <f t="shared" si="482"/>
        <v>-1.875</v>
      </c>
      <c r="AT622" s="9">
        <f t="shared" si="483"/>
        <v>0.125</v>
      </c>
      <c r="AU622" s="9">
        <f t="shared" si="484"/>
        <v>-4.875</v>
      </c>
      <c r="AV622" s="9">
        <f t="shared" si="485"/>
        <v>-3.875</v>
      </c>
      <c r="AW622" s="9">
        <f t="shared" si="486"/>
        <v>-6</v>
      </c>
      <c r="AX622" s="9">
        <f t="shared" si="487"/>
        <v>-5.625</v>
      </c>
      <c r="AY622" s="9">
        <f t="shared" si="488"/>
        <v>-9.25</v>
      </c>
      <c r="AZ622" s="9">
        <f t="shared" si="489"/>
        <v>-9.375</v>
      </c>
      <c r="BA622" s="9">
        <f t="shared" si="490"/>
        <v>-11.625</v>
      </c>
      <c r="BB622" s="9">
        <f t="shared" si="491"/>
        <v>-1.5</v>
      </c>
      <c r="BC622" s="9">
        <f t="shared" si="492"/>
        <v>0.375</v>
      </c>
      <c r="BD622" s="9">
        <f t="shared" si="493"/>
        <v>-4.25</v>
      </c>
      <c r="BE622" s="9">
        <f t="shared" si="494"/>
        <v>-2.875</v>
      </c>
      <c r="BF622" s="9">
        <f t="shared" si="495"/>
        <v>-4.125</v>
      </c>
      <c r="BG622" s="9">
        <f t="shared" si="496"/>
        <v>-3.875</v>
      </c>
      <c r="BH622" s="9">
        <f t="shared" si="497"/>
        <v>-7.25</v>
      </c>
      <c r="BI622" s="9">
        <f t="shared" si="498"/>
        <v>-7.375</v>
      </c>
      <c r="BJ622" s="9">
        <f t="shared" si="499"/>
        <v>-9.375</v>
      </c>
    </row>
    <row r="623" spans="1:62" x14ac:dyDescent="0.2">
      <c r="A623" s="9">
        <f>data!M624-data!M623</f>
        <v>-2.8199999999998226E-2</v>
      </c>
      <c r="B623" s="9">
        <f>data!C624-data!C623</f>
        <v>-2.3699999999999992</v>
      </c>
      <c r="C623" s="9">
        <f>data!D624-data!D623</f>
        <v>-0.30250000000000021</v>
      </c>
      <c r="D623" s="10">
        <f>data!B624-data!B623</f>
        <v>0.14750000000000019</v>
      </c>
      <c r="E623" s="9">
        <f>data!E623-data!G623</f>
        <v>2.3511000000000002</v>
      </c>
      <c r="F623" s="9">
        <f>(data!E623-data!F623)-(data!G623-data!H623)</f>
        <v>1.0694000000000004</v>
      </c>
      <c r="G623" s="9">
        <f t="shared" si="450"/>
        <v>6.0399999999999565E-2</v>
      </c>
      <c r="H623" s="9">
        <f t="shared" si="451"/>
        <v>2.5199999999999445E-2</v>
      </c>
      <c r="I623" s="9">
        <f>IF(data!M624&gt; 111.81,1,0)</f>
        <v>1</v>
      </c>
      <c r="J623" s="9">
        <f t="shared" si="452"/>
        <v>0</v>
      </c>
      <c r="K623" s="9">
        <f t="shared" si="453"/>
        <v>-2.8199999999998226E-2</v>
      </c>
      <c r="L623" s="9">
        <f t="shared" si="454"/>
        <v>0</v>
      </c>
      <c r="M623" s="9">
        <f>data!J623</f>
        <v>-78.5</v>
      </c>
      <c r="N623" s="9">
        <f>data!I623</f>
        <v>-84</v>
      </c>
      <c r="O623" s="9">
        <f>data!L623</f>
        <v>-76.25</v>
      </c>
      <c r="P623" s="9">
        <f>data!K623</f>
        <v>-61.5</v>
      </c>
      <c r="Q623" s="9">
        <f>data!R623</f>
        <v>-53</v>
      </c>
      <c r="R623" s="9">
        <f t="shared" si="455"/>
        <v>5.375</v>
      </c>
      <c r="S623" s="9">
        <f t="shared" si="456"/>
        <v>7.25</v>
      </c>
      <c r="T623" s="9">
        <f t="shared" si="457"/>
        <v>9.5</v>
      </c>
      <c r="U623" s="9">
        <f t="shared" si="458"/>
        <v>-1.125</v>
      </c>
      <c r="V623" s="9">
        <f t="shared" si="459"/>
        <v>3</v>
      </c>
      <c r="W623" s="9">
        <f t="shared" si="460"/>
        <v>1.5</v>
      </c>
      <c r="X623" s="9">
        <f t="shared" si="461"/>
        <v>5.625</v>
      </c>
      <c r="Y623" s="9">
        <f t="shared" si="462"/>
        <v>6.75</v>
      </c>
      <c r="Z623" s="9">
        <f t="shared" si="463"/>
        <v>14.375</v>
      </c>
      <c r="AA623" s="9">
        <f t="shared" si="464"/>
        <v>1.5</v>
      </c>
      <c r="AB623" s="9">
        <f t="shared" si="465"/>
        <v>-0.25</v>
      </c>
      <c r="AC623" s="9">
        <f t="shared" si="466"/>
        <v>2.5</v>
      </c>
      <c r="AD623" s="9">
        <f t="shared" si="467"/>
        <v>-0.625</v>
      </c>
      <c r="AE623" s="9">
        <f t="shared" si="468"/>
        <v>-1.0625</v>
      </c>
      <c r="AF623" s="9">
        <f t="shared" si="469"/>
        <v>-5.4375</v>
      </c>
      <c r="AG623" s="9">
        <f t="shared" si="470"/>
        <v>-4.75</v>
      </c>
      <c r="AH623" s="9">
        <f t="shared" si="471"/>
        <v>-6.0625</v>
      </c>
      <c r="AI623" s="9">
        <f t="shared" si="472"/>
        <v>1.25</v>
      </c>
      <c r="AJ623" s="9">
        <f t="shared" si="473"/>
        <v>-0.125</v>
      </c>
      <c r="AK623" s="9">
        <f t="shared" si="474"/>
        <v>-2.5</v>
      </c>
      <c r="AL623" s="9">
        <f t="shared" si="475"/>
        <v>-1.375</v>
      </c>
      <c r="AM623" s="9">
        <f t="shared" si="476"/>
        <v>-3.625</v>
      </c>
      <c r="AN623" s="9">
        <f t="shared" si="477"/>
        <v>-3.25</v>
      </c>
      <c r="AO623" s="9">
        <f t="shared" si="478"/>
        <v>-6.75</v>
      </c>
      <c r="AP623" s="9">
        <f t="shared" si="479"/>
        <v>-7.75</v>
      </c>
      <c r="AQ623" s="9">
        <f t="shared" si="480"/>
        <v>-9.125</v>
      </c>
      <c r="AR623" s="9">
        <f t="shared" si="481"/>
        <v>-5.75</v>
      </c>
      <c r="AS623" s="9">
        <f t="shared" si="482"/>
        <v>2</v>
      </c>
      <c r="AT623" s="9">
        <f t="shared" si="483"/>
        <v>-3</v>
      </c>
      <c r="AU623" s="9">
        <f t="shared" si="484"/>
        <v>-2</v>
      </c>
      <c r="AV623" s="9">
        <f t="shared" si="485"/>
        <v>-4.125</v>
      </c>
      <c r="AW623" s="9">
        <f t="shared" si="486"/>
        <v>-3.75</v>
      </c>
      <c r="AX623" s="9">
        <f t="shared" si="487"/>
        <v>-7.375</v>
      </c>
      <c r="AY623" s="9">
        <f t="shared" si="488"/>
        <v>-7.5</v>
      </c>
      <c r="AZ623" s="9">
        <f t="shared" si="489"/>
        <v>-9.75</v>
      </c>
      <c r="BA623" s="9">
        <f t="shared" si="490"/>
        <v>-6.125</v>
      </c>
      <c r="BB623" s="9">
        <f t="shared" si="491"/>
        <v>1.875</v>
      </c>
      <c r="BC623" s="9">
        <f t="shared" si="492"/>
        <v>-2.75</v>
      </c>
      <c r="BD623" s="9">
        <f t="shared" si="493"/>
        <v>-1.375</v>
      </c>
      <c r="BE623" s="9">
        <f t="shared" si="494"/>
        <v>-2.625</v>
      </c>
      <c r="BF623" s="9">
        <f t="shared" si="495"/>
        <v>-2.375</v>
      </c>
      <c r="BG623" s="9">
        <f t="shared" si="496"/>
        <v>-5.75</v>
      </c>
      <c r="BH623" s="9">
        <f t="shared" si="497"/>
        <v>-5.875</v>
      </c>
      <c r="BI623" s="9">
        <f t="shared" si="498"/>
        <v>-7.875</v>
      </c>
      <c r="BJ623" s="9">
        <f t="shared" si="499"/>
        <v>-4.25</v>
      </c>
    </row>
    <row r="624" spans="1:62" x14ac:dyDescent="0.2">
      <c r="A624" s="9">
        <f>data!M625-data!M624</f>
        <v>1.0750000000000028</v>
      </c>
      <c r="B624" s="9">
        <f>data!C625-data!C624</f>
        <v>0.44999999999999929</v>
      </c>
      <c r="C624" s="9">
        <f>data!D625-data!D624</f>
        <v>0.57500000000000107</v>
      </c>
      <c r="D624" s="10">
        <f>data!B625-data!B624</f>
        <v>-3.0000000000000027E-2</v>
      </c>
      <c r="E624" s="9">
        <f>data!E624-data!G624</f>
        <v>2.4114999999999998</v>
      </c>
      <c r="F624" s="9">
        <f>(data!E624-data!F624)-(data!G624-data!H624)</f>
        <v>1.0945999999999998</v>
      </c>
      <c r="G624" s="9">
        <f t="shared" si="450"/>
        <v>0.10510000000000019</v>
      </c>
      <c r="H624" s="9">
        <f t="shared" si="451"/>
        <v>-1.2399999999999523E-2</v>
      </c>
      <c r="I624" s="9">
        <f>IF(data!M625&gt; 111.81,1,0)</f>
        <v>1</v>
      </c>
      <c r="J624" s="9">
        <f t="shared" si="452"/>
        <v>0</v>
      </c>
      <c r="K624" s="9">
        <f t="shared" si="453"/>
        <v>1.0750000000000028</v>
      </c>
      <c r="L624" s="9">
        <f t="shared" si="454"/>
        <v>0</v>
      </c>
      <c r="M624" s="9">
        <f>data!J624</f>
        <v>-73.125</v>
      </c>
      <c r="N624" s="9">
        <f>data!I624</f>
        <v>-82.5</v>
      </c>
      <c r="O624" s="9">
        <f>data!L624</f>
        <v>-76.375</v>
      </c>
      <c r="P624" s="9">
        <f>data!K624</f>
        <v>-59.5</v>
      </c>
      <c r="Q624" s="9">
        <f>data!R624</f>
        <v>-51.125</v>
      </c>
      <c r="R624" s="9">
        <f t="shared" si="455"/>
        <v>1.875</v>
      </c>
      <c r="S624" s="9">
        <f t="shared" si="456"/>
        <v>4.125</v>
      </c>
      <c r="T624" s="9">
        <f t="shared" si="457"/>
        <v>-6.5</v>
      </c>
      <c r="U624" s="9">
        <f t="shared" si="458"/>
        <v>-2.375</v>
      </c>
      <c r="V624" s="9">
        <f t="shared" si="459"/>
        <v>-3.875</v>
      </c>
      <c r="W624" s="9">
        <f t="shared" si="460"/>
        <v>0.25</v>
      </c>
      <c r="X624" s="9">
        <f t="shared" si="461"/>
        <v>1.375</v>
      </c>
      <c r="Y624" s="9">
        <f t="shared" si="462"/>
        <v>9</v>
      </c>
      <c r="Z624" s="9">
        <f t="shared" si="463"/>
        <v>8.625</v>
      </c>
      <c r="AA624" s="9">
        <f t="shared" si="464"/>
        <v>-1.75</v>
      </c>
      <c r="AB624" s="9">
        <f t="shared" si="465"/>
        <v>1</v>
      </c>
      <c r="AC624" s="9">
        <f t="shared" si="466"/>
        <v>-2.125</v>
      </c>
      <c r="AD624" s="9">
        <f t="shared" si="467"/>
        <v>-2.5625</v>
      </c>
      <c r="AE624" s="9">
        <f t="shared" si="468"/>
        <v>-6.9375</v>
      </c>
      <c r="AF624" s="9">
        <f t="shared" si="469"/>
        <v>-6.25</v>
      </c>
      <c r="AG624" s="9">
        <f t="shared" si="470"/>
        <v>-7.5625</v>
      </c>
      <c r="AH624" s="9">
        <f t="shared" si="471"/>
        <v>-0.25</v>
      </c>
      <c r="AI624" s="9">
        <f t="shared" si="472"/>
        <v>3.25</v>
      </c>
      <c r="AJ624" s="9">
        <f t="shared" si="473"/>
        <v>-2.375</v>
      </c>
      <c r="AK624" s="9">
        <f t="shared" si="474"/>
        <v>-1.25</v>
      </c>
      <c r="AL624" s="9">
        <f t="shared" si="475"/>
        <v>-3.5</v>
      </c>
      <c r="AM624" s="9">
        <f t="shared" si="476"/>
        <v>-3.125</v>
      </c>
      <c r="AN624" s="9">
        <f t="shared" si="477"/>
        <v>-6.625</v>
      </c>
      <c r="AO624" s="9">
        <f t="shared" si="478"/>
        <v>-7.625</v>
      </c>
      <c r="AP624" s="9">
        <f t="shared" si="479"/>
        <v>-9</v>
      </c>
      <c r="AQ624" s="9">
        <f t="shared" si="480"/>
        <v>-5.625</v>
      </c>
      <c r="AR624" s="9">
        <f t="shared" si="481"/>
        <v>-1.875</v>
      </c>
      <c r="AS624" s="9">
        <f t="shared" si="482"/>
        <v>-5</v>
      </c>
      <c r="AT624" s="9">
        <f t="shared" si="483"/>
        <v>-4</v>
      </c>
      <c r="AU624" s="9">
        <f t="shared" si="484"/>
        <v>-6.125</v>
      </c>
      <c r="AV624" s="9">
        <f t="shared" si="485"/>
        <v>-5.75</v>
      </c>
      <c r="AW624" s="9">
        <f t="shared" si="486"/>
        <v>-9.375</v>
      </c>
      <c r="AX624" s="9">
        <f t="shared" si="487"/>
        <v>-9.5</v>
      </c>
      <c r="AY624" s="9">
        <f t="shared" si="488"/>
        <v>-11.75</v>
      </c>
      <c r="AZ624" s="9">
        <f t="shared" si="489"/>
        <v>-8.125</v>
      </c>
      <c r="BA624" s="9">
        <f t="shared" si="490"/>
        <v>-4.75</v>
      </c>
      <c r="BB624" s="9">
        <f t="shared" si="491"/>
        <v>-4.625</v>
      </c>
      <c r="BC624" s="9">
        <f t="shared" si="492"/>
        <v>-3.25</v>
      </c>
      <c r="BD624" s="9">
        <f t="shared" si="493"/>
        <v>-4.5</v>
      </c>
      <c r="BE624" s="9">
        <f t="shared" si="494"/>
        <v>-4.25</v>
      </c>
      <c r="BF624" s="9">
        <f t="shared" si="495"/>
        <v>-7.625</v>
      </c>
      <c r="BG624" s="9">
        <f t="shared" si="496"/>
        <v>-7.75</v>
      </c>
      <c r="BH624" s="9">
        <f t="shared" si="497"/>
        <v>-9.75</v>
      </c>
      <c r="BI624" s="9">
        <f t="shared" si="498"/>
        <v>-6.125</v>
      </c>
      <c r="BJ624" s="9">
        <f t="shared" si="499"/>
        <v>-2.875</v>
      </c>
    </row>
    <row r="625" spans="1:62" x14ac:dyDescent="0.2">
      <c r="A625" s="9">
        <f>data!M626-data!M625</f>
        <v>0.42719999999999914</v>
      </c>
      <c r="B625" s="9">
        <f>data!C626-data!C625</f>
        <v>-0.75999999999999979</v>
      </c>
      <c r="C625" s="9">
        <f>data!D626-data!D625</f>
        <v>-0.35750000000000171</v>
      </c>
      <c r="D625" s="10">
        <f>data!B626-data!B625</f>
        <v>-0.17749999999999999</v>
      </c>
      <c r="E625" s="9">
        <f>data!E625-data!G625</f>
        <v>2.5165999999999999</v>
      </c>
      <c r="F625" s="9">
        <f>(data!E625-data!F625)-(data!G625-data!H625)</f>
        <v>1.0822000000000003</v>
      </c>
      <c r="G625" s="9">
        <f t="shared" si="450"/>
        <v>-3.0299999999999994E-2</v>
      </c>
      <c r="H625" s="9">
        <f t="shared" si="451"/>
        <v>2.3499999999999854E-2</v>
      </c>
      <c r="I625" s="9">
        <f>IF(data!M626&gt; 111.81,1,0)</f>
        <v>1</v>
      </c>
      <c r="J625" s="9">
        <f t="shared" si="452"/>
        <v>0</v>
      </c>
      <c r="K625" s="9">
        <f t="shared" si="453"/>
        <v>0.42719999999999914</v>
      </c>
      <c r="L625" s="9">
        <f t="shared" si="454"/>
        <v>0</v>
      </c>
      <c r="M625" s="9">
        <f>data!J625</f>
        <v>-71.25</v>
      </c>
      <c r="N625" s="9">
        <f>data!I625</f>
        <v>-84.25</v>
      </c>
      <c r="O625" s="9">
        <f>data!L625</f>
        <v>-78.75</v>
      </c>
      <c r="P625" s="9">
        <f>data!K625</f>
        <v>-64.5</v>
      </c>
      <c r="Q625" s="9">
        <f>data!R625</f>
        <v>-55.75</v>
      </c>
      <c r="R625" s="9">
        <f t="shared" si="455"/>
        <v>2.25</v>
      </c>
      <c r="S625" s="9">
        <f t="shared" si="456"/>
        <v>-8.375</v>
      </c>
      <c r="T625" s="9">
        <f t="shared" si="457"/>
        <v>-4.25</v>
      </c>
      <c r="U625" s="9">
        <f t="shared" si="458"/>
        <v>-5.75</v>
      </c>
      <c r="V625" s="9">
        <f t="shared" si="459"/>
        <v>-1.625</v>
      </c>
      <c r="W625" s="9">
        <f t="shared" si="460"/>
        <v>-0.5</v>
      </c>
      <c r="X625" s="9">
        <f t="shared" si="461"/>
        <v>7.125</v>
      </c>
      <c r="Y625" s="9">
        <f t="shared" si="462"/>
        <v>6.75</v>
      </c>
      <c r="Z625" s="9">
        <f t="shared" si="463"/>
        <v>8.5</v>
      </c>
      <c r="AA625" s="9">
        <f t="shared" si="464"/>
        <v>2.75</v>
      </c>
      <c r="AB625" s="9">
        <f t="shared" si="465"/>
        <v>-0.375</v>
      </c>
      <c r="AC625" s="9">
        <f t="shared" si="466"/>
        <v>-0.8125</v>
      </c>
      <c r="AD625" s="9">
        <f t="shared" si="467"/>
        <v>-5.1875</v>
      </c>
      <c r="AE625" s="9">
        <f t="shared" si="468"/>
        <v>-4.5</v>
      </c>
      <c r="AF625" s="9">
        <f t="shared" si="469"/>
        <v>-5.8125</v>
      </c>
      <c r="AG625" s="9">
        <f t="shared" si="470"/>
        <v>1.5</v>
      </c>
      <c r="AH625" s="9">
        <f t="shared" si="471"/>
        <v>5</v>
      </c>
      <c r="AI625" s="9">
        <f t="shared" si="472"/>
        <v>3.9375</v>
      </c>
      <c r="AJ625" s="9">
        <f t="shared" si="473"/>
        <v>1.125</v>
      </c>
      <c r="AK625" s="9">
        <f t="shared" si="474"/>
        <v>-1.125</v>
      </c>
      <c r="AL625" s="9">
        <f t="shared" si="475"/>
        <v>-0.75</v>
      </c>
      <c r="AM625" s="9">
        <f t="shared" si="476"/>
        <v>-4.25</v>
      </c>
      <c r="AN625" s="9">
        <f t="shared" si="477"/>
        <v>-5.25</v>
      </c>
      <c r="AO625" s="9">
        <f t="shared" si="478"/>
        <v>-6.625</v>
      </c>
      <c r="AP625" s="9">
        <f t="shared" si="479"/>
        <v>-3.25</v>
      </c>
      <c r="AQ625" s="9">
        <f t="shared" si="480"/>
        <v>0.5</v>
      </c>
      <c r="AR625" s="9">
        <f t="shared" si="481"/>
        <v>-0.375</v>
      </c>
      <c r="AS625" s="9">
        <f t="shared" si="482"/>
        <v>1</v>
      </c>
      <c r="AT625" s="9">
        <f t="shared" si="483"/>
        <v>-1.125</v>
      </c>
      <c r="AU625" s="9">
        <f t="shared" si="484"/>
        <v>-0.75</v>
      </c>
      <c r="AV625" s="9">
        <f t="shared" si="485"/>
        <v>-4.375</v>
      </c>
      <c r="AW625" s="9">
        <f t="shared" si="486"/>
        <v>-4.5</v>
      </c>
      <c r="AX625" s="9">
        <f t="shared" si="487"/>
        <v>-6.75</v>
      </c>
      <c r="AY625" s="9">
        <f t="shared" si="488"/>
        <v>-3.125</v>
      </c>
      <c r="AZ625" s="9">
        <f t="shared" si="489"/>
        <v>0.25</v>
      </c>
      <c r="BA625" s="9">
        <f t="shared" si="490"/>
        <v>0.125</v>
      </c>
      <c r="BB625" s="9">
        <f t="shared" si="491"/>
        <v>1.375</v>
      </c>
      <c r="BC625" s="9">
        <f t="shared" si="492"/>
        <v>0.125</v>
      </c>
      <c r="BD625" s="9">
        <f t="shared" si="493"/>
        <v>0.375</v>
      </c>
      <c r="BE625" s="9">
        <f t="shared" si="494"/>
        <v>-3</v>
      </c>
      <c r="BF625" s="9">
        <f t="shared" si="495"/>
        <v>-3.125</v>
      </c>
      <c r="BG625" s="9">
        <f t="shared" si="496"/>
        <v>-5.125</v>
      </c>
      <c r="BH625" s="9">
        <f t="shared" si="497"/>
        <v>-1.5</v>
      </c>
      <c r="BI625" s="9">
        <f t="shared" si="498"/>
        <v>1.75</v>
      </c>
      <c r="BJ625" s="9">
        <f t="shared" si="499"/>
        <v>1.625</v>
      </c>
    </row>
    <row r="626" spans="1:62" x14ac:dyDescent="0.2">
      <c r="A626" s="9">
        <f>data!M627-data!M626</f>
        <v>-0.43900000000000716</v>
      </c>
      <c r="B626" s="9">
        <f>data!C627-data!C626</f>
        <v>2.5999999999999996</v>
      </c>
      <c r="C626" s="9">
        <f>data!D627-data!D626</f>
        <v>0.45000000000000107</v>
      </c>
      <c r="D626" s="10">
        <f>data!B627-data!B626</f>
        <v>-2.750000000000008E-2</v>
      </c>
      <c r="E626" s="9">
        <f>data!E626-data!G626</f>
        <v>2.4863</v>
      </c>
      <c r="F626" s="9">
        <f>(data!E626-data!F626)-(data!G626-data!H626)</f>
        <v>1.1057000000000001</v>
      </c>
      <c r="G626" s="9">
        <f t="shared" si="450"/>
        <v>-8.2999999999999741E-2</v>
      </c>
      <c r="H626" s="9">
        <f t="shared" si="451"/>
        <v>-7.5699999999999878E-2</v>
      </c>
      <c r="I626" s="9">
        <f>IF(data!M627&gt; 111.81,1,0)</f>
        <v>1</v>
      </c>
      <c r="J626" s="9">
        <f t="shared" si="452"/>
        <v>0</v>
      </c>
      <c r="K626" s="9">
        <f t="shared" si="453"/>
        <v>-0.43900000000000716</v>
      </c>
      <c r="L626" s="9">
        <f t="shared" si="454"/>
        <v>0</v>
      </c>
      <c r="M626" s="9">
        <f>data!J626</f>
        <v>-69</v>
      </c>
      <c r="N626" s="9">
        <f>data!I626</f>
        <v>-81.5</v>
      </c>
      <c r="O626" s="9">
        <f>data!L626</f>
        <v>-77.625</v>
      </c>
      <c r="P626" s="9">
        <f>data!K626</f>
        <v>-63.5</v>
      </c>
      <c r="Q626" s="9">
        <f>data!R626</f>
        <v>-54.375</v>
      </c>
      <c r="R626" s="9">
        <f t="shared" si="455"/>
        <v>-10.625</v>
      </c>
      <c r="S626" s="9">
        <f t="shared" si="456"/>
        <v>-6.5</v>
      </c>
      <c r="T626" s="9">
        <f t="shared" si="457"/>
        <v>-8</v>
      </c>
      <c r="U626" s="9">
        <f t="shared" si="458"/>
        <v>-3.875</v>
      </c>
      <c r="V626" s="9">
        <f t="shared" si="459"/>
        <v>-2.75</v>
      </c>
      <c r="W626" s="9">
        <f t="shared" si="460"/>
        <v>4.875</v>
      </c>
      <c r="X626" s="9">
        <f t="shared" si="461"/>
        <v>4.5</v>
      </c>
      <c r="Y626" s="9">
        <f t="shared" si="462"/>
        <v>6.25</v>
      </c>
      <c r="Z626" s="9">
        <f t="shared" si="463"/>
        <v>5.75</v>
      </c>
      <c r="AA626" s="9">
        <f t="shared" si="464"/>
        <v>-3.125</v>
      </c>
      <c r="AB626" s="9">
        <f t="shared" si="465"/>
        <v>-3.5625</v>
      </c>
      <c r="AC626" s="9">
        <f t="shared" si="466"/>
        <v>-7.9375</v>
      </c>
      <c r="AD626" s="9">
        <f t="shared" si="467"/>
        <v>-7.25</v>
      </c>
      <c r="AE626" s="9">
        <f t="shared" si="468"/>
        <v>-8.5625</v>
      </c>
      <c r="AF626" s="9">
        <f t="shared" si="469"/>
        <v>-1.25</v>
      </c>
      <c r="AG626" s="9">
        <f t="shared" si="470"/>
        <v>2.25</v>
      </c>
      <c r="AH626" s="9">
        <f t="shared" si="471"/>
        <v>1.1875</v>
      </c>
      <c r="AI626" s="9">
        <f t="shared" si="472"/>
        <v>-1.375</v>
      </c>
      <c r="AJ626" s="9">
        <f t="shared" si="473"/>
        <v>-2.25</v>
      </c>
      <c r="AK626" s="9">
        <f t="shared" si="474"/>
        <v>-1.875</v>
      </c>
      <c r="AL626" s="9">
        <f t="shared" si="475"/>
        <v>-5.375</v>
      </c>
      <c r="AM626" s="9">
        <f t="shared" si="476"/>
        <v>-6.375</v>
      </c>
      <c r="AN626" s="9">
        <f t="shared" si="477"/>
        <v>-7.75</v>
      </c>
      <c r="AO626" s="9">
        <f t="shared" si="478"/>
        <v>-4.375</v>
      </c>
      <c r="AP626" s="9">
        <f t="shared" si="479"/>
        <v>-0.625</v>
      </c>
      <c r="AQ626" s="9">
        <f t="shared" si="480"/>
        <v>-1.5</v>
      </c>
      <c r="AR626" s="9">
        <f t="shared" si="481"/>
        <v>-3.625</v>
      </c>
      <c r="AS626" s="9">
        <f t="shared" si="482"/>
        <v>-2.125</v>
      </c>
      <c r="AT626" s="9">
        <f t="shared" si="483"/>
        <v>-1.75</v>
      </c>
      <c r="AU626" s="9">
        <f t="shared" si="484"/>
        <v>-5.375</v>
      </c>
      <c r="AV626" s="9">
        <f t="shared" si="485"/>
        <v>-5.5</v>
      </c>
      <c r="AW626" s="9">
        <f t="shared" si="486"/>
        <v>-7.75</v>
      </c>
      <c r="AX626" s="9">
        <f t="shared" si="487"/>
        <v>-4.125</v>
      </c>
      <c r="AY626" s="9">
        <f t="shared" si="488"/>
        <v>-0.75</v>
      </c>
      <c r="AZ626" s="9">
        <f t="shared" si="489"/>
        <v>-0.875</v>
      </c>
      <c r="BA626" s="9">
        <f t="shared" si="490"/>
        <v>-2.25</v>
      </c>
      <c r="BB626" s="9">
        <f t="shared" si="491"/>
        <v>-1.25</v>
      </c>
      <c r="BC626" s="9">
        <f t="shared" si="492"/>
        <v>-1</v>
      </c>
      <c r="BD626" s="9">
        <f t="shared" si="493"/>
        <v>-4.375</v>
      </c>
      <c r="BE626" s="9">
        <f t="shared" si="494"/>
        <v>-4.5</v>
      </c>
      <c r="BF626" s="9">
        <f t="shared" si="495"/>
        <v>-6.5</v>
      </c>
      <c r="BG626" s="9">
        <f t="shared" si="496"/>
        <v>-2.875</v>
      </c>
      <c r="BH626" s="9">
        <f t="shared" si="497"/>
        <v>0.375</v>
      </c>
      <c r="BI626" s="9">
        <f t="shared" si="498"/>
        <v>0.25</v>
      </c>
      <c r="BJ626" s="9">
        <f t="shared" si="499"/>
        <v>-0.875</v>
      </c>
    </row>
    <row r="627" spans="1:62" x14ac:dyDescent="0.2">
      <c r="A627" s="9">
        <f>data!M628-data!M627</f>
        <v>2.9000000000110049E-3</v>
      </c>
      <c r="B627" s="9">
        <f>data!C628-data!C627</f>
        <v>-2.7199999999999989</v>
      </c>
      <c r="C627" s="9">
        <f>data!D628-data!D627</f>
        <v>-0.39000000000000057</v>
      </c>
      <c r="D627" s="10">
        <f>data!B628-data!B627</f>
        <v>0.1399999999999999</v>
      </c>
      <c r="E627" s="9">
        <f>data!E627-data!G627</f>
        <v>2.4033000000000002</v>
      </c>
      <c r="F627" s="9">
        <f>(data!E627-data!F627)-(data!G627-data!H627)</f>
        <v>1.0300000000000002</v>
      </c>
      <c r="G627" s="9">
        <f t="shared" si="450"/>
        <v>-3.7000000000000366E-2</v>
      </c>
      <c r="H627" s="9">
        <f t="shared" si="451"/>
        <v>-8.6500000000000465E-2</v>
      </c>
      <c r="I627" s="9">
        <f>IF(data!M628&gt; 111.81,1,0)</f>
        <v>1</v>
      </c>
      <c r="J627" s="9">
        <f t="shared" si="452"/>
        <v>0</v>
      </c>
      <c r="K627" s="9">
        <f t="shared" si="453"/>
        <v>2.9000000000110049E-3</v>
      </c>
      <c r="L627" s="9">
        <f t="shared" si="454"/>
        <v>0</v>
      </c>
      <c r="M627" s="9">
        <f>data!J627</f>
        <v>-79.625</v>
      </c>
      <c r="N627" s="9">
        <f>data!I627</f>
        <v>-84.625</v>
      </c>
      <c r="O627" s="9">
        <f>data!L627</f>
        <v>-79.875</v>
      </c>
      <c r="P627" s="9">
        <f>data!K627</f>
        <v>-65.625</v>
      </c>
      <c r="Q627" s="9">
        <f>data!R627</f>
        <v>-55.625</v>
      </c>
      <c r="R627" s="9">
        <f t="shared" si="455"/>
        <v>4.125</v>
      </c>
      <c r="S627" s="9">
        <f t="shared" si="456"/>
        <v>2.625</v>
      </c>
      <c r="T627" s="9">
        <f t="shared" si="457"/>
        <v>6.75</v>
      </c>
      <c r="U627" s="9">
        <f t="shared" si="458"/>
        <v>7.875</v>
      </c>
      <c r="V627" s="9">
        <f t="shared" si="459"/>
        <v>15.5</v>
      </c>
      <c r="W627" s="9">
        <f t="shared" si="460"/>
        <v>15.125</v>
      </c>
      <c r="X627" s="9">
        <f t="shared" si="461"/>
        <v>16.875</v>
      </c>
      <c r="Y627" s="9">
        <f t="shared" si="462"/>
        <v>16.375</v>
      </c>
      <c r="Z627" s="9">
        <f t="shared" si="463"/>
        <v>21.125</v>
      </c>
      <c r="AA627" s="9">
        <f t="shared" si="464"/>
        <v>-0.4375</v>
      </c>
      <c r="AB627" s="9">
        <f t="shared" si="465"/>
        <v>-4.8125</v>
      </c>
      <c r="AC627" s="9">
        <f t="shared" si="466"/>
        <v>-4.125</v>
      </c>
      <c r="AD627" s="9">
        <f t="shared" si="467"/>
        <v>-5.4375</v>
      </c>
      <c r="AE627" s="9">
        <f t="shared" si="468"/>
        <v>1.875</v>
      </c>
      <c r="AF627" s="9">
        <f t="shared" si="469"/>
        <v>5.375</v>
      </c>
      <c r="AG627" s="9">
        <f t="shared" si="470"/>
        <v>4.3125</v>
      </c>
      <c r="AH627" s="9">
        <f t="shared" si="471"/>
        <v>1.75</v>
      </c>
      <c r="AI627" s="9">
        <f t="shared" si="472"/>
        <v>6.0625</v>
      </c>
      <c r="AJ627" s="9">
        <f t="shared" si="473"/>
        <v>0.375</v>
      </c>
      <c r="AK627" s="9">
        <f t="shared" si="474"/>
        <v>-3.125</v>
      </c>
      <c r="AL627" s="9">
        <f t="shared" si="475"/>
        <v>-4.125</v>
      </c>
      <c r="AM627" s="9">
        <f t="shared" si="476"/>
        <v>-5.5</v>
      </c>
      <c r="AN627" s="9">
        <f t="shared" si="477"/>
        <v>-2.125</v>
      </c>
      <c r="AO627" s="9">
        <f t="shared" si="478"/>
        <v>1.625</v>
      </c>
      <c r="AP627" s="9">
        <f t="shared" si="479"/>
        <v>0.75</v>
      </c>
      <c r="AQ627" s="9">
        <f t="shared" si="480"/>
        <v>-1.375</v>
      </c>
      <c r="AR627" s="9">
        <f t="shared" si="481"/>
        <v>3</v>
      </c>
      <c r="AS627" s="9">
        <f t="shared" si="482"/>
        <v>0.375</v>
      </c>
      <c r="AT627" s="9">
        <f t="shared" si="483"/>
        <v>-3.25</v>
      </c>
      <c r="AU627" s="9">
        <f t="shared" si="484"/>
        <v>-3.375</v>
      </c>
      <c r="AV627" s="9">
        <f t="shared" si="485"/>
        <v>-5.625</v>
      </c>
      <c r="AW627" s="9">
        <f t="shared" si="486"/>
        <v>-2</v>
      </c>
      <c r="AX627" s="9">
        <f t="shared" si="487"/>
        <v>1.375</v>
      </c>
      <c r="AY627" s="9">
        <f t="shared" si="488"/>
        <v>1.25</v>
      </c>
      <c r="AZ627" s="9">
        <f t="shared" si="489"/>
        <v>-0.125</v>
      </c>
      <c r="BA627" s="9">
        <f t="shared" si="490"/>
        <v>4</v>
      </c>
      <c r="BB627" s="9">
        <f t="shared" si="491"/>
        <v>0.25</v>
      </c>
      <c r="BC627" s="9">
        <f t="shared" si="492"/>
        <v>-3.125</v>
      </c>
      <c r="BD627" s="9">
        <f t="shared" si="493"/>
        <v>-3.25</v>
      </c>
      <c r="BE627" s="9">
        <f t="shared" si="494"/>
        <v>-5.25</v>
      </c>
      <c r="BF627" s="9">
        <f t="shared" si="495"/>
        <v>-1.625</v>
      </c>
      <c r="BG627" s="9">
        <f t="shared" si="496"/>
        <v>1.625</v>
      </c>
      <c r="BH627" s="9">
        <f t="shared" si="497"/>
        <v>1.5</v>
      </c>
      <c r="BI627" s="9">
        <f t="shared" si="498"/>
        <v>0.375</v>
      </c>
      <c r="BJ627" s="9">
        <f t="shared" si="499"/>
        <v>4.5</v>
      </c>
    </row>
    <row r="628" spans="1:62" x14ac:dyDescent="0.2">
      <c r="A628" s="9">
        <f>data!M629-data!M628</f>
        <v>-0.36110000000000753</v>
      </c>
      <c r="B628" s="9">
        <f>data!C629-data!C628</f>
        <v>-8.9999999999999858E-2</v>
      </c>
      <c r="C628" s="9">
        <f>data!D629-data!D628</f>
        <v>0.23000000000000043</v>
      </c>
      <c r="D628" s="10">
        <f>data!B629-data!B628</f>
        <v>0.14250000000000007</v>
      </c>
      <c r="E628" s="9">
        <f>data!E628-data!G628</f>
        <v>2.3662999999999998</v>
      </c>
      <c r="F628" s="9">
        <f>(data!E628-data!F628)-(data!G628-data!H628)</f>
        <v>0.94349999999999978</v>
      </c>
      <c r="G628" s="9">
        <f t="shared" si="450"/>
        <v>-1.4899999999999913E-2</v>
      </c>
      <c r="H628" s="9">
        <f t="shared" si="451"/>
        <v>-1.2199999999999989E-2</v>
      </c>
      <c r="I628" s="9">
        <f>IF(data!M629&gt; 111.81,1,0)</f>
        <v>1</v>
      </c>
      <c r="J628" s="9">
        <f t="shared" si="452"/>
        <v>0</v>
      </c>
      <c r="K628" s="9">
        <f t="shared" si="453"/>
        <v>-0.36110000000000753</v>
      </c>
      <c r="L628" s="9">
        <f t="shared" si="454"/>
        <v>0</v>
      </c>
      <c r="M628" s="9">
        <f>data!J628</f>
        <v>-75.5</v>
      </c>
      <c r="N628" s="9">
        <f>data!I628</f>
        <v>-85.0625</v>
      </c>
      <c r="O628" s="9">
        <f>data!L628</f>
        <v>-79.5</v>
      </c>
      <c r="P628" s="9">
        <f>data!K628</f>
        <v>-65.25</v>
      </c>
      <c r="Q628" s="9">
        <f>data!R628</f>
        <v>-55.375</v>
      </c>
      <c r="R628" s="9">
        <f t="shared" si="455"/>
        <v>-1.5</v>
      </c>
      <c r="S628" s="9">
        <f t="shared" si="456"/>
        <v>2.625</v>
      </c>
      <c r="T628" s="9">
        <f t="shared" si="457"/>
        <v>3.75</v>
      </c>
      <c r="U628" s="9">
        <f t="shared" si="458"/>
        <v>11.375</v>
      </c>
      <c r="V628" s="9">
        <f t="shared" si="459"/>
        <v>11</v>
      </c>
      <c r="W628" s="9">
        <f t="shared" si="460"/>
        <v>12.75</v>
      </c>
      <c r="X628" s="9">
        <f t="shared" si="461"/>
        <v>12.25</v>
      </c>
      <c r="Y628" s="9">
        <f t="shared" si="462"/>
        <v>17</v>
      </c>
      <c r="Z628" s="9">
        <f t="shared" si="463"/>
        <v>15.875</v>
      </c>
      <c r="AA628" s="9">
        <f t="shared" si="464"/>
        <v>-4.375</v>
      </c>
      <c r="AB628" s="9">
        <f t="shared" si="465"/>
        <v>-3.6875</v>
      </c>
      <c r="AC628" s="9">
        <f t="shared" si="466"/>
        <v>-5</v>
      </c>
      <c r="AD628" s="9">
        <f t="shared" si="467"/>
        <v>2.3125</v>
      </c>
      <c r="AE628" s="9">
        <f t="shared" si="468"/>
        <v>5.8125</v>
      </c>
      <c r="AF628" s="9">
        <f t="shared" si="469"/>
        <v>4.75</v>
      </c>
      <c r="AG628" s="9">
        <f t="shared" si="470"/>
        <v>2.1875</v>
      </c>
      <c r="AH628" s="9">
        <f t="shared" si="471"/>
        <v>6.5</v>
      </c>
      <c r="AI628" s="9">
        <f t="shared" si="472"/>
        <v>6.6875</v>
      </c>
      <c r="AJ628" s="9">
        <f t="shared" si="473"/>
        <v>-3.5</v>
      </c>
      <c r="AK628" s="9">
        <f t="shared" si="474"/>
        <v>-4.5</v>
      </c>
      <c r="AL628" s="9">
        <f t="shared" si="475"/>
        <v>-5.875</v>
      </c>
      <c r="AM628" s="9">
        <f t="shared" si="476"/>
        <v>-2.5</v>
      </c>
      <c r="AN628" s="9">
        <f t="shared" si="477"/>
        <v>1.25</v>
      </c>
      <c r="AO628" s="9">
        <f t="shared" si="478"/>
        <v>0.375</v>
      </c>
      <c r="AP628" s="9">
        <f t="shared" si="479"/>
        <v>-1.75</v>
      </c>
      <c r="AQ628" s="9">
        <f t="shared" si="480"/>
        <v>2.625</v>
      </c>
      <c r="AR628" s="9">
        <f t="shared" si="481"/>
        <v>5</v>
      </c>
      <c r="AS628" s="9">
        <f t="shared" si="482"/>
        <v>-3.625</v>
      </c>
      <c r="AT628" s="9">
        <f t="shared" si="483"/>
        <v>-3.75</v>
      </c>
      <c r="AU628" s="9">
        <f t="shared" si="484"/>
        <v>-6</v>
      </c>
      <c r="AV628" s="9">
        <f t="shared" si="485"/>
        <v>-2.375</v>
      </c>
      <c r="AW628" s="9">
        <f t="shared" si="486"/>
        <v>1</v>
      </c>
      <c r="AX628" s="9">
        <f t="shared" si="487"/>
        <v>0.875</v>
      </c>
      <c r="AY628" s="9">
        <f t="shared" si="488"/>
        <v>-0.5</v>
      </c>
      <c r="AZ628" s="9">
        <f t="shared" si="489"/>
        <v>3.625</v>
      </c>
      <c r="BA628" s="9">
        <f t="shared" si="490"/>
        <v>6.25</v>
      </c>
      <c r="BB628" s="9">
        <f t="shared" si="491"/>
        <v>-3.375</v>
      </c>
      <c r="BC628" s="9">
        <f t="shared" si="492"/>
        <v>-3.5</v>
      </c>
      <c r="BD628" s="9">
        <f t="shared" si="493"/>
        <v>-5.5</v>
      </c>
      <c r="BE628" s="9">
        <f t="shared" si="494"/>
        <v>-1.875</v>
      </c>
      <c r="BF628" s="9">
        <f t="shared" si="495"/>
        <v>1.375</v>
      </c>
      <c r="BG628" s="9">
        <f t="shared" si="496"/>
        <v>1.25</v>
      </c>
      <c r="BH628" s="9">
        <f t="shared" si="497"/>
        <v>0.125</v>
      </c>
      <c r="BI628" s="9">
        <f t="shared" si="498"/>
        <v>4.25</v>
      </c>
      <c r="BJ628" s="9">
        <f t="shared" si="499"/>
        <v>6.375</v>
      </c>
    </row>
    <row r="629" spans="1:62" x14ac:dyDescent="0.2">
      <c r="A629" s="9">
        <f>data!M630-data!M629</f>
        <v>0.32980000000000587</v>
      </c>
      <c r="B629" s="9">
        <f>data!C630-data!C629</f>
        <v>0.30999999999999872</v>
      </c>
      <c r="C629" s="9">
        <f>data!D630-data!D629</f>
        <v>-0.38250000000000028</v>
      </c>
      <c r="D629" s="10">
        <f>data!B630-data!B629</f>
        <v>5.7500000000000107E-2</v>
      </c>
      <c r="E629" s="9">
        <f>data!E629-data!G629</f>
        <v>2.3513999999999999</v>
      </c>
      <c r="F629" s="9">
        <f>(data!E629-data!F629)-(data!G629-data!H629)</f>
        <v>0.93129999999999979</v>
      </c>
      <c r="G629" s="9">
        <f t="shared" si="450"/>
        <v>5.6400000000000006E-2</v>
      </c>
      <c r="H629" s="9">
        <f t="shared" si="451"/>
        <v>4.7000000000000375E-2</v>
      </c>
      <c r="I629" s="9">
        <f>IF(data!M630&gt; 111.81,1,0)</f>
        <v>1</v>
      </c>
      <c r="J629" s="9">
        <f t="shared" si="452"/>
        <v>0</v>
      </c>
      <c r="K629" s="9">
        <f t="shared" si="453"/>
        <v>0.32980000000000587</v>
      </c>
      <c r="L629" s="9">
        <f t="shared" si="454"/>
        <v>0</v>
      </c>
      <c r="M629" s="9">
        <f>data!J629</f>
        <v>-77</v>
      </c>
      <c r="N629" s="9">
        <f>data!I629</f>
        <v>-89.4375</v>
      </c>
      <c r="O629" s="9">
        <f>data!L629</f>
        <v>-83</v>
      </c>
      <c r="P629" s="9">
        <f>data!K629</f>
        <v>-68.875</v>
      </c>
      <c r="Q629" s="9">
        <f>data!R629</f>
        <v>-58.75</v>
      </c>
      <c r="R629" s="9">
        <f t="shared" si="455"/>
        <v>4.125</v>
      </c>
      <c r="S629" s="9">
        <f t="shared" si="456"/>
        <v>5.25</v>
      </c>
      <c r="T629" s="9">
        <f t="shared" si="457"/>
        <v>12.875</v>
      </c>
      <c r="U629" s="9">
        <f t="shared" si="458"/>
        <v>12.5</v>
      </c>
      <c r="V629" s="9">
        <f t="shared" si="459"/>
        <v>14.25</v>
      </c>
      <c r="W629" s="9">
        <f t="shared" si="460"/>
        <v>13.75</v>
      </c>
      <c r="X629" s="9">
        <f t="shared" si="461"/>
        <v>18.5</v>
      </c>
      <c r="Y629" s="9">
        <f t="shared" si="462"/>
        <v>17.375</v>
      </c>
      <c r="Z629" s="9">
        <f t="shared" si="463"/>
        <v>19.5</v>
      </c>
      <c r="AA629" s="9">
        <f t="shared" si="464"/>
        <v>0.6875</v>
      </c>
      <c r="AB629" s="9">
        <f t="shared" si="465"/>
        <v>-0.625</v>
      </c>
      <c r="AC629" s="9">
        <f t="shared" si="466"/>
        <v>6.6875</v>
      </c>
      <c r="AD629" s="9">
        <f t="shared" si="467"/>
        <v>10.1875</v>
      </c>
      <c r="AE629" s="9">
        <f t="shared" si="468"/>
        <v>9.125</v>
      </c>
      <c r="AF629" s="9">
        <f t="shared" si="469"/>
        <v>6.5625</v>
      </c>
      <c r="AG629" s="9">
        <f t="shared" si="470"/>
        <v>10.875</v>
      </c>
      <c r="AH629" s="9">
        <f t="shared" si="471"/>
        <v>11.0625</v>
      </c>
      <c r="AI629" s="9">
        <f t="shared" si="472"/>
        <v>13.8125</v>
      </c>
      <c r="AJ629" s="9">
        <f t="shared" si="473"/>
        <v>-1</v>
      </c>
      <c r="AK629" s="9">
        <f t="shared" si="474"/>
        <v>-2.375</v>
      </c>
      <c r="AL629" s="9">
        <f t="shared" si="475"/>
        <v>1</v>
      </c>
      <c r="AM629" s="9">
        <f t="shared" si="476"/>
        <v>4.75</v>
      </c>
      <c r="AN629" s="9">
        <f t="shared" si="477"/>
        <v>3.875</v>
      </c>
      <c r="AO629" s="9">
        <f t="shared" si="478"/>
        <v>1.75</v>
      </c>
      <c r="AP629" s="9">
        <f t="shared" si="479"/>
        <v>6.125</v>
      </c>
      <c r="AQ629" s="9">
        <f t="shared" si="480"/>
        <v>8.5</v>
      </c>
      <c r="AR629" s="9">
        <f t="shared" si="481"/>
        <v>11.625</v>
      </c>
      <c r="AS629" s="9">
        <f t="shared" si="482"/>
        <v>-0.125</v>
      </c>
      <c r="AT629" s="9">
        <f t="shared" si="483"/>
        <v>-2.375</v>
      </c>
      <c r="AU629" s="9">
        <f t="shared" si="484"/>
        <v>1.25</v>
      </c>
      <c r="AV629" s="9">
        <f t="shared" si="485"/>
        <v>4.625</v>
      </c>
      <c r="AW629" s="9">
        <f t="shared" si="486"/>
        <v>4.5</v>
      </c>
      <c r="AX629" s="9">
        <f t="shared" si="487"/>
        <v>3.125</v>
      </c>
      <c r="AY629" s="9">
        <f t="shared" si="488"/>
        <v>7.25</v>
      </c>
      <c r="AZ629" s="9">
        <f t="shared" si="489"/>
        <v>9.875</v>
      </c>
      <c r="BA629" s="9">
        <f t="shared" si="490"/>
        <v>14.625</v>
      </c>
      <c r="BB629" s="9">
        <f t="shared" si="491"/>
        <v>-0.125</v>
      </c>
      <c r="BC629" s="9">
        <f t="shared" si="492"/>
        <v>-2.125</v>
      </c>
      <c r="BD629" s="9">
        <f t="shared" si="493"/>
        <v>1.5</v>
      </c>
      <c r="BE629" s="9">
        <f t="shared" si="494"/>
        <v>4.75</v>
      </c>
      <c r="BF629" s="9">
        <f t="shared" si="495"/>
        <v>4.625</v>
      </c>
      <c r="BG629" s="9">
        <f t="shared" si="496"/>
        <v>3.5</v>
      </c>
      <c r="BH629" s="9">
        <f t="shared" si="497"/>
        <v>7.625</v>
      </c>
      <c r="BI629" s="9">
        <f t="shared" si="498"/>
        <v>9.75</v>
      </c>
      <c r="BJ629" s="9">
        <f t="shared" si="499"/>
        <v>15</v>
      </c>
    </row>
    <row r="630" spans="1:62" x14ac:dyDescent="0.2">
      <c r="A630" s="9">
        <f>data!M631-data!M630</f>
        <v>-1.2447000000000088</v>
      </c>
      <c r="B630" s="9">
        <f>data!C631-data!C630</f>
        <v>-0.95999999999999908</v>
      </c>
      <c r="C630" s="9">
        <f>data!D631-data!D630</f>
        <v>-0.11249999999999893</v>
      </c>
      <c r="D630" s="10">
        <f>data!B631-data!B630</f>
        <v>8.7499999999999911E-2</v>
      </c>
      <c r="E630" s="9">
        <f>data!E630-data!G630</f>
        <v>2.4077999999999999</v>
      </c>
      <c r="F630" s="9">
        <f>(data!E630-data!F630)-(data!G630-data!H630)</f>
        <v>0.97830000000000017</v>
      </c>
      <c r="G630" s="9">
        <f t="shared" si="450"/>
        <v>-4.9999999999972289E-4</v>
      </c>
      <c r="H630" s="9">
        <f t="shared" si="451"/>
        <v>7.8000000000000291E-3</v>
      </c>
      <c r="I630" s="9">
        <f>IF(data!M631&gt; 111.81,1,0)</f>
        <v>1</v>
      </c>
      <c r="J630" s="9">
        <f t="shared" si="452"/>
        <v>0</v>
      </c>
      <c r="K630" s="9">
        <f t="shared" si="453"/>
        <v>-1.2447000000000088</v>
      </c>
      <c r="L630" s="9">
        <f t="shared" si="454"/>
        <v>0</v>
      </c>
      <c r="M630" s="9">
        <f>data!J630</f>
        <v>-72.875</v>
      </c>
      <c r="N630" s="9">
        <f>data!I630</f>
        <v>-88.75</v>
      </c>
      <c r="O630" s="9">
        <f>data!L630</f>
        <v>-84</v>
      </c>
      <c r="P630" s="9">
        <f>data!K630</f>
        <v>-69</v>
      </c>
      <c r="Q630" s="9">
        <f>data!R630</f>
        <v>-58.875</v>
      </c>
      <c r="R630" s="9">
        <f t="shared" si="455"/>
        <v>1.125</v>
      </c>
      <c r="S630" s="9">
        <f t="shared" si="456"/>
        <v>8.75</v>
      </c>
      <c r="T630" s="9">
        <f t="shared" si="457"/>
        <v>8.375</v>
      </c>
      <c r="U630" s="9">
        <f t="shared" si="458"/>
        <v>10.125</v>
      </c>
      <c r="V630" s="9">
        <f t="shared" si="459"/>
        <v>9.625</v>
      </c>
      <c r="W630" s="9">
        <f t="shared" si="460"/>
        <v>14.375</v>
      </c>
      <c r="X630" s="9">
        <f t="shared" si="461"/>
        <v>13.25</v>
      </c>
      <c r="Y630" s="9">
        <f t="shared" si="462"/>
        <v>15.375</v>
      </c>
      <c r="Z630" s="9">
        <f t="shared" si="463"/>
        <v>25.125</v>
      </c>
      <c r="AA630" s="9">
        <f t="shared" si="464"/>
        <v>-1.3125</v>
      </c>
      <c r="AB630" s="9">
        <f t="shared" si="465"/>
        <v>6</v>
      </c>
      <c r="AC630" s="9">
        <f t="shared" si="466"/>
        <v>9.5</v>
      </c>
      <c r="AD630" s="9">
        <f t="shared" si="467"/>
        <v>8.4375</v>
      </c>
      <c r="AE630" s="9">
        <f t="shared" si="468"/>
        <v>5.875</v>
      </c>
      <c r="AF630" s="9">
        <f t="shared" si="469"/>
        <v>10.1875</v>
      </c>
      <c r="AG630" s="9">
        <f t="shared" si="470"/>
        <v>10.375</v>
      </c>
      <c r="AH630" s="9">
        <f t="shared" si="471"/>
        <v>13.125</v>
      </c>
      <c r="AI630" s="9">
        <f t="shared" si="472"/>
        <v>18.5</v>
      </c>
      <c r="AJ630" s="9">
        <f t="shared" si="473"/>
        <v>-1.375</v>
      </c>
      <c r="AK630" s="9">
        <f t="shared" si="474"/>
        <v>2</v>
      </c>
      <c r="AL630" s="9">
        <f t="shared" si="475"/>
        <v>5.75</v>
      </c>
      <c r="AM630" s="9">
        <f t="shared" si="476"/>
        <v>4.875</v>
      </c>
      <c r="AN630" s="9">
        <f t="shared" si="477"/>
        <v>2.75</v>
      </c>
      <c r="AO630" s="9">
        <f t="shared" si="478"/>
        <v>7.125</v>
      </c>
      <c r="AP630" s="9">
        <f t="shared" si="479"/>
        <v>9.5</v>
      </c>
      <c r="AQ630" s="9">
        <f t="shared" si="480"/>
        <v>12.625</v>
      </c>
      <c r="AR630" s="9">
        <f t="shared" si="481"/>
        <v>14.5</v>
      </c>
      <c r="AS630" s="9">
        <f t="shared" si="482"/>
        <v>-2.25</v>
      </c>
      <c r="AT630" s="9">
        <f t="shared" si="483"/>
        <v>1.375</v>
      </c>
      <c r="AU630" s="9">
        <f t="shared" si="484"/>
        <v>4.75</v>
      </c>
      <c r="AV630" s="9">
        <f t="shared" si="485"/>
        <v>4.625</v>
      </c>
      <c r="AW630" s="9">
        <f t="shared" si="486"/>
        <v>3.25</v>
      </c>
      <c r="AX630" s="9">
        <f t="shared" si="487"/>
        <v>7.375</v>
      </c>
      <c r="AY630" s="9">
        <f t="shared" si="488"/>
        <v>10</v>
      </c>
      <c r="AZ630" s="9">
        <f t="shared" si="489"/>
        <v>14.75</v>
      </c>
      <c r="BA630" s="9">
        <f t="shared" si="490"/>
        <v>17</v>
      </c>
      <c r="BB630" s="9">
        <f t="shared" si="491"/>
        <v>-2</v>
      </c>
      <c r="BC630" s="9">
        <f t="shared" si="492"/>
        <v>1.625</v>
      </c>
      <c r="BD630" s="9">
        <f t="shared" si="493"/>
        <v>4.875</v>
      </c>
      <c r="BE630" s="9">
        <f t="shared" si="494"/>
        <v>4.75</v>
      </c>
      <c r="BF630" s="9">
        <f t="shared" si="495"/>
        <v>3.625</v>
      </c>
      <c r="BG630" s="9">
        <f t="shared" si="496"/>
        <v>7.75</v>
      </c>
      <c r="BH630" s="9">
        <f t="shared" si="497"/>
        <v>9.875</v>
      </c>
      <c r="BI630" s="9">
        <f t="shared" si="498"/>
        <v>15.125</v>
      </c>
      <c r="BJ630" s="9">
        <f t="shared" si="499"/>
        <v>21.625</v>
      </c>
    </row>
    <row r="631" spans="1:62" x14ac:dyDescent="0.2">
      <c r="A631" s="9">
        <f>data!M632-data!M631</f>
        <v>-1.4475999999999942</v>
      </c>
      <c r="B631" s="9">
        <f>data!C632-data!C631</f>
        <v>0.39000000000000057</v>
      </c>
      <c r="C631" s="9">
        <f>data!D632-data!D631</f>
        <v>-0.30250000000000021</v>
      </c>
      <c r="D631" s="10">
        <f>data!B632-data!B631</f>
        <v>8.4999999999999964E-2</v>
      </c>
      <c r="E631" s="9">
        <f>data!E631-data!G631</f>
        <v>2.4073000000000002</v>
      </c>
      <c r="F631" s="9">
        <f>(data!E631-data!F631)-(data!G631-data!H631)</f>
        <v>0.9861000000000002</v>
      </c>
      <c r="G631" s="9">
        <f t="shared" si="450"/>
        <v>-3.7500000000000533E-2</v>
      </c>
      <c r="H631" s="9">
        <f t="shared" si="451"/>
        <v>-4.3200000000000349E-2</v>
      </c>
      <c r="I631" s="9">
        <f>IF(data!M632&gt; 111.81,1,0)</f>
        <v>1</v>
      </c>
      <c r="J631" s="9">
        <f t="shared" si="452"/>
        <v>0</v>
      </c>
      <c r="K631" s="9">
        <f t="shared" si="453"/>
        <v>-1.4475999999999942</v>
      </c>
      <c r="L631" s="9">
        <f t="shared" si="454"/>
        <v>0</v>
      </c>
      <c r="M631" s="9">
        <f>data!J631</f>
        <v>-71.75</v>
      </c>
      <c r="N631" s="9">
        <f>data!I631</f>
        <v>-90.0625</v>
      </c>
      <c r="O631" s="9">
        <f>data!L631</f>
        <v>-85.375</v>
      </c>
      <c r="P631" s="9">
        <f>data!K631</f>
        <v>-71.25</v>
      </c>
      <c r="Q631" s="9">
        <f>data!R631</f>
        <v>-60.875</v>
      </c>
      <c r="R631" s="9">
        <f t="shared" si="455"/>
        <v>7.625</v>
      </c>
      <c r="S631" s="9">
        <f t="shared" si="456"/>
        <v>7.25</v>
      </c>
      <c r="T631" s="9">
        <f t="shared" si="457"/>
        <v>9</v>
      </c>
      <c r="U631" s="9">
        <f t="shared" si="458"/>
        <v>8.5</v>
      </c>
      <c r="V631" s="9">
        <f t="shared" si="459"/>
        <v>13.25</v>
      </c>
      <c r="W631" s="9">
        <f t="shared" si="460"/>
        <v>12.125</v>
      </c>
      <c r="X631" s="9">
        <f t="shared" si="461"/>
        <v>14.25</v>
      </c>
      <c r="Y631" s="9">
        <f t="shared" si="462"/>
        <v>24</v>
      </c>
      <c r="Z631" s="9">
        <f t="shared" si="463"/>
        <v>25.25</v>
      </c>
      <c r="AA631" s="9">
        <f t="shared" si="464"/>
        <v>7.3125</v>
      </c>
      <c r="AB631" s="9">
        <f t="shared" si="465"/>
        <v>10.8125</v>
      </c>
      <c r="AC631" s="9">
        <f t="shared" si="466"/>
        <v>9.75</v>
      </c>
      <c r="AD631" s="9">
        <f t="shared" si="467"/>
        <v>7.1875</v>
      </c>
      <c r="AE631" s="9">
        <f t="shared" si="468"/>
        <v>11.5</v>
      </c>
      <c r="AF631" s="9">
        <f t="shared" si="469"/>
        <v>11.6875</v>
      </c>
      <c r="AG631" s="9">
        <f t="shared" si="470"/>
        <v>14.4375</v>
      </c>
      <c r="AH631" s="9">
        <f t="shared" si="471"/>
        <v>19.8125</v>
      </c>
      <c r="AI631" s="9">
        <f t="shared" si="472"/>
        <v>20.8125</v>
      </c>
      <c r="AJ631" s="9">
        <f t="shared" si="473"/>
        <v>3.375</v>
      </c>
      <c r="AK631" s="9">
        <f t="shared" si="474"/>
        <v>7.125</v>
      </c>
      <c r="AL631" s="9">
        <f t="shared" si="475"/>
        <v>6.25</v>
      </c>
      <c r="AM631" s="9">
        <f t="shared" si="476"/>
        <v>4.125</v>
      </c>
      <c r="AN631" s="9">
        <f t="shared" si="477"/>
        <v>8.5</v>
      </c>
      <c r="AO631" s="9">
        <f t="shared" si="478"/>
        <v>10.875</v>
      </c>
      <c r="AP631" s="9">
        <f t="shared" si="479"/>
        <v>14</v>
      </c>
      <c r="AQ631" s="9">
        <f t="shared" si="480"/>
        <v>15.875</v>
      </c>
      <c r="AR631" s="9">
        <f t="shared" si="481"/>
        <v>18.125</v>
      </c>
      <c r="AS631" s="9">
        <f t="shared" si="482"/>
        <v>3.625</v>
      </c>
      <c r="AT631" s="9">
        <f t="shared" si="483"/>
        <v>7</v>
      </c>
      <c r="AU631" s="9">
        <f t="shared" si="484"/>
        <v>6.875</v>
      </c>
      <c r="AV631" s="9">
        <f t="shared" si="485"/>
        <v>5.5</v>
      </c>
      <c r="AW631" s="9">
        <f t="shared" si="486"/>
        <v>9.625</v>
      </c>
      <c r="AX631" s="9">
        <f t="shared" si="487"/>
        <v>12.25</v>
      </c>
      <c r="AY631" s="9">
        <f t="shared" si="488"/>
        <v>17</v>
      </c>
      <c r="AZ631" s="9">
        <f t="shared" si="489"/>
        <v>19.25</v>
      </c>
      <c r="BA631" s="9">
        <f t="shared" si="490"/>
        <v>19.375</v>
      </c>
      <c r="BB631" s="9">
        <f t="shared" si="491"/>
        <v>3.625</v>
      </c>
      <c r="BC631" s="9">
        <f t="shared" si="492"/>
        <v>6.875</v>
      </c>
      <c r="BD631" s="9">
        <f t="shared" si="493"/>
        <v>6.75</v>
      </c>
      <c r="BE631" s="9">
        <f t="shared" si="494"/>
        <v>5.625</v>
      </c>
      <c r="BF631" s="9">
        <f t="shared" si="495"/>
        <v>9.75</v>
      </c>
      <c r="BG631" s="9">
        <f t="shared" si="496"/>
        <v>11.875</v>
      </c>
      <c r="BH631" s="9">
        <f t="shared" si="497"/>
        <v>17.125</v>
      </c>
      <c r="BI631" s="9">
        <f t="shared" si="498"/>
        <v>23.625</v>
      </c>
      <c r="BJ631" s="9">
        <f t="shared" si="499"/>
        <v>18.25</v>
      </c>
    </row>
    <row r="632" spans="1:62" x14ac:dyDescent="0.2">
      <c r="A632" s="9">
        <f>data!M633-data!M632</f>
        <v>0.52209999999999468</v>
      </c>
      <c r="B632" s="9">
        <f>data!C633-data!C632</f>
        <v>-0.12000000000000099</v>
      </c>
      <c r="C632" s="9">
        <f>data!D633-data!D632</f>
        <v>0.42249999999999943</v>
      </c>
      <c r="D632" s="10">
        <f>data!B633-data!B632</f>
        <v>-1.4999999999999902E-2</v>
      </c>
      <c r="E632" s="9">
        <f>data!E632-data!G632</f>
        <v>2.3697999999999997</v>
      </c>
      <c r="F632" s="9">
        <f>(data!E632-data!F632)-(data!G632-data!H632)</f>
        <v>0.94289999999999985</v>
      </c>
      <c r="G632" s="9">
        <f t="shared" si="450"/>
        <v>-4.6499999999999542E-2</v>
      </c>
      <c r="H632" s="9">
        <f t="shared" si="451"/>
        <v>-2.1099999999999675E-2</v>
      </c>
      <c r="I632" s="9">
        <f>IF(data!M633&gt; 111.81,1,0)</f>
        <v>1</v>
      </c>
      <c r="J632" s="9">
        <f t="shared" si="452"/>
        <v>0</v>
      </c>
      <c r="K632" s="9">
        <f t="shared" si="453"/>
        <v>0.52209999999999468</v>
      </c>
      <c r="L632" s="9">
        <f t="shared" si="454"/>
        <v>0</v>
      </c>
      <c r="M632" s="9">
        <f>data!J632</f>
        <v>-64.125</v>
      </c>
      <c r="N632" s="9">
        <f>data!I632</f>
        <v>-82.75</v>
      </c>
      <c r="O632" s="9">
        <f>data!L632</f>
        <v>-82</v>
      </c>
      <c r="P632" s="9">
        <f>data!K632</f>
        <v>-67.625</v>
      </c>
      <c r="Q632" s="9">
        <f>data!R632</f>
        <v>-57.25</v>
      </c>
      <c r="R632" s="9">
        <f t="shared" si="455"/>
        <v>-0.375</v>
      </c>
      <c r="S632" s="9">
        <f t="shared" si="456"/>
        <v>1.375</v>
      </c>
      <c r="T632" s="9">
        <f t="shared" si="457"/>
        <v>0.875</v>
      </c>
      <c r="U632" s="9">
        <f t="shared" si="458"/>
        <v>5.625</v>
      </c>
      <c r="V632" s="9">
        <f t="shared" si="459"/>
        <v>4.5</v>
      </c>
      <c r="W632" s="9">
        <f t="shared" si="460"/>
        <v>6.625</v>
      </c>
      <c r="X632" s="9">
        <f t="shared" si="461"/>
        <v>16.375</v>
      </c>
      <c r="Y632" s="9">
        <f t="shared" si="462"/>
        <v>17.625</v>
      </c>
      <c r="Z632" s="9">
        <f t="shared" si="463"/>
        <v>17.6875</v>
      </c>
      <c r="AA632" s="9">
        <f t="shared" si="464"/>
        <v>3.5</v>
      </c>
      <c r="AB632" s="9">
        <f t="shared" si="465"/>
        <v>2.4375</v>
      </c>
      <c r="AC632" s="9">
        <f t="shared" si="466"/>
        <v>-0.125</v>
      </c>
      <c r="AD632" s="9">
        <f t="shared" si="467"/>
        <v>4.1875</v>
      </c>
      <c r="AE632" s="9">
        <f t="shared" si="468"/>
        <v>4.375</v>
      </c>
      <c r="AF632" s="9">
        <f t="shared" si="469"/>
        <v>7.125</v>
      </c>
      <c r="AG632" s="9">
        <f t="shared" si="470"/>
        <v>12.5</v>
      </c>
      <c r="AH632" s="9">
        <f t="shared" si="471"/>
        <v>13.5</v>
      </c>
      <c r="AI632" s="9">
        <f t="shared" si="472"/>
        <v>11.75</v>
      </c>
      <c r="AJ632" s="9">
        <f t="shared" si="473"/>
        <v>3.75</v>
      </c>
      <c r="AK632" s="9">
        <f t="shared" si="474"/>
        <v>2.875</v>
      </c>
      <c r="AL632" s="9">
        <f t="shared" si="475"/>
        <v>0.75</v>
      </c>
      <c r="AM632" s="9">
        <f t="shared" si="476"/>
        <v>5.125</v>
      </c>
      <c r="AN632" s="9">
        <f t="shared" si="477"/>
        <v>7.5</v>
      </c>
      <c r="AO632" s="9">
        <f t="shared" si="478"/>
        <v>10.625</v>
      </c>
      <c r="AP632" s="9">
        <f t="shared" si="479"/>
        <v>12.5</v>
      </c>
      <c r="AQ632" s="9">
        <f t="shared" si="480"/>
        <v>14.75</v>
      </c>
      <c r="AR632" s="9">
        <f t="shared" si="481"/>
        <v>12</v>
      </c>
      <c r="AS632" s="9">
        <f t="shared" si="482"/>
        <v>3.375</v>
      </c>
      <c r="AT632" s="9">
        <f t="shared" si="483"/>
        <v>3.25</v>
      </c>
      <c r="AU632" s="9">
        <f t="shared" si="484"/>
        <v>1.875</v>
      </c>
      <c r="AV632" s="9">
        <f t="shared" si="485"/>
        <v>6</v>
      </c>
      <c r="AW632" s="9">
        <f t="shared" si="486"/>
        <v>8.625</v>
      </c>
      <c r="AX632" s="9">
        <f t="shared" si="487"/>
        <v>13.375</v>
      </c>
      <c r="AY632" s="9">
        <f t="shared" si="488"/>
        <v>15.625</v>
      </c>
      <c r="AZ632" s="9">
        <f t="shared" si="489"/>
        <v>15.75</v>
      </c>
      <c r="BA632" s="9">
        <f t="shared" si="490"/>
        <v>11.875</v>
      </c>
      <c r="BB632" s="9">
        <f t="shared" si="491"/>
        <v>3.25</v>
      </c>
      <c r="BC632" s="9">
        <f t="shared" si="492"/>
        <v>3.125</v>
      </c>
      <c r="BD632" s="9">
        <f t="shared" si="493"/>
        <v>2</v>
      </c>
      <c r="BE632" s="9">
        <f t="shared" si="494"/>
        <v>6.125</v>
      </c>
      <c r="BF632" s="9">
        <f t="shared" si="495"/>
        <v>8.25</v>
      </c>
      <c r="BG632" s="9">
        <f t="shared" si="496"/>
        <v>13.5</v>
      </c>
      <c r="BH632" s="9">
        <f t="shared" si="497"/>
        <v>20</v>
      </c>
      <c r="BI632" s="9">
        <f t="shared" si="498"/>
        <v>14.625</v>
      </c>
      <c r="BJ632" s="9">
        <f t="shared" si="499"/>
        <v>10.5</v>
      </c>
    </row>
    <row r="633" spans="1:62" x14ac:dyDescent="0.2">
      <c r="A633" s="9">
        <f>data!M634-data!M633</f>
        <v>0.25549999999999784</v>
      </c>
      <c r="B633" s="9">
        <f>data!C634-data!C633</f>
        <v>0.64000000000000057</v>
      </c>
      <c r="C633" s="9">
        <f>data!D634-data!D633</f>
        <v>-0.97499999999999964</v>
      </c>
      <c r="D633" s="10">
        <f>data!B634-data!B633</f>
        <v>-4.2499999999999982E-2</v>
      </c>
      <c r="E633" s="9">
        <f>data!E633-data!G633</f>
        <v>2.3233000000000001</v>
      </c>
      <c r="F633" s="9">
        <f>(data!E633-data!F633)-(data!G633-data!H633)</f>
        <v>0.92180000000000017</v>
      </c>
      <c r="G633" s="9">
        <f t="shared" si="450"/>
        <v>4.3999999999995154E-3</v>
      </c>
      <c r="H633" s="9">
        <f t="shared" si="451"/>
        <v>-2.7300000000000213E-2</v>
      </c>
      <c r="I633" s="9">
        <f>IF(data!M634&gt; 111.81,1,0)</f>
        <v>1</v>
      </c>
      <c r="J633" s="9">
        <f t="shared" si="452"/>
        <v>0</v>
      </c>
      <c r="K633" s="9">
        <f t="shared" si="453"/>
        <v>0.25549999999999784</v>
      </c>
      <c r="L633" s="9">
        <f t="shared" si="454"/>
        <v>0</v>
      </c>
      <c r="M633" s="9">
        <f>data!J633</f>
        <v>-64.5</v>
      </c>
      <c r="N633" s="9">
        <f>data!I633</f>
        <v>-79.25</v>
      </c>
      <c r="O633" s="9">
        <f>data!L633</f>
        <v>-78.25</v>
      </c>
      <c r="P633" s="9">
        <f>data!K633</f>
        <v>-64.25</v>
      </c>
      <c r="Q633" s="9">
        <f>data!R633</f>
        <v>-54</v>
      </c>
      <c r="R633" s="9">
        <f t="shared" si="455"/>
        <v>1.75</v>
      </c>
      <c r="S633" s="9">
        <f t="shared" si="456"/>
        <v>1.25</v>
      </c>
      <c r="T633" s="9">
        <f t="shared" si="457"/>
        <v>6</v>
      </c>
      <c r="U633" s="9">
        <f t="shared" si="458"/>
        <v>4.875</v>
      </c>
      <c r="V633" s="9">
        <f t="shared" si="459"/>
        <v>7</v>
      </c>
      <c r="W633" s="9">
        <f t="shared" si="460"/>
        <v>16.75</v>
      </c>
      <c r="X633" s="9">
        <f t="shared" si="461"/>
        <v>18</v>
      </c>
      <c r="Y633" s="9">
        <f t="shared" si="462"/>
        <v>18.0625</v>
      </c>
      <c r="Z633" s="9">
        <f t="shared" si="463"/>
        <v>16.25</v>
      </c>
      <c r="AA633" s="9">
        <f t="shared" si="464"/>
        <v>-1.0625</v>
      </c>
      <c r="AB633" s="9">
        <f t="shared" si="465"/>
        <v>-3.625</v>
      </c>
      <c r="AC633" s="9">
        <f t="shared" si="466"/>
        <v>0.6875</v>
      </c>
      <c r="AD633" s="9">
        <f t="shared" si="467"/>
        <v>0.875</v>
      </c>
      <c r="AE633" s="9">
        <f t="shared" si="468"/>
        <v>3.625</v>
      </c>
      <c r="AF633" s="9">
        <f t="shared" si="469"/>
        <v>9</v>
      </c>
      <c r="AG633" s="9">
        <f t="shared" si="470"/>
        <v>10</v>
      </c>
      <c r="AH633" s="9">
        <f t="shared" si="471"/>
        <v>8.25</v>
      </c>
      <c r="AI633" s="9">
        <f t="shared" si="472"/>
        <v>7.4375</v>
      </c>
      <c r="AJ633" s="9">
        <f t="shared" si="473"/>
        <v>-0.875</v>
      </c>
      <c r="AK633" s="9">
        <f t="shared" si="474"/>
        <v>-3</v>
      </c>
      <c r="AL633" s="9">
        <f t="shared" si="475"/>
        <v>1.375</v>
      </c>
      <c r="AM633" s="9">
        <f t="shared" si="476"/>
        <v>3.75</v>
      </c>
      <c r="AN633" s="9">
        <f t="shared" si="477"/>
        <v>6.875</v>
      </c>
      <c r="AO633" s="9">
        <f t="shared" si="478"/>
        <v>8.75</v>
      </c>
      <c r="AP633" s="9">
        <f t="shared" si="479"/>
        <v>11</v>
      </c>
      <c r="AQ633" s="9">
        <f t="shared" si="480"/>
        <v>8.25</v>
      </c>
      <c r="AR633" s="9">
        <f t="shared" si="481"/>
        <v>6.25</v>
      </c>
      <c r="AS633" s="9">
        <f t="shared" si="482"/>
        <v>-0.125</v>
      </c>
      <c r="AT633" s="9">
        <f t="shared" si="483"/>
        <v>-1.5</v>
      </c>
      <c r="AU633" s="9">
        <f t="shared" si="484"/>
        <v>2.625</v>
      </c>
      <c r="AV633" s="9">
        <f t="shared" si="485"/>
        <v>5.25</v>
      </c>
      <c r="AW633" s="9">
        <f t="shared" si="486"/>
        <v>10</v>
      </c>
      <c r="AX633" s="9">
        <f t="shared" si="487"/>
        <v>12.25</v>
      </c>
      <c r="AY633" s="9">
        <f t="shared" si="488"/>
        <v>12.375</v>
      </c>
      <c r="AZ633" s="9">
        <f t="shared" si="489"/>
        <v>8.5</v>
      </c>
      <c r="BA633" s="9">
        <f t="shared" si="490"/>
        <v>8.25</v>
      </c>
      <c r="BB633" s="9">
        <f t="shared" si="491"/>
        <v>-0.125</v>
      </c>
      <c r="BC633" s="9">
        <f t="shared" si="492"/>
        <v>-1.25</v>
      </c>
      <c r="BD633" s="9">
        <f t="shared" si="493"/>
        <v>2.875</v>
      </c>
      <c r="BE633" s="9">
        <f t="shared" si="494"/>
        <v>5</v>
      </c>
      <c r="BF633" s="9">
        <f t="shared" si="495"/>
        <v>10.25</v>
      </c>
      <c r="BG633" s="9">
        <f t="shared" si="496"/>
        <v>16.75</v>
      </c>
      <c r="BH633" s="9">
        <f t="shared" si="497"/>
        <v>11.375</v>
      </c>
      <c r="BI633" s="9">
        <f t="shared" si="498"/>
        <v>7.25</v>
      </c>
      <c r="BJ633" s="9">
        <f t="shared" si="499"/>
        <v>8</v>
      </c>
    </row>
    <row r="634" spans="1:62" x14ac:dyDescent="0.2">
      <c r="A634" s="9">
        <f>data!M635-data!M634</f>
        <v>-0.58919999999999106</v>
      </c>
      <c r="B634" s="9">
        <f>data!C635-data!C634</f>
        <v>-1.9999999999999574E-2</v>
      </c>
      <c r="C634" s="9">
        <f>data!D635-data!D634</f>
        <v>8.9999999999999858E-2</v>
      </c>
      <c r="D634" s="10">
        <f>data!B635-data!B634</f>
        <v>-0.18250000000000011</v>
      </c>
      <c r="E634" s="9">
        <f>data!E634-data!G634</f>
        <v>2.3276999999999997</v>
      </c>
      <c r="F634" s="9">
        <f>(data!E634-data!F634)-(data!G634-data!H634)</f>
        <v>0.89449999999999996</v>
      </c>
      <c r="G634" s="9">
        <f t="shared" si="450"/>
        <v>-7.8999999999999737E-2</v>
      </c>
      <c r="H634" s="9">
        <f t="shared" si="451"/>
        <v>-5.8599999999999874E-2</v>
      </c>
      <c r="I634" s="9">
        <f>IF(data!M635&gt; 111.81,1,0)</f>
        <v>1</v>
      </c>
      <c r="J634" s="9">
        <f t="shared" si="452"/>
        <v>0</v>
      </c>
      <c r="K634" s="9">
        <f t="shared" si="453"/>
        <v>-0.58919999999999106</v>
      </c>
      <c r="L634" s="9">
        <f t="shared" si="454"/>
        <v>0</v>
      </c>
      <c r="M634" s="9">
        <f>data!J634</f>
        <v>-62.75</v>
      </c>
      <c r="N634" s="9">
        <f>data!I634</f>
        <v>-80.3125</v>
      </c>
      <c r="O634" s="9">
        <f>data!L634</f>
        <v>-79.125</v>
      </c>
      <c r="P634" s="9">
        <f>data!K634</f>
        <v>-64.375</v>
      </c>
      <c r="Q634" s="9">
        <f>data!R634</f>
        <v>-54.125</v>
      </c>
      <c r="R634" s="9">
        <f t="shared" si="455"/>
        <v>-0.5</v>
      </c>
      <c r="S634" s="9">
        <f t="shared" si="456"/>
        <v>4.25</v>
      </c>
      <c r="T634" s="9">
        <f t="shared" si="457"/>
        <v>3.125</v>
      </c>
      <c r="U634" s="9">
        <f t="shared" si="458"/>
        <v>5.25</v>
      </c>
      <c r="V634" s="9">
        <f t="shared" si="459"/>
        <v>15</v>
      </c>
      <c r="W634" s="9">
        <f t="shared" si="460"/>
        <v>16.25</v>
      </c>
      <c r="X634" s="9">
        <f t="shared" si="461"/>
        <v>16.3125</v>
      </c>
      <c r="Y634" s="9">
        <f t="shared" si="462"/>
        <v>14.5</v>
      </c>
      <c r="Z634" s="9">
        <f t="shared" si="463"/>
        <v>13.75</v>
      </c>
      <c r="AA634" s="9">
        <f t="shared" si="464"/>
        <v>-2.5625</v>
      </c>
      <c r="AB634" s="9">
        <f t="shared" si="465"/>
        <v>1.75</v>
      </c>
      <c r="AC634" s="9">
        <f t="shared" si="466"/>
        <v>1.9375</v>
      </c>
      <c r="AD634" s="9">
        <f t="shared" si="467"/>
        <v>4.6875</v>
      </c>
      <c r="AE634" s="9">
        <f t="shared" si="468"/>
        <v>10.0625</v>
      </c>
      <c r="AF634" s="9">
        <f t="shared" si="469"/>
        <v>11.0625</v>
      </c>
      <c r="AG634" s="9">
        <f t="shared" si="470"/>
        <v>9.3125</v>
      </c>
      <c r="AH634" s="9">
        <f t="shared" si="471"/>
        <v>8.5</v>
      </c>
      <c r="AI634" s="9">
        <f t="shared" si="472"/>
        <v>7.4375</v>
      </c>
      <c r="AJ634" s="9">
        <f t="shared" si="473"/>
        <v>-2.125</v>
      </c>
      <c r="AK634" s="9">
        <f t="shared" si="474"/>
        <v>2.25</v>
      </c>
      <c r="AL634" s="9">
        <f t="shared" si="475"/>
        <v>4.625</v>
      </c>
      <c r="AM634" s="9">
        <f t="shared" si="476"/>
        <v>7.75</v>
      </c>
      <c r="AN634" s="9">
        <f t="shared" si="477"/>
        <v>9.625</v>
      </c>
      <c r="AO634" s="9">
        <f t="shared" si="478"/>
        <v>11.875</v>
      </c>
      <c r="AP634" s="9">
        <f t="shared" si="479"/>
        <v>9.125</v>
      </c>
      <c r="AQ634" s="9">
        <f t="shared" si="480"/>
        <v>7.125</v>
      </c>
      <c r="AR634" s="9">
        <f t="shared" si="481"/>
        <v>5.625</v>
      </c>
      <c r="AS634" s="9">
        <f t="shared" si="482"/>
        <v>-1.375</v>
      </c>
      <c r="AT634" s="9">
        <f t="shared" si="483"/>
        <v>2.75</v>
      </c>
      <c r="AU634" s="9">
        <f t="shared" si="484"/>
        <v>5.375</v>
      </c>
      <c r="AV634" s="9">
        <f t="shared" si="485"/>
        <v>10.125</v>
      </c>
      <c r="AW634" s="9">
        <f t="shared" si="486"/>
        <v>12.375</v>
      </c>
      <c r="AX634" s="9">
        <f t="shared" si="487"/>
        <v>12.5</v>
      </c>
      <c r="AY634" s="9">
        <f t="shared" si="488"/>
        <v>8.625</v>
      </c>
      <c r="AZ634" s="9">
        <f t="shared" si="489"/>
        <v>8.375</v>
      </c>
      <c r="BA634" s="9">
        <f t="shared" si="490"/>
        <v>6.125</v>
      </c>
      <c r="BB634" s="9">
        <f t="shared" si="491"/>
        <v>-1.125</v>
      </c>
      <c r="BC634" s="9">
        <f t="shared" si="492"/>
        <v>3</v>
      </c>
      <c r="BD634" s="9">
        <f t="shared" si="493"/>
        <v>5.125</v>
      </c>
      <c r="BE634" s="9">
        <f t="shared" si="494"/>
        <v>10.375</v>
      </c>
      <c r="BF634" s="9">
        <f t="shared" si="495"/>
        <v>16.875</v>
      </c>
      <c r="BG634" s="9">
        <f t="shared" si="496"/>
        <v>11.5</v>
      </c>
      <c r="BH634" s="9">
        <f t="shared" si="497"/>
        <v>7.375</v>
      </c>
      <c r="BI634" s="9">
        <f t="shared" si="498"/>
        <v>8.125</v>
      </c>
      <c r="BJ634" s="9">
        <f t="shared" si="499"/>
        <v>5.75</v>
      </c>
    </row>
    <row r="635" spans="1:62" x14ac:dyDescent="0.2">
      <c r="A635" s="9">
        <f>data!M636-data!M635</f>
        <v>0.82949999999999591</v>
      </c>
      <c r="B635" s="9">
        <f>data!C636-data!C635</f>
        <v>-0.50999999999999979</v>
      </c>
      <c r="C635" s="9">
        <f>data!D636-data!D635</f>
        <v>-0.54749999999999943</v>
      </c>
      <c r="D635" s="10">
        <f>data!B636-data!B635</f>
        <v>-0.22999999999999998</v>
      </c>
      <c r="E635" s="9">
        <f>data!E635-data!G635</f>
        <v>2.2486999999999999</v>
      </c>
      <c r="F635" s="9">
        <f>(data!E635-data!F635)-(data!G635-data!H635)</f>
        <v>0.83590000000000009</v>
      </c>
      <c r="G635" s="9">
        <f t="shared" si="450"/>
        <v>0.15630000000000033</v>
      </c>
      <c r="H635" s="9">
        <f t="shared" si="451"/>
        <v>-2.49999999999998E-2</v>
      </c>
      <c r="I635" s="9">
        <f>IF(data!M636&gt; 111.81,1,0)</f>
        <v>1</v>
      </c>
      <c r="J635" s="9">
        <f t="shared" si="452"/>
        <v>0</v>
      </c>
      <c r="K635" s="9">
        <f t="shared" si="453"/>
        <v>0.82949999999999591</v>
      </c>
      <c r="L635" s="9">
        <f t="shared" si="454"/>
        <v>0</v>
      </c>
      <c r="M635" s="9">
        <f>data!J635</f>
        <v>-63.25</v>
      </c>
      <c r="N635" s="9">
        <f>data!I635</f>
        <v>-82.875</v>
      </c>
      <c r="O635" s="9">
        <f>data!L635</f>
        <v>-81.25</v>
      </c>
      <c r="P635" s="9">
        <f>data!K635</f>
        <v>-65.75</v>
      </c>
      <c r="Q635" s="9">
        <f>data!R635</f>
        <v>-55.25</v>
      </c>
      <c r="R635" s="9">
        <f t="shared" si="455"/>
        <v>4.75</v>
      </c>
      <c r="S635" s="9">
        <f t="shared" si="456"/>
        <v>3.625</v>
      </c>
      <c r="T635" s="9">
        <f t="shared" si="457"/>
        <v>5.75</v>
      </c>
      <c r="U635" s="9">
        <f t="shared" si="458"/>
        <v>15.5</v>
      </c>
      <c r="V635" s="9">
        <f t="shared" si="459"/>
        <v>16.75</v>
      </c>
      <c r="W635" s="9">
        <f t="shared" si="460"/>
        <v>16.8125</v>
      </c>
      <c r="X635" s="9">
        <f t="shared" si="461"/>
        <v>15</v>
      </c>
      <c r="Y635" s="9">
        <f t="shared" si="462"/>
        <v>14.25</v>
      </c>
      <c r="Z635" s="9">
        <f t="shared" si="463"/>
        <v>14.625</v>
      </c>
      <c r="AA635" s="9">
        <f t="shared" si="464"/>
        <v>4.3125</v>
      </c>
      <c r="AB635" s="9">
        <f t="shared" si="465"/>
        <v>4.5</v>
      </c>
      <c r="AC635" s="9">
        <f t="shared" si="466"/>
        <v>7.25</v>
      </c>
      <c r="AD635" s="9">
        <f t="shared" si="467"/>
        <v>12.625</v>
      </c>
      <c r="AE635" s="9">
        <f t="shared" si="468"/>
        <v>13.625</v>
      </c>
      <c r="AF635" s="9">
        <f t="shared" si="469"/>
        <v>11.875</v>
      </c>
      <c r="AG635" s="9">
        <f t="shared" si="470"/>
        <v>11.0625</v>
      </c>
      <c r="AH635" s="9">
        <f t="shared" si="471"/>
        <v>10</v>
      </c>
      <c r="AI635" s="9">
        <f t="shared" si="472"/>
        <v>9.1875</v>
      </c>
      <c r="AJ635" s="9">
        <f t="shared" si="473"/>
        <v>4.375</v>
      </c>
      <c r="AK635" s="9">
        <f t="shared" si="474"/>
        <v>6.75</v>
      </c>
      <c r="AL635" s="9">
        <f t="shared" si="475"/>
        <v>9.875</v>
      </c>
      <c r="AM635" s="9">
        <f t="shared" si="476"/>
        <v>11.75</v>
      </c>
      <c r="AN635" s="9">
        <f t="shared" si="477"/>
        <v>14</v>
      </c>
      <c r="AO635" s="9">
        <f t="shared" si="478"/>
        <v>11.25</v>
      </c>
      <c r="AP635" s="9">
        <f t="shared" si="479"/>
        <v>9.25</v>
      </c>
      <c r="AQ635" s="9">
        <f t="shared" si="480"/>
        <v>7.75</v>
      </c>
      <c r="AR635" s="9">
        <f t="shared" si="481"/>
        <v>6.75</v>
      </c>
      <c r="AS635" s="9">
        <f t="shared" si="482"/>
        <v>4.125</v>
      </c>
      <c r="AT635" s="9">
        <f t="shared" si="483"/>
        <v>6.75</v>
      </c>
      <c r="AU635" s="9">
        <f t="shared" si="484"/>
        <v>11.5</v>
      </c>
      <c r="AV635" s="9">
        <f t="shared" si="485"/>
        <v>13.75</v>
      </c>
      <c r="AW635" s="9">
        <f t="shared" si="486"/>
        <v>13.875</v>
      </c>
      <c r="AX635" s="9">
        <f t="shared" si="487"/>
        <v>10</v>
      </c>
      <c r="AY635" s="9">
        <f t="shared" si="488"/>
        <v>9.75</v>
      </c>
      <c r="AZ635" s="9">
        <f t="shared" si="489"/>
        <v>7.5</v>
      </c>
      <c r="BA635" s="9">
        <f t="shared" si="490"/>
        <v>7.25</v>
      </c>
      <c r="BB635" s="9">
        <f t="shared" si="491"/>
        <v>4.125</v>
      </c>
      <c r="BC635" s="9">
        <f t="shared" si="492"/>
        <v>6.25</v>
      </c>
      <c r="BD635" s="9">
        <f t="shared" si="493"/>
        <v>11.5</v>
      </c>
      <c r="BE635" s="9">
        <f t="shared" si="494"/>
        <v>18</v>
      </c>
      <c r="BF635" s="9">
        <f t="shared" si="495"/>
        <v>12.625</v>
      </c>
      <c r="BG635" s="9">
        <f t="shared" si="496"/>
        <v>8.5</v>
      </c>
      <c r="BH635" s="9">
        <f t="shared" si="497"/>
        <v>9.25</v>
      </c>
      <c r="BI635" s="9">
        <f t="shared" si="498"/>
        <v>6.875</v>
      </c>
      <c r="BJ635" s="9">
        <f t="shared" si="499"/>
        <v>6.25</v>
      </c>
    </row>
    <row r="636" spans="1:62" x14ac:dyDescent="0.2">
      <c r="A636" s="9">
        <f>data!M637-data!M636</f>
        <v>-2.7799999999999159E-2</v>
      </c>
      <c r="B636" s="9">
        <f>data!C637-data!C636</f>
        <v>0.69999999999999929</v>
      </c>
      <c r="C636" s="9">
        <f>data!D637-data!D636</f>
        <v>-0.51250000000000107</v>
      </c>
      <c r="D636" s="10">
        <f>data!B637-data!B636</f>
        <v>3.0000000000000027E-2</v>
      </c>
      <c r="E636" s="9">
        <f>data!E636-data!G636</f>
        <v>2.4050000000000002</v>
      </c>
      <c r="F636" s="9">
        <f>(data!E636-data!F636)-(data!G636-data!H636)</f>
        <v>0.81090000000000029</v>
      </c>
      <c r="G636" s="9">
        <f t="shared" si="450"/>
        <v>8.5499999999999687E-2</v>
      </c>
      <c r="H636" s="9">
        <f t="shared" si="451"/>
        <v>6.0199999999999698E-2</v>
      </c>
      <c r="I636" s="9">
        <f>IF(data!M637&gt; 111.81,1,0)</f>
        <v>1</v>
      </c>
      <c r="J636" s="9">
        <f t="shared" si="452"/>
        <v>0</v>
      </c>
      <c r="K636" s="9">
        <f t="shared" si="453"/>
        <v>-2.7799999999999159E-2</v>
      </c>
      <c r="L636" s="9">
        <f t="shared" si="454"/>
        <v>0</v>
      </c>
      <c r="M636" s="9">
        <f>data!J636</f>
        <v>-58.5</v>
      </c>
      <c r="N636" s="9">
        <f>data!I636</f>
        <v>-78.5625</v>
      </c>
      <c r="O636" s="9">
        <f>data!L636</f>
        <v>-76.875</v>
      </c>
      <c r="P636" s="9">
        <f>data!K636</f>
        <v>-61.625</v>
      </c>
      <c r="Q636" s="9">
        <f>data!R636</f>
        <v>-51.125</v>
      </c>
      <c r="R636" s="9">
        <f t="shared" si="455"/>
        <v>-1.125</v>
      </c>
      <c r="S636" s="9">
        <f t="shared" si="456"/>
        <v>1</v>
      </c>
      <c r="T636" s="9">
        <f t="shared" si="457"/>
        <v>10.75</v>
      </c>
      <c r="U636" s="9">
        <f t="shared" si="458"/>
        <v>12</v>
      </c>
      <c r="V636" s="9">
        <f t="shared" si="459"/>
        <v>12.0625</v>
      </c>
      <c r="W636" s="9">
        <f t="shared" si="460"/>
        <v>10.25</v>
      </c>
      <c r="X636" s="9">
        <f t="shared" si="461"/>
        <v>9.5</v>
      </c>
      <c r="Y636" s="9">
        <f t="shared" si="462"/>
        <v>9.875</v>
      </c>
      <c r="Z636" s="9">
        <f t="shared" si="463"/>
        <v>9</v>
      </c>
      <c r="AA636" s="9">
        <f t="shared" si="464"/>
        <v>0.1875</v>
      </c>
      <c r="AB636" s="9">
        <f t="shared" si="465"/>
        <v>2.9375</v>
      </c>
      <c r="AC636" s="9">
        <f t="shared" si="466"/>
        <v>8.3125</v>
      </c>
      <c r="AD636" s="9">
        <f t="shared" si="467"/>
        <v>9.3125</v>
      </c>
      <c r="AE636" s="9">
        <f t="shared" si="468"/>
        <v>7.5625</v>
      </c>
      <c r="AF636" s="9">
        <f t="shared" si="469"/>
        <v>6.75</v>
      </c>
      <c r="AG636" s="9">
        <f t="shared" si="470"/>
        <v>5.6875</v>
      </c>
      <c r="AH636" s="9">
        <f t="shared" si="471"/>
        <v>4.875</v>
      </c>
      <c r="AI636" s="9">
        <f t="shared" si="472"/>
        <v>4.3125</v>
      </c>
      <c r="AJ636" s="9">
        <f t="shared" si="473"/>
        <v>2.375</v>
      </c>
      <c r="AK636" s="9">
        <f t="shared" si="474"/>
        <v>5.5</v>
      </c>
      <c r="AL636" s="9">
        <f t="shared" si="475"/>
        <v>7.375</v>
      </c>
      <c r="AM636" s="9">
        <f t="shared" si="476"/>
        <v>9.625</v>
      </c>
      <c r="AN636" s="9">
        <f t="shared" si="477"/>
        <v>6.875</v>
      </c>
      <c r="AO636" s="9">
        <f t="shared" si="478"/>
        <v>4.875</v>
      </c>
      <c r="AP636" s="9">
        <f t="shared" si="479"/>
        <v>3.375</v>
      </c>
      <c r="AQ636" s="9">
        <f t="shared" si="480"/>
        <v>2.375</v>
      </c>
      <c r="AR636" s="9">
        <f t="shared" si="481"/>
        <v>1.625</v>
      </c>
      <c r="AS636" s="9">
        <f t="shared" si="482"/>
        <v>2.625</v>
      </c>
      <c r="AT636" s="9">
        <f t="shared" si="483"/>
        <v>7.375</v>
      </c>
      <c r="AU636" s="9">
        <f t="shared" si="484"/>
        <v>9.625</v>
      </c>
      <c r="AV636" s="9">
        <f t="shared" si="485"/>
        <v>9.75</v>
      </c>
      <c r="AW636" s="9">
        <f t="shared" si="486"/>
        <v>5.875</v>
      </c>
      <c r="AX636" s="9">
        <f t="shared" si="487"/>
        <v>5.625</v>
      </c>
      <c r="AY636" s="9">
        <f t="shared" si="488"/>
        <v>3.375</v>
      </c>
      <c r="AZ636" s="9">
        <f t="shared" si="489"/>
        <v>3.125</v>
      </c>
      <c r="BA636" s="9">
        <f t="shared" si="490"/>
        <v>2.5</v>
      </c>
      <c r="BB636" s="9">
        <f t="shared" si="491"/>
        <v>2.125</v>
      </c>
      <c r="BC636" s="9">
        <f t="shared" si="492"/>
        <v>7.375</v>
      </c>
      <c r="BD636" s="9">
        <f t="shared" si="493"/>
        <v>13.875</v>
      </c>
      <c r="BE636" s="9">
        <f t="shared" si="494"/>
        <v>8.5</v>
      </c>
      <c r="BF636" s="9">
        <f t="shared" si="495"/>
        <v>4.375</v>
      </c>
      <c r="BG636" s="9">
        <f t="shared" si="496"/>
        <v>5.125</v>
      </c>
      <c r="BH636" s="9">
        <f t="shared" si="497"/>
        <v>2.75</v>
      </c>
      <c r="BI636" s="9">
        <f t="shared" si="498"/>
        <v>2.125</v>
      </c>
      <c r="BJ636" s="9">
        <f t="shared" si="499"/>
        <v>1.625</v>
      </c>
    </row>
    <row r="637" spans="1:62" x14ac:dyDescent="0.2">
      <c r="A637" s="9">
        <f>data!M638-data!M637</f>
        <v>-1.3376999999999981</v>
      </c>
      <c r="B637" s="9">
        <f>data!C638-data!C637</f>
        <v>-0.38000000000000078</v>
      </c>
      <c r="C637" s="9">
        <f>data!D638-data!D637</f>
        <v>-0.91000000000000014</v>
      </c>
      <c r="D637" s="10">
        <f>data!B638-data!B637</f>
        <v>0.28000000000000003</v>
      </c>
      <c r="E637" s="9">
        <f>data!E637-data!G637</f>
        <v>2.4904999999999999</v>
      </c>
      <c r="F637" s="9">
        <f>(data!E637-data!F637)-(data!G637-data!H637)</f>
        <v>0.87109999999999999</v>
      </c>
      <c r="G637" s="9">
        <f t="shared" si="450"/>
        <v>-5.9999999999999609E-2</v>
      </c>
      <c r="H637" s="9">
        <f t="shared" si="451"/>
        <v>-1.519999999999988E-2</v>
      </c>
      <c r="I637" s="9">
        <f>IF(data!M638&gt; 111.81,1,0)</f>
        <v>1</v>
      </c>
      <c r="J637" s="9">
        <f t="shared" si="452"/>
        <v>0</v>
      </c>
      <c r="K637" s="9">
        <f t="shared" si="453"/>
        <v>-1.3376999999999981</v>
      </c>
      <c r="L637" s="9">
        <f t="shared" si="454"/>
        <v>0</v>
      </c>
      <c r="M637" s="9">
        <f>data!J637</f>
        <v>-59.625</v>
      </c>
      <c r="N637" s="9">
        <f>data!I637</f>
        <v>-78.375</v>
      </c>
      <c r="O637" s="9">
        <f>data!L637</f>
        <v>-74.5</v>
      </c>
      <c r="P637" s="9">
        <f>data!K637</f>
        <v>-59</v>
      </c>
      <c r="Q637" s="9">
        <f>data!R637</f>
        <v>-49</v>
      </c>
      <c r="R637" s="9">
        <f t="shared" si="455"/>
        <v>2.125</v>
      </c>
      <c r="S637" s="9">
        <f t="shared" si="456"/>
        <v>11.875</v>
      </c>
      <c r="T637" s="9">
        <f t="shared" si="457"/>
        <v>13.125</v>
      </c>
      <c r="U637" s="9">
        <f t="shared" si="458"/>
        <v>13.1875</v>
      </c>
      <c r="V637" s="9">
        <f t="shared" si="459"/>
        <v>11.375</v>
      </c>
      <c r="W637" s="9">
        <f t="shared" si="460"/>
        <v>10.625</v>
      </c>
      <c r="X637" s="9">
        <f t="shared" si="461"/>
        <v>11</v>
      </c>
      <c r="Y637" s="9">
        <f t="shared" si="462"/>
        <v>10.125</v>
      </c>
      <c r="Z637" s="9">
        <f t="shared" si="463"/>
        <v>12.375</v>
      </c>
      <c r="AA637" s="9">
        <f t="shared" si="464"/>
        <v>2.75</v>
      </c>
      <c r="AB637" s="9">
        <f t="shared" si="465"/>
        <v>8.125</v>
      </c>
      <c r="AC637" s="9">
        <f t="shared" si="466"/>
        <v>9.125</v>
      </c>
      <c r="AD637" s="9">
        <f t="shared" si="467"/>
        <v>7.375</v>
      </c>
      <c r="AE637" s="9">
        <f t="shared" si="468"/>
        <v>6.5625</v>
      </c>
      <c r="AF637" s="9">
        <f t="shared" si="469"/>
        <v>5.5</v>
      </c>
      <c r="AG637" s="9">
        <f t="shared" si="470"/>
        <v>4.6875</v>
      </c>
      <c r="AH637" s="9">
        <f t="shared" si="471"/>
        <v>4.125</v>
      </c>
      <c r="AI637" s="9">
        <f t="shared" si="472"/>
        <v>8.8125</v>
      </c>
      <c r="AJ637" s="9">
        <f t="shared" si="473"/>
        <v>3.125</v>
      </c>
      <c r="AK637" s="9">
        <f t="shared" si="474"/>
        <v>5</v>
      </c>
      <c r="AL637" s="9">
        <f t="shared" si="475"/>
        <v>7.25</v>
      </c>
      <c r="AM637" s="9">
        <f t="shared" si="476"/>
        <v>4.5</v>
      </c>
      <c r="AN637" s="9">
        <f t="shared" si="477"/>
        <v>2.5</v>
      </c>
      <c r="AO637" s="9">
        <f t="shared" si="478"/>
        <v>1</v>
      </c>
      <c r="AP637" s="9">
        <f t="shared" si="479"/>
        <v>0</v>
      </c>
      <c r="AQ637" s="9">
        <f t="shared" si="480"/>
        <v>-0.75</v>
      </c>
      <c r="AR637" s="9">
        <f t="shared" si="481"/>
        <v>3.1875</v>
      </c>
      <c r="AS637" s="9">
        <f t="shared" si="482"/>
        <v>4.75</v>
      </c>
      <c r="AT637" s="9">
        <f t="shared" si="483"/>
        <v>7</v>
      </c>
      <c r="AU637" s="9">
        <f t="shared" si="484"/>
        <v>7.125</v>
      </c>
      <c r="AV637" s="9">
        <f t="shared" si="485"/>
        <v>3.25</v>
      </c>
      <c r="AW637" s="9">
        <f t="shared" si="486"/>
        <v>3</v>
      </c>
      <c r="AX637" s="9">
        <f t="shared" si="487"/>
        <v>0.75</v>
      </c>
      <c r="AY637" s="9">
        <f t="shared" si="488"/>
        <v>0.5</v>
      </c>
      <c r="AZ637" s="9">
        <f t="shared" si="489"/>
        <v>-0.125</v>
      </c>
      <c r="BA637" s="9">
        <f t="shared" si="490"/>
        <v>3</v>
      </c>
      <c r="BB637" s="9">
        <f t="shared" si="491"/>
        <v>5.25</v>
      </c>
      <c r="BC637" s="9">
        <f t="shared" si="492"/>
        <v>11.75</v>
      </c>
      <c r="BD637" s="9">
        <f t="shared" si="493"/>
        <v>6.375</v>
      </c>
      <c r="BE637" s="9">
        <f t="shared" si="494"/>
        <v>2.25</v>
      </c>
      <c r="BF637" s="9">
        <f t="shared" si="495"/>
        <v>3</v>
      </c>
      <c r="BG637" s="9">
        <f t="shared" si="496"/>
        <v>0.625</v>
      </c>
      <c r="BH637" s="9">
        <f t="shared" si="497"/>
        <v>0</v>
      </c>
      <c r="BI637" s="9">
        <f t="shared" si="498"/>
        <v>-0.5</v>
      </c>
      <c r="BJ637" s="9">
        <f t="shared" si="499"/>
        <v>3.875</v>
      </c>
    </row>
    <row r="638" spans="1:62" x14ac:dyDescent="0.2">
      <c r="A638" s="9">
        <f>data!M639-data!M638</f>
        <v>-0.64109999999999445</v>
      </c>
      <c r="B638" s="9">
        <f>data!C639-data!C638</f>
        <v>1.6800000000000015</v>
      </c>
      <c r="C638" s="9">
        <f>data!D639-data!D638</f>
        <v>0.36500000000000021</v>
      </c>
      <c r="D638" s="10">
        <f>data!B639-data!B638</f>
        <v>-0.21250000000000013</v>
      </c>
      <c r="E638" s="9">
        <f>data!E638-data!G638</f>
        <v>2.4305000000000003</v>
      </c>
      <c r="F638" s="9">
        <f>(data!E638-data!F638)-(data!G638-data!H638)</f>
        <v>0.85590000000000011</v>
      </c>
      <c r="G638" s="9">
        <f t="shared" si="450"/>
        <v>-7.8200000000000269E-2</v>
      </c>
      <c r="H638" s="9">
        <f t="shared" si="451"/>
        <v>-2.4199999999999999E-2</v>
      </c>
      <c r="I638" s="9">
        <f>IF(data!M639&gt; 111.81,1,0)</f>
        <v>1</v>
      </c>
      <c r="J638" s="9">
        <f t="shared" si="452"/>
        <v>0</v>
      </c>
      <c r="K638" s="9">
        <f t="shared" si="453"/>
        <v>-0.64109999999999445</v>
      </c>
      <c r="L638" s="9">
        <f t="shared" si="454"/>
        <v>0</v>
      </c>
      <c r="M638" s="9">
        <f>data!J638</f>
        <v>-57.5</v>
      </c>
      <c r="N638" s="9">
        <f>data!I638</f>
        <v>-75.625</v>
      </c>
      <c r="O638" s="9">
        <f>data!L638</f>
        <v>-71.375</v>
      </c>
      <c r="P638" s="9">
        <f>data!K638</f>
        <v>-54.25</v>
      </c>
      <c r="Q638" s="9">
        <f>data!R638</f>
        <v>-43.75</v>
      </c>
      <c r="R638" s="9">
        <f t="shared" si="455"/>
        <v>9.75</v>
      </c>
      <c r="S638" s="9">
        <f t="shared" si="456"/>
        <v>11</v>
      </c>
      <c r="T638" s="9">
        <f t="shared" si="457"/>
        <v>11.0625</v>
      </c>
      <c r="U638" s="9">
        <f t="shared" si="458"/>
        <v>9.25</v>
      </c>
      <c r="V638" s="9">
        <f t="shared" si="459"/>
        <v>8.5</v>
      </c>
      <c r="W638" s="9">
        <f t="shared" si="460"/>
        <v>8.875</v>
      </c>
      <c r="X638" s="9">
        <f t="shared" si="461"/>
        <v>8</v>
      </c>
      <c r="Y638" s="9">
        <f t="shared" si="462"/>
        <v>10.25</v>
      </c>
      <c r="Z638" s="9">
        <f t="shared" si="463"/>
        <v>10</v>
      </c>
      <c r="AA638" s="9">
        <f t="shared" si="464"/>
        <v>5.375</v>
      </c>
      <c r="AB638" s="9">
        <f t="shared" si="465"/>
        <v>6.375</v>
      </c>
      <c r="AC638" s="9">
        <f t="shared" si="466"/>
        <v>4.625</v>
      </c>
      <c r="AD638" s="9">
        <f t="shared" si="467"/>
        <v>3.8125</v>
      </c>
      <c r="AE638" s="9">
        <f t="shared" si="468"/>
        <v>2.75</v>
      </c>
      <c r="AF638" s="9">
        <f t="shared" si="469"/>
        <v>1.9375</v>
      </c>
      <c r="AG638" s="9">
        <f t="shared" si="470"/>
        <v>1.375</v>
      </c>
      <c r="AH638" s="9">
        <f t="shared" si="471"/>
        <v>6.0625</v>
      </c>
      <c r="AI638" s="9">
        <f t="shared" si="472"/>
        <v>3.75</v>
      </c>
      <c r="AJ638" s="9">
        <f t="shared" si="473"/>
        <v>1.875</v>
      </c>
      <c r="AK638" s="9">
        <f t="shared" si="474"/>
        <v>4.125</v>
      </c>
      <c r="AL638" s="9">
        <f t="shared" si="475"/>
        <v>1.375</v>
      </c>
      <c r="AM638" s="9">
        <f t="shared" si="476"/>
        <v>-0.625</v>
      </c>
      <c r="AN638" s="9">
        <f t="shared" si="477"/>
        <v>-2.125</v>
      </c>
      <c r="AO638" s="9">
        <f t="shared" si="478"/>
        <v>-3.125</v>
      </c>
      <c r="AP638" s="9">
        <f t="shared" si="479"/>
        <v>-3.875</v>
      </c>
      <c r="AQ638" s="9">
        <f t="shared" si="480"/>
        <v>6.25E-2</v>
      </c>
      <c r="AR638" s="9">
        <f t="shared" si="481"/>
        <v>-1.875</v>
      </c>
      <c r="AS638" s="9">
        <f t="shared" si="482"/>
        <v>2.25</v>
      </c>
      <c r="AT638" s="9">
        <f t="shared" si="483"/>
        <v>2.375</v>
      </c>
      <c r="AU638" s="9">
        <f t="shared" si="484"/>
        <v>-1.5</v>
      </c>
      <c r="AV638" s="9">
        <f t="shared" si="485"/>
        <v>-1.75</v>
      </c>
      <c r="AW638" s="9">
        <f t="shared" si="486"/>
        <v>-4</v>
      </c>
      <c r="AX638" s="9">
        <f t="shared" si="487"/>
        <v>-4.25</v>
      </c>
      <c r="AY638" s="9">
        <f t="shared" si="488"/>
        <v>-4.875</v>
      </c>
      <c r="AZ638" s="9">
        <f t="shared" si="489"/>
        <v>-1.75</v>
      </c>
      <c r="BA638" s="9">
        <f t="shared" si="490"/>
        <v>-3.5</v>
      </c>
      <c r="BB638" s="9">
        <f t="shared" si="491"/>
        <v>6.5</v>
      </c>
      <c r="BC638" s="9">
        <f t="shared" si="492"/>
        <v>1.125</v>
      </c>
      <c r="BD638" s="9">
        <f t="shared" si="493"/>
        <v>-3</v>
      </c>
      <c r="BE638" s="9">
        <f t="shared" si="494"/>
        <v>-2.25</v>
      </c>
      <c r="BF638" s="9">
        <f t="shared" si="495"/>
        <v>-4.625</v>
      </c>
      <c r="BG638" s="9">
        <f t="shared" si="496"/>
        <v>-5.25</v>
      </c>
      <c r="BH638" s="9">
        <f t="shared" si="497"/>
        <v>-5.75</v>
      </c>
      <c r="BI638" s="9">
        <f t="shared" si="498"/>
        <v>-1.375</v>
      </c>
      <c r="BJ638" s="9">
        <f t="shared" si="499"/>
        <v>-5</v>
      </c>
    </row>
    <row r="639" spans="1:62" x14ac:dyDescent="0.2">
      <c r="A639" s="9">
        <f>data!M640-data!M639</f>
        <v>0.15659999999999741</v>
      </c>
      <c r="B639" s="9">
        <f>data!C640-data!C639</f>
        <v>-0.59000000000000163</v>
      </c>
      <c r="C639" s="9">
        <f>data!D640-data!D639</f>
        <v>-0.25999999999999979</v>
      </c>
      <c r="D639" s="10">
        <f>data!B640-data!B639</f>
        <v>0.17750000000000021</v>
      </c>
      <c r="E639" s="9">
        <f>data!E639-data!G639</f>
        <v>2.3523000000000001</v>
      </c>
      <c r="F639" s="9">
        <f>(data!E639-data!F639)-(data!G639-data!H639)</f>
        <v>0.83170000000000011</v>
      </c>
      <c r="G639" s="9">
        <f t="shared" si="450"/>
        <v>-2.9900000000000038E-2</v>
      </c>
      <c r="H639" s="9">
        <f t="shared" si="451"/>
        <v>4.1699999999999848E-2</v>
      </c>
      <c r="I639" s="9">
        <f>IF(data!M640&gt; 111.81,1,0)</f>
        <v>1</v>
      </c>
      <c r="J639" s="9">
        <f t="shared" si="452"/>
        <v>0</v>
      </c>
      <c r="K639" s="9">
        <f t="shared" si="453"/>
        <v>0.15659999999999741</v>
      </c>
      <c r="L639" s="9">
        <f t="shared" si="454"/>
        <v>0</v>
      </c>
      <c r="M639" s="9">
        <f>data!J639</f>
        <v>-47.75</v>
      </c>
      <c r="N639" s="9">
        <f>data!I639</f>
        <v>-70.25</v>
      </c>
      <c r="O639" s="9">
        <f>data!L639</f>
        <v>-69.5</v>
      </c>
      <c r="P639" s="9">
        <f>data!K639</f>
        <v>-52</v>
      </c>
      <c r="Q639" s="9">
        <f>data!R639</f>
        <v>-37.25</v>
      </c>
      <c r="R639" s="9">
        <f t="shared" si="455"/>
        <v>1.25</v>
      </c>
      <c r="S639" s="9">
        <f t="shared" si="456"/>
        <v>1.3125</v>
      </c>
      <c r="T639" s="9">
        <f t="shared" si="457"/>
        <v>-0.5</v>
      </c>
      <c r="U639" s="9">
        <f t="shared" si="458"/>
        <v>-1.25</v>
      </c>
      <c r="V639" s="9">
        <f t="shared" si="459"/>
        <v>-0.875</v>
      </c>
      <c r="W639" s="9">
        <f t="shared" si="460"/>
        <v>-1.75</v>
      </c>
      <c r="X639" s="9">
        <f t="shared" si="461"/>
        <v>0.5</v>
      </c>
      <c r="Y639" s="9">
        <f t="shared" si="462"/>
        <v>0.25</v>
      </c>
      <c r="Z639" s="9">
        <f t="shared" si="463"/>
        <v>-1.125</v>
      </c>
      <c r="AA639" s="9">
        <f t="shared" si="464"/>
        <v>1</v>
      </c>
      <c r="AB639" s="9">
        <f t="shared" si="465"/>
        <v>-0.75</v>
      </c>
      <c r="AC639" s="9">
        <f t="shared" si="466"/>
        <v>-1.5625</v>
      </c>
      <c r="AD639" s="9">
        <f t="shared" si="467"/>
        <v>-2.625</v>
      </c>
      <c r="AE639" s="9">
        <f t="shared" si="468"/>
        <v>-3.4375</v>
      </c>
      <c r="AF639" s="9">
        <f t="shared" si="469"/>
        <v>-4</v>
      </c>
      <c r="AG639" s="9">
        <f t="shared" si="470"/>
        <v>0.6875</v>
      </c>
      <c r="AH639" s="9">
        <f t="shared" si="471"/>
        <v>-1.625</v>
      </c>
      <c r="AI639" s="9">
        <f t="shared" si="472"/>
        <v>-0.75</v>
      </c>
      <c r="AJ639" s="9">
        <f t="shared" si="473"/>
        <v>2.25</v>
      </c>
      <c r="AK639" s="9">
        <f t="shared" si="474"/>
        <v>-0.5</v>
      </c>
      <c r="AL639" s="9">
        <f t="shared" si="475"/>
        <v>-2.5</v>
      </c>
      <c r="AM639" s="9">
        <f t="shared" si="476"/>
        <v>-4</v>
      </c>
      <c r="AN639" s="9">
        <f t="shared" si="477"/>
        <v>-5</v>
      </c>
      <c r="AO639" s="9">
        <f t="shared" si="478"/>
        <v>-5.75</v>
      </c>
      <c r="AP639" s="9">
        <f t="shared" si="479"/>
        <v>-1.8125</v>
      </c>
      <c r="AQ639" s="9">
        <f t="shared" si="480"/>
        <v>-3.75</v>
      </c>
      <c r="AR639" s="9">
        <f t="shared" si="481"/>
        <v>-3.5</v>
      </c>
      <c r="AS639" s="9">
        <f t="shared" si="482"/>
        <v>0.125</v>
      </c>
      <c r="AT639" s="9">
        <f t="shared" si="483"/>
        <v>-3.75</v>
      </c>
      <c r="AU639" s="9">
        <f t="shared" si="484"/>
        <v>-4</v>
      </c>
      <c r="AV639" s="9">
        <f t="shared" si="485"/>
        <v>-6.25</v>
      </c>
      <c r="AW639" s="9">
        <f t="shared" si="486"/>
        <v>-6.5</v>
      </c>
      <c r="AX639" s="9">
        <f t="shared" si="487"/>
        <v>-7.125</v>
      </c>
      <c r="AY639" s="9">
        <f t="shared" si="488"/>
        <v>-4</v>
      </c>
      <c r="AZ639" s="9">
        <f t="shared" si="489"/>
        <v>-5.75</v>
      </c>
      <c r="BA639" s="9">
        <f t="shared" si="490"/>
        <v>-6.25</v>
      </c>
      <c r="BB639" s="9">
        <f t="shared" si="491"/>
        <v>-5.375</v>
      </c>
      <c r="BC639" s="9">
        <f t="shared" si="492"/>
        <v>-9.5</v>
      </c>
      <c r="BD639" s="9">
        <f t="shared" si="493"/>
        <v>-8.75</v>
      </c>
      <c r="BE639" s="9">
        <f t="shared" si="494"/>
        <v>-11.125</v>
      </c>
      <c r="BF639" s="9">
        <f t="shared" si="495"/>
        <v>-11.75</v>
      </c>
      <c r="BG639" s="9">
        <f t="shared" si="496"/>
        <v>-12.25</v>
      </c>
      <c r="BH639" s="9">
        <f t="shared" si="497"/>
        <v>-7.875</v>
      </c>
      <c r="BI639" s="9">
        <f t="shared" si="498"/>
        <v>-11.5</v>
      </c>
      <c r="BJ639" s="9">
        <f t="shared" si="499"/>
        <v>-11.75</v>
      </c>
    </row>
    <row r="640" spans="1:62" x14ac:dyDescent="0.2">
      <c r="A640" s="9">
        <f>data!M641-data!M640</f>
        <v>0.26089999999999236</v>
      </c>
      <c r="B640" s="9">
        <f>data!C641-data!C640</f>
        <v>0.5</v>
      </c>
      <c r="C640" s="9">
        <f>data!D641-data!D640</f>
        <v>0.19999999999999929</v>
      </c>
      <c r="D640" s="10">
        <f>data!B641-data!B640</f>
        <v>-0.11750000000000016</v>
      </c>
      <c r="E640" s="9">
        <f>data!E640-data!G640</f>
        <v>2.3224</v>
      </c>
      <c r="F640" s="9">
        <f>(data!E640-data!F640)-(data!G640-data!H640)</f>
        <v>0.87339999999999995</v>
      </c>
      <c r="G640" s="9">
        <f t="shared" si="450"/>
        <v>3.8000000000000256E-3</v>
      </c>
      <c r="H640" s="9">
        <f t="shared" si="451"/>
        <v>-4.7399999999999887E-2</v>
      </c>
      <c r="I640" s="9">
        <f>IF(data!M641&gt; 111.81,1,0)</f>
        <v>1</v>
      </c>
      <c r="J640" s="9">
        <f t="shared" si="452"/>
        <v>0</v>
      </c>
      <c r="K640" s="9">
        <f t="shared" si="453"/>
        <v>0.26089999999999236</v>
      </c>
      <c r="L640" s="9">
        <f t="shared" si="454"/>
        <v>0</v>
      </c>
      <c r="M640" s="9">
        <f>data!J640</f>
        <v>-46.5</v>
      </c>
      <c r="N640" s="9">
        <f>data!I640</f>
        <v>-69.25</v>
      </c>
      <c r="O640" s="9">
        <f>data!L640</f>
        <v>-67.25</v>
      </c>
      <c r="P640" s="9">
        <f>data!K640</f>
        <v>-51.875</v>
      </c>
      <c r="Q640" s="9">
        <f>data!R640</f>
        <v>-42.625</v>
      </c>
      <c r="R640" s="9">
        <f t="shared" si="455"/>
        <v>6.25E-2</v>
      </c>
      <c r="S640" s="9">
        <f t="shared" si="456"/>
        <v>-1.75</v>
      </c>
      <c r="T640" s="9">
        <f t="shared" si="457"/>
        <v>-2.5</v>
      </c>
      <c r="U640" s="9">
        <f t="shared" si="458"/>
        <v>-2.125</v>
      </c>
      <c r="V640" s="9">
        <f t="shared" si="459"/>
        <v>-3</v>
      </c>
      <c r="W640" s="9">
        <f t="shared" si="460"/>
        <v>-0.75</v>
      </c>
      <c r="X640" s="9">
        <f t="shared" si="461"/>
        <v>-1</v>
      </c>
      <c r="Y640" s="9">
        <f t="shared" si="462"/>
        <v>-2.375</v>
      </c>
      <c r="Z640" s="9">
        <f t="shared" si="463"/>
        <v>-0.5</v>
      </c>
      <c r="AA640" s="9">
        <f t="shared" si="464"/>
        <v>-1.75</v>
      </c>
      <c r="AB640" s="9">
        <f t="shared" si="465"/>
        <v>-2.5625</v>
      </c>
      <c r="AC640" s="9">
        <f t="shared" si="466"/>
        <v>-3.625</v>
      </c>
      <c r="AD640" s="9">
        <f t="shared" si="467"/>
        <v>-4.4375</v>
      </c>
      <c r="AE640" s="9">
        <f t="shared" si="468"/>
        <v>-5</v>
      </c>
      <c r="AF640" s="9">
        <f t="shared" si="469"/>
        <v>-0.3125</v>
      </c>
      <c r="AG640" s="9">
        <f t="shared" si="470"/>
        <v>-2.625</v>
      </c>
      <c r="AH640" s="9">
        <f t="shared" si="471"/>
        <v>-1.75</v>
      </c>
      <c r="AI640" s="9">
        <f t="shared" si="472"/>
        <v>-1.75</v>
      </c>
      <c r="AJ640" s="9">
        <f t="shared" si="473"/>
        <v>-2.75</v>
      </c>
      <c r="AK640" s="9">
        <f t="shared" si="474"/>
        <v>-4.75</v>
      </c>
      <c r="AL640" s="9">
        <f t="shared" si="475"/>
        <v>-6.25</v>
      </c>
      <c r="AM640" s="9">
        <f t="shared" si="476"/>
        <v>-7.25</v>
      </c>
      <c r="AN640" s="9">
        <f t="shared" si="477"/>
        <v>-8</v>
      </c>
      <c r="AO640" s="9">
        <f t="shared" si="478"/>
        <v>-4.0625</v>
      </c>
      <c r="AP640" s="9">
        <f t="shared" si="479"/>
        <v>-6</v>
      </c>
      <c r="AQ640" s="9">
        <f t="shared" si="480"/>
        <v>-5.75</v>
      </c>
      <c r="AR640" s="9">
        <f t="shared" si="481"/>
        <v>-8</v>
      </c>
      <c r="AS640" s="9">
        <f t="shared" si="482"/>
        <v>-3.875</v>
      </c>
      <c r="AT640" s="9">
        <f t="shared" si="483"/>
        <v>-4.125</v>
      </c>
      <c r="AU640" s="9">
        <f t="shared" si="484"/>
        <v>-6.375</v>
      </c>
      <c r="AV640" s="9">
        <f t="shared" si="485"/>
        <v>-6.625</v>
      </c>
      <c r="AW640" s="9">
        <f t="shared" si="486"/>
        <v>-7.25</v>
      </c>
      <c r="AX640" s="9">
        <f t="shared" si="487"/>
        <v>-4.125</v>
      </c>
      <c r="AY640" s="9">
        <f t="shared" si="488"/>
        <v>-5.875</v>
      </c>
      <c r="AZ640" s="9">
        <f t="shared" si="489"/>
        <v>-6.375</v>
      </c>
      <c r="BA640" s="9">
        <f t="shared" si="490"/>
        <v>-10.125</v>
      </c>
      <c r="BB640" s="9">
        <f t="shared" si="491"/>
        <v>-4.125</v>
      </c>
      <c r="BC640" s="9">
        <f t="shared" si="492"/>
        <v>-3.375</v>
      </c>
      <c r="BD640" s="9">
        <f t="shared" si="493"/>
        <v>-5.75</v>
      </c>
      <c r="BE640" s="9">
        <f t="shared" si="494"/>
        <v>-6.375</v>
      </c>
      <c r="BF640" s="9">
        <f t="shared" si="495"/>
        <v>-6.875</v>
      </c>
      <c r="BG640" s="9">
        <f t="shared" si="496"/>
        <v>-2.5</v>
      </c>
      <c r="BH640" s="9">
        <f t="shared" si="497"/>
        <v>-6.125</v>
      </c>
      <c r="BI640" s="9">
        <f t="shared" si="498"/>
        <v>-6.375</v>
      </c>
      <c r="BJ640" s="9">
        <f t="shared" si="499"/>
        <v>-10.25</v>
      </c>
    </row>
    <row r="641" spans="1:62" x14ac:dyDescent="0.2">
      <c r="A641" s="9">
        <f>data!M642-data!M641</f>
        <v>-0.51789999999999736</v>
      </c>
      <c r="B641" s="9">
        <f>data!C642-data!C641</f>
        <v>3.0900000000000016</v>
      </c>
      <c r="C641" s="9">
        <f>data!D642-data!D641</f>
        <v>0.40500000000000114</v>
      </c>
      <c r="D641" s="10">
        <f>data!B642-data!B641</f>
        <v>0.1875</v>
      </c>
      <c r="E641" s="9">
        <f>data!E641-data!G641</f>
        <v>2.3262</v>
      </c>
      <c r="F641" s="9">
        <f>(data!E641-data!F641)-(data!G641-data!H641)</f>
        <v>0.82600000000000007</v>
      </c>
      <c r="G641" s="9">
        <f t="shared" si="450"/>
        <v>-9.1800000000000104E-2</v>
      </c>
      <c r="H641" s="9">
        <f t="shared" si="451"/>
        <v>-2.6900000000000035E-2</v>
      </c>
      <c r="I641" s="9">
        <f>IF(data!M642&gt; 111.81,1,0)</f>
        <v>1</v>
      </c>
      <c r="J641" s="9">
        <f t="shared" si="452"/>
        <v>0</v>
      </c>
      <c r="K641" s="9">
        <f t="shared" si="453"/>
        <v>-0.51789999999999736</v>
      </c>
      <c r="L641" s="9">
        <f t="shared" si="454"/>
        <v>0</v>
      </c>
      <c r="M641" s="9">
        <f>data!J641</f>
        <v>-46.4375</v>
      </c>
      <c r="N641" s="9">
        <f>data!I641</f>
        <v>-71</v>
      </c>
      <c r="O641" s="9">
        <f>data!L641</f>
        <v>-70</v>
      </c>
      <c r="P641" s="9">
        <f>data!K641</f>
        <v>-55.75</v>
      </c>
      <c r="Q641" s="9">
        <f>data!R641</f>
        <v>-46.75</v>
      </c>
      <c r="R641" s="9">
        <f t="shared" si="455"/>
        <v>-1.8125</v>
      </c>
      <c r="S641" s="9">
        <f t="shared" si="456"/>
        <v>-2.5625</v>
      </c>
      <c r="T641" s="9">
        <f t="shared" si="457"/>
        <v>-2.1875</v>
      </c>
      <c r="U641" s="9">
        <f t="shared" si="458"/>
        <v>-3.0625</v>
      </c>
      <c r="V641" s="9">
        <f t="shared" si="459"/>
        <v>-0.8125</v>
      </c>
      <c r="W641" s="9">
        <f t="shared" si="460"/>
        <v>-1.0625</v>
      </c>
      <c r="X641" s="9">
        <f t="shared" si="461"/>
        <v>-2.4375</v>
      </c>
      <c r="Y641" s="9">
        <f t="shared" si="462"/>
        <v>-0.5625</v>
      </c>
      <c r="Z641" s="9">
        <f t="shared" si="463"/>
        <v>0.1875</v>
      </c>
      <c r="AA641" s="9">
        <f t="shared" si="464"/>
        <v>-0.8125</v>
      </c>
      <c r="AB641" s="9">
        <f t="shared" si="465"/>
        <v>-1.875</v>
      </c>
      <c r="AC641" s="9">
        <f t="shared" si="466"/>
        <v>-2.6875</v>
      </c>
      <c r="AD641" s="9">
        <f t="shared" si="467"/>
        <v>-3.25</v>
      </c>
      <c r="AE641" s="9">
        <f t="shared" si="468"/>
        <v>1.4375</v>
      </c>
      <c r="AF641" s="9">
        <f t="shared" si="469"/>
        <v>-0.875</v>
      </c>
      <c r="AG641" s="9">
        <f t="shared" si="470"/>
        <v>0</v>
      </c>
      <c r="AH641" s="9">
        <f t="shared" si="471"/>
        <v>0</v>
      </c>
      <c r="AI641" s="9">
        <f t="shared" si="472"/>
        <v>3.8125</v>
      </c>
      <c r="AJ641" s="9">
        <f t="shared" si="473"/>
        <v>-2</v>
      </c>
      <c r="AK641" s="9">
        <f t="shared" si="474"/>
        <v>-3.5</v>
      </c>
      <c r="AL641" s="9">
        <f t="shared" si="475"/>
        <v>-4.5</v>
      </c>
      <c r="AM641" s="9">
        <f t="shared" si="476"/>
        <v>-5.25</v>
      </c>
      <c r="AN641" s="9">
        <f t="shared" si="477"/>
        <v>-1.3125</v>
      </c>
      <c r="AO641" s="9">
        <f t="shared" si="478"/>
        <v>-3.25</v>
      </c>
      <c r="AP641" s="9">
        <f t="shared" si="479"/>
        <v>-3</v>
      </c>
      <c r="AQ641" s="9">
        <f t="shared" si="480"/>
        <v>-5.25</v>
      </c>
      <c r="AR641" s="9">
        <f t="shared" si="481"/>
        <v>-1.5</v>
      </c>
      <c r="AS641" s="9">
        <f t="shared" si="482"/>
        <v>-0.25</v>
      </c>
      <c r="AT641" s="9">
        <f t="shared" si="483"/>
        <v>-2.5</v>
      </c>
      <c r="AU641" s="9">
        <f t="shared" si="484"/>
        <v>-2.75</v>
      </c>
      <c r="AV641" s="9">
        <f t="shared" si="485"/>
        <v>-3.375</v>
      </c>
      <c r="AW641" s="9">
        <f t="shared" si="486"/>
        <v>-0.25</v>
      </c>
      <c r="AX641" s="9">
        <f t="shared" si="487"/>
        <v>-2</v>
      </c>
      <c r="AY641" s="9">
        <f t="shared" si="488"/>
        <v>-2.5</v>
      </c>
      <c r="AZ641" s="9">
        <f t="shared" si="489"/>
        <v>-6.25</v>
      </c>
      <c r="BA641" s="9">
        <f t="shared" si="490"/>
        <v>-4.25</v>
      </c>
      <c r="BB641" s="9">
        <f t="shared" si="491"/>
        <v>0.75</v>
      </c>
      <c r="BC641" s="9">
        <f t="shared" si="492"/>
        <v>-1.625</v>
      </c>
      <c r="BD641" s="9">
        <f t="shared" si="493"/>
        <v>-2.25</v>
      </c>
      <c r="BE641" s="9">
        <f t="shared" si="494"/>
        <v>-2.75</v>
      </c>
      <c r="BF641" s="9">
        <f t="shared" si="495"/>
        <v>1.625</v>
      </c>
      <c r="BG641" s="9">
        <f t="shared" si="496"/>
        <v>-2</v>
      </c>
      <c r="BH641" s="9">
        <f t="shared" si="497"/>
        <v>-2.25</v>
      </c>
      <c r="BI641" s="9">
        <f t="shared" si="498"/>
        <v>-6.125</v>
      </c>
      <c r="BJ641" s="9">
        <f t="shared" si="499"/>
        <v>-4.75</v>
      </c>
    </row>
    <row r="642" spans="1:62" x14ac:dyDescent="0.2">
      <c r="A642" s="9">
        <f>data!M643-data!M642</f>
        <v>0.27599999999999625</v>
      </c>
      <c r="B642" s="9">
        <f>data!C643-data!C642</f>
        <v>-1.33</v>
      </c>
      <c r="C642" s="9">
        <f>data!D643-data!D642</f>
        <v>-0.36000000000000121</v>
      </c>
      <c r="D642" s="10">
        <f>data!B643-data!B642</f>
        <v>-1.4999999999999902E-2</v>
      </c>
      <c r="E642" s="9">
        <f>data!E642-data!G642</f>
        <v>2.2343999999999999</v>
      </c>
      <c r="F642" s="9">
        <f>(data!E642-data!F642)-(data!G642-data!H642)</f>
        <v>0.79910000000000003</v>
      </c>
      <c r="G642" s="9">
        <f t="shared" si="450"/>
        <v>2.6000000000001577E-3</v>
      </c>
      <c r="H642" s="9">
        <f t="shared" si="451"/>
        <v>3.2700000000000284E-2</v>
      </c>
      <c r="I642" s="9">
        <f>IF(data!M643&gt; 111.81,1,0)</f>
        <v>1</v>
      </c>
      <c r="J642" s="9">
        <f t="shared" si="452"/>
        <v>0</v>
      </c>
      <c r="K642" s="9">
        <f t="shared" si="453"/>
        <v>0.27599999999999625</v>
      </c>
      <c r="L642" s="9">
        <f t="shared" si="454"/>
        <v>0</v>
      </c>
      <c r="M642" s="9">
        <f>data!J642</f>
        <v>-48.25</v>
      </c>
      <c r="N642" s="9">
        <f>data!I642</f>
        <v>-71.8125</v>
      </c>
      <c r="O642" s="9">
        <f>data!L642</f>
        <v>-72</v>
      </c>
      <c r="P642" s="9">
        <f>data!K642</f>
        <v>-56</v>
      </c>
      <c r="Q642" s="9">
        <f>data!R642</f>
        <v>-46</v>
      </c>
      <c r="R642" s="9">
        <f t="shared" si="455"/>
        <v>-0.75</v>
      </c>
      <c r="S642" s="9">
        <f t="shared" si="456"/>
        <v>-0.375</v>
      </c>
      <c r="T642" s="9">
        <f t="shared" si="457"/>
        <v>-1.25</v>
      </c>
      <c r="U642" s="9">
        <f t="shared" si="458"/>
        <v>1</v>
      </c>
      <c r="V642" s="9">
        <f t="shared" si="459"/>
        <v>0.75</v>
      </c>
      <c r="W642" s="9">
        <f t="shared" si="460"/>
        <v>-0.625</v>
      </c>
      <c r="X642" s="9">
        <f t="shared" si="461"/>
        <v>1.25</v>
      </c>
      <c r="Y642" s="9">
        <f t="shared" si="462"/>
        <v>2</v>
      </c>
      <c r="Z642" s="9">
        <f t="shared" si="463"/>
        <v>5.75</v>
      </c>
      <c r="AA642" s="9">
        <f t="shared" si="464"/>
        <v>-1.0625</v>
      </c>
      <c r="AB642" s="9">
        <f t="shared" si="465"/>
        <v>-1.875</v>
      </c>
      <c r="AC642" s="9">
        <f t="shared" si="466"/>
        <v>-2.4375</v>
      </c>
      <c r="AD642" s="9">
        <f t="shared" si="467"/>
        <v>2.25</v>
      </c>
      <c r="AE642" s="9">
        <f t="shared" si="468"/>
        <v>-6.25E-2</v>
      </c>
      <c r="AF642" s="9">
        <f t="shared" si="469"/>
        <v>0.8125</v>
      </c>
      <c r="AG642" s="9">
        <f t="shared" si="470"/>
        <v>0.8125</v>
      </c>
      <c r="AH642" s="9">
        <f t="shared" si="471"/>
        <v>4.625</v>
      </c>
      <c r="AI642" s="9">
        <f t="shared" si="472"/>
        <v>12.8125</v>
      </c>
      <c r="AJ642" s="9">
        <f t="shared" si="473"/>
        <v>-1.5</v>
      </c>
      <c r="AK642" s="9">
        <f t="shared" si="474"/>
        <v>-2.5</v>
      </c>
      <c r="AL642" s="9">
        <f t="shared" si="475"/>
        <v>-3.25</v>
      </c>
      <c r="AM642" s="9">
        <f t="shared" si="476"/>
        <v>0.6875</v>
      </c>
      <c r="AN642" s="9">
        <f t="shared" si="477"/>
        <v>-1.25</v>
      </c>
      <c r="AO642" s="9">
        <f t="shared" si="478"/>
        <v>-1</v>
      </c>
      <c r="AP642" s="9">
        <f t="shared" si="479"/>
        <v>-3.25</v>
      </c>
      <c r="AQ642" s="9">
        <f t="shared" si="480"/>
        <v>0.5</v>
      </c>
      <c r="AR642" s="9">
        <f t="shared" si="481"/>
        <v>6.75</v>
      </c>
      <c r="AS642" s="9">
        <f t="shared" si="482"/>
        <v>-2.25</v>
      </c>
      <c r="AT642" s="9">
        <f t="shared" si="483"/>
        <v>-2.5</v>
      </c>
      <c r="AU642" s="9">
        <f t="shared" si="484"/>
        <v>-3.125</v>
      </c>
      <c r="AV642" s="9">
        <f t="shared" si="485"/>
        <v>0</v>
      </c>
      <c r="AW642" s="9">
        <f t="shared" si="486"/>
        <v>-1.75</v>
      </c>
      <c r="AX642" s="9">
        <f t="shared" si="487"/>
        <v>-2.25</v>
      </c>
      <c r="AY642" s="9">
        <f t="shared" si="488"/>
        <v>-6</v>
      </c>
      <c r="AZ642" s="9">
        <f t="shared" si="489"/>
        <v>-4</v>
      </c>
      <c r="BA642" s="9">
        <f t="shared" si="490"/>
        <v>1.875</v>
      </c>
      <c r="BB642" s="9">
        <f t="shared" si="491"/>
        <v>-2.375</v>
      </c>
      <c r="BC642" s="9">
        <f t="shared" si="492"/>
        <v>-3</v>
      </c>
      <c r="BD642" s="9">
        <f t="shared" si="493"/>
        <v>-3.5</v>
      </c>
      <c r="BE642" s="9">
        <f t="shared" si="494"/>
        <v>0.875</v>
      </c>
      <c r="BF642" s="9">
        <f t="shared" si="495"/>
        <v>-2.75</v>
      </c>
      <c r="BG642" s="9">
        <f t="shared" si="496"/>
        <v>-3</v>
      </c>
      <c r="BH642" s="9">
        <f t="shared" si="497"/>
        <v>-6.875</v>
      </c>
      <c r="BI642" s="9">
        <f t="shared" si="498"/>
        <v>-5.5</v>
      </c>
      <c r="BJ642" s="9">
        <f t="shared" si="499"/>
        <v>-0.625</v>
      </c>
    </row>
    <row r="643" spans="1:62" x14ac:dyDescent="0.2">
      <c r="A643" s="9">
        <f>data!M644-data!M643</f>
        <v>-2.5099999999994793E-2</v>
      </c>
      <c r="B643" s="9">
        <f>data!C644-data!C643</f>
        <v>-3.8100000000000005</v>
      </c>
      <c r="C643" s="9">
        <f>data!D644-data!D643</f>
        <v>-0.77499999999999858</v>
      </c>
      <c r="D643" s="10">
        <f>data!B644-data!B643</f>
        <v>0.125</v>
      </c>
      <c r="E643" s="9">
        <f>data!E643-data!G643</f>
        <v>2.2370000000000001</v>
      </c>
      <c r="F643" s="9">
        <f>(data!E643-data!F643)-(data!G643-data!H643)</f>
        <v>0.83180000000000032</v>
      </c>
      <c r="G643" s="9">
        <f t="shared" ref="G643:G706" si="500">E644-E643</f>
        <v>3.3199999999999896E-2</v>
      </c>
      <c r="H643" s="9">
        <f t="shared" ref="H643:H706" si="501">F644-F643</f>
        <v>-3.7500000000000533E-2</v>
      </c>
      <c r="I643" s="9">
        <f>IF(data!M644&gt; 111.81,1,0)</f>
        <v>1</v>
      </c>
      <c r="J643" s="9">
        <f t="shared" ref="J643:J706" si="502">1-I643</f>
        <v>0</v>
      </c>
      <c r="K643" s="9">
        <f t="shared" ref="K643:K706" si="503">A643*I643</f>
        <v>-2.5099999999994793E-2</v>
      </c>
      <c r="L643" s="9">
        <f t="shared" ref="L643:L706" si="504">A643*J643</f>
        <v>0</v>
      </c>
      <c r="M643" s="9">
        <f>data!J643</f>
        <v>-49</v>
      </c>
      <c r="N643" s="9">
        <f>data!I643</f>
        <v>-72.875</v>
      </c>
      <c r="O643" s="9">
        <f>data!L643</f>
        <v>-73.5</v>
      </c>
      <c r="P643" s="9">
        <f>data!K643</f>
        <v>-58.25</v>
      </c>
      <c r="Q643" s="9">
        <f>data!R643</f>
        <v>-48.375</v>
      </c>
      <c r="R643" s="9">
        <f t="shared" ref="R643:R706" si="505">M644-M643</f>
        <v>0.375</v>
      </c>
      <c r="S643" s="9">
        <f t="shared" ref="S643:S706" si="506">M645-M643</f>
        <v>-0.5</v>
      </c>
      <c r="T643" s="9">
        <f t="shared" ref="T643:T706" si="507">M646-M643</f>
        <v>1.75</v>
      </c>
      <c r="U643" s="9">
        <f t="shared" ref="U643:U706" si="508">M647-M643</f>
        <v>1.5</v>
      </c>
      <c r="V643" s="9">
        <f t="shared" ref="V643:V706" si="509">M648-M643</f>
        <v>0.125</v>
      </c>
      <c r="W643" s="9">
        <f t="shared" ref="W643:W706" si="510">M649-M643</f>
        <v>2</v>
      </c>
      <c r="X643" s="9">
        <f t="shared" ref="X643:X706" si="511">M650-M643</f>
        <v>2.75</v>
      </c>
      <c r="Y643" s="9">
        <f t="shared" ref="Y643:Y706" si="512">M651-M643</f>
        <v>6.5</v>
      </c>
      <c r="Z643" s="9">
        <f t="shared" ref="Z643:Z706" si="513">M652-M643</f>
        <v>9</v>
      </c>
      <c r="AA643" s="9">
        <f t="shared" ref="AA643:AA706" si="514">N644-N643</f>
        <v>-0.8125</v>
      </c>
      <c r="AB643" s="9">
        <f t="shared" ref="AB643:AB706" si="515">N645-N643</f>
        <v>-1.375</v>
      </c>
      <c r="AC643" s="9">
        <f t="shared" ref="AC643:AC706" si="516">N646-N643</f>
        <v>3.3125</v>
      </c>
      <c r="AD643" s="9">
        <f t="shared" ref="AD643:AD706" si="517">N647-N643</f>
        <v>1</v>
      </c>
      <c r="AE643" s="9">
        <f t="shared" ref="AE643:AE706" si="518">N648-N643</f>
        <v>1.875</v>
      </c>
      <c r="AF643" s="9">
        <f t="shared" ref="AF643:AF706" si="519">N649-N643</f>
        <v>1.875</v>
      </c>
      <c r="AG643" s="9">
        <f t="shared" ref="AG643:AG706" si="520">N650-N643</f>
        <v>5.6875</v>
      </c>
      <c r="AH643" s="9">
        <f t="shared" ref="AH643:AH706" si="521">N651-N643</f>
        <v>13.875</v>
      </c>
      <c r="AI643" s="9">
        <f t="shared" ref="AI643:AI706" si="522">N652-N643</f>
        <v>13.8125</v>
      </c>
      <c r="AJ643" s="9">
        <f t="shared" ref="AJ643:AJ706" si="523">O644-O643</f>
        <v>-1</v>
      </c>
      <c r="AK643" s="9">
        <f t="shared" ref="AK643:AK706" si="524">O645-O643</f>
        <v>-1.75</v>
      </c>
      <c r="AL643" s="9">
        <f t="shared" ref="AL643:AL706" si="525">O646-O643</f>
        <v>2.1875</v>
      </c>
      <c r="AM643" s="9">
        <f t="shared" ref="AM643:AM706" si="526">O647-O643</f>
        <v>0.25</v>
      </c>
      <c r="AN643" s="9">
        <f t="shared" ref="AN643:AN706" si="527">O648-O643</f>
        <v>0.5</v>
      </c>
      <c r="AO643" s="9">
        <f t="shared" ref="AO643:AO706" si="528">O649-O643</f>
        <v>-1.75</v>
      </c>
      <c r="AP643" s="9">
        <f t="shared" ref="AP643:AP706" si="529">O650-O643</f>
        <v>2</v>
      </c>
      <c r="AQ643" s="9">
        <f t="shared" ref="AQ643:AQ706" si="530">O651-O643</f>
        <v>8.25</v>
      </c>
      <c r="AR643" s="9">
        <f t="shared" ref="AR643:AR706" si="531">O652-O643</f>
        <v>11.5</v>
      </c>
      <c r="AS643" s="9">
        <f t="shared" ref="AS643:AS706" si="532">P644 - P643</f>
        <v>-0.25</v>
      </c>
      <c r="AT643" s="9">
        <f t="shared" ref="AT643:AT706" si="533">P645 - P643</f>
        <v>-0.875</v>
      </c>
      <c r="AU643" s="9">
        <f t="shared" ref="AU643:AU706" si="534">P646 - P643</f>
        <v>2.25</v>
      </c>
      <c r="AV643" s="9">
        <f t="shared" ref="AV643:AV706" si="535">P647 - P643</f>
        <v>0.5</v>
      </c>
      <c r="AW643" s="9">
        <f t="shared" ref="AW643:AW706" si="536">P648 - P643</f>
        <v>0</v>
      </c>
      <c r="AX643" s="9">
        <f t="shared" ref="AX643:AX706" si="537">P649 - P643</f>
        <v>-3.75</v>
      </c>
      <c r="AY643" s="9">
        <f t="shared" ref="AY643:AY706" si="538">P650 - P643</f>
        <v>-1.75</v>
      </c>
      <c r="AZ643" s="9">
        <f t="shared" ref="AZ643:AZ706" si="539">P651 - P643</f>
        <v>4.125</v>
      </c>
      <c r="BA643" s="9">
        <f t="shared" ref="BA643:BA706" si="540">P652 - P643</f>
        <v>5.75</v>
      </c>
      <c r="BB643" s="9">
        <f t="shared" ref="BB643:BB706" si="541">Q644 - Q643</f>
        <v>-0.625</v>
      </c>
      <c r="BC643" s="9">
        <f t="shared" ref="BC643:BC706" si="542">Q645 - Q643</f>
        <v>-1.125</v>
      </c>
      <c r="BD643" s="9">
        <f t="shared" ref="BD643:BD706" si="543">Q646 - Q643</f>
        <v>3.25</v>
      </c>
      <c r="BE643" s="9">
        <f t="shared" ref="BE643:BE706" si="544">Q647 - Q643</f>
        <v>-0.375</v>
      </c>
      <c r="BF643" s="9">
        <f t="shared" ref="BF643:BF706" si="545">Q648 - Q643</f>
        <v>-0.625</v>
      </c>
      <c r="BG643" s="9">
        <f t="shared" ref="BG643:BG706" si="546">Q649 - Q643</f>
        <v>-4.5</v>
      </c>
      <c r="BH643" s="9">
        <f t="shared" ref="BH643:BH706" si="547">Q650 - Q643</f>
        <v>-3.125</v>
      </c>
      <c r="BI643" s="9">
        <f t="shared" ref="BI643:BI706" si="548">Q651 - Q643</f>
        <v>1.75</v>
      </c>
      <c r="BJ643" s="9">
        <f t="shared" ref="BJ643:BJ706" si="549">Q652 - Q643</f>
        <v>2.875</v>
      </c>
    </row>
    <row r="644" spans="1:62" x14ac:dyDescent="0.2">
      <c r="A644" s="9">
        <f>data!M645-data!M644</f>
        <v>-1.5200000000007208E-2</v>
      </c>
      <c r="B644" s="9">
        <f>data!C645-data!C644</f>
        <v>-0.25</v>
      </c>
      <c r="C644" s="9">
        <f>data!D645-data!D644</f>
        <v>-0.22000000000000064</v>
      </c>
      <c r="D644" s="10">
        <f>data!B645-data!B644</f>
        <v>-7.0000000000000062E-2</v>
      </c>
      <c r="E644" s="9">
        <f>data!E644-data!G644</f>
        <v>2.2702</v>
      </c>
      <c r="F644" s="9">
        <f>(data!E644-data!F644)-(data!G644-data!H644)</f>
        <v>0.79429999999999978</v>
      </c>
      <c r="G644" s="9">
        <f t="shared" si="500"/>
        <v>6.25E-2</v>
      </c>
      <c r="H644" s="9">
        <f t="shared" si="501"/>
        <v>2.320000000000022E-2</v>
      </c>
      <c r="I644" s="9">
        <f>IF(data!M645&gt; 111.81,1,0)</f>
        <v>1</v>
      </c>
      <c r="J644" s="9">
        <f t="shared" si="502"/>
        <v>0</v>
      </c>
      <c r="K644" s="9">
        <f t="shared" si="503"/>
        <v>-1.5200000000007208E-2</v>
      </c>
      <c r="L644" s="9">
        <f t="shared" si="504"/>
        <v>0</v>
      </c>
      <c r="M644" s="9">
        <f>data!J644</f>
        <v>-48.625</v>
      </c>
      <c r="N644" s="9">
        <f>data!I644</f>
        <v>-73.6875</v>
      </c>
      <c r="O644" s="9">
        <f>data!L644</f>
        <v>-74.5</v>
      </c>
      <c r="P644" s="9">
        <f>data!K644</f>
        <v>-58.5</v>
      </c>
      <c r="Q644" s="9">
        <f>data!R644</f>
        <v>-49</v>
      </c>
      <c r="R644" s="9">
        <f t="shared" si="505"/>
        <v>-0.875</v>
      </c>
      <c r="S644" s="9">
        <f t="shared" si="506"/>
        <v>1.375</v>
      </c>
      <c r="T644" s="9">
        <f t="shared" si="507"/>
        <v>1.125</v>
      </c>
      <c r="U644" s="9">
        <f t="shared" si="508"/>
        <v>-0.25</v>
      </c>
      <c r="V644" s="9">
        <f t="shared" si="509"/>
        <v>1.625</v>
      </c>
      <c r="W644" s="9">
        <f t="shared" si="510"/>
        <v>2.375</v>
      </c>
      <c r="X644" s="9">
        <f t="shared" si="511"/>
        <v>6.125</v>
      </c>
      <c r="Y644" s="9">
        <f t="shared" si="512"/>
        <v>8.625</v>
      </c>
      <c r="Z644" s="9">
        <f t="shared" si="513"/>
        <v>8.375</v>
      </c>
      <c r="AA644" s="9">
        <f t="shared" si="514"/>
        <v>-0.5625</v>
      </c>
      <c r="AB644" s="9">
        <f t="shared" si="515"/>
        <v>4.125</v>
      </c>
      <c r="AC644" s="9">
        <f t="shared" si="516"/>
        <v>1.8125</v>
      </c>
      <c r="AD644" s="9">
        <f t="shared" si="517"/>
        <v>2.6875</v>
      </c>
      <c r="AE644" s="9">
        <f t="shared" si="518"/>
        <v>2.6875</v>
      </c>
      <c r="AF644" s="9">
        <f t="shared" si="519"/>
        <v>6.5</v>
      </c>
      <c r="AG644" s="9">
        <f t="shared" si="520"/>
        <v>14.6875</v>
      </c>
      <c r="AH644" s="9">
        <f t="shared" si="521"/>
        <v>14.625</v>
      </c>
      <c r="AI644" s="9">
        <f t="shared" si="522"/>
        <v>15.875</v>
      </c>
      <c r="AJ644" s="9">
        <f t="shared" si="523"/>
        <v>-0.75</v>
      </c>
      <c r="AK644" s="9">
        <f t="shared" si="524"/>
        <v>3.1875</v>
      </c>
      <c r="AL644" s="9">
        <f t="shared" si="525"/>
        <v>1.25</v>
      </c>
      <c r="AM644" s="9">
        <f t="shared" si="526"/>
        <v>1.5</v>
      </c>
      <c r="AN644" s="9">
        <f t="shared" si="527"/>
        <v>-0.75</v>
      </c>
      <c r="AO644" s="9">
        <f t="shared" si="528"/>
        <v>3</v>
      </c>
      <c r="AP644" s="9">
        <f t="shared" si="529"/>
        <v>9.25</v>
      </c>
      <c r="AQ644" s="9">
        <f t="shared" si="530"/>
        <v>12.5</v>
      </c>
      <c r="AR644" s="9">
        <f t="shared" si="531"/>
        <v>13.75</v>
      </c>
      <c r="AS644" s="9">
        <f t="shared" si="532"/>
        <v>-0.625</v>
      </c>
      <c r="AT644" s="9">
        <f t="shared" si="533"/>
        <v>2.5</v>
      </c>
      <c r="AU644" s="9">
        <f t="shared" si="534"/>
        <v>0.75</v>
      </c>
      <c r="AV644" s="9">
        <f t="shared" si="535"/>
        <v>0.25</v>
      </c>
      <c r="AW644" s="9">
        <f t="shared" si="536"/>
        <v>-3.5</v>
      </c>
      <c r="AX644" s="9">
        <f t="shared" si="537"/>
        <v>-1.5</v>
      </c>
      <c r="AY644" s="9">
        <f t="shared" si="538"/>
        <v>4.375</v>
      </c>
      <c r="AZ644" s="9">
        <f t="shared" si="539"/>
        <v>6</v>
      </c>
      <c r="BA644" s="9">
        <f t="shared" si="540"/>
        <v>4.5</v>
      </c>
      <c r="BB644" s="9">
        <f t="shared" si="541"/>
        <v>-0.5</v>
      </c>
      <c r="BC644" s="9">
        <f t="shared" si="542"/>
        <v>3.875</v>
      </c>
      <c r="BD644" s="9">
        <f t="shared" si="543"/>
        <v>0.25</v>
      </c>
      <c r="BE644" s="9">
        <f t="shared" si="544"/>
        <v>0</v>
      </c>
      <c r="BF644" s="9">
        <f t="shared" si="545"/>
        <v>-3.875</v>
      </c>
      <c r="BG644" s="9">
        <f t="shared" si="546"/>
        <v>-2.5</v>
      </c>
      <c r="BH644" s="9">
        <f t="shared" si="547"/>
        <v>2.375</v>
      </c>
      <c r="BI644" s="9">
        <f t="shared" si="548"/>
        <v>3.5</v>
      </c>
      <c r="BJ644" s="9">
        <f t="shared" si="549"/>
        <v>2.5</v>
      </c>
    </row>
    <row r="645" spans="1:62" x14ac:dyDescent="0.2">
      <c r="A645" s="9">
        <f>data!M646-data!M645</f>
        <v>-2.4599999999992406E-2</v>
      </c>
      <c r="B645" s="9">
        <f>data!C646-data!C645</f>
        <v>-0.16999999999999993</v>
      </c>
      <c r="C645" s="9">
        <f>data!D646-data!D645</f>
        <v>-0.36999999999999922</v>
      </c>
      <c r="D645" s="10">
        <f>data!B646-data!B645</f>
        <v>0.17500000000000004</v>
      </c>
      <c r="E645" s="9">
        <f>data!E645-data!G645</f>
        <v>2.3327</v>
      </c>
      <c r="F645" s="9">
        <f>(data!E645-data!F645)-(data!G645-data!H645)</f>
        <v>0.8175</v>
      </c>
      <c r="G645" s="9">
        <f t="shared" si="500"/>
        <v>-4.6000000000000263E-2</v>
      </c>
      <c r="H645" s="9">
        <f t="shared" si="501"/>
        <v>-2.2000000000000908E-3</v>
      </c>
      <c r="I645" s="9">
        <f>IF(data!M646&gt; 111.81,1,0)</f>
        <v>1</v>
      </c>
      <c r="J645" s="9">
        <f t="shared" si="502"/>
        <v>0</v>
      </c>
      <c r="K645" s="9">
        <f t="shared" si="503"/>
        <v>-2.4599999999992406E-2</v>
      </c>
      <c r="L645" s="9">
        <f t="shared" si="504"/>
        <v>0</v>
      </c>
      <c r="M645" s="9">
        <f>data!J645</f>
        <v>-49.5</v>
      </c>
      <c r="N645" s="9">
        <f>data!I645</f>
        <v>-74.25</v>
      </c>
      <c r="O645" s="9">
        <f>data!L645</f>
        <v>-75.25</v>
      </c>
      <c r="P645" s="9">
        <f>data!K645</f>
        <v>-59.125</v>
      </c>
      <c r="Q645" s="9">
        <f>data!R645</f>
        <v>-49.5</v>
      </c>
      <c r="R645" s="9">
        <f t="shared" si="505"/>
        <v>2.25</v>
      </c>
      <c r="S645" s="9">
        <f t="shared" si="506"/>
        <v>2</v>
      </c>
      <c r="T645" s="9">
        <f t="shared" si="507"/>
        <v>0.625</v>
      </c>
      <c r="U645" s="9">
        <f t="shared" si="508"/>
        <v>2.5</v>
      </c>
      <c r="V645" s="9">
        <f t="shared" si="509"/>
        <v>3.25</v>
      </c>
      <c r="W645" s="9">
        <f t="shared" si="510"/>
        <v>7</v>
      </c>
      <c r="X645" s="9">
        <f t="shared" si="511"/>
        <v>9.5</v>
      </c>
      <c r="Y645" s="9">
        <f t="shared" si="512"/>
        <v>9.25</v>
      </c>
      <c r="Z645" s="9">
        <f t="shared" si="513"/>
        <v>8</v>
      </c>
      <c r="AA645" s="9">
        <f t="shared" si="514"/>
        <v>4.6875</v>
      </c>
      <c r="AB645" s="9">
        <f t="shared" si="515"/>
        <v>2.375</v>
      </c>
      <c r="AC645" s="9">
        <f t="shared" si="516"/>
        <v>3.25</v>
      </c>
      <c r="AD645" s="9">
        <f t="shared" si="517"/>
        <v>3.25</v>
      </c>
      <c r="AE645" s="9">
        <f t="shared" si="518"/>
        <v>7.0625</v>
      </c>
      <c r="AF645" s="9">
        <f t="shared" si="519"/>
        <v>15.25</v>
      </c>
      <c r="AG645" s="9">
        <f t="shared" si="520"/>
        <v>15.1875</v>
      </c>
      <c r="AH645" s="9">
        <f t="shared" si="521"/>
        <v>16.4375</v>
      </c>
      <c r="AI645" s="9">
        <f t="shared" si="522"/>
        <v>13</v>
      </c>
      <c r="AJ645" s="9">
        <f t="shared" si="523"/>
        <v>3.9375</v>
      </c>
      <c r="AK645" s="9">
        <f t="shared" si="524"/>
        <v>2</v>
      </c>
      <c r="AL645" s="9">
        <f t="shared" si="525"/>
        <v>2.25</v>
      </c>
      <c r="AM645" s="9">
        <f t="shared" si="526"/>
        <v>0</v>
      </c>
      <c r="AN645" s="9">
        <f t="shared" si="527"/>
        <v>3.75</v>
      </c>
      <c r="AO645" s="9">
        <f t="shared" si="528"/>
        <v>10</v>
      </c>
      <c r="AP645" s="9">
        <f t="shared" si="529"/>
        <v>13.25</v>
      </c>
      <c r="AQ645" s="9">
        <f t="shared" si="530"/>
        <v>14.5</v>
      </c>
      <c r="AR645" s="9">
        <f t="shared" si="531"/>
        <v>11.75</v>
      </c>
      <c r="AS645" s="9">
        <f t="shared" si="532"/>
        <v>3.125</v>
      </c>
      <c r="AT645" s="9">
        <f t="shared" si="533"/>
        <v>1.375</v>
      </c>
      <c r="AU645" s="9">
        <f t="shared" si="534"/>
        <v>0.875</v>
      </c>
      <c r="AV645" s="9">
        <f t="shared" si="535"/>
        <v>-2.875</v>
      </c>
      <c r="AW645" s="9">
        <f t="shared" si="536"/>
        <v>-0.875</v>
      </c>
      <c r="AX645" s="9">
        <f t="shared" si="537"/>
        <v>5</v>
      </c>
      <c r="AY645" s="9">
        <f t="shared" si="538"/>
        <v>6.625</v>
      </c>
      <c r="AZ645" s="9">
        <f t="shared" si="539"/>
        <v>5.125</v>
      </c>
      <c r="BA645" s="9">
        <f t="shared" si="540"/>
        <v>2.875</v>
      </c>
      <c r="BB645" s="9">
        <f t="shared" si="541"/>
        <v>4.375</v>
      </c>
      <c r="BC645" s="9">
        <f t="shared" si="542"/>
        <v>0.75</v>
      </c>
      <c r="BD645" s="9">
        <f t="shared" si="543"/>
        <v>0.5</v>
      </c>
      <c r="BE645" s="9">
        <f t="shared" si="544"/>
        <v>-3.375</v>
      </c>
      <c r="BF645" s="9">
        <f t="shared" si="545"/>
        <v>-2</v>
      </c>
      <c r="BG645" s="9">
        <f t="shared" si="546"/>
        <v>2.875</v>
      </c>
      <c r="BH645" s="9">
        <f t="shared" si="547"/>
        <v>4</v>
      </c>
      <c r="BI645" s="9">
        <f t="shared" si="548"/>
        <v>3</v>
      </c>
      <c r="BJ645" s="9">
        <f t="shared" si="549"/>
        <v>0.125</v>
      </c>
    </row>
    <row r="646" spans="1:62" x14ac:dyDescent="0.2">
      <c r="A646" s="9">
        <f>data!M647-data!M646</f>
        <v>-1.0477999999999952</v>
      </c>
      <c r="B646" s="9">
        <f>data!C647-data!C646</f>
        <v>1.6399999999999988</v>
      </c>
      <c r="C646" s="9">
        <f>data!D647-data!D646</f>
        <v>0.64499999999999957</v>
      </c>
      <c r="D646" s="10">
        <f>data!B647-data!B646</f>
        <v>9.000000000000008E-2</v>
      </c>
      <c r="E646" s="9">
        <f>data!E646-data!G646</f>
        <v>2.2866999999999997</v>
      </c>
      <c r="F646" s="9">
        <f>(data!E646-data!F646)-(data!G646-data!H646)</f>
        <v>0.81529999999999991</v>
      </c>
      <c r="G646" s="9">
        <f t="shared" si="500"/>
        <v>-8.7099999999999955E-2</v>
      </c>
      <c r="H646" s="9">
        <f t="shared" si="501"/>
        <v>-5.0000000000000044E-2</v>
      </c>
      <c r="I646" s="9">
        <f>IF(data!M647&gt; 111.81,1,0)</f>
        <v>1</v>
      </c>
      <c r="J646" s="9">
        <f t="shared" si="502"/>
        <v>0</v>
      </c>
      <c r="K646" s="9">
        <f t="shared" si="503"/>
        <v>-1.0477999999999952</v>
      </c>
      <c r="L646" s="9">
        <f t="shared" si="504"/>
        <v>0</v>
      </c>
      <c r="M646" s="9">
        <f>data!J646</f>
        <v>-47.25</v>
      </c>
      <c r="N646" s="9">
        <f>data!I646</f>
        <v>-69.5625</v>
      </c>
      <c r="O646" s="9">
        <f>data!L646</f>
        <v>-71.3125</v>
      </c>
      <c r="P646" s="9">
        <f>data!K646</f>
        <v>-56</v>
      </c>
      <c r="Q646" s="9">
        <f>data!R646</f>
        <v>-45.125</v>
      </c>
      <c r="R646" s="9">
        <f t="shared" si="505"/>
        <v>-0.25</v>
      </c>
      <c r="S646" s="9">
        <f t="shared" si="506"/>
        <v>-1.625</v>
      </c>
      <c r="T646" s="9">
        <f t="shared" si="507"/>
        <v>0.25</v>
      </c>
      <c r="U646" s="9">
        <f t="shared" si="508"/>
        <v>1</v>
      </c>
      <c r="V646" s="9">
        <f t="shared" si="509"/>
        <v>4.75</v>
      </c>
      <c r="W646" s="9">
        <f t="shared" si="510"/>
        <v>7.25</v>
      </c>
      <c r="X646" s="9">
        <f t="shared" si="511"/>
        <v>7</v>
      </c>
      <c r="Y646" s="9">
        <f t="shared" si="512"/>
        <v>5.75</v>
      </c>
      <c r="Z646" s="9">
        <f t="shared" si="513"/>
        <v>3.25</v>
      </c>
      <c r="AA646" s="9">
        <f t="shared" si="514"/>
        <v>-2.3125</v>
      </c>
      <c r="AB646" s="9">
        <f t="shared" si="515"/>
        <v>-1.4375</v>
      </c>
      <c r="AC646" s="9">
        <f t="shared" si="516"/>
        <v>-1.4375</v>
      </c>
      <c r="AD646" s="9">
        <f t="shared" si="517"/>
        <v>2.375</v>
      </c>
      <c r="AE646" s="9">
        <f t="shared" si="518"/>
        <v>10.5625</v>
      </c>
      <c r="AF646" s="9">
        <f t="shared" si="519"/>
        <v>10.5</v>
      </c>
      <c r="AG646" s="9">
        <f t="shared" si="520"/>
        <v>11.75</v>
      </c>
      <c r="AH646" s="9">
        <f t="shared" si="521"/>
        <v>8.3125</v>
      </c>
      <c r="AI646" s="9">
        <f t="shared" si="522"/>
        <v>6.0625</v>
      </c>
      <c r="AJ646" s="9">
        <f t="shared" si="523"/>
        <v>-1.9375</v>
      </c>
      <c r="AK646" s="9">
        <f t="shared" si="524"/>
        <v>-1.6875</v>
      </c>
      <c r="AL646" s="9">
        <f t="shared" si="525"/>
        <v>-3.9375</v>
      </c>
      <c r="AM646" s="9">
        <f t="shared" si="526"/>
        <v>-0.1875</v>
      </c>
      <c r="AN646" s="9">
        <f t="shared" si="527"/>
        <v>6.0625</v>
      </c>
      <c r="AO646" s="9">
        <f t="shared" si="528"/>
        <v>9.3125</v>
      </c>
      <c r="AP646" s="9">
        <f t="shared" si="529"/>
        <v>10.5625</v>
      </c>
      <c r="AQ646" s="9">
        <f t="shared" si="530"/>
        <v>7.8125</v>
      </c>
      <c r="AR646" s="9">
        <f t="shared" si="531"/>
        <v>7.0625</v>
      </c>
      <c r="AS646" s="9">
        <f t="shared" si="532"/>
        <v>-1.75</v>
      </c>
      <c r="AT646" s="9">
        <f t="shared" si="533"/>
        <v>-2.25</v>
      </c>
      <c r="AU646" s="9">
        <f t="shared" si="534"/>
        <v>-6</v>
      </c>
      <c r="AV646" s="9">
        <f t="shared" si="535"/>
        <v>-4</v>
      </c>
      <c r="AW646" s="9">
        <f t="shared" si="536"/>
        <v>1.875</v>
      </c>
      <c r="AX646" s="9">
        <f t="shared" si="537"/>
        <v>3.5</v>
      </c>
      <c r="AY646" s="9">
        <f t="shared" si="538"/>
        <v>2</v>
      </c>
      <c r="AZ646" s="9">
        <f t="shared" si="539"/>
        <v>-0.25</v>
      </c>
      <c r="BA646" s="9">
        <f t="shared" si="540"/>
        <v>-0.5</v>
      </c>
      <c r="BB646" s="9">
        <f t="shared" si="541"/>
        <v>-3.625</v>
      </c>
      <c r="BC646" s="9">
        <f t="shared" si="542"/>
        <v>-3.875</v>
      </c>
      <c r="BD646" s="9">
        <f t="shared" si="543"/>
        <v>-7.75</v>
      </c>
      <c r="BE646" s="9">
        <f t="shared" si="544"/>
        <v>-6.375</v>
      </c>
      <c r="BF646" s="9">
        <f t="shared" si="545"/>
        <v>-1.5</v>
      </c>
      <c r="BG646" s="9">
        <f t="shared" si="546"/>
        <v>-0.375</v>
      </c>
      <c r="BH646" s="9">
        <f t="shared" si="547"/>
        <v>-1.375</v>
      </c>
      <c r="BI646" s="9">
        <f t="shared" si="548"/>
        <v>-4.25</v>
      </c>
      <c r="BJ646" s="9">
        <f t="shared" si="549"/>
        <v>-3.9375</v>
      </c>
    </row>
    <row r="647" spans="1:62" x14ac:dyDescent="0.2">
      <c r="A647" s="9">
        <f>data!M648-data!M647</f>
        <v>-0.21620000000000061</v>
      </c>
      <c r="B647" s="9">
        <f>data!C648-data!C647</f>
        <v>-2.2299999999999986</v>
      </c>
      <c r="C647" s="9">
        <f>data!D648-data!D647</f>
        <v>-0.5600000000000005</v>
      </c>
      <c r="D647" s="10">
        <f>data!B648-data!B647</f>
        <v>8.9999999999999858E-2</v>
      </c>
      <c r="E647" s="9">
        <f>data!E647-data!G647</f>
        <v>2.1995999999999998</v>
      </c>
      <c r="F647" s="9">
        <f>(data!E647-data!F647)-(data!G647-data!H647)</f>
        <v>0.76529999999999987</v>
      </c>
      <c r="G647" s="9">
        <f t="shared" si="500"/>
        <v>9.900000000000464E-3</v>
      </c>
      <c r="H647" s="9">
        <f t="shared" si="501"/>
        <v>-1.7499999999999849E-2</v>
      </c>
      <c r="I647" s="9">
        <f>IF(data!M648&gt; 111.81,1,0)</f>
        <v>1</v>
      </c>
      <c r="J647" s="9">
        <f t="shared" si="502"/>
        <v>0</v>
      </c>
      <c r="K647" s="9">
        <f t="shared" si="503"/>
        <v>-0.21620000000000061</v>
      </c>
      <c r="L647" s="9">
        <f t="shared" si="504"/>
        <v>0</v>
      </c>
      <c r="M647" s="9">
        <f>data!J647</f>
        <v>-47.5</v>
      </c>
      <c r="N647" s="9">
        <f>data!I647</f>
        <v>-71.875</v>
      </c>
      <c r="O647" s="9">
        <f>data!L647</f>
        <v>-73.25</v>
      </c>
      <c r="P647" s="9">
        <f>data!K647</f>
        <v>-57.75</v>
      </c>
      <c r="Q647" s="9">
        <f>data!R647</f>
        <v>-48.75</v>
      </c>
      <c r="R647" s="9">
        <f t="shared" si="505"/>
        <v>-1.375</v>
      </c>
      <c r="S647" s="9">
        <f t="shared" si="506"/>
        <v>0.5</v>
      </c>
      <c r="T647" s="9">
        <f t="shared" si="507"/>
        <v>1.25</v>
      </c>
      <c r="U647" s="9">
        <f t="shared" si="508"/>
        <v>5</v>
      </c>
      <c r="V647" s="9">
        <f t="shared" si="509"/>
        <v>7.5</v>
      </c>
      <c r="W647" s="9">
        <f t="shared" si="510"/>
        <v>7.25</v>
      </c>
      <c r="X647" s="9">
        <f t="shared" si="511"/>
        <v>6</v>
      </c>
      <c r="Y647" s="9">
        <f t="shared" si="512"/>
        <v>3.5</v>
      </c>
      <c r="Z647" s="9">
        <f t="shared" si="513"/>
        <v>4.75</v>
      </c>
      <c r="AA647" s="9">
        <f t="shared" si="514"/>
        <v>0.875</v>
      </c>
      <c r="AB647" s="9">
        <f t="shared" si="515"/>
        <v>0.875</v>
      </c>
      <c r="AC647" s="9">
        <f t="shared" si="516"/>
        <v>4.6875</v>
      </c>
      <c r="AD647" s="9">
        <f t="shared" si="517"/>
        <v>12.875</v>
      </c>
      <c r="AE647" s="9">
        <f t="shared" si="518"/>
        <v>12.8125</v>
      </c>
      <c r="AF647" s="9">
        <f t="shared" si="519"/>
        <v>14.0625</v>
      </c>
      <c r="AG647" s="9">
        <f t="shared" si="520"/>
        <v>10.625</v>
      </c>
      <c r="AH647" s="9">
        <f t="shared" si="521"/>
        <v>8.375</v>
      </c>
      <c r="AI647" s="9">
        <f t="shared" si="522"/>
        <v>8.9375</v>
      </c>
      <c r="AJ647" s="9">
        <f t="shared" si="523"/>
        <v>0.25</v>
      </c>
      <c r="AK647" s="9">
        <f t="shared" si="524"/>
        <v>-2</v>
      </c>
      <c r="AL647" s="9">
        <f t="shared" si="525"/>
        <v>1.75</v>
      </c>
      <c r="AM647" s="9">
        <f t="shared" si="526"/>
        <v>8</v>
      </c>
      <c r="AN647" s="9">
        <f t="shared" si="527"/>
        <v>11.25</v>
      </c>
      <c r="AO647" s="9">
        <f t="shared" si="528"/>
        <v>12.5</v>
      </c>
      <c r="AP647" s="9">
        <f t="shared" si="529"/>
        <v>9.75</v>
      </c>
      <c r="AQ647" s="9">
        <f t="shared" si="530"/>
        <v>9</v>
      </c>
      <c r="AR647" s="9">
        <f t="shared" si="531"/>
        <v>9.125</v>
      </c>
      <c r="AS647" s="9">
        <f t="shared" si="532"/>
        <v>-0.5</v>
      </c>
      <c r="AT647" s="9">
        <f t="shared" si="533"/>
        <v>-4.25</v>
      </c>
      <c r="AU647" s="9">
        <f t="shared" si="534"/>
        <v>-2.25</v>
      </c>
      <c r="AV647" s="9">
        <f t="shared" si="535"/>
        <v>3.625</v>
      </c>
      <c r="AW647" s="9">
        <f t="shared" si="536"/>
        <v>5.25</v>
      </c>
      <c r="AX647" s="9">
        <f t="shared" si="537"/>
        <v>3.75</v>
      </c>
      <c r="AY647" s="9">
        <f t="shared" si="538"/>
        <v>1.5</v>
      </c>
      <c r="AZ647" s="9">
        <f t="shared" si="539"/>
        <v>1.25</v>
      </c>
      <c r="BA647" s="9">
        <f t="shared" si="540"/>
        <v>2</v>
      </c>
      <c r="BB647" s="9">
        <f t="shared" si="541"/>
        <v>-0.25</v>
      </c>
      <c r="BC647" s="9">
        <f t="shared" si="542"/>
        <v>-4.125</v>
      </c>
      <c r="BD647" s="9">
        <f t="shared" si="543"/>
        <v>-2.75</v>
      </c>
      <c r="BE647" s="9">
        <f t="shared" si="544"/>
        <v>2.125</v>
      </c>
      <c r="BF647" s="9">
        <f t="shared" si="545"/>
        <v>3.25</v>
      </c>
      <c r="BG647" s="9">
        <f t="shared" si="546"/>
        <v>2.25</v>
      </c>
      <c r="BH647" s="9">
        <f t="shared" si="547"/>
        <v>-0.625</v>
      </c>
      <c r="BI647" s="9">
        <f t="shared" si="548"/>
        <v>-0.3125</v>
      </c>
      <c r="BJ647" s="9">
        <f t="shared" si="549"/>
        <v>-0.5</v>
      </c>
    </row>
    <row r="648" spans="1:62" x14ac:dyDescent="0.2">
      <c r="A648" s="9">
        <f>data!M649-data!M648</f>
        <v>-0.29310000000000969</v>
      </c>
      <c r="B648" s="9">
        <f>data!C649-data!C648</f>
        <v>-6.0000000000000497E-2</v>
      </c>
      <c r="C648" s="9">
        <f>data!D649-data!D648</f>
        <v>-7.4999999999999289E-2</v>
      </c>
      <c r="D648" s="10">
        <f>data!B649-data!B648</f>
        <v>-2.4999999999999911E-2</v>
      </c>
      <c r="E648" s="9">
        <f>data!E648-data!G648</f>
        <v>2.2095000000000002</v>
      </c>
      <c r="F648" s="9">
        <f>(data!E648-data!F648)-(data!G648-data!H648)</f>
        <v>0.74780000000000002</v>
      </c>
      <c r="G648" s="9">
        <f t="shared" si="500"/>
        <v>-9.7400000000000375E-2</v>
      </c>
      <c r="H648" s="9">
        <f t="shared" si="501"/>
        <v>-8.560000000000012E-2</v>
      </c>
      <c r="I648" s="9">
        <f>IF(data!M649&gt; 111.81,1,0)</f>
        <v>1</v>
      </c>
      <c r="J648" s="9">
        <f t="shared" si="502"/>
        <v>0</v>
      </c>
      <c r="K648" s="9">
        <f t="shared" si="503"/>
        <v>-0.29310000000000969</v>
      </c>
      <c r="L648" s="9">
        <f t="shared" si="504"/>
        <v>0</v>
      </c>
      <c r="M648" s="9">
        <f>data!J648</f>
        <v>-48.875</v>
      </c>
      <c r="N648" s="9">
        <f>data!I648</f>
        <v>-71</v>
      </c>
      <c r="O648" s="9">
        <f>data!L648</f>
        <v>-73</v>
      </c>
      <c r="P648" s="9">
        <f>data!K648</f>
        <v>-58.25</v>
      </c>
      <c r="Q648" s="9">
        <f>data!R648</f>
        <v>-49</v>
      </c>
      <c r="R648" s="9">
        <f t="shared" si="505"/>
        <v>1.875</v>
      </c>
      <c r="S648" s="9">
        <f t="shared" si="506"/>
        <v>2.625</v>
      </c>
      <c r="T648" s="9">
        <f t="shared" si="507"/>
        <v>6.375</v>
      </c>
      <c r="U648" s="9">
        <f t="shared" si="508"/>
        <v>8.875</v>
      </c>
      <c r="V648" s="9">
        <f t="shared" si="509"/>
        <v>8.625</v>
      </c>
      <c r="W648" s="9">
        <f t="shared" si="510"/>
        <v>7.375</v>
      </c>
      <c r="X648" s="9">
        <f t="shared" si="511"/>
        <v>4.875</v>
      </c>
      <c r="Y648" s="9">
        <f t="shared" si="512"/>
        <v>6.125</v>
      </c>
      <c r="Z648" s="9">
        <f t="shared" si="513"/>
        <v>4.5</v>
      </c>
      <c r="AA648" s="9">
        <f t="shared" si="514"/>
        <v>0</v>
      </c>
      <c r="AB648" s="9">
        <f t="shared" si="515"/>
        <v>3.8125</v>
      </c>
      <c r="AC648" s="9">
        <f t="shared" si="516"/>
        <v>12</v>
      </c>
      <c r="AD648" s="9">
        <f t="shared" si="517"/>
        <v>11.9375</v>
      </c>
      <c r="AE648" s="9">
        <f t="shared" si="518"/>
        <v>13.1875</v>
      </c>
      <c r="AF648" s="9">
        <f t="shared" si="519"/>
        <v>9.75</v>
      </c>
      <c r="AG648" s="9">
        <f t="shared" si="520"/>
        <v>7.5</v>
      </c>
      <c r="AH648" s="9">
        <f t="shared" si="521"/>
        <v>8.0625</v>
      </c>
      <c r="AI648" s="9">
        <f t="shared" si="522"/>
        <v>7.4375</v>
      </c>
      <c r="AJ648" s="9">
        <f t="shared" si="523"/>
        <v>-2.25</v>
      </c>
      <c r="AK648" s="9">
        <f t="shared" si="524"/>
        <v>1.5</v>
      </c>
      <c r="AL648" s="9">
        <f t="shared" si="525"/>
        <v>7.75</v>
      </c>
      <c r="AM648" s="9">
        <f t="shared" si="526"/>
        <v>11</v>
      </c>
      <c r="AN648" s="9">
        <f t="shared" si="527"/>
        <v>12.25</v>
      </c>
      <c r="AO648" s="9">
        <f t="shared" si="528"/>
        <v>9.5</v>
      </c>
      <c r="AP648" s="9">
        <f t="shared" si="529"/>
        <v>8.75</v>
      </c>
      <c r="AQ648" s="9">
        <f t="shared" si="530"/>
        <v>8.875</v>
      </c>
      <c r="AR648" s="9">
        <f t="shared" si="531"/>
        <v>7.5</v>
      </c>
      <c r="AS648" s="9">
        <f t="shared" si="532"/>
        <v>-3.75</v>
      </c>
      <c r="AT648" s="9">
        <f t="shared" si="533"/>
        <v>-1.75</v>
      </c>
      <c r="AU648" s="9">
        <f t="shared" si="534"/>
        <v>4.125</v>
      </c>
      <c r="AV648" s="9">
        <f t="shared" si="535"/>
        <v>5.75</v>
      </c>
      <c r="AW648" s="9">
        <f t="shared" si="536"/>
        <v>4.25</v>
      </c>
      <c r="AX648" s="9">
        <f t="shared" si="537"/>
        <v>2</v>
      </c>
      <c r="AY648" s="9">
        <f t="shared" si="538"/>
        <v>1.75</v>
      </c>
      <c r="AZ648" s="9">
        <f t="shared" si="539"/>
        <v>2.5</v>
      </c>
      <c r="BA648" s="9">
        <f t="shared" si="540"/>
        <v>1.125</v>
      </c>
      <c r="BB648" s="9">
        <f t="shared" si="541"/>
        <v>-3.875</v>
      </c>
      <c r="BC648" s="9">
        <f t="shared" si="542"/>
        <v>-2.5</v>
      </c>
      <c r="BD648" s="9">
        <f t="shared" si="543"/>
        <v>2.375</v>
      </c>
      <c r="BE648" s="9">
        <f t="shared" si="544"/>
        <v>3.5</v>
      </c>
      <c r="BF648" s="9">
        <f t="shared" si="545"/>
        <v>2.5</v>
      </c>
      <c r="BG648" s="9">
        <f t="shared" si="546"/>
        <v>-0.375</v>
      </c>
      <c r="BH648" s="9">
        <f t="shared" si="547"/>
        <v>-6.25E-2</v>
      </c>
      <c r="BI648" s="9">
        <f t="shared" si="548"/>
        <v>-0.25</v>
      </c>
      <c r="BJ648" s="9">
        <f t="shared" si="549"/>
        <v>-1.375</v>
      </c>
    </row>
    <row r="649" spans="1:62" x14ac:dyDescent="0.2">
      <c r="A649" s="9">
        <f>data!M650-data!M649</f>
        <v>-0.23460000000000036</v>
      </c>
      <c r="B649" s="9">
        <f>data!C650-data!C649</f>
        <v>0.94999999999999929</v>
      </c>
      <c r="C649" s="9">
        <f>data!D650-data!D649</f>
        <v>-0.37000000000000099</v>
      </c>
      <c r="D649" s="10">
        <f>data!B650-data!B649</f>
        <v>2.2499999999999964E-2</v>
      </c>
      <c r="E649" s="9">
        <f>data!E649-data!G649</f>
        <v>2.1120999999999999</v>
      </c>
      <c r="F649" s="9">
        <f>(data!E649-data!F649)-(data!G649-data!H649)</f>
        <v>0.6621999999999999</v>
      </c>
      <c r="G649" s="9">
        <f t="shared" si="500"/>
        <v>3.7399999999999878E-2</v>
      </c>
      <c r="H649" s="9">
        <f t="shared" si="501"/>
        <v>4.3599999999999972E-2</v>
      </c>
      <c r="I649" s="9">
        <f>IF(data!M650&gt; 111.81,1,0)</f>
        <v>1</v>
      </c>
      <c r="J649" s="9">
        <f t="shared" si="502"/>
        <v>0</v>
      </c>
      <c r="K649" s="9">
        <f t="shared" si="503"/>
        <v>-0.23460000000000036</v>
      </c>
      <c r="L649" s="9">
        <f t="shared" si="504"/>
        <v>0</v>
      </c>
      <c r="M649" s="9">
        <f>data!J649</f>
        <v>-47</v>
      </c>
      <c r="N649" s="9">
        <f>data!I649</f>
        <v>-71</v>
      </c>
      <c r="O649" s="9">
        <f>data!L649</f>
        <v>-75.25</v>
      </c>
      <c r="P649" s="9">
        <f>data!K649</f>
        <v>-62</v>
      </c>
      <c r="Q649" s="9">
        <f>data!R649</f>
        <v>-52.875</v>
      </c>
      <c r="R649" s="9">
        <f t="shared" si="505"/>
        <v>0.75</v>
      </c>
      <c r="S649" s="9">
        <f t="shared" si="506"/>
        <v>4.5</v>
      </c>
      <c r="T649" s="9">
        <f t="shared" si="507"/>
        <v>7</v>
      </c>
      <c r="U649" s="9">
        <f t="shared" si="508"/>
        <v>6.75</v>
      </c>
      <c r="V649" s="9">
        <f t="shared" si="509"/>
        <v>5.5</v>
      </c>
      <c r="W649" s="9">
        <f t="shared" si="510"/>
        <v>3</v>
      </c>
      <c r="X649" s="9">
        <f t="shared" si="511"/>
        <v>4.25</v>
      </c>
      <c r="Y649" s="9">
        <f t="shared" si="512"/>
        <v>2.625</v>
      </c>
      <c r="Z649" s="9">
        <f t="shared" si="513"/>
        <v>1.75</v>
      </c>
      <c r="AA649" s="9">
        <f t="shared" si="514"/>
        <v>3.8125</v>
      </c>
      <c r="AB649" s="9">
        <f t="shared" si="515"/>
        <v>12</v>
      </c>
      <c r="AC649" s="9">
        <f t="shared" si="516"/>
        <v>11.9375</v>
      </c>
      <c r="AD649" s="9">
        <f t="shared" si="517"/>
        <v>13.1875</v>
      </c>
      <c r="AE649" s="9">
        <f t="shared" si="518"/>
        <v>9.75</v>
      </c>
      <c r="AF649" s="9">
        <f t="shared" si="519"/>
        <v>7.5</v>
      </c>
      <c r="AG649" s="9">
        <f t="shared" si="520"/>
        <v>8.0625</v>
      </c>
      <c r="AH649" s="9">
        <f t="shared" si="521"/>
        <v>7.4375</v>
      </c>
      <c r="AI649" s="9">
        <f t="shared" si="522"/>
        <v>8.25</v>
      </c>
      <c r="AJ649" s="9">
        <f t="shared" si="523"/>
        <v>3.75</v>
      </c>
      <c r="AK649" s="9">
        <f t="shared" si="524"/>
        <v>10</v>
      </c>
      <c r="AL649" s="9">
        <f t="shared" si="525"/>
        <v>13.25</v>
      </c>
      <c r="AM649" s="9">
        <f t="shared" si="526"/>
        <v>14.5</v>
      </c>
      <c r="AN649" s="9">
        <f t="shared" si="527"/>
        <v>11.75</v>
      </c>
      <c r="AO649" s="9">
        <f t="shared" si="528"/>
        <v>11</v>
      </c>
      <c r="AP649" s="9">
        <f t="shared" si="529"/>
        <v>11.125</v>
      </c>
      <c r="AQ649" s="9">
        <f t="shared" si="530"/>
        <v>9.75</v>
      </c>
      <c r="AR649" s="9">
        <f t="shared" si="531"/>
        <v>11</v>
      </c>
      <c r="AS649" s="9">
        <f t="shared" si="532"/>
        <v>2</v>
      </c>
      <c r="AT649" s="9">
        <f t="shared" si="533"/>
        <v>7.875</v>
      </c>
      <c r="AU649" s="9">
        <f t="shared" si="534"/>
        <v>9.5</v>
      </c>
      <c r="AV649" s="9">
        <f t="shared" si="535"/>
        <v>8</v>
      </c>
      <c r="AW649" s="9">
        <f t="shared" si="536"/>
        <v>5.75</v>
      </c>
      <c r="AX649" s="9">
        <f t="shared" si="537"/>
        <v>5.5</v>
      </c>
      <c r="AY649" s="9">
        <f t="shared" si="538"/>
        <v>6.25</v>
      </c>
      <c r="AZ649" s="9">
        <f t="shared" si="539"/>
        <v>4.875</v>
      </c>
      <c r="BA649" s="9">
        <f t="shared" si="540"/>
        <v>4.125</v>
      </c>
      <c r="BB649" s="9">
        <f t="shared" si="541"/>
        <v>1.375</v>
      </c>
      <c r="BC649" s="9">
        <f t="shared" si="542"/>
        <v>6.25</v>
      </c>
      <c r="BD649" s="9">
        <f t="shared" si="543"/>
        <v>7.375</v>
      </c>
      <c r="BE649" s="9">
        <f t="shared" si="544"/>
        <v>6.375</v>
      </c>
      <c r="BF649" s="9">
        <f t="shared" si="545"/>
        <v>3.5</v>
      </c>
      <c r="BG649" s="9">
        <f t="shared" si="546"/>
        <v>3.8125</v>
      </c>
      <c r="BH649" s="9">
        <f t="shared" si="547"/>
        <v>3.625</v>
      </c>
      <c r="BI649" s="9">
        <f t="shared" si="548"/>
        <v>2.5</v>
      </c>
      <c r="BJ649" s="9">
        <f t="shared" si="549"/>
        <v>1.375</v>
      </c>
    </row>
    <row r="650" spans="1:62" x14ac:dyDescent="0.2">
      <c r="A650" s="9">
        <f>data!M651-data!M650</f>
        <v>-0.34069999999999823</v>
      </c>
      <c r="B650" s="9">
        <f>data!C651-data!C650</f>
        <v>-0.31999999999999851</v>
      </c>
      <c r="C650" s="9">
        <f>data!D651-data!D650</f>
        <v>9.9999999999997868E-3</v>
      </c>
      <c r="D650" s="10">
        <f>data!B651-data!B650</f>
        <v>0.14749999999999996</v>
      </c>
      <c r="E650" s="9">
        <f>data!E650-data!G650</f>
        <v>2.1494999999999997</v>
      </c>
      <c r="F650" s="9">
        <f>(data!E650-data!F650)-(data!G650-data!H650)</f>
        <v>0.70579999999999987</v>
      </c>
      <c r="G650" s="9">
        <f t="shared" si="500"/>
        <v>-4.9099999999999699E-2</v>
      </c>
      <c r="H650" s="9">
        <f t="shared" si="501"/>
        <v>-3.9499999999999535E-2</v>
      </c>
      <c r="I650" s="9">
        <f>IF(data!M651&gt; 111.81,1,0)</f>
        <v>1</v>
      </c>
      <c r="J650" s="9">
        <f t="shared" si="502"/>
        <v>0</v>
      </c>
      <c r="K650" s="9">
        <f t="shared" si="503"/>
        <v>-0.34069999999999823</v>
      </c>
      <c r="L650" s="9">
        <f t="shared" si="504"/>
        <v>0</v>
      </c>
      <c r="M650" s="9">
        <f>data!J650</f>
        <v>-46.25</v>
      </c>
      <c r="N650" s="9">
        <f>data!I650</f>
        <v>-67.1875</v>
      </c>
      <c r="O650" s="9">
        <f>data!L650</f>
        <v>-71.5</v>
      </c>
      <c r="P650" s="9">
        <f>data!K650</f>
        <v>-60</v>
      </c>
      <c r="Q650" s="9">
        <f>data!R650</f>
        <v>-51.5</v>
      </c>
      <c r="R650" s="9">
        <f t="shared" si="505"/>
        <v>3.75</v>
      </c>
      <c r="S650" s="9">
        <f t="shared" si="506"/>
        <v>6.25</v>
      </c>
      <c r="T650" s="9">
        <f t="shared" si="507"/>
        <v>6</v>
      </c>
      <c r="U650" s="9">
        <f t="shared" si="508"/>
        <v>4.75</v>
      </c>
      <c r="V650" s="9">
        <f t="shared" si="509"/>
        <v>2.25</v>
      </c>
      <c r="W650" s="9">
        <f t="shared" si="510"/>
        <v>3.5</v>
      </c>
      <c r="X650" s="9">
        <f t="shared" si="511"/>
        <v>1.875</v>
      </c>
      <c r="Y650" s="9">
        <f t="shared" si="512"/>
        <v>1</v>
      </c>
      <c r="Z650" s="9">
        <f t="shared" si="513"/>
        <v>-0.5</v>
      </c>
      <c r="AA650" s="9">
        <f t="shared" si="514"/>
        <v>8.1875</v>
      </c>
      <c r="AB650" s="9">
        <f t="shared" si="515"/>
        <v>8.125</v>
      </c>
      <c r="AC650" s="9">
        <f t="shared" si="516"/>
        <v>9.375</v>
      </c>
      <c r="AD650" s="9">
        <f t="shared" si="517"/>
        <v>5.9375</v>
      </c>
      <c r="AE650" s="9">
        <f t="shared" si="518"/>
        <v>3.6875</v>
      </c>
      <c r="AF650" s="9">
        <f t="shared" si="519"/>
        <v>4.25</v>
      </c>
      <c r="AG650" s="9">
        <f t="shared" si="520"/>
        <v>3.625</v>
      </c>
      <c r="AH650" s="9">
        <f t="shared" si="521"/>
        <v>4.4375</v>
      </c>
      <c r="AI650" s="9">
        <f t="shared" si="522"/>
        <v>4.5625</v>
      </c>
      <c r="AJ650" s="9">
        <f t="shared" si="523"/>
        <v>6.25</v>
      </c>
      <c r="AK650" s="9">
        <f t="shared" si="524"/>
        <v>9.5</v>
      </c>
      <c r="AL650" s="9">
        <f t="shared" si="525"/>
        <v>10.75</v>
      </c>
      <c r="AM650" s="9">
        <f t="shared" si="526"/>
        <v>8</v>
      </c>
      <c r="AN650" s="9">
        <f t="shared" si="527"/>
        <v>7.25</v>
      </c>
      <c r="AO650" s="9">
        <f t="shared" si="528"/>
        <v>7.375</v>
      </c>
      <c r="AP650" s="9">
        <f t="shared" si="529"/>
        <v>6</v>
      </c>
      <c r="AQ650" s="9">
        <f t="shared" si="530"/>
        <v>7.25</v>
      </c>
      <c r="AR650" s="9">
        <f t="shared" si="531"/>
        <v>7.75</v>
      </c>
      <c r="AS650" s="9">
        <f t="shared" si="532"/>
        <v>5.875</v>
      </c>
      <c r="AT650" s="9">
        <f t="shared" si="533"/>
        <v>7.5</v>
      </c>
      <c r="AU650" s="9">
        <f t="shared" si="534"/>
        <v>6</v>
      </c>
      <c r="AV650" s="9">
        <f t="shared" si="535"/>
        <v>3.75</v>
      </c>
      <c r="AW650" s="9">
        <f t="shared" si="536"/>
        <v>3.5</v>
      </c>
      <c r="AX650" s="9">
        <f t="shared" si="537"/>
        <v>4.25</v>
      </c>
      <c r="AY650" s="9">
        <f t="shared" si="538"/>
        <v>2.875</v>
      </c>
      <c r="AZ650" s="9">
        <f t="shared" si="539"/>
        <v>2.125</v>
      </c>
      <c r="BA650" s="9">
        <f t="shared" si="540"/>
        <v>2.125</v>
      </c>
      <c r="BB650" s="9">
        <f t="shared" si="541"/>
        <v>4.875</v>
      </c>
      <c r="BC650" s="9">
        <f t="shared" si="542"/>
        <v>6</v>
      </c>
      <c r="BD650" s="9">
        <f t="shared" si="543"/>
        <v>5</v>
      </c>
      <c r="BE650" s="9">
        <f t="shared" si="544"/>
        <v>2.125</v>
      </c>
      <c r="BF650" s="9">
        <f t="shared" si="545"/>
        <v>2.4375</v>
      </c>
      <c r="BG650" s="9">
        <f t="shared" si="546"/>
        <v>2.25</v>
      </c>
      <c r="BH650" s="9">
        <f t="shared" si="547"/>
        <v>1.125</v>
      </c>
      <c r="BI650" s="9">
        <f t="shared" si="548"/>
        <v>0</v>
      </c>
      <c r="BJ650" s="9">
        <f t="shared" si="549"/>
        <v>-0.375</v>
      </c>
    </row>
    <row r="651" spans="1:62" x14ac:dyDescent="0.2">
      <c r="A651" s="9">
        <f>data!M652-data!M651</f>
        <v>0.25100000000000477</v>
      </c>
      <c r="B651" s="9">
        <f>data!C652-data!C651</f>
        <v>-0.36000000000000121</v>
      </c>
      <c r="C651" s="9">
        <f>data!D652-data!D651</f>
        <v>1.5000000000000568E-2</v>
      </c>
      <c r="D651" s="10">
        <f>data!B652-data!B651</f>
        <v>-0.16749999999999998</v>
      </c>
      <c r="E651" s="9">
        <f>data!E651-data!G651</f>
        <v>2.1004</v>
      </c>
      <c r="F651" s="9">
        <f>(data!E651-data!F651)-(data!G651-data!H651)</f>
        <v>0.66630000000000034</v>
      </c>
      <c r="G651" s="9">
        <f t="shared" si="500"/>
        <v>-1.0099999999999998E-2</v>
      </c>
      <c r="H651" s="9">
        <f t="shared" si="501"/>
        <v>-1.9400000000000306E-2</v>
      </c>
      <c r="I651" s="9">
        <f>IF(data!M652&gt; 111.81,1,0)</f>
        <v>1</v>
      </c>
      <c r="J651" s="9">
        <f t="shared" si="502"/>
        <v>0</v>
      </c>
      <c r="K651" s="9">
        <f t="shared" si="503"/>
        <v>0.25100000000000477</v>
      </c>
      <c r="L651" s="9">
        <f t="shared" si="504"/>
        <v>0</v>
      </c>
      <c r="M651" s="9">
        <f>data!J651</f>
        <v>-42.5</v>
      </c>
      <c r="N651" s="9">
        <f>data!I651</f>
        <v>-59</v>
      </c>
      <c r="O651" s="9">
        <f>data!L651</f>
        <v>-65.25</v>
      </c>
      <c r="P651" s="9">
        <f>data!K651</f>
        <v>-54.125</v>
      </c>
      <c r="Q651" s="9">
        <f>data!R651</f>
        <v>-46.625</v>
      </c>
      <c r="R651" s="9">
        <f t="shared" si="505"/>
        <v>2.5</v>
      </c>
      <c r="S651" s="9">
        <f t="shared" si="506"/>
        <v>2.25</v>
      </c>
      <c r="T651" s="9">
        <f t="shared" si="507"/>
        <v>1</v>
      </c>
      <c r="U651" s="9">
        <f t="shared" si="508"/>
        <v>-1.5</v>
      </c>
      <c r="V651" s="9">
        <f t="shared" si="509"/>
        <v>-0.25</v>
      </c>
      <c r="W651" s="9">
        <f t="shared" si="510"/>
        <v>-1.875</v>
      </c>
      <c r="X651" s="9">
        <f t="shared" si="511"/>
        <v>-2.75</v>
      </c>
      <c r="Y651" s="9">
        <f t="shared" si="512"/>
        <v>-4.25</v>
      </c>
      <c r="Z651" s="9">
        <f t="shared" si="513"/>
        <v>-8.25</v>
      </c>
      <c r="AA651" s="9">
        <f t="shared" si="514"/>
        <v>-6.25E-2</v>
      </c>
      <c r="AB651" s="9">
        <f t="shared" si="515"/>
        <v>1.1875</v>
      </c>
      <c r="AC651" s="9">
        <f t="shared" si="516"/>
        <v>-2.25</v>
      </c>
      <c r="AD651" s="9">
        <f t="shared" si="517"/>
        <v>-4.5</v>
      </c>
      <c r="AE651" s="9">
        <f t="shared" si="518"/>
        <v>-3.9375</v>
      </c>
      <c r="AF651" s="9">
        <f t="shared" si="519"/>
        <v>-4.5625</v>
      </c>
      <c r="AG651" s="9">
        <f t="shared" si="520"/>
        <v>-3.75</v>
      </c>
      <c r="AH651" s="9">
        <f t="shared" si="521"/>
        <v>-3.625</v>
      </c>
      <c r="AI651" s="9">
        <f t="shared" si="522"/>
        <v>-4.5625</v>
      </c>
      <c r="AJ651" s="9">
        <f t="shared" si="523"/>
        <v>3.25</v>
      </c>
      <c r="AK651" s="9">
        <f t="shared" si="524"/>
        <v>4.5</v>
      </c>
      <c r="AL651" s="9">
        <f t="shared" si="525"/>
        <v>1.75</v>
      </c>
      <c r="AM651" s="9">
        <f t="shared" si="526"/>
        <v>1</v>
      </c>
      <c r="AN651" s="9">
        <f t="shared" si="527"/>
        <v>1.125</v>
      </c>
      <c r="AO651" s="9">
        <f t="shared" si="528"/>
        <v>-0.25</v>
      </c>
      <c r="AP651" s="9">
        <f t="shared" si="529"/>
        <v>1</v>
      </c>
      <c r="AQ651" s="9">
        <f t="shared" si="530"/>
        <v>1.5</v>
      </c>
      <c r="AR651" s="9">
        <f t="shared" si="531"/>
        <v>0.1875</v>
      </c>
      <c r="AS651" s="9">
        <f t="shared" si="532"/>
        <v>1.625</v>
      </c>
      <c r="AT651" s="9">
        <f t="shared" si="533"/>
        <v>0.125</v>
      </c>
      <c r="AU651" s="9">
        <f t="shared" si="534"/>
        <v>-2.125</v>
      </c>
      <c r="AV651" s="9">
        <f t="shared" si="535"/>
        <v>-2.375</v>
      </c>
      <c r="AW651" s="9">
        <f t="shared" si="536"/>
        <v>-1.625</v>
      </c>
      <c r="AX651" s="9">
        <f t="shared" si="537"/>
        <v>-3</v>
      </c>
      <c r="AY651" s="9">
        <f t="shared" si="538"/>
        <v>-3.75</v>
      </c>
      <c r="AZ651" s="9">
        <f t="shared" si="539"/>
        <v>-3.75</v>
      </c>
      <c r="BA651" s="9">
        <f t="shared" si="540"/>
        <v>-5.875</v>
      </c>
      <c r="BB651" s="9">
        <f t="shared" si="541"/>
        <v>1.125</v>
      </c>
      <c r="BC651" s="9">
        <f t="shared" si="542"/>
        <v>0.125</v>
      </c>
      <c r="BD651" s="9">
        <f t="shared" si="543"/>
        <v>-2.75</v>
      </c>
      <c r="BE651" s="9">
        <f t="shared" si="544"/>
        <v>-2.4375</v>
      </c>
      <c r="BF651" s="9">
        <f t="shared" si="545"/>
        <v>-2.625</v>
      </c>
      <c r="BG651" s="9">
        <f t="shared" si="546"/>
        <v>-3.75</v>
      </c>
      <c r="BH651" s="9">
        <f t="shared" si="547"/>
        <v>-4.875</v>
      </c>
      <c r="BI651" s="9">
        <f t="shared" si="548"/>
        <v>-5.25</v>
      </c>
      <c r="BJ651" s="9">
        <f t="shared" si="549"/>
        <v>-9</v>
      </c>
    </row>
    <row r="652" spans="1:62" x14ac:dyDescent="0.2">
      <c r="A652" s="9">
        <f>data!M653-data!M652</f>
        <v>-0.87690000000000623</v>
      </c>
      <c r="B652" s="9">
        <f>data!C653-data!C652</f>
        <v>1.1600000000000001</v>
      </c>
      <c r="C652" s="9">
        <f>data!D653-data!D652</f>
        <v>0.30000000000000071</v>
      </c>
      <c r="D652" s="10">
        <f>data!B653-data!B652</f>
        <v>0.11250000000000004</v>
      </c>
      <c r="E652" s="9">
        <f>data!E652-data!G652</f>
        <v>2.0903</v>
      </c>
      <c r="F652" s="9">
        <f>(data!E652-data!F652)-(data!G652-data!H652)</f>
        <v>0.64690000000000003</v>
      </c>
      <c r="G652" s="9">
        <f t="shared" si="500"/>
        <v>0.13439999999999985</v>
      </c>
      <c r="H652" s="9">
        <f t="shared" si="501"/>
        <v>7.1100000000000163E-2</v>
      </c>
      <c r="I652" s="9">
        <f>IF(data!M653&gt; 111.81,1,0)</f>
        <v>1</v>
      </c>
      <c r="J652" s="9">
        <f t="shared" si="502"/>
        <v>0</v>
      </c>
      <c r="K652" s="9">
        <f t="shared" si="503"/>
        <v>-0.87690000000000623</v>
      </c>
      <c r="L652" s="9">
        <f t="shared" si="504"/>
        <v>0</v>
      </c>
      <c r="M652" s="9">
        <f>data!J652</f>
        <v>-40</v>
      </c>
      <c r="N652" s="9">
        <f>data!I652</f>
        <v>-59.0625</v>
      </c>
      <c r="O652" s="9">
        <f>data!L652</f>
        <v>-62</v>
      </c>
      <c r="P652" s="9">
        <f>data!K652</f>
        <v>-52.5</v>
      </c>
      <c r="Q652" s="9">
        <f>data!R652</f>
        <v>-45.5</v>
      </c>
      <c r="R652" s="9">
        <f t="shared" si="505"/>
        <v>-0.25</v>
      </c>
      <c r="S652" s="9">
        <f t="shared" si="506"/>
        <v>-1.5</v>
      </c>
      <c r="T652" s="9">
        <f t="shared" si="507"/>
        <v>-4</v>
      </c>
      <c r="U652" s="9">
        <f t="shared" si="508"/>
        <v>-2.75</v>
      </c>
      <c r="V652" s="9">
        <f t="shared" si="509"/>
        <v>-4.375</v>
      </c>
      <c r="W652" s="9">
        <f t="shared" si="510"/>
        <v>-5.25</v>
      </c>
      <c r="X652" s="9">
        <f t="shared" si="511"/>
        <v>-6.75</v>
      </c>
      <c r="Y652" s="9">
        <f t="shared" si="512"/>
        <v>-10.75</v>
      </c>
      <c r="Z652" s="9">
        <f t="shared" si="513"/>
        <v>-12.375</v>
      </c>
      <c r="AA652" s="9">
        <f t="shared" si="514"/>
        <v>1.25</v>
      </c>
      <c r="AB652" s="9">
        <f t="shared" si="515"/>
        <v>-2.1875</v>
      </c>
      <c r="AC652" s="9">
        <f t="shared" si="516"/>
        <v>-4.4375</v>
      </c>
      <c r="AD652" s="9">
        <f t="shared" si="517"/>
        <v>-3.875</v>
      </c>
      <c r="AE652" s="9">
        <f t="shared" si="518"/>
        <v>-4.5</v>
      </c>
      <c r="AF652" s="9">
        <f t="shared" si="519"/>
        <v>-3.6875</v>
      </c>
      <c r="AG652" s="9">
        <f t="shared" si="520"/>
        <v>-3.5625</v>
      </c>
      <c r="AH652" s="9">
        <f t="shared" si="521"/>
        <v>-4.5</v>
      </c>
      <c r="AI652" s="9">
        <f t="shared" si="522"/>
        <v>-5.0625</v>
      </c>
      <c r="AJ652" s="9">
        <f t="shared" si="523"/>
        <v>1.25</v>
      </c>
      <c r="AK652" s="9">
        <f t="shared" si="524"/>
        <v>-1.5</v>
      </c>
      <c r="AL652" s="9">
        <f t="shared" si="525"/>
        <v>-2.25</v>
      </c>
      <c r="AM652" s="9">
        <f t="shared" si="526"/>
        <v>-2.125</v>
      </c>
      <c r="AN652" s="9">
        <f t="shared" si="527"/>
        <v>-3.5</v>
      </c>
      <c r="AO652" s="9">
        <f t="shared" si="528"/>
        <v>-2.25</v>
      </c>
      <c r="AP652" s="9">
        <f t="shared" si="529"/>
        <v>-1.75</v>
      </c>
      <c r="AQ652" s="9">
        <f t="shared" si="530"/>
        <v>-3.0625</v>
      </c>
      <c r="AR652" s="9">
        <f t="shared" si="531"/>
        <v>0.25</v>
      </c>
      <c r="AS652" s="9">
        <f t="shared" si="532"/>
        <v>-1.5</v>
      </c>
      <c r="AT652" s="9">
        <f t="shared" si="533"/>
        <v>-3.75</v>
      </c>
      <c r="AU652" s="9">
        <f t="shared" si="534"/>
        <v>-4</v>
      </c>
      <c r="AV652" s="9">
        <f t="shared" si="535"/>
        <v>-3.25</v>
      </c>
      <c r="AW652" s="9">
        <f t="shared" si="536"/>
        <v>-4.625</v>
      </c>
      <c r="AX652" s="9">
        <f t="shared" si="537"/>
        <v>-5.375</v>
      </c>
      <c r="AY652" s="9">
        <f t="shared" si="538"/>
        <v>-5.375</v>
      </c>
      <c r="AZ652" s="9">
        <f t="shared" si="539"/>
        <v>-7.5</v>
      </c>
      <c r="BA652" s="9">
        <f t="shared" si="540"/>
        <v>-3.5</v>
      </c>
      <c r="BB652" s="9">
        <f t="shared" si="541"/>
        <v>-1</v>
      </c>
      <c r="BC652" s="9">
        <f t="shared" si="542"/>
        <v>-3.875</v>
      </c>
      <c r="BD652" s="9">
        <f t="shared" si="543"/>
        <v>-3.5625</v>
      </c>
      <c r="BE652" s="9">
        <f t="shared" si="544"/>
        <v>-3.75</v>
      </c>
      <c r="BF652" s="9">
        <f t="shared" si="545"/>
        <v>-4.875</v>
      </c>
      <c r="BG652" s="9">
        <f t="shared" si="546"/>
        <v>-6</v>
      </c>
      <c r="BH652" s="9">
        <f t="shared" si="547"/>
        <v>-6.375</v>
      </c>
      <c r="BI652" s="9">
        <f t="shared" si="548"/>
        <v>-10.125</v>
      </c>
      <c r="BJ652" s="9">
        <f t="shared" si="549"/>
        <v>-6.5</v>
      </c>
    </row>
    <row r="653" spans="1:62" x14ac:dyDescent="0.2">
      <c r="A653" s="9">
        <f>data!M654-data!M653</f>
        <v>0.32410000000000139</v>
      </c>
      <c r="B653" s="9">
        <f>data!C654-data!C653</f>
        <v>9.9999999999997868E-3</v>
      </c>
      <c r="C653" s="9">
        <f>data!D654-data!D653</f>
        <v>0.20500000000000007</v>
      </c>
      <c r="D653" s="10">
        <f>data!B654-data!B653</f>
        <v>-0.14250000000000007</v>
      </c>
      <c r="E653" s="9">
        <f>data!E653-data!G653</f>
        <v>2.2246999999999999</v>
      </c>
      <c r="F653" s="9">
        <f>(data!E653-data!F653)-(data!G653-data!H653)</f>
        <v>0.71800000000000019</v>
      </c>
      <c r="G653" s="9">
        <f t="shared" si="500"/>
        <v>7.8900000000000414E-2</v>
      </c>
      <c r="H653" s="9">
        <f t="shared" si="501"/>
        <v>7.8600000000000003E-2</v>
      </c>
      <c r="I653" s="9">
        <f>IF(data!M654&gt; 111.81,1,0)</f>
        <v>1</v>
      </c>
      <c r="J653" s="9">
        <f t="shared" si="502"/>
        <v>0</v>
      </c>
      <c r="K653" s="9">
        <f t="shared" si="503"/>
        <v>0.32410000000000139</v>
      </c>
      <c r="L653" s="9">
        <f t="shared" si="504"/>
        <v>0</v>
      </c>
      <c r="M653" s="9">
        <f>data!J653</f>
        <v>-40.25</v>
      </c>
      <c r="N653" s="9">
        <f>data!I653</f>
        <v>-57.8125</v>
      </c>
      <c r="O653" s="9">
        <f>data!L653</f>
        <v>-60.75</v>
      </c>
      <c r="P653" s="9">
        <f>data!K653</f>
        <v>-54</v>
      </c>
      <c r="Q653" s="9">
        <f>data!R653</f>
        <v>-46.5</v>
      </c>
      <c r="R653" s="9">
        <f t="shared" si="505"/>
        <v>-1.25</v>
      </c>
      <c r="S653" s="9">
        <f t="shared" si="506"/>
        <v>-3.75</v>
      </c>
      <c r="T653" s="9">
        <f t="shared" si="507"/>
        <v>-2.5</v>
      </c>
      <c r="U653" s="9">
        <f t="shared" si="508"/>
        <v>-4.125</v>
      </c>
      <c r="V653" s="9">
        <f t="shared" si="509"/>
        <v>-5</v>
      </c>
      <c r="W653" s="9">
        <f t="shared" si="510"/>
        <v>-6.5</v>
      </c>
      <c r="X653" s="9">
        <f t="shared" si="511"/>
        <v>-10.5</v>
      </c>
      <c r="Y653" s="9">
        <f t="shared" si="512"/>
        <v>-12.125</v>
      </c>
      <c r="Z653" s="9">
        <f t="shared" si="513"/>
        <v>-11.25</v>
      </c>
      <c r="AA653" s="9">
        <f t="shared" si="514"/>
        <v>-3.4375</v>
      </c>
      <c r="AB653" s="9">
        <f t="shared" si="515"/>
        <v>-5.6875</v>
      </c>
      <c r="AC653" s="9">
        <f t="shared" si="516"/>
        <v>-5.125</v>
      </c>
      <c r="AD653" s="9">
        <f t="shared" si="517"/>
        <v>-5.75</v>
      </c>
      <c r="AE653" s="9">
        <f t="shared" si="518"/>
        <v>-4.9375</v>
      </c>
      <c r="AF653" s="9">
        <f t="shared" si="519"/>
        <v>-4.8125</v>
      </c>
      <c r="AG653" s="9">
        <f t="shared" si="520"/>
        <v>-5.75</v>
      </c>
      <c r="AH653" s="9">
        <f t="shared" si="521"/>
        <v>-6.3125</v>
      </c>
      <c r="AI653" s="9">
        <f t="shared" si="522"/>
        <v>-5.1875</v>
      </c>
      <c r="AJ653" s="9">
        <f t="shared" si="523"/>
        <v>-2.75</v>
      </c>
      <c r="AK653" s="9">
        <f t="shared" si="524"/>
        <v>-3.5</v>
      </c>
      <c r="AL653" s="9">
        <f t="shared" si="525"/>
        <v>-3.375</v>
      </c>
      <c r="AM653" s="9">
        <f t="shared" si="526"/>
        <v>-4.75</v>
      </c>
      <c r="AN653" s="9">
        <f t="shared" si="527"/>
        <v>-3.5</v>
      </c>
      <c r="AO653" s="9">
        <f t="shared" si="528"/>
        <v>-3</v>
      </c>
      <c r="AP653" s="9">
        <f t="shared" si="529"/>
        <v>-4.3125</v>
      </c>
      <c r="AQ653" s="9">
        <f t="shared" si="530"/>
        <v>-1</v>
      </c>
      <c r="AR653" s="9">
        <f t="shared" si="531"/>
        <v>0.25</v>
      </c>
      <c r="AS653" s="9">
        <f t="shared" si="532"/>
        <v>-2.25</v>
      </c>
      <c r="AT653" s="9">
        <f t="shared" si="533"/>
        <v>-2.5</v>
      </c>
      <c r="AU653" s="9">
        <f t="shared" si="534"/>
        <v>-1.75</v>
      </c>
      <c r="AV653" s="9">
        <f t="shared" si="535"/>
        <v>-3.125</v>
      </c>
      <c r="AW653" s="9">
        <f t="shared" si="536"/>
        <v>-3.875</v>
      </c>
      <c r="AX653" s="9">
        <f t="shared" si="537"/>
        <v>-3.875</v>
      </c>
      <c r="AY653" s="9">
        <f t="shared" si="538"/>
        <v>-6</v>
      </c>
      <c r="AZ653" s="9">
        <f t="shared" si="539"/>
        <v>-2</v>
      </c>
      <c r="BA653" s="9">
        <f t="shared" si="540"/>
        <v>-0.625</v>
      </c>
      <c r="BB653" s="9">
        <f t="shared" si="541"/>
        <v>-2.875</v>
      </c>
      <c r="BC653" s="9">
        <f t="shared" si="542"/>
        <v>-2.5625</v>
      </c>
      <c r="BD653" s="9">
        <f t="shared" si="543"/>
        <v>-2.75</v>
      </c>
      <c r="BE653" s="9">
        <f t="shared" si="544"/>
        <v>-3.875</v>
      </c>
      <c r="BF653" s="9">
        <f t="shared" si="545"/>
        <v>-5</v>
      </c>
      <c r="BG653" s="9">
        <f t="shared" si="546"/>
        <v>-5.375</v>
      </c>
      <c r="BH653" s="9">
        <f t="shared" si="547"/>
        <v>-9.125</v>
      </c>
      <c r="BI653" s="9">
        <f t="shared" si="548"/>
        <v>-5.5</v>
      </c>
      <c r="BJ653" s="9">
        <f t="shared" si="549"/>
        <v>-4.25</v>
      </c>
    </row>
    <row r="654" spans="1:62" x14ac:dyDescent="0.2">
      <c r="A654" s="9">
        <f>data!M655-data!M654</f>
        <v>-1.4061999999999983</v>
      </c>
      <c r="B654" s="9">
        <f>data!C655-data!C654</f>
        <v>-1.6799999999999997</v>
      </c>
      <c r="C654" s="9">
        <f>data!D655-data!D654</f>
        <v>-0.41000000000000014</v>
      </c>
      <c r="D654" s="10">
        <f>data!B655-data!B654</f>
        <v>0.25</v>
      </c>
      <c r="E654" s="9">
        <f>data!E654-data!G654</f>
        <v>2.3036000000000003</v>
      </c>
      <c r="F654" s="9">
        <f>(data!E654-data!F654)-(data!G654-data!H654)</f>
        <v>0.7966000000000002</v>
      </c>
      <c r="G654" s="9">
        <f t="shared" si="500"/>
        <v>-4.6700000000000408E-2</v>
      </c>
      <c r="H654" s="9">
        <f t="shared" si="501"/>
        <v>-7.3000000000000842E-3</v>
      </c>
      <c r="I654" s="9">
        <f>IF(data!M655&gt; 111.81,1,0)</f>
        <v>0</v>
      </c>
      <c r="J654" s="9">
        <f t="shared" si="502"/>
        <v>1</v>
      </c>
      <c r="K654" s="9">
        <f t="shared" si="503"/>
        <v>0</v>
      </c>
      <c r="L654" s="9">
        <f t="shared" si="504"/>
        <v>-1.4061999999999983</v>
      </c>
      <c r="M654" s="9">
        <f>data!J654</f>
        <v>-41.5</v>
      </c>
      <c r="N654" s="9">
        <f>data!I654</f>
        <v>-61.25</v>
      </c>
      <c r="O654" s="9">
        <f>data!L654</f>
        <v>-63.5</v>
      </c>
      <c r="P654" s="9">
        <f>data!K654</f>
        <v>-56.25</v>
      </c>
      <c r="Q654" s="9">
        <f>data!R654</f>
        <v>-49.375</v>
      </c>
      <c r="R654" s="9">
        <f t="shared" si="505"/>
        <v>-2.5</v>
      </c>
      <c r="S654" s="9">
        <f t="shared" si="506"/>
        <v>-1.25</v>
      </c>
      <c r="T654" s="9">
        <f t="shared" si="507"/>
        <v>-2.875</v>
      </c>
      <c r="U654" s="9">
        <f t="shared" si="508"/>
        <v>-3.75</v>
      </c>
      <c r="V654" s="9">
        <f t="shared" si="509"/>
        <v>-5.25</v>
      </c>
      <c r="W654" s="9">
        <f t="shared" si="510"/>
        <v>-9.25</v>
      </c>
      <c r="X654" s="9">
        <f t="shared" si="511"/>
        <v>-10.875</v>
      </c>
      <c r="Y654" s="9">
        <f t="shared" si="512"/>
        <v>-10</v>
      </c>
      <c r="Z654" s="9">
        <f t="shared" si="513"/>
        <v>-5.25</v>
      </c>
      <c r="AA654" s="9">
        <f t="shared" si="514"/>
        <v>-2.25</v>
      </c>
      <c r="AB654" s="9">
        <f t="shared" si="515"/>
        <v>-1.6875</v>
      </c>
      <c r="AC654" s="9">
        <f t="shared" si="516"/>
        <v>-2.3125</v>
      </c>
      <c r="AD654" s="9">
        <f t="shared" si="517"/>
        <v>-1.5</v>
      </c>
      <c r="AE654" s="9">
        <f t="shared" si="518"/>
        <v>-1.375</v>
      </c>
      <c r="AF654" s="9">
        <f t="shared" si="519"/>
        <v>-2.3125</v>
      </c>
      <c r="AG654" s="9">
        <f t="shared" si="520"/>
        <v>-2.875</v>
      </c>
      <c r="AH654" s="9">
        <f t="shared" si="521"/>
        <v>-1.75</v>
      </c>
      <c r="AI654" s="9">
        <f t="shared" si="522"/>
        <v>2.375</v>
      </c>
      <c r="AJ654" s="9">
        <f t="shared" si="523"/>
        <v>-0.75</v>
      </c>
      <c r="AK654" s="9">
        <f t="shared" si="524"/>
        <v>-0.625</v>
      </c>
      <c r="AL654" s="9">
        <f t="shared" si="525"/>
        <v>-2</v>
      </c>
      <c r="AM654" s="9">
        <f t="shared" si="526"/>
        <v>-0.75</v>
      </c>
      <c r="AN654" s="9">
        <f t="shared" si="527"/>
        <v>-0.25</v>
      </c>
      <c r="AO654" s="9">
        <f t="shared" si="528"/>
        <v>-1.5625</v>
      </c>
      <c r="AP654" s="9">
        <f t="shared" si="529"/>
        <v>1.75</v>
      </c>
      <c r="AQ654" s="9">
        <f t="shared" si="530"/>
        <v>3</v>
      </c>
      <c r="AR654" s="9">
        <f t="shared" si="531"/>
        <v>8.125</v>
      </c>
      <c r="AS654" s="9">
        <f t="shared" si="532"/>
        <v>-0.25</v>
      </c>
      <c r="AT654" s="9">
        <f t="shared" si="533"/>
        <v>0.5</v>
      </c>
      <c r="AU654" s="9">
        <f t="shared" si="534"/>
        <v>-0.875</v>
      </c>
      <c r="AV654" s="9">
        <f t="shared" si="535"/>
        <v>-1.625</v>
      </c>
      <c r="AW654" s="9">
        <f t="shared" si="536"/>
        <v>-1.625</v>
      </c>
      <c r="AX654" s="9">
        <f t="shared" si="537"/>
        <v>-3.75</v>
      </c>
      <c r="AY654" s="9">
        <f t="shared" si="538"/>
        <v>0.25</v>
      </c>
      <c r="AZ654" s="9">
        <f t="shared" si="539"/>
        <v>1.625</v>
      </c>
      <c r="BA654" s="9">
        <f t="shared" si="540"/>
        <v>5.125</v>
      </c>
      <c r="BB654" s="9">
        <f t="shared" si="541"/>
        <v>0.3125</v>
      </c>
      <c r="BC654" s="9">
        <f t="shared" si="542"/>
        <v>0.125</v>
      </c>
      <c r="BD654" s="9">
        <f t="shared" si="543"/>
        <v>-1</v>
      </c>
      <c r="BE654" s="9">
        <f t="shared" si="544"/>
        <v>-2.125</v>
      </c>
      <c r="BF654" s="9">
        <f t="shared" si="545"/>
        <v>-2.5</v>
      </c>
      <c r="BG654" s="9">
        <f t="shared" si="546"/>
        <v>-6.25</v>
      </c>
      <c r="BH654" s="9">
        <f t="shared" si="547"/>
        <v>-2.625</v>
      </c>
      <c r="BI654" s="9">
        <f t="shared" si="548"/>
        <v>-1.375</v>
      </c>
      <c r="BJ654" s="9">
        <f t="shared" si="549"/>
        <v>1</v>
      </c>
    </row>
    <row r="655" spans="1:62" x14ac:dyDescent="0.2">
      <c r="A655" s="9">
        <f>data!M656-data!M655</f>
        <v>-0.71649999999999636</v>
      </c>
      <c r="B655" s="9">
        <f>data!C656-data!C655</f>
        <v>-0.15000000000000036</v>
      </c>
      <c r="C655" s="9">
        <f>data!D656-data!D655</f>
        <v>0.33499999999999908</v>
      </c>
      <c r="D655" s="10">
        <f>data!B656-data!B655</f>
        <v>2.0000000000000018E-2</v>
      </c>
      <c r="E655" s="9">
        <f>data!E655-data!G655</f>
        <v>2.2568999999999999</v>
      </c>
      <c r="F655" s="9">
        <f>(data!E655-data!F655)-(data!G655-data!H655)</f>
        <v>0.78930000000000011</v>
      </c>
      <c r="G655" s="9">
        <f t="shared" si="500"/>
        <v>-8.1399999999999917E-2</v>
      </c>
      <c r="H655" s="9">
        <f t="shared" si="501"/>
        <v>-7.7000000000000401E-2</v>
      </c>
      <c r="I655" s="9">
        <f>IF(data!M656&gt; 111.81,1,0)</f>
        <v>0</v>
      </c>
      <c r="J655" s="9">
        <f t="shared" si="502"/>
        <v>1</v>
      </c>
      <c r="K655" s="9">
        <f t="shared" si="503"/>
        <v>0</v>
      </c>
      <c r="L655" s="9">
        <f t="shared" si="504"/>
        <v>-0.71649999999999636</v>
      </c>
      <c r="M655" s="9">
        <f>data!J655</f>
        <v>-44</v>
      </c>
      <c r="N655" s="9">
        <f>data!I655</f>
        <v>-63.5</v>
      </c>
      <c r="O655" s="9">
        <f>data!L655</f>
        <v>-64.25</v>
      </c>
      <c r="P655" s="9">
        <f>data!K655</f>
        <v>-56.5</v>
      </c>
      <c r="Q655" s="9">
        <f>data!R655</f>
        <v>-49.0625</v>
      </c>
      <c r="R655" s="9">
        <f t="shared" si="505"/>
        <v>1.25</v>
      </c>
      <c r="S655" s="9">
        <f t="shared" si="506"/>
        <v>-0.375</v>
      </c>
      <c r="T655" s="9">
        <f t="shared" si="507"/>
        <v>-1.25</v>
      </c>
      <c r="U655" s="9">
        <f t="shared" si="508"/>
        <v>-2.75</v>
      </c>
      <c r="V655" s="9">
        <f t="shared" si="509"/>
        <v>-6.75</v>
      </c>
      <c r="W655" s="9">
        <f t="shared" si="510"/>
        <v>-8.375</v>
      </c>
      <c r="X655" s="9">
        <f t="shared" si="511"/>
        <v>-7.5</v>
      </c>
      <c r="Y655" s="9">
        <f t="shared" si="512"/>
        <v>-2.75</v>
      </c>
      <c r="Z655" s="9">
        <f t="shared" si="513"/>
        <v>-0.3125</v>
      </c>
      <c r="AA655" s="9">
        <f t="shared" si="514"/>
        <v>0.5625</v>
      </c>
      <c r="AB655" s="9">
        <f t="shared" si="515"/>
        <v>-6.25E-2</v>
      </c>
      <c r="AC655" s="9">
        <f t="shared" si="516"/>
        <v>0.75</v>
      </c>
      <c r="AD655" s="9">
        <f t="shared" si="517"/>
        <v>0.875</v>
      </c>
      <c r="AE655" s="9">
        <f t="shared" si="518"/>
        <v>-6.25E-2</v>
      </c>
      <c r="AF655" s="9">
        <f t="shared" si="519"/>
        <v>-0.625</v>
      </c>
      <c r="AG655" s="9">
        <f t="shared" si="520"/>
        <v>0.5</v>
      </c>
      <c r="AH655" s="9">
        <f t="shared" si="521"/>
        <v>4.625</v>
      </c>
      <c r="AI655" s="9">
        <f t="shared" si="522"/>
        <v>4.75</v>
      </c>
      <c r="AJ655" s="9">
        <f t="shared" si="523"/>
        <v>0.125</v>
      </c>
      <c r="AK655" s="9">
        <f t="shared" si="524"/>
        <v>-1.25</v>
      </c>
      <c r="AL655" s="9">
        <f t="shared" si="525"/>
        <v>0</v>
      </c>
      <c r="AM655" s="9">
        <f t="shared" si="526"/>
        <v>0.5</v>
      </c>
      <c r="AN655" s="9">
        <f t="shared" si="527"/>
        <v>-0.8125</v>
      </c>
      <c r="AO655" s="9">
        <f t="shared" si="528"/>
        <v>2.5</v>
      </c>
      <c r="AP655" s="9">
        <f t="shared" si="529"/>
        <v>3.75</v>
      </c>
      <c r="AQ655" s="9">
        <f t="shared" si="530"/>
        <v>8.875</v>
      </c>
      <c r="AR655" s="9">
        <f t="shared" si="531"/>
        <v>7.5</v>
      </c>
      <c r="AS655" s="9">
        <f t="shared" si="532"/>
        <v>0.75</v>
      </c>
      <c r="AT655" s="9">
        <f t="shared" si="533"/>
        <v>-0.625</v>
      </c>
      <c r="AU655" s="9">
        <f t="shared" si="534"/>
        <v>-1.375</v>
      </c>
      <c r="AV655" s="9">
        <f t="shared" si="535"/>
        <v>-1.375</v>
      </c>
      <c r="AW655" s="9">
        <f t="shared" si="536"/>
        <v>-3.5</v>
      </c>
      <c r="AX655" s="9">
        <f t="shared" si="537"/>
        <v>0.5</v>
      </c>
      <c r="AY655" s="9">
        <f t="shared" si="538"/>
        <v>1.875</v>
      </c>
      <c r="AZ655" s="9">
        <f t="shared" si="539"/>
        <v>5.375</v>
      </c>
      <c r="BA655" s="9">
        <f t="shared" si="540"/>
        <v>3.5625</v>
      </c>
      <c r="BB655" s="9">
        <f t="shared" si="541"/>
        <v>-0.1875</v>
      </c>
      <c r="BC655" s="9">
        <f t="shared" si="542"/>
        <v>-1.3125</v>
      </c>
      <c r="BD655" s="9">
        <f t="shared" si="543"/>
        <v>-2.4375</v>
      </c>
      <c r="BE655" s="9">
        <f t="shared" si="544"/>
        <v>-2.8125</v>
      </c>
      <c r="BF655" s="9">
        <f t="shared" si="545"/>
        <v>-6.5625</v>
      </c>
      <c r="BG655" s="9">
        <f t="shared" si="546"/>
        <v>-2.9375</v>
      </c>
      <c r="BH655" s="9">
        <f t="shared" si="547"/>
        <v>-1.6875</v>
      </c>
      <c r="BI655" s="9">
        <f t="shared" si="548"/>
        <v>0.6875</v>
      </c>
      <c r="BJ655" s="9">
        <f t="shared" si="549"/>
        <v>-2.1875</v>
      </c>
    </row>
    <row r="656" spans="1:62" x14ac:dyDescent="0.2">
      <c r="A656" s="9">
        <f>data!M657-data!M656</f>
        <v>-0.2710000000000008</v>
      </c>
      <c r="B656" s="9">
        <f>data!C657-data!C656</f>
        <v>0.92999999999999972</v>
      </c>
      <c r="C656" s="9">
        <f>data!D657-data!D656</f>
        <v>0.22499999999999964</v>
      </c>
      <c r="D656" s="10">
        <f>data!B657-data!B656</f>
        <v>0.13749999999999996</v>
      </c>
      <c r="E656" s="9">
        <f>data!E656-data!G656</f>
        <v>2.1755</v>
      </c>
      <c r="F656" s="9">
        <f>(data!E656-data!F656)-(data!G656-data!H656)</f>
        <v>0.71229999999999971</v>
      </c>
      <c r="G656" s="9">
        <f t="shared" si="500"/>
        <v>4.2399999999999771E-2</v>
      </c>
      <c r="H656" s="9">
        <f t="shared" si="501"/>
        <v>3.8400000000000212E-2</v>
      </c>
      <c r="I656" s="9">
        <f>IF(data!M657&gt; 111.81,1,0)</f>
        <v>0</v>
      </c>
      <c r="J656" s="9">
        <f t="shared" si="502"/>
        <v>1</v>
      </c>
      <c r="K656" s="9">
        <f t="shared" si="503"/>
        <v>0</v>
      </c>
      <c r="L656" s="9">
        <f t="shared" si="504"/>
        <v>-0.2710000000000008</v>
      </c>
      <c r="M656" s="9">
        <f>data!J656</f>
        <v>-42.75</v>
      </c>
      <c r="N656" s="9">
        <f>data!I656</f>
        <v>-62.9375</v>
      </c>
      <c r="O656" s="9">
        <f>data!L656</f>
        <v>-64.125</v>
      </c>
      <c r="P656" s="9">
        <f>data!K656</f>
        <v>-55.75</v>
      </c>
      <c r="Q656" s="9">
        <f>data!R656</f>
        <v>-49.25</v>
      </c>
      <c r="R656" s="9">
        <f t="shared" si="505"/>
        <v>-1.625</v>
      </c>
      <c r="S656" s="9">
        <f t="shared" si="506"/>
        <v>-2.5</v>
      </c>
      <c r="T656" s="9">
        <f t="shared" si="507"/>
        <v>-4</v>
      </c>
      <c r="U656" s="9">
        <f t="shared" si="508"/>
        <v>-8</v>
      </c>
      <c r="V656" s="9">
        <f t="shared" si="509"/>
        <v>-9.625</v>
      </c>
      <c r="W656" s="9">
        <f t="shared" si="510"/>
        <v>-8.75</v>
      </c>
      <c r="X656" s="9">
        <f t="shared" si="511"/>
        <v>-4</v>
      </c>
      <c r="Y656" s="9">
        <f t="shared" si="512"/>
        <v>-1.5625</v>
      </c>
      <c r="Z656" s="9">
        <f t="shared" si="513"/>
        <v>-2.25</v>
      </c>
      <c r="AA656" s="9">
        <f t="shared" si="514"/>
        <v>-0.625</v>
      </c>
      <c r="AB656" s="9">
        <f t="shared" si="515"/>
        <v>0.1875</v>
      </c>
      <c r="AC656" s="9">
        <f t="shared" si="516"/>
        <v>0.3125</v>
      </c>
      <c r="AD656" s="9">
        <f t="shared" si="517"/>
        <v>-0.625</v>
      </c>
      <c r="AE656" s="9">
        <f t="shared" si="518"/>
        <v>-1.1875</v>
      </c>
      <c r="AF656" s="9">
        <f t="shared" si="519"/>
        <v>-6.25E-2</v>
      </c>
      <c r="AG656" s="9">
        <f t="shared" si="520"/>
        <v>4.0625</v>
      </c>
      <c r="AH656" s="9">
        <f t="shared" si="521"/>
        <v>4.1875</v>
      </c>
      <c r="AI656" s="9">
        <f t="shared" si="522"/>
        <v>2.3125</v>
      </c>
      <c r="AJ656" s="9">
        <f t="shared" si="523"/>
        <v>-1.375</v>
      </c>
      <c r="AK656" s="9">
        <f t="shared" si="524"/>
        <v>-0.125</v>
      </c>
      <c r="AL656" s="9">
        <f t="shared" si="525"/>
        <v>0.375</v>
      </c>
      <c r="AM656" s="9">
        <f t="shared" si="526"/>
        <v>-0.9375</v>
      </c>
      <c r="AN656" s="9">
        <f t="shared" si="527"/>
        <v>2.375</v>
      </c>
      <c r="AO656" s="9">
        <f t="shared" si="528"/>
        <v>3.625</v>
      </c>
      <c r="AP656" s="9">
        <f t="shared" si="529"/>
        <v>8.75</v>
      </c>
      <c r="AQ656" s="9">
        <f t="shared" si="530"/>
        <v>7.375</v>
      </c>
      <c r="AR656" s="9">
        <f t="shared" si="531"/>
        <v>5.125</v>
      </c>
      <c r="AS656" s="9">
        <f t="shared" si="532"/>
        <v>-1.375</v>
      </c>
      <c r="AT656" s="9">
        <f t="shared" si="533"/>
        <v>-2.125</v>
      </c>
      <c r="AU656" s="9">
        <f t="shared" si="534"/>
        <v>-2.125</v>
      </c>
      <c r="AV656" s="9">
        <f t="shared" si="535"/>
        <v>-4.25</v>
      </c>
      <c r="AW656" s="9">
        <f t="shared" si="536"/>
        <v>-0.25</v>
      </c>
      <c r="AX656" s="9">
        <f t="shared" si="537"/>
        <v>1.125</v>
      </c>
      <c r="AY656" s="9">
        <f t="shared" si="538"/>
        <v>4.625</v>
      </c>
      <c r="AZ656" s="9">
        <f t="shared" si="539"/>
        <v>2.8125</v>
      </c>
      <c r="BA656" s="9">
        <f t="shared" si="540"/>
        <v>1.25</v>
      </c>
      <c r="BB656" s="9">
        <f t="shared" si="541"/>
        <v>-1.125</v>
      </c>
      <c r="BC656" s="9">
        <f t="shared" si="542"/>
        <v>-2.25</v>
      </c>
      <c r="BD656" s="9">
        <f t="shared" si="543"/>
        <v>-2.625</v>
      </c>
      <c r="BE656" s="9">
        <f t="shared" si="544"/>
        <v>-6.375</v>
      </c>
      <c r="BF656" s="9">
        <f t="shared" si="545"/>
        <v>-2.75</v>
      </c>
      <c r="BG656" s="9">
        <f t="shared" si="546"/>
        <v>-1.5</v>
      </c>
      <c r="BH656" s="9">
        <f t="shared" si="547"/>
        <v>0.875</v>
      </c>
      <c r="BI656" s="9">
        <f t="shared" si="548"/>
        <v>-2</v>
      </c>
      <c r="BJ656" s="9">
        <f t="shared" si="549"/>
        <v>-3.5</v>
      </c>
    </row>
    <row r="657" spans="1:62" x14ac:dyDescent="0.2">
      <c r="A657" s="9">
        <f>data!M658-data!M657</f>
        <v>0.36079999999999757</v>
      </c>
      <c r="B657" s="9">
        <f>data!C658-data!C657</f>
        <v>-0.25999999999999979</v>
      </c>
      <c r="C657" s="9">
        <f>data!D658-data!D657</f>
        <v>4.4999999999999929E-2</v>
      </c>
      <c r="D657" s="10">
        <f>data!B658-data!B657</f>
        <v>-0.10749999999999993</v>
      </c>
      <c r="E657" s="9">
        <f>data!E657-data!G657</f>
        <v>2.2178999999999998</v>
      </c>
      <c r="F657" s="9">
        <f>(data!E657-data!F657)-(data!G657-data!H657)</f>
        <v>0.75069999999999992</v>
      </c>
      <c r="G657" s="9">
        <f t="shared" si="500"/>
        <v>-1.5899999999999803E-2</v>
      </c>
      <c r="H657" s="9">
        <f t="shared" si="501"/>
        <v>-1.4599999999999946E-2</v>
      </c>
      <c r="I657" s="9">
        <f>IF(data!M658&gt; 111.81,1,0)</f>
        <v>0</v>
      </c>
      <c r="J657" s="9">
        <f t="shared" si="502"/>
        <v>1</v>
      </c>
      <c r="K657" s="9">
        <f t="shared" si="503"/>
        <v>0</v>
      </c>
      <c r="L657" s="9">
        <f t="shared" si="504"/>
        <v>0.36079999999999757</v>
      </c>
      <c r="M657" s="9">
        <f>data!J657</f>
        <v>-44.375</v>
      </c>
      <c r="N657" s="9">
        <f>data!I657</f>
        <v>-63.5625</v>
      </c>
      <c r="O657" s="9">
        <f>data!L657</f>
        <v>-65.5</v>
      </c>
      <c r="P657" s="9">
        <f>data!K657</f>
        <v>-57.125</v>
      </c>
      <c r="Q657" s="9">
        <f>data!R657</f>
        <v>-50.375</v>
      </c>
      <c r="R657" s="9">
        <f t="shared" si="505"/>
        <v>-0.875</v>
      </c>
      <c r="S657" s="9">
        <f t="shared" si="506"/>
        <v>-2.375</v>
      </c>
      <c r="T657" s="9">
        <f t="shared" si="507"/>
        <v>-6.375</v>
      </c>
      <c r="U657" s="9">
        <f t="shared" si="508"/>
        <v>-8</v>
      </c>
      <c r="V657" s="9">
        <f t="shared" si="509"/>
        <v>-7.125</v>
      </c>
      <c r="W657" s="9">
        <f t="shared" si="510"/>
        <v>-2.375</v>
      </c>
      <c r="X657" s="9">
        <f t="shared" si="511"/>
        <v>6.25E-2</v>
      </c>
      <c r="Y657" s="9">
        <f t="shared" si="512"/>
        <v>-0.625</v>
      </c>
      <c r="Z657" s="9">
        <f t="shared" si="513"/>
        <v>-1.625</v>
      </c>
      <c r="AA657" s="9">
        <f t="shared" si="514"/>
        <v>0.8125</v>
      </c>
      <c r="AB657" s="9">
        <f t="shared" si="515"/>
        <v>0.9375</v>
      </c>
      <c r="AC657" s="9">
        <f t="shared" si="516"/>
        <v>0</v>
      </c>
      <c r="AD657" s="9">
        <f t="shared" si="517"/>
        <v>-0.5625</v>
      </c>
      <c r="AE657" s="9">
        <f t="shared" si="518"/>
        <v>0.5625</v>
      </c>
      <c r="AF657" s="9">
        <f t="shared" si="519"/>
        <v>4.6875</v>
      </c>
      <c r="AG657" s="9">
        <f t="shared" si="520"/>
        <v>4.8125</v>
      </c>
      <c r="AH657" s="9">
        <f t="shared" si="521"/>
        <v>2.9375</v>
      </c>
      <c r="AI657" s="9">
        <f t="shared" si="522"/>
        <v>2.3125</v>
      </c>
      <c r="AJ657" s="9">
        <f t="shared" si="523"/>
        <v>1.25</v>
      </c>
      <c r="AK657" s="9">
        <f t="shared" si="524"/>
        <v>1.75</v>
      </c>
      <c r="AL657" s="9">
        <f t="shared" si="525"/>
        <v>0.4375</v>
      </c>
      <c r="AM657" s="9">
        <f t="shared" si="526"/>
        <v>3.75</v>
      </c>
      <c r="AN657" s="9">
        <f t="shared" si="527"/>
        <v>5</v>
      </c>
      <c r="AO657" s="9">
        <f t="shared" si="528"/>
        <v>10.125</v>
      </c>
      <c r="AP657" s="9">
        <f t="shared" si="529"/>
        <v>8.75</v>
      </c>
      <c r="AQ657" s="9">
        <f t="shared" si="530"/>
        <v>6.5</v>
      </c>
      <c r="AR657" s="9">
        <f t="shared" si="531"/>
        <v>5.125</v>
      </c>
      <c r="AS657" s="9">
        <f t="shared" si="532"/>
        <v>-0.75</v>
      </c>
      <c r="AT657" s="9">
        <f t="shared" si="533"/>
        <v>-0.75</v>
      </c>
      <c r="AU657" s="9">
        <f t="shared" si="534"/>
        <v>-2.875</v>
      </c>
      <c r="AV657" s="9">
        <f t="shared" si="535"/>
        <v>1.125</v>
      </c>
      <c r="AW657" s="9">
        <f t="shared" si="536"/>
        <v>2.5</v>
      </c>
      <c r="AX657" s="9">
        <f t="shared" si="537"/>
        <v>6</v>
      </c>
      <c r="AY657" s="9">
        <f t="shared" si="538"/>
        <v>4.1875</v>
      </c>
      <c r="AZ657" s="9">
        <f t="shared" si="539"/>
        <v>2.625</v>
      </c>
      <c r="BA657" s="9">
        <f t="shared" si="540"/>
        <v>2</v>
      </c>
      <c r="BB657" s="9">
        <f t="shared" si="541"/>
        <v>-1.125</v>
      </c>
      <c r="BC657" s="9">
        <f t="shared" si="542"/>
        <v>-1.5</v>
      </c>
      <c r="BD657" s="9">
        <f t="shared" si="543"/>
        <v>-5.25</v>
      </c>
      <c r="BE657" s="9">
        <f t="shared" si="544"/>
        <v>-1.625</v>
      </c>
      <c r="BF657" s="9">
        <f t="shared" si="545"/>
        <v>-0.375</v>
      </c>
      <c r="BG657" s="9">
        <f t="shared" si="546"/>
        <v>2</v>
      </c>
      <c r="BH657" s="9">
        <f t="shared" si="547"/>
        <v>-0.875</v>
      </c>
      <c r="BI657" s="9">
        <f t="shared" si="548"/>
        <v>-2.375</v>
      </c>
      <c r="BJ657" s="9">
        <f t="shared" si="549"/>
        <v>-2.125</v>
      </c>
    </row>
    <row r="658" spans="1:62" x14ac:dyDescent="0.2">
      <c r="A658" s="9">
        <f>data!M659-data!M658</f>
        <v>-0.23860000000000525</v>
      </c>
      <c r="B658" s="9">
        <f>data!C659-data!C658</f>
        <v>5.48</v>
      </c>
      <c r="C658" s="9">
        <f>data!D659-data!D658</f>
        <v>0.79499999999999993</v>
      </c>
      <c r="D658" s="10">
        <f>data!B659-data!B658</f>
        <v>-0.55750000000000011</v>
      </c>
      <c r="E658" s="9">
        <f>data!E658-data!G658</f>
        <v>2.202</v>
      </c>
      <c r="F658" s="9">
        <f>(data!E658-data!F658)-(data!G658-data!H658)</f>
        <v>0.73609999999999998</v>
      </c>
      <c r="G658" s="9">
        <f t="shared" si="500"/>
        <v>-6.8200000000000038E-2</v>
      </c>
      <c r="H658" s="9">
        <f t="shared" si="501"/>
        <v>-1.1299999999999977E-2</v>
      </c>
      <c r="I658" s="9">
        <f>IF(data!M659&gt; 111.81,1,0)</f>
        <v>0</v>
      </c>
      <c r="J658" s="9">
        <f t="shared" si="502"/>
        <v>1</v>
      </c>
      <c r="K658" s="9">
        <f t="shared" si="503"/>
        <v>0</v>
      </c>
      <c r="L658" s="9">
        <f t="shared" si="504"/>
        <v>-0.23860000000000525</v>
      </c>
      <c r="M658" s="9">
        <f>data!J658</f>
        <v>-45.25</v>
      </c>
      <c r="N658" s="9">
        <f>data!I658</f>
        <v>-62.75</v>
      </c>
      <c r="O658" s="9">
        <f>data!L658</f>
        <v>-64.25</v>
      </c>
      <c r="P658" s="9">
        <f>data!K658</f>
        <v>-57.875</v>
      </c>
      <c r="Q658" s="9">
        <f>data!R658</f>
        <v>-51.5</v>
      </c>
      <c r="R658" s="9">
        <f t="shared" si="505"/>
        <v>-1.5</v>
      </c>
      <c r="S658" s="9">
        <f t="shared" si="506"/>
        <v>-5.5</v>
      </c>
      <c r="T658" s="9">
        <f t="shared" si="507"/>
        <v>-7.125</v>
      </c>
      <c r="U658" s="9">
        <f t="shared" si="508"/>
        <v>-6.25</v>
      </c>
      <c r="V658" s="9">
        <f t="shared" si="509"/>
        <v>-1.5</v>
      </c>
      <c r="W658" s="9">
        <f t="shared" si="510"/>
        <v>0.9375</v>
      </c>
      <c r="X658" s="9">
        <f t="shared" si="511"/>
        <v>0.25</v>
      </c>
      <c r="Y658" s="9">
        <f t="shared" si="512"/>
        <v>-0.75</v>
      </c>
      <c r="Z658" s="9">
        <f t="shared" si="513"/>
        <v>-2</v>
      </c>
      <c r="AA658" s="9">
        <f t="shared" si="514"/>
        <v>0.125</v>
      </c>
      <c r="AB658" s="9">
        <f t="shared" si="515"/>
        <v>-0.8125</v>
      </c>
      <c r="AC658" s="9">
        <f t="shared" si="516"/>
        <v>-1.375</v>
      </c>
      <c r="AD658" s="9">
        <f t="shared" si="517"/>
        <v>-0.25</v>
      </c>
      <c r="AE658" s="9">
        <f t="shared" si="518"/>
        <v>3.875</v>
      </c>
      <c r="AF658" s="9">
        <f t="shared" si="519"/>
        <v>4</v>
      </c>
      <c r="AG658" s="9">
        <f t="shared" si="520"/>
        <v>2.125</v>
      </c>
      <c r="AH658" s="9">
        <f t="shared" si="521"/>
        <v>1.5</v>
      </c>
      <c r="AI658" s="9">
        <f t="shared" si="522"/>
        <v>1.375</v>
      </c>
      <c r="AJ658" s="9">
        <f t="shared" si="523"/>
        <v>0.5</v>
      </c>
      <c r="AK658" s="9">
        <f t="shared" si="524"/>
        <v>-0.8125</v>
      </c>
      <c r="AL658" s="9">
        <f t="shared" si="525"/>
        <v>2.5</v>
      </c>
      <c r="AM658" s="9">
        <f t="shared" si="526"/>
        <v>3.75</v>
      </c>
      <c r="AN658" s="9">
        <f t="shared" si="527"/>
        <v>8.875</v>
      </c>
      <c r="AO658" s="9">
        <f t="shared" si="528"/>
        <v>7.5</v>
      </c>
      <c r="AP658" s="9">
        <f t="shared" si="529"/>
        <v>5.25</v>
      </c>
      <c r="AQ658" s="9">
        <f t="shared" si="530"/>
        <v>3.875</v>
      </c>
      <c r="AR658" s="9">
        <f t="shared" si="531"/>
        <v>3.375</v>
      </c>
      <c r="AS658" s="9">
        <f t="shared" si="532"/>
        <v>0</v>
      </c>
      <c r="AT658" s="9">
        <f t="shared" si="533"/>
        <v>-2.125</v>
      </c>
      <c r="AU658" s="9">
        <f t="shared" si="534"/>
        <v>1.875</v>
      </c>
      <c r="AV658" s="9">
        <f t="shared" si="535"/>
        <v>3.25</v>
      </c>
      <c r="AW658" s="9">
        <f t="shared" si="536"/>
        <v>6.75</v>
      </c>
      <c r="AX658" s="9">
        <f t="shared" si="537"/>
        <v>4.9375</v>
      </c>
      <c r="AY658" s="9">
        <f t="shared" si="538"/>
        <v>3.375</v>
      </c>
      <c r="AZ658" s="9">
        <f t="shared" si="539"/>
        <v>2.75</v>
      </c>
      <c r="BA658" s="9">
        <f t="shared" si="540"/>
        <v>2.625</v>
      </c>
      <c r="BB658" s="9">
        <f t="shared" si="541"/>
        <v>-0.375</v>
      </c>
      <c r="BC658" s="9">
        <f t="shared" si="542"/>
        <v>-4.125</v>
      </c>
      <c r="BD658" s="9">
        <f t="shared" si="543"/>
        <v>-0.5</v>
      </c>
      <c r="BE658" s="9">
        <f t="shared" si="544"/>
        <v>0.75</v>
      </c>
      <c r="BF658" s="9">
        <f t="shared" si="545"/>
        <v>3.125</v>
      </c>
      <c r="BG658" s="9">
        <f t="shared" si="546"/>
        <v>0.25</v>
      </c>
      <c r="BH658" s="9">
        <f t="shared" si="547"/>
        <v>-1.25</v>
      </c>
      <c r="BI658" s="9">
        <f t="shared" si="548"/>
        <v>-1</v>
      </c>
      <c r="BJ658" s="9">
        <f t="shared" si="549"/>
        <v>-2</v>
      </c>
    </row>
    <row r="659" spans="1:62" x14ac:dyDescent="0.2">
      <c r="A659" s="9">
        <f>data!M660-data!M659</f>
        <v>-1.1999999999972033E-3</v>
      </c>
      <c r="B659" s="9">
        <f>data!C660-data!C659</f>
        <v>-1.25</v>
      </c>
      <c r="C659" s="9">
        <f>data!D660-data!D659</f>
        <v>-0.41499999999999915</v>
      </c>
      <c r="D659" s="10">
        <f>data!B660-data!B659</f>
        <v>0.28000000000000014</v>
      </c>
      <c r="E659" s="9">
        <f>data!E659-data!G659</f>
        <v>2.1337999999999999</v>
      </c>
      <c r="F659" s="9">
        <f>(data!E659-data!F659)-(data!G659-data!H659)</f>
        <v>0.7248</v>
      </c>
      <c r="G659" s="9">
        <f t="shared" si="500"/>
        <v>3.2100000000000239E-2</v>
      </c>
      <c r="H659" s="9">
        <f t="shared" si="501"/>
        <v>-6.2999999999996392E-3</v>
      </c>
      <c r="I659" s="9">
        <f>IF(data!M660&gt; 111.81,1,0)</f>
        <v>0</v>
      </c>
      <c r="J659" s="9">
        <f t="shared" si="502"/>
        <v>1</v>
      </c>
      <c r="K659" s="9">
        <f t="shared" si="503"/>
        <v>0</v>
      </c>
      <c r="L659" s="9">
        <f t="shared" si="504"/>
        <v>-1.1999999999972033E-3</v>
      </c>
      <c r="M659" s="9">
        <f>data!J659</f>
        <v>-46.75</v>
      </c>
      <c r="N659" s="9">
        <f>data!I659</f>
        <v>-62.625</v>
      </c>
      <c r="O659" s="9">
        <f>data!L659</f>
        <v>-63.75</v>
      </c>
      <c r="P659" s="9">
        <f>data!K659</f>
        <v>-57.875</v>
      </c>
      <c r="Q659" s="9">
        <f>data!R659</f>
        <v>-51.875</v>
      </c>
      <c r="R659" s="9">
        <f t="shared" si="505"/>
        <v>-4</v>
      </c>
      <c r="S659" s="9">
        <f t="shared" si="506"/>
        <v>-5.625</v>
      </c>
      <c r="T659" s="9">
        <f t="shared" si="507"/>
        <v>-4.75</v>
      </c>
      <c r="U659" s="9">
        <f t="shared" si="508"/>
        <v>0</v>
      </c>
      <c r="V659" s="9">
        <f t="shared" si="509"/>
        <v>2.4375</v>
      </c>
      <c r="W659" s="9">
        <f t="shared" si="510"/>
        <v>1.75</v>
      </c>
      <c r="X659" s="9">
        <f t="shared" si="511"/>
        <v>0.75</v>
      </c>
      <c r="Y659" s="9">
        <f t="shared" si="512"/>
        <v>-0.5</v>
      </c>
      <c r="Z659" s="9">
        <f t="shared" si="513"/>
        <v>-1.125</v>
      </c>
      <c r="AA659" s="9">
        <f t="shared" si="514"/>
        <v>-0.9375</v>
      </c>
      <c r="AB659" s="9">
        <f t="shared" si="515"/>
        <v>-1.5</v>
      </c>
      <c r="AC659" s="9">
        <f t="shared" si="516"/>
        <v>-0.375</v>
      </c>
      <c r="AD659" s="9">
        <f t="shared" si="517"/>
        <v>3.75</v>
      </c>
      <c r="AE659" s="9">
        <f t="shared" si="518"/>
        <v>3.875</v>
      </c>
      <c r="AF659" s="9">
        <f t="shared" si="519"/>
        <v>2</v>
      </c>
      <c r="AG659" s="9">
        <f t="shared" si="520"/>
        <v>1.375</v>
      </c>
      <c r="AH659" s="9">
        <f t="shared" si="521"/>
        <v>1.25</v>
      </c>
      <c r="AI659" s="9">
        <f t="shared" si="522"/>
        <v>1.25</v>
      </c>
      <c r="AJ659" s="9">
        <f t="shared" si="523"/>
        <v>-1.3125</v>
      </c>
      <c r="AK659" s="9">
        <f t="shared" si="524"/>
        <v>2</v>
      </c>
      <c r="AL659" s="9">
        <f t="shared" si="525"/>
        <v>3.25</v>
      </c>
      <c r="AM659" s="9">
        <f t="shared" si="526"/>
        <v>8.375</v>
      </c>
      <c r="AN659" s="9">
        <f t="shared" si="527"/>
        <v>7</v>
      </c>
      <c r="AO659" s="9">
        <f t="shared" si="528"/>
        <v>4.75</v>
      </c>
      <c r="AP659" s="9">
        <f t="shared" si="529"/>
        <v>3.375</v>
      </c>
      <c r="AQ659" s="9">
        <f t="shared" si="530"/>
        <v>2.875</v>
      </c>
      <c r="AR659" s="9">
        <f t="shared" si="531"/>
        <v>3.625</v>
      </c>
      <c r="AS659" s="9">
        <f t="shared" si="532"/>
        <v>-2.125</v>
      </c>
      <c r="AT659" s="9">
        <f t="shared" si="533"/>
        <v>1.875</v>
      </c>
      <c r="AU659" s="9">
        <f t="shared" si="534"/>
        <v>3.25</v>
      </c>
      <c r="AV659" s="9">
        <f t="shared" si="535"/>
        <v>6.75</v>
      </c>
      <c r="AW659" s="9">
        <f t="shared" si="536"/>
        <v>4.9375</v>
      </c>
      <c r="AX659" s="9">
        <f t="shared" si="537"/>
        <v>3.375</v>
      </c>
      <c r="AY659" s="9">
        <f t="shared" si="538"/>
        <v>2.75</v>
      </c>
      <c r="AZ659" s="9">
        <f t="shared" si="539"/>
        <v>2.625</v>
      </c>
      <c r="BA659" s="9">
        <f t="shared" si="540"/>
        <v>3.625</v>
      </c>
      <c r="BB659" s="9">
        <f t="shared" si="541"/>
        <v>-3.75</v>
      </c>
      <c r="BC659" s="9">
        <f t="shared" si="542"/>
        <v>-0.125</v>
      </c>
      <c r="BD659" s="9">
        <f t="shared" si="543"/>
        <v>1.125</v>
      </c>
      <c r="BE659" s="9">
        <f t="shared" si="544"/>
        <v>3.5</v>
      </c>
      <c r="BF659" s="9">
        <f t="shared" si="545"/>
        <v>0.625</v>
      </c>
      <c r="BG659" s="9">
        <f t="shared" si="546"/>
        <v>-0.875</v>
      </c>
      <c r="BH659" s="9">
        <f t="shared" si="547"/>
        <v>-0.625</v>
      </c>
      <c r="BI659" s="9">
        <f t="shared" si="548"/>
        <v>-1.625</v>
      </c>
      <c r="BJ659" s="9">
        <f t="shared" si="549"/>
        <v>-0.375</v>
      </c>
    </row>
    <row r="660" spans="1:62" x14ac:dyDescent="0.2">
      <c r="A660" s="9">
        <f>data!M661-data!M660</f>
        <v>-0.69950000000000045</v>
      </c>
      <c r="B660" s="9">
        <f>data!C661-data!C660</f>
        <v>-2.9800000000000004</v>
      </c>
      <c r="C660" s="9">
        <f>data!D661-data!D660</f>
        <v>-0.66500000000000092</v>
      </c>
      <c r="D660" s="10">
        <f>data!B661-data!B660</f>
        <v>6.9999999999999951E-2</v>
      </c>
      <c r="E660" s="9">
        <f>data!E660-data!G660</f>
        <v>2.1659000000000002</v>
      </c>
      <c r="F660" s="9">
        <f>(data!E660-data!F660)-(data!G660-data!H660)</f>
        <v>0.71850000000000036</v>
      </c>
      <c r="G660" s="9">
        <f t="shared" si="500"/>
        <v>-1.1000000000000121E-2</v>
      </c>
      <c r="H660" s="9">
        <f t="shared" si="501"/>
        <v>-5.610000000000015E-2</v>
      </c>
      <c r="I660" s="9">
        <f>IF(data!M661&gt; 111.81,1,0)</f>
        <v>0</v>
      </c>
      <c r="J660" s="9">
        <f t="shared" si="502"/>
        <v>1</v>
      </c>
      <c r="K660" s="9">
        <f t="shared" si="503"/>
        <v>0</v>
      </c>
      <c r="L660" s="9">
        <f t="shared" si="504"/>
        <v>-0.69950000000000045</v>
      </c>
      <c r="M660" s="9">
        <f>data!J660</f>
        <v>-50.75</v>
      </c>
      <c r="N660" s="9">
        <f>data!I660</f>
        <v>-63.5625</v>
      </c>
      <c r="O660" s="9">
        <f>data!L660</f>
        <v>-65.0625</v>
      </c>
      <c r="P660" s="9">
        <f>data!K660</f>
        <v>-60</v>
      </c>
      <c r="Q660" s="9">
        <f>data!R660</f>
        <v>-55.625</v>
      </c>
      <c r="R660" s="9">
        <f t="shared" si="505"/>
        <v>-1.625</v>
      </c>
      <c r="S660" s="9">
        <f t="shared" si="506"/>
        <v>-0.75</v>
      </c>
      <c r="T660" s="9">
        <f t="shared" si="507"/>
        <v>4</v>
      </c>
      <c r="U660" s="9">
        <f t="shared" si="508"/>
        <v>6.4375</v>
      </c>
      <c r="V660" s="9">
        <f t="shared" si="509"/>
        <v>5.75</v>
      </c>
      <c r="W660" s="9">
        <f t="shared" si="510"/>
        <v>4.75</v>
      </c>
      <c r="X660" s="9">
        <f t="shared" si="511"/>
        <v>3.5</v>
      </c>
      <c r="Y660" s="9">
        <f t="shared" si="512"/>
        <v>2.875</v>
      </c>
      <c r="Z660" s="9">
        <f t="shared" si="513"/>
        <v>2.25</v>
      </c>
      <c r="AA660" s="9">
        <f t="shared" si="514"/>
        <v>-0.5625</v>
      </c>
      <c r="AB660" s="9">
        <f t="shared" si="515"/>
        <v>0.5625</v>
      </c>
      <c r="AC660" s="9">
        <f t="shared" si="516"/>
        <v>4.6875</v>
      </c>
      <c r="AD660" s="9">
        <f t="shared" si="517"/>
        <v>4.8125</v>
      </c>
      <c r="AE660" s="9">
        <f t="shared" si="518"/>
        <v>2.9375</v>
      </c>
      <c r="AF660" s="9">
        <f t="shared" si="519"/>
        <v>2.3125</v>
      </c>
      <c r="AG660" s="9">
        <f t="shared" si="520"/>
        <v>2.1875</v>
      </c>
      <c r="AH660" s="9">
        <f t="shared" si="521"/>
        <v>2.1875</v>
      </c>
      <c r="AI660" s="9">
        <f t="shared" si="522"/>
        <v>0.625</v>
      </c>
      <c r="AJ660" s="9">
        <f t="shared" si="523"/>
        <v>3.3125</v>
      </c>
      <c r="AK660" s="9">
        <f t="shared" si="524"/>
        <v>4.5625</v>
      </c>
      <c r="AL660" s="9">
        <f t="shared" si="525"/>
        <v>9.6875</v>
      </c>
      <c r="AM660" s="9">
        <f t="shared" si="526"/>
        <v>8.3125</v>
      </c>
      <c r="AN660" s="9">
        <f t="shared" si="527"/>
        <v>6.0625</v>
      </c>
      <c r="AO660" s="9">
        <f t="shared" si="528"/>
        <v>4.6875</v>
      </c>
      <c r="AP660" s="9">
        <f t="shared" si="529"/>
        <v>4.1875</v>
      </c>
      <c r="AQ660" s="9">
        <f t="shared" si="530"/>
        <v>4.9375</v>
      </c>
      <c r="AR660" s="9">
        <f t="shared" si="531"/>
        <v>3.6875</v>
      </c>
      <c r="AS660" s="9">
        <f t="shared" si="532"/>
        <v>4</v>
      </c>
      <c r="AT660" s="9">
        <f t="shared" si="533"/>
        <v>5.375</v>
      </c>
      <c r="AU660" s="9">
        <f t="shared" si="534"/>
        <v>8.875</v>
      </c>
      <c r="AV660" s="9">
        <f t="shared" si="535"/>
        <v>7.0625</v>
      </c>
      <c r="AW660" s="9">
        <f t="shared" si="536"/>
        <v>5.5</v>
      </c>
      <c r="AX660" s="9">
        <f t="shared" si="537"/>
        <v>4.875</v>
      </c>
      <c r="AY660" s="9">
        <f t="shared" si="538"/>
        <v>4.75</v>
      </c>
      <c r="AZ660" s="9">
        <f t="shared" si="539"/>
        <v>5.75</v>
      </c>
      <c r="BA660" s="9">
        <f t="shared" si="540"/>
        <v>4.5</v>
      </c>
      <c r="BB660" s="9">
        <f t="shared" si="541"/>
        <v>3.625</v>
      </c>
      <c r="BC660" s="9">
        <f t="shared" si="542"/>
        <v>4.875</v>
      </c>
      <c r="BD660" s="9">
        <f t="shared" si="543"/>
        <v>7.25</v>
      </c>
      <c r="BE660" s="9">
        <f t="shared" si="544"/>
        <v>4.375</v>
      </c>
      <c r="BF660" s="9">
        <f t="shared" si="545"/>
        <v>2.875</v>
      </c>
      <c r="BG660" s="9">
        <f t="shared" si="546"/>
        <v>3.125</v>
      </c>
      <c r="BH660" s="9">
        <f t="shared" si="547"/>
        <v>2.125</v>
      </c>
      <c r="BI660" s="9">
        <f t="shared" si="548"/>
        <v>3.375</v>
      </c>
      <c r="BJ660" s="9">
        <f t="shared" si="549"/>
        <v>2.125</v>
      </c>
    </row>
    <row r="661" spans="1:62" x14ac:dyDescent="0.2">
      <c r="A661" s="9">
        <f>data!M662-data!M661</f>
        <v>-0.29110000000000014</v>
      </c>
      <c r="B661" s="9">
        <f>data!C662-data!C661</f>
        <v>-1.1499999999999986</v>
      </c>
      <c r="C661" s="9">
        <f>data!D662-data!D661</f>
        <v>0.20750000000000135</v>
      </c>
      <c r="D661" s="10">
        <f>data!B662-data!B661</f>
        <v>-2.2499999999999964E-2</v>
      </c>
      <c r="E661" s="9">
        <f>data!E661-data!G661</f>
        <v>2.1549</v>
      </c>
      <c r="F661" s="9">
        <f>(data!E661-data!F661)-(data!G661-data!H661)</f>
        <v>0.66240000000000021</v>
      </c>
      <c r="G661" s="9">
        <f t="shared" si="500"/>
        <v>1.980000000000004E-2</v>
      </c>
      <c r="H661" s="9">
        <f t="shared" si="501"/>
        <v>-1.7000000000001458E-3</v>
      </c>
      <c r="I661" s="9">
        <f>IF(data!M662&gt; 111.81,1,0)</f>
        <v>0</v>
      </c>
      <c r="J661" s="9">
        <f t="shared" si="502"/>
        <v>1</v>
      </c>
      <c r="K661" s="9">
        <f t="shared" si="503"/>
        <v>0</v>
      </c>
      <c r="L661" s="9">
        <f t="shared" si="504"/>
        <v>-0.29110000000000014</v>
      </c>
      <c r="M661" s="9">
        <f>data!J661</f>
        <v>-52.375</v>
      </c>
      <c r="N661" s="9">
        <f>data!I661</f>
        <v>-64.125</v>
      </c>
      <c r="O661" s="9">
        <f>data!L661</f>
        <v>-61.75</v>
      </c>
      <c r="P661" s="9">
        <f>data!K661</f>
        <v>-56</v>
      </c>
      <c r="Q661" s="9">
        <f>data!R661</f>
        <v>-52</v>
      </c>
      <c r="R661" s="9">
        <f t="shared" si="505"/>
        <v>0.875</v>
      </c>
      <c r="S661" s="9">
        <f t="shared" si="506"/>
        <v>5.625</v>
      </c>
      <c r="T661" s="9">
        <f t="shared" si="507"/>
        <v>8.0625</v>
      </c>
      <c r="U661" s="9">
        <f t="shared" si="508"/>
        <v>7.375</v>
      </c>
      <c r="V661" s="9">
        <f t="shared" si="509"/>
        <v>6.375</v>
      </c>
      <c r="W661" s="9">
        <f t="shared" si="510"/>
        <v>5.125</v>
      </c>
      <c r="X661" s="9">
        <f t="shared" si="511"/>
        <v>4.5</v>
      </c>
      <c r="Y661" s="9">
        <f t="shared" si="512"/>
        <v>3.875</v>
      </c>
      <c r="Z661" s="9">
        <f t="shared" si="513"/>
        <v>4</v>
      </c>
      <c r="AA661" s="9">
        <f t="shared" si="514"/>
        <v>1.125</v>
      </c>
      <c r="AB661" s="9">
        <f t="shared" si="515"/>
        <v>5.25</v>
      </c>
      <c r="AC661" s="9">
        <f t="shared" si="516"/>
        <v>5.375</v>
      </c>
      <c r="AD661" s="9">
        <f t="shared" si="517"/>
        <v>3.5</v>
      </c>
      <c r="AE661" s="9">
        <f t="shared" si="518"/>
        <v>2.875</v>
      </c>
      <c r="AF661" s="9">
        <f t="shared" si="519"/>
        <v>2.75</v>
      </c>
      <c r="AG661" s="9">
        <f t="shared" si="520"/>
        <v>2.75</v>
      </c>
      <c r="AH661" s="9">
        <f t="shared" si="521"/>
        <v>1.1875</v>
      </c>
      <c r="AI661" s="9">
        <f t="shared" si="522"/>
        <v>0.625</v>
      </c>
      <c r="AJ661" s="9">
        <f t="shared" si="523"/>
        <v>1.25</v>
      </c>
      <c r="AK661" s="9">
        <f t="shared" si="524"/>
        <v>6.375</v>
      </c>
      <c r="AL661" s="9">
        <f t="shared" si="525"/>
        <v>5</v>
      </c>
      <c r="AM661" s="9">
        <f t="shared" si="526"/>
        <v>2.75</v>
      </c>
      <c r="AN661" s="9">
        <f t="shared" si="527"/>
        <v>1.375</v>
      </c>
      <c r="AO661" s="9">
        <f t="shared" si="528"/>
        <v>0.875</v>
      </c>
      <c r="AP661" s="9">
        <f t="shared" si="529"/>
        <v>1.625</v>
      </c>
      <c r="AQ661" s="9">
        <f t="shared" si="530"/>
        <v>0.375</v>
      </c>
      <c r="AR661" s="9">
        <f t="shared" si="531"/>
        <v>-1</v>
      </c>
      <c r="AS661" s="9">
        <f t="shared" si="532"/>
        <v>1.375</v>
      </c>
      <c r="AT661" s="9">
        <f t="shared" si="533"/>
        <v>4.875</v>
      </c>
      <c r="AU661" s="9">
        <f t="shared" si="534"/>
        <v>3.0625</v>
      </c>
      <c r="AV661" s="9">
        <f t="shared" si="535"/>
        <v>1.5</v>
      </c>
      <c r="AW661" s="9">
        <f t="shared" si="536"/>
        <v>0.875</v>
      </c>
      <c r="AX661" s="9">
        <f t="shared" si="537"/>
        <v>0.75</v>
      </c>
      <c r="AY661" s="9">
        <f t="shared" si="538"/>
        <v>1.75</v>
      </c>
      <c r="AZ661" s="9">
        <f t="shared" si="539"/>
        <v>0.5</v>
      </c>
      <c r="BA661" s="9">
        <f t="shared" si="540"/>
        <v>-1</v>
      </c>
      <c r="BB661" s="9">
        <f t="shared" si="541"/>
        <v>1.25</v>
      </c>
      <c r="BC661" s="9">
        <f t="shared" si="542"/>
        <v>3.625</v>
      </c>
      <c r="BD661" s="9">
        <f t="shared" si="543"/>
        <v>0.75</v>
      </c>
      <c r="BE661" s="9">
        <f t="shared" si="544"/>
        <v>-0.75</v>
      </c>
      <c r="BF661" s="9">
        <f t="shared" si="545"/>
        <v>-0.5</v>
      </c>
      <c r="BG661" s="9">
        <f t="shared" si="546"/>
        <v>-1.5</v>
      </c>
      <c r="BH661" s="9">
        <f t="shared" si="547"/>
        <v>-0.25</v>
      </c>
      <c r="BI661" s="9">
        <f t="shared" si="548"/>
        <v>-1.5</v>
      </c>
      <c r="BJ661" s="9">
        <f t="shared" si="549"/>
        <v>-3.125</v>
      </c>
    </row>
    <row r="662" spans="1:62" x14ac:dyDescent="0.2">
      <c r="A662" s="9">
        <f>data!M663-data!M662</f>
        <v>-1.2423999999999893</v>
      </c>
      <c r="B662" s="9">
        <f>data!C663-data!C662</f>
        <v>1.9899999999999984</v>
      </c>
      <c r="C662" s="9">
        <f>data!D663-data!D662</f>
        <v>1</v>
      </c>
      <c r="D662" s="10">
        <f>data!B663-data!B662</f>
        <v>0.17249999999999999</v>
      </c>
      <c r="E662" s="9">
        <f>data!E662-data!G662</f>
        <v>2.1747000000000001</v>
      </c>
      <c r="F662" s="9">
        <f>(data!E662-data!F662)-(data!G662-data!H662)</f>
        <v>0.66070000000000007</v>
      </c>
      <c r="G662" s="9">
        <f t="shared" si="500"/>
        <v>-0.11900000000000022</v>
      </c>
      <c r="H662" s="9">
        <f t="shared" si="501"/>
        <v>-3.1000000000000139E-2</v>
      </c>
      <c r="I662" s="9">
        <f>IF(data!M663&gt; 111.81,1,0)</f>
        <v>0</v>
      </c>
      <c r="J662" s="9">
        <f t="shared" si="502"/>
        <v>1</v>
      </c>
      <c r="K662" s="9">
        <f t="shared" si="503"/>
        <v>0</v>
      </c>
      <c r="L662" s="9">
        <f t="shared" si="504"/>
        <v>-1.2423999999999893</v>
      </c>
      <c r="M662" s="9">
        <f>data!J662</f>
        <v>-51.5</v>
      </c>
      <c r="N662" s="9">
        <f>data!I662</f>
        <v>-63</v>
      </c>
      <c r="O662" s="9">
        <f>data!L662</f>
        <v>-60.5</v>
      </c>
      <c r="P662" s="9">
        <f>data!K662</f>
        <v>-54.625</v>
      </c>
      <c r="Q662" s="9">
        <f>data!R662</f>
        <v>-50.75</v>
      </c>
      <c r="R662" s="9">
        <f t="shared" si="505"/>
        <v>4.75</v>
      </c>
      <c r="S662" s="9">
        <f t="shared" si="506"/>
        <v>7.1875</v>
      </c>
      <c r="T662" s="9">
        <f t="shared" si="507"/>
        <v>6.5</v>
      </c>
      <c r="U662" s="9">
        <f t="shared" si="508"/>
        <v>5.5</v>
      </c>
      <c r="V662" s="9">
        <f t="shared" si="509"/>
        <v>4.25</v>
      </c>
      <c r="W662" s="9">
        <f t="shared" si="510"/>
        <v>3.625</v>
      </c>
      <c r="X662" s="9">
        <f t="shared" si="511"/>
        <v>3</v>
      </c>
      <c r="Y662" s="9">
        <f t="shared" si="512"/>
        <v>3.125</v>
      </c>
      <c r="Z662" s="9">
        <f t="shared" si="513"/>
        <v>1.375</v>
      </c>
      <c r="AA662" s="9">
        <f t="shared" si="514"/>
        <v>4.125</v>
      </c>
      <c r="AB662" s="9">
        <f t="shared" si="515"/>
        <v>4.25</v>
      </c>
      <c r="AC662" s="9">
        <f t="shared" si="516"/>
        <v>2.375</v>
      </c>
      <c r="AD662" s="9">
        <f t="shared" si="517"/>
        <v>1.75</v>
      </c>
      <c r="AE662" s="9">
        <f t="shared" si="518"/>
        <v>1.625</v>
      </c>
      <c r="AF662" s="9">
        <f t="shared" si="519"/>
        <v>1.625</v>
      </c>
      <c r="AG662" s="9">
        <f t="shared" si="520"/>
        <v>6.25E-2</v>
      </c>
      <c r="AH662" s="9">
        <f t="shared" si="521"/>
        <v>-0.5</v>
      </c>
      <c r="AI662" s="9">
        <f t="shared" si="522"/>
        <v>-0.5</v>
      </c>
      <c r="AJ662" s="9">
        <f t="shared" si="523"/>
        <v>5.125</v>
      </c>
      <c r="AK662" s="9">
        <f t="shared" si="524"/>
        <v>3.75</v>
      </c>
      <c r="AL662" s="9">
        <f t="shared" si="525"/>
        <v>1.5</v>
      </c>
      <c r="AM662" s="9">
        <f t="shared" si="526"/>
        <v>0.125</v>
      </c>
      <c r="AN662" s="9">
        <f t="shared" si="527"/>
        <v>-0.375</v>
      </c>
      <c r="AO662" s="9">
        <f t="shared" si="528"/>
        <v>0.375</v>
      </c>
      <c r="AP662" s="9">
        <f t="shared" si="529"/>
        <v>-0.875</v>
      </c>
      <c r="AQ662" s="9">
        <f t="shared" si="530"/>
        <v>-2.25</v>
      </c>
      <c r="AR662" s="9">
        <f t="shared" si="531"/>
        <v>-2.25</v>
      </c>
      <c r="AS662" s="9">
        <f t="shared" si="532"/>
        <v>3.5</v>
      </c>
      <c r="AT662" s="9">
        <f t="shared" si="533"/>
        <v>1.6875</v>
      </c>
      <c r="AU662" s="9">
        <f t="shared" si="534"/>
        <v>0.125</v>
      </c>
      <c r="AV662" s="9">
        <f t="shared" si="535"/>
        <v>-0.5</v>
      </c>
      <c r="AW662" s="9">
        <f t="shared" si="536"/>
        <v>-0.625</v>
      </c>
      <c r="AX662" s="9">
        <f t="shared" si="537"/>
        <v>0.375</v>
      </c>
      <c r="AY662" s="9">
        <f t="shared" si="538"/>
        <v>-0.875</v>
      </c>
      <c r="AZ662" s="9">
        <f t="shared" si="539"/>
        <v>-2.375</v>
      </c>
      <c r="BA662" s="9">
        <f t="shared" si="540"/>
        <v>-4.625</v>
      </c>
      <c r="BB662" s="9">
        <f t="shared" si="541"/>
        <v>2.375</v>
      </c>
      <c r="BC662" s="9">
        <f t="shared" si="542"/>
        <v>-0.5</v>
      </c>
      <c r="BD662" s="9">
        <f t="shared" si="543"/>
        <v>-2</v>
      </c>
      <c r="BE662" s="9">
        <f t="shared" si="544"/>
        <v>-1.75</v>
      </c>
      <c r="BF662" s="9">
        <f t="shared" si="545"/>
        <v>-2.75</v>
      </c>
      <c r="BG662" s="9">
        <f t="shared" si="546"/>
        <v>-1.5</v>
      </c>
      <c r="BH662" s="9">
        <f t="shared" si="547"/>
        <v>-2.75</v>
      </c>
      <c r="BI662" s="9">
        <f t="shared" si="548"/>
        <v>-4.375</v>
      </c>
      <c r="BJ662" s="9">
        <f t="shared" si="549"/>
        <v>-6.25</v>
      </c>
    </row>
    <row r="663" spans="1:62" x14ac:dyDescent="0.2">
      <c r="A663" s="9">
        <f>data!M664-data!M663</f>
        <v>0.50669999999999504</v>
      </c>
      <c r="B663" s="9">
        <f>data!C664-data!C663</f>
        <v>-1.9499999999999993</v>
      </c>
      <c r="C663" s="9">
        <f>data!D664-data!D663</f>
        <v>-0.34250000000000114</v>
      </c>
      <c r="D663" s="10">
        <f>data!B664-data!B663</f>
        <v>-2.5000000000000022E-2</v>
      </c>
      <c r="E663" s="9">
        <f>data!E663-data!G663</f>
        <v>2.0556999999999999</v>
      </c>
      <c r="F663" s="9">
        <f>(data!E663-data!F663)-(data!G663-data!H663)</f>
        <v>0.62969999999999993</v>
      </c>
      <c r="G663" s="9">
        <f t="shared" si="500"/>
        <v>0.12660000000000027</v>
      </c>
      <c r="H663" s="9">
        <f t="shared" si="501"/>
        <v>2.3300000000000098E-2</v>
      </c>
      <c r="I663" s="9">
        <f>IF(data!M664&gt; 111.81,1,0)</f>
        <v>0</v>
      </c>
      <c r="J663" s="9">
        <f t="shared" si="502"/>
        <v>1</v>
      </c>
      <c r="K663" s="9">
        <f t="shared" si="503"/>
        <v>0</v>
      </c>
      <c r="L663" s="9">
        <f t="shared" si="504"/>
        <v>0.50669999999999504</v>
      </c>
      <c r="M663" s="9">
        <f>data!J663</f>
        <v>-46.75</v>
      </c>
      <c r="N663" s="9">
        <f>data!I663</f>
        <v>-58.875</v>
      </c>
      <c r="O663" s="9">
        <f>data!L663</f>
        <v>-55.375</v>
      </c>
      <c r="P663" s="9">
        <f>data!K663</f>
        <v>-51.125</v>
      </c>
      <c r="Q663" s="9">
        <f>data!R663</f>
        <v>-48.375</v>
      </c>
      <c r="R663" s="9">
        <f t="shared" si="505"/>
        <v>2.4375</v>
      </c>
      <c r="S663" s="9">
        <f t="shared" si="506"/>
        <v>1.75</v>
      </c>
      <c r="T663" s="9">
        <f t="shared" si="507"/>
        <v>0.75</v>
      </c>
      <c r="U663" s="9">
        <f t="shared" si="508"/>
        <v>-0.5</v>
      </c>
      <c r="V663" s="9">
        <f t="shared" si="509"/>
        <v>-1.125</v>
      </c>
      <c r="W663" s="9">
        <f t="shared" si="510"/>
        <v>-1.75</v>
      </c>
      <c r="X663" s="9">
        <f t="shared" si="511"/>
        <v>-1.625</v>
      </c>
      <c r="Y663" s="9">
        <f t="shared" si="512"/>
        <v>-3.375</v>
      </c>
      <c r="Z663" s="9">
        <f t="shared" si="513"/>
        <v>-3</v>
      </c>
      <c r="AA663" s="9">
        <f t="shared" si="514"/>
        <v>0.125</v>
      </c>
      <c r="AB663" s="9">
        <f t="shared" si="515"/>
        <v>-1.75</v>
      </c>
      <c r="AC663" s="9">
        <f t="shared" si="516"/>
        <v>-2.375</v>
      </c>
      <c r="AD663" s="9">
        <f t="shared" si="517"/>
        <v>-2.5</v>
      </c>
      <c r="AE663" s="9">
        <f t="shared" si="518"/>
        <v>-2.5</v>
      </c>
      <c r="AF663" s="9">
        <f t="shared" si="519"/>
        <v>-4.0625</v>
      </c>
      <c r="AG663" s="9">
        <f t="shared" si="520"/>
        <v>-4.625</v>
      </c>
      <c r="AH663" s="9">
        <f t="shared" si="521"/>
        <v>-4.625</v>
      </c>
      <c r="AI663" s="9">
        <f t="shared" si="522"/>
        <v>-4.625</v>
      </c>
      <c r="AJ663" s="9">
        <f t="shared" si="523"/>
        <v>-1.375</v>
      </c>
      <c r="AK663" s="9">
        <f t="shared" si="524"/>
        <v>-3.625</v>
      </c>
      <c r="AL663" s="9">
        <f t="shared" si="525"/>
        <v>-5</v>
      </c>
      <c r="AM663" s="9">
        <f t="shared" si="526"/>
        <v>-5.5</v>
      </c>
      <c r="AN663" s="9">
        <f t="shared" si="527"/>
        <v>-4.75</v>
      </c>
      <c r="AO663" s="9">
        <f t="shared" si="528"/>
        <v>-6</v>
      </c>
      <c r="AP663" s="9">
        <f t="shared" si="529"/>
        <v>-7.375</v>
      </c>
      <c r="AQ663" s="9">
        <f t="shared" si="530"/>
        <v>-7.375</v>
      </c>
      <c r="AR663" s="9">
        <f t="shared" si="531"/>
        <v>-8.125</v>
      </c>
      <c r="AS663" s="9">
        <f t="shared" si="532"/>
        <v>-1.8125</v>
      </c>
      <c r="AT663" s="9">
        <f t="shared" si="533"/>
        <v>-3.375</v>
      </c>
      <c r="AU663" s="9">
        <f t="shared" si="534"/>
        <v>-4</v>
      </c>
      <c r="AV663" s="9">
        <f t="shared" si="535"/>
        <v>-4.125</v>
      </c>
      <c r="AW663" s="9">
        <f t="shared" si="536"/>
        <v>-3.125</v>
      </c>
      <c r="AX663" s="9">
        <f t="shared" si="537"/>
        <v>-4.375</v>
      </c>
      <c r="AY663" s="9">
        <f t="shared" si="538"/>
        <v>-5.875</v>
      </c>
      <c r="AZ663" s="9">
        <f t="shared" si="539"/>
        <v>-8.125</v>
      </c>
      <c r="BA663" s="9">
        <f t="shared" si="540"/>
        <v>-8.125</v>
      </c>
      <c r="BB663" s="9">
        <f t="shared" si="541"/>
        <v>-2.875</v>
      </c>
      <c r="BC663" s="9">
        <f t="shared" si="542"/>
        <v>-4.375</v>
      </c>
      <c r="BD663" s="9">
        <f t="shared" si="543"/>
        <v>-4.125</v>
      </c>
      <c r="BE663" s="9">
        <f t="shared" si="544"/>
        <v>-5.125</v>
      </c>
      <c r="BF663" s="9">
        <f t="shared" si="545"/>
        <v>-3.875</v>
      </c>
      <c r="BG663" s="9">
        <f t="shared" si="546"/>
        <v>-5.125</v>
      </c>
      <c r="BH663" s="9">
        <f t="shared" si="547"/>
        <v>-6.75</v>
      </c>
      <c r="BI663" s="9">
        <f t="shared" si="548"/>
        <v>-8.625</v>
      </c>
      <c r="BJ663" s="9">
        <f t="shared" si="549"/>
        <v>-8.875</v>
      </c>
    </row>
    <row r="664" spans="1:62" x14ac:dyDescent="0.2">
      <c r="A664" s="9">
        <f>data!M665-data!M664</f>
        <v>0.43949999999999534</v>
      </c>
      <c r="B664" s="9">
        <f>data!C665-data!C664</f>
        <v>-0.58000000000000007</v>
      </c>
      <c r="C664" s="9">
        <f>data!D665-data!D664</f>
        <v>0.44500000000000028</v>
      </c>
      <c r="D664" s="10">
        <f>data!B665-data!B664</f>
        <v>5.0000000000000044E-3</v>
      </c>
      <c r="E664" s="9">
        <f>data!E664-data!G664</f>
        <v>2.1823000000000001</v>
      </c>
      <c r="F664" s="9">
        <f>(data!E664-data!F664)-(data!G664-data!H664)</f>
        <v>0.65300000000000002</v>
      </c>
      <c r="G664" s="9">
        <f t="shared" si="500"/>
        <v>4.8599999999999532E-2</v>
      </c>
      <c r="H664" s="9">
        <f t="shared" si="501"/>
        <v>6.8999999999996842E-3</v>
      </c>
      <c r="I664" s="9">
        <f>IF(data!M665&gt; 111.81,1,0)</f>
        <v>0</v>
      </c>
      <c r="J664" s="9">
        <f t="shared" si="502"/>
        <v>1</v>
      </c>
      <c r="K664" s="9">
        <f t="shared" si="503"/>
        <v>0</v>
      </c>
      <c r="L664" s="9">
        <f t="shared" si="504"/>
        <v>0.43949999999999534</v>
      </c>
      <c r="M664" s="9">
        <f>data!J664</f>
        <v>-44.3125</v>
      </c>
      <c r="N664" s="9">
        <f>data!I664</f>
        <v>-58.75</v>
      </c>
      <c r="O664" s="9">
        <f>data!L664</f>
        <v>-56.75</v>
      </c>
      <c r="P664" s="9">
        <f>data!K664</f>
        <v>-52.9375</v>
      </c>
      <c r="Q664" s="9">
        <f>data!R664</f>
        <v>-51.25</v>
      </c>
      <c r="R664" s="9">
        <f t="shared" si="505"/>
        <v>-0.6875</v>
      </c>
      <c r="S664" s="9">
        <f t="shared" si="506"/>
        <v>-1.6875</v>
      </c>
      <c r="T664" s="9">
        <f t="shared" si="507"/>
        <v>-2.9375</v>
      </c>
      <c r="U664" s="9">
        <f t="shared" si="508"/>
        <v>-3.5625</v>
      </c>
      <c r="V664" s="9">
        <f t="shared" si="509"/>
        <v>-4.1875</v>
      </c>
      <c r="W664" s="9">
        <f t="shared" si="510"/>
        <v>-4.0625</v>
      </c>
      <c r="X664" s="9">
        <f t="shared" si="511"/>
        <v>-5.8125</v>
      </c>
      <c r="Y664" s="9">
        <f t="shared" si="512"/>
        <v>-5.4375</v>
      </c>
      <c r="Z664" s="9">
        <f t="shared" si="513"/>
        <v>-3.4375</v>
      </c>
      <c r="AA664" s="9">
        <f t="shared" si="514"/>
        <v>-1.875</v>
      </c>
      <c r="AB664" s="9">
        <f t="shared" si="515"/>
        <v>-2.5</v>
      </c>
      <c r="AC664" s="9">
        <f t="shared" si="516"/>
        <v>-2.625</v>
      </c>
      <c r="AD664" s="9">
        <f t="shared" si="517"/>
        <v>-2.625</v>
      </c>
      <c r="AE664" s="9">
        <f t="shared" si="518"/>
        <v>-4.1875</v>
      </c>
      <c r="AF664" s="9">
        <f t="shared" si="519"/>
        <v>-4.75</v>
      </c>
      <c r="AG664" s="9">
        <f t="shared" si="520"/>
        <v>-4.75</v>
      </c>
      <c r="AH664" s="9">
        <f t="shared" si="521"/>
        <v>-4.75</v>
      </c>
      <c r="AI664" s="9">
        <f t="shared" si="522"/>
        <v>-4.3125</v>
      </c>
      <c r="AJ664" s="9">
        <f t="shared" si="523"/>
        <v>-2.25</v>
      </c>
      <c r="AK664" s="9">
        <f t="shared" si="524"/>
        <v>-3.625</v>
      </c>
      <c r="AL664" s="9">
        <f t="shared" si="525"/>
        <v>-4.125</v>
      </c>
      <c r="AM664" s="9">
        <f t="shared" si="526"/>
        <v>-3.375</v>
      </c>
      <c r="AN664" s="9">
        <f t="shared" si="527"/>
        <v>-4.625</v>
      </c>
      <c r="AO664" s="9">
        <f t="shared" si="528"/>
        <v>-6</v>
      </c>
      <c r="AP664" s="9">
        <f t="shared" si="529"/>
        <v>-6</v>
      </c>
      <c r="AQ664" s="9">
        <f t="shared" si="530"/>
        <v>-6.75</v>
      </c>
      <c r="AR664" s="9">
        <f t="shared" si="531"/>
        <v>-5.5</v>
      </c>
      <c r="AS664" s="9">
        <f t="shared" si="532"/>
        <v>-1.5625</v>
      </c>
      <c r="AT664" s="9">
        <f t="shared" si="533"/>
        <v>-2.1875</v>
      </c>
      <c r="AU664" s="9">
        <f t="shared" si="534"/>
        <v>-2.3125</v>
      </c>
      <c r="AV664" s="9">
        <f t="shared" si="535"/>
        <v>-1.3125</v>
      </c>
      <c r="AW664" s="9">
        <f t="shared" si="536"/>
        <v>-2.5625</v>
      </c>
      <c r="AX664" s="9">
        <f t="shared" si="537"/>
        <v>-4.0625</v>
      </c>
      <c r="AY664" s="9">
        <f t="shared" si="538"/>
        <v>-6.3125</v>
      </c>
      <c r="AZ664" s="9">
        <f t="shared" si="539"/>
        <v>-6.3125</v>
      </c>
      <c r="BA664" s="9">
        <f t="shared" si="540"/>
        <v>-4.6875</v>
      </c>
      <c r="BB664" s="9">
        <f t="shared" si="541"/>
        <v>-1.5</v>
      </c>
      <c r="BC664" s="9">
        <f t="shared" si="542"/>
        <v>-1.25</v>
      </c>
      <c r="BD664" s="9">
        <f t="shared" si="543"/>
        <v>-2.25</v>
      </c>
      <c r="BE664" s="9">
        <f t="shared" si="544"/>
        <v>-1</v>
      </c>
      <c r="BF664" s="9">
        <f t="shared" si="545"/>
        <v>-2.25</v>
      </c>
      <c r="BG664" s="9">
        <f t="shared" si="546"/>
        <v>-3.875</v>
      </c>
      <c r="BH664" s="9">
        <f t="shared" si="547"/>
        <v>-5.75</v>
      </c>
      <c r="BI664" s="9">
        <f t="shared" si="548"/>
        <v>-6</v>
      </c>
      <c r="BJ664" s="9">
        <f t="shared" si="549"/>
        <v>-4.75</v>
      </c>
    </row>
    <row r="665" spans="1:62" x14ac:dyDescent="0.2">
      <c r="A665" s="9">
        <f>data!M666-data!M665</f>
        <v>1.332499999999996</v>
      </c>
      <c r="B665" s="9">
        <f>data!C666-data!C665</f>
        <v>-8.0000000000000071E-2</v>
      </c>
      <c r="C665" s="9">
        <f>data!D666-data!D665</f>
        <v>-4.9999999999998934E-2</v>
      </c>
      <c r="D665" s="10">
        <f>data!B666-data!B665</f>
        <v>-2.5000000000000577E-3</v>
      </c>
      <c r="E665" s="9">
        <f>data!E665-data!G665</f>
        <v>2.2308999999999997</v>
      </c>
      <c r="F665" s="9">
        <f>(data!E665-data!F665)-(data!G665-data!H665)</f>
        <v>0.65989999999999971</v>
      </c>
      <c r="G665" s="9">
        <f t="shared" si="500"/>
        <v>4.2700000000000404E-2</v>
      </c>
      <c r="H665" s="9">
        <f t="shared" si="501"/>
        <v>5.0000000000005596E-3</v>
      </c>
      <c r="I665" s="9">
        <f>IF(data!M666&gt; 111.81,1,0)</f>
        <v>0</v>
      </c>
      <c r="J665" s="9">
        <f t="shared" si="502"/>
        <v>1</v>
      </c>
      <c r="K665" s="9">
        <f t="shared" si="503"/>
        <v>0</v>
      </c>
      <c r="L665" s="9">
        <f t="shared" si="504"/>
        <v>1.332499999999996</v>
      </c>
      <c r="M665" s="9">
        <f>data!J665</f>
        <v>-45</v>
      </c>
      <c r="N665" s="9">
        <f>data!I665</f>
        <v>-60.625</v>
      </c>
      <c r="O665" s="9">
        <f>data!L665</f>
        <v>-59</v>
      </c>
      <c r="P665" s="9">
        <f>data!K665</f>
        <v>-54.5</v>
      </c>
      <c r="Q665" s="9">
        <f>data!R665</f>
        <v>-52.75</v>
      </c>
      <c r="R665" s="9">
        <f t="shared" si="505"/>
        <v>-1</v>
      </c>
      <c r="S665" s="9">
        <f t="shared" si="506"/>
        <v>-2.25</v>
      </c>
      <c r="T665" s="9">
        <f t="shared" si="507"/>
        <v>-2.875</v>
      </c>
      <c r="U665" s="9">
        <f t="shared" si="508"/>
        <v>-3.5</v>
      </c>
      <c r="V665" s="9">
        <f t="shared" si="509"/>
        <v>-3.375</v>
      </c>
      <c r="W665" s="9">
        <f t="shared" si="510"/>
        <v>-5.125</v>
      </c>
      <c r="X665" s="9">
        <f t="shared" si="511"/>
        <v>-4.75</v>
      </c>
      <c r="Y665" s="9">
        <f t="shared" si="512"/>
        <v>-2.75</v>
      </c>
      <c r="Z665" s="9">
        <f t="shared" si="513"/>
        <v>-1.25</v>
      </c>
      <c r="AA665" s="9">
        <f t="shared" si="514"/>
        <v>-0.625</v>
      </c>
      <c r="AB665" s="9">
        <f t="shared" si="515"/>
        <v>-0.75</v>
      </c>
      <c r="AC665" s="9">
        <f t="shared" si="516"/>
        <v>-0.75</v>
      </c>
      <c r="AD665" s="9">
        <f t="shared" si="517"/>
        <v>-2.3125</v>
      </c>
      <c r="AE665" s="9">
        <f t="shared" si="518"/>
        <v>-2.875</v>
      </c>
      <c r="AF665" s="9">
        <f t="shared" si="519"/>
        <v>-2.875</v>
      </c>
      <c r="AG665" s="9">
        <f t="shared" si="520"/>
        <v>-2.875</v>
      </c>
      <c r="AH665" s="9">
        <f t="shared" si="521"/>
        <v>-2.4375</v>
      </c>
      <c r="AI665" s="9">
        <f t="shared" si="522"/>
        <v>-1.25</v>
      </c>
      <c r="AJ665" s="9">
        <f t="shared" si="523"/>
        <v>-1.375</v>
      </c>
      <c r="AK665" s="9">
        <f t="shared" si="524"/>
        <v>-1.875</v>
      </c>
      <c r="AL665" s="9">
        <f t="shared" si="525"/>
        <v>-1.125</v>
      </c>
      <c r="AM665" s="9">
        <f t="shared" si="526"/>
        <v>-2.375</v>
      </c>
      <c r="AN665" s="9">
        <f t="shared" si="527"/>
        <v>-3.75</v>
      </c>
      <c r="AO665" s="9">
        <f t="shared" si="528"/>
        <v>-3.75</v>
      </c>
      <c r="AP665" s="9">
        <f t="shared" si="529"/>
        <v>-4.5</v>
      </c>
      <c r="AQ665" s="9">
        <f t="shared" si="530"/>
        <v>-3.25</v>
      </c>
      <c r="AR665" s="9">
        <f t="shared" si="531"/>
        <v>-2.75</v>
      </c>
      <c r="AS665" s="9">
        <f t="shared" si="532"/>
        <v>-0.625</v>
      </c>
      <c r="AT665" s="9">
        <f t="shared" si="533"/>
        <v>-0.75</v>
      </c>
      <c r="AU665" s="9">
        <f t="shared" si="534"/>
        <v>0.25</v>
      </c>
      <c r="AV665" s="9">
        <f t="shared" si="535"/>
        <v>-1</v>
      </c>
      <c r="AW665" s="9">
        <f t="shared" si="536"/>
        <v>-2.5</v>
      </c>
      <c r="AX665" s="9">
        <f t="shared" si="537"/>
        <v>-4.75</v>
      </c>
      <c r="AY665" s="9">
        <f t="shared" si="538"/>
        <v>-4.75</v>
      </c>
      <c r="AZ665" s="9">
        <f t="shared" si="539"/>
        <v>-3.125</v>
      </c>
      <c r="BA665" s="9">
        <f t="shared" si="540"/>
        <v>-2.125</v>
      </c>
      <c r="BB665" s="9">
        <f t="shared" si="541"/>
        <v>0.25</v>
      </c>
      <c r="BC665" s="9">
        <f t="shared" si="542"/>
        <v>-0.75</v>
      </c>
      <c r="BD665" s="9">
        <f t="shared" si="543"/>
        <v>0.5</v>
      </c>
      <c r="BE665" s="9">
        <f t="shared" si="544"/>
        <v>-0.75</v>
      </c>
      <c r="BF665" s="9">
        <f t="shared" si="545"/>
        <v>-2.375</v>
      </c>
      <c r="BG665" s="9">
        <f t="shared" si="546"/>
        <v>-4.25</v>
      </c>
      <c r="BH665" s="9">
        <f t="shared" si="547"/>
        <v>-4.5</v>
      </c>
      <c r="BI665" s="9">
        <f t="shared" si="548"/>
        <v>-3.25</v>
      </c>
      <c r="BJ665" s="9">
        <f t="shared" si="549"/>
        <v>-2.25</v>
      </c>
    </row>
    <row r="666" spans="1:62" x14ac:dyDescent="0.2">
      <c r="A666" s="9">
        <f>data!M667-data!M666</f>
        <v>0.6974000000000018</v>
      </c>
      <c r="B666" s="9">
        <f>data!C667-data!C666</f>
        <v>0.14000000000000057</v>
      </c>
      <c r="C666" s="9">
        <f>data!D667-data!D666</f>
        <v>-0.99000000000000021</v>
      </c>
      <c r="D666" s="10">
        <f>data!B667-data!B666</f>
        <v>1.0000000000000009E-2</v>
      </c>
      <c r="E666" s="9">
        <f>data!E666-data!G666</f>
        <v>2.2736000000000001</v>
      </c>
      <c r="F666" s="9">
        <f>(data!E666-data!F666)-(data!G666-data!H666)</f>
        <v>0.66490000000000027</v>
      </c>
      <c r="G666" s="9">
        <f t="shared" si="500"/>
        <v>3.4299999999999997E-2</v>
      </c>
      <c r="H666" s="9">
        <f t="shared" si="501"/>
        <v>-3.0000000000000027E-3</v>
      </c>
      <c r="I666" s="9">
        <f>IF(data!M667&gt; 111.81,1,0)</f>
        <v>0</v>
      </c>
      <c r="J666" s="9">
        <f t="shared" si="502"/>
        <v>1</v>
      </c>
      <c r="K666" s="9">
        <f t="shared" si="503"/>
        <v>0</v>
      </c>
      <c r="L666" s="9">
        <f t="shared" si="504"/>
        <v>0.6974000000000018</v>
      </c>
      <c r="M666" s="9">
        <f>data!J666</f>
        <v>-46</v>
      </c>
      <c r="N666" s="9">
        <f>data!I666</f>
        <v>-61.25</v>
      </c>
      <c r="O666" s="9">
        <f>data!L666</f>
        <v>-60.375</v>
      </c>
      <c r="P666" s="9">
        <f>data!K666</f>
        <v>-55.125</v>
      </c>
      <c r="Q666" s="9">
        <f>data!R666</f>
        <v>-52.5</v>
      </c>
      <c r="R666" s="9">
        <f t="shared" si="505"/>
        <v>-1.25</v>
      </c>
      <c r="S666" s="9">
        <f t="shared" si="506"/>
        <v>-1.875</v>
      </c>
      <c r="T666" s="9">
        <f t="shared" si="507"/>
        <v>-2.5</v>
      </c>
      <c r="U666" s="9">
        <f t="shared" si="508"/>
        <v>-2.375</v>
      </c>
      <c r="V666" s="9">
        <f t="shared" si="509"/>
        <v>-4.125</v>
      </c>
      <c r="W666" s="9">
        <f t="shared" si="510"/>
        <v>-3.75</v>
      </c>
      <c r="X666" s="9">
        <f t="shared" si="511"/>
        <v>-1.75</v>
      </c>
      <c r="Y666" s="9">
        <f t="shared" si="512"/>
        <v>-0.25</v>
      </c>
      <c r="Z666" s="9">
        <f t="shared" si="513"/>
        <v>0.375</v>
      </c>
      <c r="AA666" s="9">
        <f t="shared" si="514"/>
        <v>-0.125</v>
      </c>
      <c r="AB666" s="9">
        <f t="shared" si="515"/>
        <v>-0.125</v>
      </c>
      <c r="AC666" s="9">
        <f t="shared" si="516"/>
        <v>-1.6875</v>
      </c>
      <c r="AD666" s="9">
        <f t="shared" si="517"/>
        <v>-2.25</v>
      </c>
      <c r="AE666" s="9">
        <f t="shared" si="518"/>
        <v>-2.25</v>
      </c>
      <c r="AF666" s="9">
        <f t="shared" si="519"/>
        <v>-2.25</v>
      </c>
      <c r="AG666" s="9">
        <f t="shared" si="520"/>
        <v>-1.8125</v>
      </c>
      <c r="AH666" s="9">
        <f t="shared" si="521"/>
        <v>-0.625</v>
      </c>
      <c r="AI666" s="9">
        <f t="shared" si="522"/>
        <v>0.625</v>
      </c>
      <c r="AJ666" s="9">
        <f t="shared" si="523"/>
        <v>-0.5</v>
      </c>
      <c r="AK666" s="9">
        <f t="shared" si="524"/>
        <v>0.25</v>
      </c>
      <c r="AL666" s="9">
        <f t="shared" si="525"/>
        <v>-1</v>
      </c>
      <c r="AM666" s="9">
        <f t="shared" si="526"/>
        <v>-2.375</v>
      </c>
      <c r="AN666" s="9">
        <f t="shared" si="527"/>
        <v>-2.375</v>
      </c>
      <c r="AO666" s="9">
        <f t="shared" si="528"/>
        <v>-3.125</v>
      </c>
      <c r="AP666" s="9">
        <f t="shared" si="529"/>
        <v>-1.875</v>
      </c>
      <c r="AQ666" s="9">
        <f t="shared" si="530"/>
        <v>-1.375</v>
      </c>
      <c r="AR666" s="9">
        <f t="shared" si="531"/>
        <v>-0.625</v>
      </c>
      <c r="AS666" s="9">
        <f t="shared" si="532"/>
        <v>-0.125</v>
      </c>
      <c r="AT666" s="9">
        <f t="shared" si="533"/>
        <v>0.875</v>
      </c>
      <c r="AU666" s="9">
        <f t="shared" si="534"/>
        <v>-0.375</v>
      </c>
      <c r="AV666" s="9">
        <f t="shared" si="535"/>
        <v>-1.875</v>
      </c>
      <c r="AW666" s="9">
        <f t="shared" si="536"/>
        <v>-4.125</v>
      </c>
      <c r="AX666" s="9">
        <f t="shared" si="537"/>
        <v>-4.125</v>
      </c>
      <c r="AY666" s="9">
        <f t="shared" si="538"/>
        <v>-2.5</v>
      </c>
      <c r="AZ666" s="9">
        <f t="shared" si="539"/>
        <v>-1.5</v>
      </c>
      <c r="BA666" s="9">
        <f t="shared" si="540"/>
        <v>-1.625</v>
      </c>
      <c r="BB666" s="9">
        <f t="shared" si="541"/>
        <v>-1</v>
      </c>
      <c r="BC666" s="9">
        <f t="shared" si="542"/>
        <v>0.25</v>
      </c>
      <c r="BD666" s="9">
        <f t="shared" si="543"/>
        <v>-1</v>
      </c>
      <c r="BE666" s="9">
        <f t="shared" si="544"/>
        <v>-2.625</v>
      </c>
      <c r="BF666" s="9">
        <f t="shared" si="545"/>
        <v>-4.5</v>
      </c>
      <c r="BG666" s="9">
        <f t="shared" si="546"/>
        <v>-4.75</v>
      </c>
      <c r="BH666" s="9">
        <f t="shared" si="547"/>
        <v>-3.5</v>
      </c>
      <c r="BI666" s="9">
        <f t="shared" si="548"/>
        <v>-2.5</v>
      </c>
      <c r="BJ666" s="9">
        <f t="shared" si="549"/>
        <v>-2.375</v>
      </c>
    </row>
    <row r="667" spans="1:62" x14ac:dyDescent="0.2">
      <c r="A667" s="9">
        <f>data!M668-data!M667</f>
        <v>-0.51719999999998834</v>
      </c>
      <c r="B667" s="9">
        <f>data!C668-data!C667</f>
        <v>-4.0000000000000924E-2</v>
      </c>
      <c r="C667" s="9">
        <f>data!D668-data!D667</f>
        <v>-0.24500000000000099</v>
      </c>
      <c r="D667" s="10">
        <f>data!B668-data!B667</f>
        <v>4.2500000000000093E-2</v>
      </c>
      <c r="E667" s="9">
        <f>data!E667-data!G667</f>
        <v>2.3079000000000001</v>
      </c>
      <c r="F667" s="9">
        <f>(data!E667-data!F667)-(data!G667-data!H667)</f>
        <v>0.66190000000000027</v>
      </c>
      <c r="G667" s="9">
        <f t="shared" si="500"/>
        <v>-9.3900000000000095E-2</v>
      </c>
      <c r="H667" s="9">
        <f t="shared" si="501"/>
        <v>-8.6799999999999988E-2</v>
      </c>
      <c r="I667" s="9">
        <f>IF(data!M668&gt; 111.81,1,0)</f>
        <v>0</v>
      </c>
      <c r="J667" s="9">
        <f t="shared" si="502"/>
        <v>1</v>
      </c>
      <c r="K667" s="9">
        <f t="shared" si="503"/>
        <v>0</v>
      </c>
      <c r="L667" s="9">
        <f t="shared" si="504"/>
        <v>-0.51719999999998834</v>
      </c>
      <c r="M667" s="9">
        <f>data!J667</f>
        <v>-47.25</v>
      </c>
      <c r="N667" s="9">
        <f>data!I667</f>
        <v>-61.375</v>
      </c>
      <c r="O667" s="9">
        <f>data!L667</f>
        <v>-60.875</v>
      </c>
      <c r="P667" s="9">
        <f>data!K667</f>
        <v>-55.25</v>
      </c>
      <c r="Q667" s="9">
        <f>data!R667</f>
        <v>-53.5</v>
      </c>
      <c r="R667" s="9">
        <f t="shared" si="505"/>
        <v>-0.625</v>
      </c>
      <c r="S667" s="9">
        <f t="shared" si="506"/>
        <v>-1.25</v>
      </c>
      <c r="T667" s="9">
        <f t="shared" si="507"/>
        <v>-1.125</v>
      </c>
      <c r="U667" s="9">
        <f t="shared" si="508"/>
        <v>-2.875</v>
      </c>
      <c r="V667" s="9">
        <f t="shared" si="509"/>
        <v>-2.5</v>
      </c>
      <c r="W667" s="9">
        <f t="shared" si="510"/>
        <v>-0.5</v>
      </c>
      <c r="X667" s="9">
        <f t="shared" si="511"/>
        <v>1</v>
      </c>
      <c r="Y667" s="9">
        <f t="shared" si="512"/>
        <v>1.625</v>
      </c>
      <c r="Z667" s="9">
        <f t="shared" si="513"/>
        <v>-0.75</v>
      </c>
      <c r="AA667" s="9">
        <f t="shared" si="514"/>
        <v>0</v>
      </c>
      <c r="AB667" s="9">
        <f t="shared" si="515"/>
        <v>-1.5625</v>
      </c>
      <c r="AC667" s="9">
        <f t="shared" si="516"/>
        <v>-2.125</v>
      </c>
      <c r="AD667" s="9">
        <f t="shared" si="517"/>
        <v>-2.125</v>
      </c>
      <c r="AE667" s="9">
        <f t="shared" si="518"/>
        <v>-2.125</v>
      </c>
      <c r="AF667" s="9">
        <f t="shared" si="519"/>
        <v>-1.6875</v>
      </c>
      <c r="AG667" s="9">
        <f t="shared" si="520"/>
        <v>-0.5</v>
      </c>
      <c r="AH667" s="9">
        <f t="shared" si="521"/>
        <v>0.75</v>
      </c>
      <c r="AI667" s="9">
        <f t="shared" si="522"/>
        <v>-1</v>
      </c>
      <c r="AJ667" s="9">
        <f t="shared" si="523"/>
        <v>0.75</v>
      </c>
      <c r="AK667" s="9">
        <f t="shared" si="524"/>
        <v>-0.5</v>
      </c>
      <c r="AL667" s="9">
        <f t="shared" si="525"/>
        <v>-1.875</v>
      </c>
      <c r="AM667" s="9">
        <f t="shared" si="526"/>
        <v>-1.875</v>
      </c>
      <c r="AN667" s="9">
        <f t="shared" si="527"/>
        <v>-2.625</v>
      </c>
      <c r="AO667" s="9">
        <f t="shared" si="528"/>
        <v>-1.375</v>
      </c>
      <c r="AP667" s="9">
        <f t="shared" si="529"/>
        <v>-0.875</v>
      </c>
      <c r="AQ667" s="9">
        <f t="shared" si="530"/>
        <v>-0.125</v>
      </c>
      <c r="AR667" s="9">
        <f t="shared" si="531"/>
        <v>-1.125</v>
      </c>
      <c r="AS667" s="9">
        <f t="shared" si="532"/>
        <v>1</v>
      </c>
      <c r="AT667" s="9">
        <f t="shared" si="533"/>
        <v>-0.25</v>
      </c>
      <c r="AU667" s="9">
        <f t="shared" si="534"/>
        <v>-1.75</v>
      </c>
      <c r="AV667" s="9">
        <f t="shared" si="535"/>
        <v>-4</v>
      </c>
      <c r="AW667" s="9">
        <f t="shared" si="536"/>
        <v>-4</v>
      </c>
      <c r="AX667" s="9">
        <f t="shared" si="537"/>
        <v>-2.375</v>
      </c>
      <c r="AY667" s="9">
        <f t="shared" si="538"/>
        <v>-1.375</v>
      </c>
      <c r="AZ667" s="9">
        <f t="shared" si="539"/>
        <v>-1.5</v>
      </c>
      <c r="BA667" s="9">
        <f t="shared" si="540"/>
        <v>-2</v>
      </c>
      <c r="BB667" s="9">
        <f t="shared" si="541"/>
        <v>1.25</v>
      </c>
      <c r="BC667" s="9">
        <f t="shared" si="542"/>
        <v>0</v>
      </c>
      <c r="BD667" s="9">
        <f t="shared" si="543"/>
        <v>-1.625</v>
      </c>
      <c r="BE667" s="9">
        <f t="shared" si="544"/>
        <v>-3.5</v>
      </c>
      <c r="BF667" s="9">
        <f t="shared" si="545"/>
        <v>-3.75</v>
      </c>
      <c r="BG667" s="9">
        <f t="shared" si="546"/>
        <v>-2.5</v>
      </c>
      <c r="BH667" s="9">
        <f t="shared" si="547"/>
        <v>-1.5</v>
      </c>
      <c r="BI667" s="9">
        <f t="shared" si="548"/>
        <v>-1.375</v>
      </c>
      <c r="BJ667" s="9">
        <f t="shared" si="549"/>
        <v>-1.75</v>
      </c>
    </row>
    <row r="668" spans="1:62" x14ac:dyDescent="0.2">
      <c r="A668" s="9">
        <f>data!M669-data!M668</f>
        <v>0.77059999999998752</v>
      </c>
      <c r="B668" s="9">
        <f>data!C669-data!C668</f>
        <v>0.36000000000000121</v>
      </c>
      <c r="C668" s="9">
        <f>data!D669-data!D668</f>
        <v>8.0000000000000071E-2</v>
      </c>
      <c r="D668" s="10">
        <f>data!B669-data!B668</f>
        <v>2.4999999999999467E-3</v>
      </c>
      <c r="E668" s="9">
        <f>data!E668-data!G668</f>
        <v>2.214</v>
      </c>
      <c r="F668" s="9">
        <f>(data!E668-data!F668)-(data!G668-data!H668)</f>
        <v>0.57510000000000028</v>
      </c>
      <c r="G668" s="9">
        <f t="shared" si="500"/>
        <v>0.10050000000000026</v>
      </c>
      <c r="H668" s="9">
        <f t="shared" si="501"/>
        <v>2.4099999999999677E-2</v>
      </c>
      <c r="I668" s="9">
        <f>IF(data!M669&gt; 111.81,1,0)</f>
        <v>0</v>
      </c>
      <c r="J668" s="9">
        <f t="shared" si="502"/>
        <v>1</v>
      </c>
      <c r="K668" s="9">
        <f t="shared" si="503"/>
        <v>0</v>
      </c>
      <c r="L668" s="9">
        <f t="shared" si="504"/>
        <v>0.77059999999998752</v>
      </c>
      <c r="M668" s="9">
        <f>data!J668</f>
        <v>-47.875</v>
      </c>
      <c r="N668" s="9">
        <f>data!I668</f>
        <v>-61.375</v>
      </c>
      <c r="O668" s="9">
        <f>data!L668</f>
        <v>-60.125</v>
      </c>
      <c r="P668" s="9">
        <f>data!K668</f>
        <v>-54.25</v>
      </c>
      <c r="Q668" s="9">
        <f>data!R668</f>
        <v>-52.25</v>
      </c>
      <c r="R668" s="9">
        <f t="shared" si="505"/>
        <v>-0.625</v>
      </c>
      <c r="S668" s="9">
        <f t="shared" si="506"/>
        <v>-0.5</v>
      </c>
      <c r="T668" s="9">
        <f t="shared" si="507"/>
        <v>-2.25</v>
      </c>
      <c r="U668" s="9">
        <f t="shared" si="508"/>
        <v>-1.875</v>
      </c>
      <c r="V668" s="9">
        <f t="shared" si="509"/>
        <v>0.125</v>
      </c>
      <c r="W668" s="9">
        <f t="shared" si="510"/>
        <v>1.625</v>
      </c>
      <c r="X668" s="9">
        <f t="shared" si="511"/>
        <v>2.25</v>
      </c>
      <c r="Y668" s="9">
        <f t="shared" si="512"/>
        <v>-0.125</v>
      </c>
      <c r="Z668" s="9">
        <f t="shared" si="513"/>
        <v>-3.625</v>
      </c>
      <c r="AA668" s="9">
        <f t="shared" si="514"/>
        <v>-1.5625</v>
      </c>
      <c r="AB668" s="9">
        <f t="shared" si="515"/>
        <v>-2.125</v>
      </c>
      <c r="AC668" s="9">
        <f t="shared" si="516"/>
        <v>-2.125</v>
      </c>
      <c r="AD668" s="9">
        <f t="shared" si="517"/>
        <v>-2.125</v>
      </c>
      <c r="AE668" s="9">
        <f t="shared" si="518"/>
        <v>-1.6875</v>
      </c>
      <c r="AF668" s="9">
        <f t="shared" si="519"/>
        <v>-0.5</v>
      </c>
      <c r="AG668" s="9">
        <f t="shared" si="520"/>
        <v>0.75</v>
      </c>
      <c r="AH668" s="9">
        <f t="shared" si="521"/>
        <v>-1</v>
      </c>
      <c r="AI668" s="9">
        <f t="shared" si="522"/>
        <v>2.5</v>
      </c>
      <c r="AJ668" s="9">
        <f t="shared" si="523"/>
        <v>-1.25</v>
      </c>
      <c r="AK668" s="9">
        <f t="shared" si="524"/>
        <v>-2.625</v>
      </c>
      <c r="AL668" s="9">
        <f t="shared" si="525"/>
        <v>-2.625</v>
      </c>
      <c r="AM668" s="9">
        <f t="shared" si="526"/>
        <v>-3.375</v>
      </c>
      <c r="AN668" s="9">
        <f t="shared" si="527"/>
        <v>-2.125</v>
      </c>
      <c r="AO668" s="9">
        <f t="shared" si="528"/>
        <v>-1.625</v>
      </c>
      <c r="AP668" s="9">
        <f t="shared" si="529"/>
        <v>-0.875</v>
      </c>
      <c r="AQ668" s="9">
        <f t="shared" si="530"/>
        <v>-1.875</v>
      </c>
      <c r="AR668" s="9">
        <f t="shared" si="531"/>
        <v>1.625</v>
      </c>
      <c r="AS668" s="9">
        <f t="shared" si="532"/>
        <v>-1.25</v>
      </c>
      <c r="AT668" s="9">
        <f t="shared" si="533"/>
        <v>-2.75</v>
      </c>
      <c r="AU668" s="9">
        <f t="shared" si="534"/>
        <v>-5</v>
      </c>
      <c r="AV668" s="9">
        <f t="shared" si="535"/>
        <v>-5</v>
      </c>
      <c r="AW668" s="9">
        <f t="shared" si="536"/>
        <v>-3.375</v>
      </c>
      <c r="AX668" s="9">
        <f t="shared" si="537"/>
        <v>-2.375</v>
      </c>
      <c r="AY668" s="9">
        <f t="shared" si="538"/>
        <v>-2.5</v>
      </c>
      <c r="AZ668" s="9">
        <f t="shared" si="539"/>
        <v>-3</v>
      </c>
      <c r="BA668" s="9">
        <f t="shared" si="540"/>
        <v>-0.25</v>
      </c>
      <c r="BB668" s="9">
        <f t="shared" si="541"/>
        <v>-1.25</v>
      </c>
      <c r="BC668" s="9">
        <f t="shared" si="542"/>
        <v>-2.875</v>
      </c>
      <c r="BD668" s="9">
        <f t="shared" si="543"/>
        <v>-4.75</v>
      </c>
      <c r="BE668" s="9">
        <f t="shared" si="544"/>
        <v>-5</v>
      </c>
      <c r="BF668" s="9">
        <f t="shared" si="545"/>
        <v>-3.75</v>
      </c>
      <c r="BG668" s="9">
        <f t="shared" si="546"/>
        <v>-2.75</v>
      </c>
      <c r="BH668" s="9">
        <f t="shared" si="547"/>
        <v>-2.625</v>
      </c>
      <c r="BI668" s="9">
        <f t="shared" si="548"/>
        <v>-3</v>
      </c>
      <c r="BJ668" s="9">
        <f t="shared" si="549"/>
        <v>-0.25</v>
      </c>
    </row>
    <row r="669" spans="1:62" x14ac:dyDescent="0.2">
      <c r="A669" s="9">
        <f>data!M670-data!M669</f>
        <v>1.112000000000009</v>
      </c>
      <c r="B669" s="9">
        <f>data!C670-data!C669</f>
        <v>-0.16999999999999993</v>
      </c>
      <c r="C669" s="9">
        <f>data!D670-data!D669</f>
        <v>-0.16499999999999915</v>
      </c>
      <c r="D669" s="10">
        <f>data!B670-data!B669</f>
        <v>-4.7499999999999987E-2</v>
      </c>
      <c r="E669" s="9">
        <f>data!E669-data!G669</f>
        <v>2.3145000000000002</v>
      </c>
      <c r="F669" s="9">
        <f>(data!E669-data!F669)-(data!G669-data!H669)</f>
        <v>0.59919999999999995</v>
      </c>
      <c r="G669" s="9">
        <f t="shared" si="500"/>
        <v>2.389999999999981E-2</v>
      </c>
      <c r="H669" s="9">
        <f t="shared" si="501"/>
        <v>-2.2999999999997467E-3</v>
      </c>
      <c r="I669" s="9">
        <f>IF(data!M670&gt; 111.81,1,0)</f>
        <v>1</v>
      </c>
      <c r="J669" s="9">
        <f t="shared" si="502"/>
        <v>0</v>
      </c>
      <c r="K669" s="9">
        <f t="shared" si="503"/>
        <v>1.112000000000009</v>
      </c>
      <c r="L669" s="9">
        <f t="shared" si="504"/>
        <v>0</v>
      </c>
      <c r="M669" s="9">
        <f>data!J669</f>
        <v>-48.5</v>
      </c>
      <c r="N669" s="9">
        <f>data!I669</f>
        <v>-62.9375</v>
      </c>
      <c r="O669" s="9">
        <f>data!L669</f>
        <v>-61.375</v>
      </c>
      <c r="P669" s="9">
        <f>data!K669</f>
        <v>-55.5</v>
      </c>
      <c r="Q669" s="9">
        <f>data!R669</f>
        <v>-53.5</v>
      </c>
      <c r="R669" s="9">
        <f t="shared" si="505"/>
        <v>0.125</v>
      </c>
      <c r="S669" s="9">
        <f t="shared" si="506"/>
        <v>-1.625</v>
      </c>
      <c r="T669" s="9">
        <f t="shared" si="507"/>
        <v>-1.25</v>
      </c>
      <c r="U669" s="9">
        <f t="shared" si="508"/>
        <v>0.75</v>
      </c>
      <c r="V669" s="9">
        <f t="shared" si="509"/>
        <v>2.25</v>
      </c>
      <c r="W669" s="9">
        <f t="shared" si="510"/>
        <v>2.875</v>
      </c>
      <c r="X669" s="9">
        <f t="shared" si="511"/>
        <v>0.5</v>
      </c>
      <c r="Y669" s="9">
        <f t="shared" si="512"/>
        <v>-3</v>
      </c>
      <c r="Z669" s="9">
        <f t="shared" si="513"/>
        <v>5</v>
      </c>
      <c r="AA669" s="9">
        <f t="shared" si="514"/>
        <v>-0.5625</v>
      </c>
      <c r="AB669" s="9">
        <f t="shared" si="515"/>
        <v>-0.5625</v>
      </c>
      <c r="AC669" s="9">
        <f t="shared" si="516"/>
        <v>-0.5625</v>
      </c>
      <c r="AD669" s="9">
        <f t="shared" si="517"/>
        <v>-0.125</v>
      </c>
      <c r="AE669" s="9">
        <f t="shared" si="518"/>
        <v>1.0625</v>
      </c>
      <c r="AF669" s="9">
        <f t="shared" si="519"/>
        <v>2.3125</v>
      </c>
      <c r="AG669" s="9">
        <f t="shared" si="520"/>
        <v>0.5625</v>
      </c>
      <c r="AH669" s="9">
        <f t="shared" si="521"/>
        <v>4.0625</v>
      </c>
      <c r="AI669" s="9">
        <f t="shared" si="522"/>
        <v>7.4375</v>
      </c>
      <c r="AJ669" s="9">
        <f t="shared" si="523"/>
        <v>-1.375</v>
      </c>
      <c r="AK669" s="9">
        <f t="shared" si="524"/>
        <v>-1.375</v>
      </c>
      <c r="AL669" s="9">
        <f t="shared" si="525"/>
        <v>-2.125</v>
      </c>
      <c r="AM669" s="9">
        <f t="shared" si="526"/>
        <v>-0.875</v>
      </c>
      <c r="AN669" s="9">
        <f t="shared" si="527"/>
        <v>-0.375</v>
      </c>
      <c r="AO669" s="9">
        <f t="shared" si="528"/>
        <v>0.375</v>
      </c>
      <c r="AP669" s="9">
        <f t="shared" si="529"/>
        <v>-0.625</v>
      </c>
      <c r="AQ669" s="9">
        <f t="shared" si="530"/>
        <v>2.875</v>
      </c>
      <c r="AR669" s="9">
        <f t="shared" si="531"/>
        <v>5.875</v>
      </c>
      <c r="AS669" s="9">
        <f t="shared" si="532"/>
        <v>-1.5</v>
      </c>
      <c r="AT669" s="9">
        <f t="shared" si="533"/>
        <v>-3.75</v>
      </c>
      <c r="AU669" s="9">
        <f t="shared" si="534"/>
        <v>-3.75</v>
      </c>
      <c r="AV669" s="9">
        <f t="shared" si="535"/>
        <v>-2.125</v>
      </c>
      <c r="AW669" s="9">
        <f t="shared" si="536"/>
        <v>-1.125</v>
      </c>
      <c r="AX669" s="9">
        <f t="shared" si="537"/>
        <v>-1.25</v>
      </c>
      <c r="AY669" s="9">
        <f t="shared" si="538"/>
        <v>-1.75</v>
      </c>
      <c r="AZ669" s="9">
        <f t="shared" si="539"/>
        <v>1</v>
      </c>
      <c r="BA669" s="9">
        <f t="shared" si="540"/>
        <v>2.625</v>
      </c>
      <c r="BB669" s="9">
        <f t="shared" si="541"/>
        <v>-1.625</v>
      </c>
      <c r="BC669" s="9">
        <f t="shared" si="542"/>
        <v>-3.5</v>
      </c>
      <c r="BD669" s="9">
        <f t="shared" si="543"/>
        <v>-3.75</v>
      </c>
      <c r="BE669" s="9">
        <f t="shared" si="544"/>
        <v>-2.5</v>
      </c>
      <c r="BF669" s="9">
        <f t="shared" si="545"/>
        <v>-1.5</v>
      </c>
      <c r="BG669" s="9">
        <f t="shared" si="546"/>
        <v>-1.375</v>
      </c>
      <c r="BH669" s="9">
        <f t="shared" si="547"/>
        <v>-1.75</v>
      </c>
      <c r="BI669" s="9">
        <f t="shared" si="548"/>
        <v>1</v>
      </c>
      <c r="BJ669" s="9">
        <f t="shared" si="549"/>
        <v>2.5</v>
      </c>
    </row>
    <row r="670" spans="1:62" x14ac:dyDescent="0.2">
      <c r="A670" s="9">
        <f>data!M671-data!M670</f>
        <v>-0.21120000000000516</v>
      </c>
      <c r="B670" s="9">
        <f>data!C671-data!C670</f>
        <v>-0.66000000000000014</v>
      </c>
      <c r="C670" s="9">
        <f>data!D671-data!D670</f>
        <v>-0.52500000000000036</v>
      </c>
      <c r="D670" s="10">
        <f>data!B671-data!B670</f>
        <v>9.2500000000000027E-2</v>
      </c>
      <c r="E670" s="9">
        <f>data!E670-data!G670</f>
        <v>2.3384</v>
      </c>
      <c r="F670" s="9">
        <f>(data!E670-data!F670)-(data!G670-data!H670)</f>
        <v>0.59690000000000021</v>
      </c>
      <c r="G670" s="9">
        <f t="shared" si="500"/>
        <v>-5.5899999999999839E-2</v>
      </c>
      <c r="H670" s="9">
        <f t="shared" si="501"/>
        <v>-9.7900000000000265E-2</v>
      </c>
      <c r="I670" s="9">
        <f>IF(data!M671&gt; 111.81,1,0)</f>
        <v>1</v>
      </c>
      <c r="J670" s="9">
        <f t="shared" si="502"/>
        <v>0</v>
      </c>
      <c r="K670" s="9">
        <f t="shared" si="503"/>
        <v>-0.21120000000000516</v>
      </c>
      <c r="L670" s="9">
        <f t="shared" si="504"/>
        <v>0</v>
      </c>
      <c r="M670" s="9">
        <f>data!J670</f>
        <v>-48.375</v>
      </c>
      <c r="N670" s="9">
        <f>data!I670</f>
        <v>-63.5</v>
      </c>
      <c r="O670" s="9">
        <f>data!L670</f>
        <v>-62.75</v>
      </c>
      <c r="P670" s="9">
        <f>data!K670</f>
        <v>-57</v>
      </c>
      <c r="Q670" s="9">
        <f>data!R670</f>
        <v>-55.125</v>
      </c>
      <c r="R670" s="9">
        <f t="shared" si="505"/>
        <v>-1.75</v>
      </c>
      <c r="S670" s="9">
        <f t="shared" si="506"/>
        <v>-1.375</v>
      </c>
      <c r="T670" s="9">
        <f t="shared" si="507"/>
        <v>0.625</v>
      </c>
      <c r="U670" s="9">
        <f t="shared" si="508"/>
        <v>2.125</v>
      </c>
      <c r="V670" s="9">
        <f t="shared" si="509"/>
        <v>2.75</v>
      </c>
      <c r="W670" s="9">
        <f t="shared" si="510"/>
        <v>0.375</v>
      </c>
      <c r="X670" s="9">
        <f t="shared" si="511"/>
        <v>-3.125</v>
      </c>
      <c r="Y670" s="9">
        <f t="shared" si="512"/>
        <v>4.875</v>
      </c>
      <c r="Z670" s="9">
        <f t="shared" si="513"/>
        <v>8.125</v>
      </c>
      <c r="AA670" s="9">
        <f t="shared" si="514"/>
        <v>0</v>
      </c>
      <c r="AB670" s="9">
        <f t="shared" si="515"/>
        <v>0</v>
      </c>
      <c r="AC670" s="9">
        <f t="shared" si="516"/>
        <v>0.4375</v>
      </c>
      <c r="AD670" s="9">
        <f t="shared" si="517"/>
        <v>1.625</v>
      </c>
      <c r="AE670" s="9">
        <f t="shared" si="518"/>
        <v>2.875</v>
      </c>
      <c r="AF670" s="9">
        <f t="shared" si="519"/>
        <v>1.125</v>
      </c>
      <c r="AG670" s="9">
        <f t="shared" si="520"/>
        <v>4.625</v>
      </c>
      <c r="AH670" s="9">
        <f t="shared" si="521"/>
        <v>8</v>
      </c>
      <c r="AI670" s="9">
        <f t="shared" si="522"/>
        <v>10.125</v>
      </c>
      <c r="AJ670" s="9">
        <f t="shared" si="523"/>
        <v>0</v>
      </c>
      <c r="AK670" s="9">
        <f t="shared" si="524"/>
        <v>-0.75</v>
      </c>
      <c r="AL670" s="9">
        <f t="shared" si="525"/>
        <v>0.5</v>
      </c>
      <c r="AM670" s="9">
        <f t="shared" si="526"/>
        <v>1</v>
      </c>
      <c r="AN670" s="9">
        <f t="shared" si="527"/>
        <v>1.75</v>
      </c>
      <c r="AO670" s="9">
        <f t="shared" si="528"/>
        <v>0.75</v>
      </c>
      <c r="AP670" s="9">
        <f t="shared" si="529"/>
        <v>4.25</v>
      </c>
      <c r="AQ670" s="9">
        <f t="shared" si="530"/>
        <v>7.25</v>
      </c>
      <c r="AR670" s="9">
        <f t="shared" si="531"/>
        <v>6.25</v>
      </c>
      <c r="AS670" s="9">
        <f t="shared" si="532"/>
        <v>-2.25</v>
      </c>
      <c r="AT670" s="9">
        <f t="shared" si="533"/>
        <v>-2.25</v>
      </c>
      <c r="AU670" s="9">
        <f t="shared" si="534"/>
        <v>-0.625</v>
      </c>
      <c r="AV670" s="9">
        <f t="shared" si="535"/>
        <v>0.375</v>
      </c>
      <c r="AW670" s="9">
        <f t="shared" si="536"/>
        <v>0.25</v>
      </c>
      <c r="AX670" s="9">
        <f t="shared" si="537"/>
        <v>-0.25</v>
      </c>
      <c r="AY670" s="9">
        <f t="shared" si="538"/>
        <v>2.5</v>
      </c>
      <c r="AZ670" s="9">
        <f t="shared" si="539"/>
        <v>4.125</v>
      </c>
      <c r="BA670" s="9">
        <f t="shared" si="540"/>
        <v>2.9375</v>
      </c>
      <c r="BB670" s="9">
        <f t="shared" si="541"/>
        <v>-1.875</v>
      </c>
      <c r="BC670" s="9">
        <f t="shared" si="542"/>
        <v>-2.125</v>
      </c>
      <c r="BD670" s="9">
        <f t="shared" si="543"/>
        <v>-0.875</v>
      </c>
      <c r="BE670" s="9">
        <f t="shared" si="544"/>
        <v>0.125</v>
      </c>
      <c r="BF670" s="9">
        <f t="shared" si="545"/>
        <v>0.25</v>
      </c>
      <c r="BG670" s="9">
        <f t="shared" si="546"/>
        <v>-0.125</v>
      </c>
      <c r="BH670" s="9">
        <f t="shared" si="547"/>
        <v>2.625</v>
      </c>
      <c r="BI670" s="9">
        <f t="shared" si="548"/>
        <v>4.125</v>
      </c>
      <c r="BJ670" s="9">
        <f t="shared" si="549"/>
        <v>3.875</v>
      </c>
    </row>
    <row r="671" spans="1:62" x14ac:dyDescent="0.2">
      <c r="A671" s="9">
        <f>data!M672-data!M671</f>
        <v>-0.37569999999999482</v>
      </c>
      <c r="B671" s="9">
        <f>data!C672-data!C671</f>
        <v>2.1499999999999986</v>
      </c>
      <c r="C671" s="9">
        <f>data!D672-data!D671</f>
        <v>0.22499999999999964</v>
      </c>
      <c r="D671" s="10">
        <f>data!B672-data!B671</f>
        <v>2.2499999999999964E-2</v>
      </c>
      <c r="E671" s="9">
        <f>data!E671-data!G671</f>
        <v>2.2825000000000002</v>
      </c>
      <c r="F671" s="9">
        <f>(data!E671-data!F671)-(data!G671-data!H671)</f>
        <v>0.49899999999999994</v>
      </c>
      <c r="G671" s="9">
        <f t="shared" si="500"/>
        <v>7.790000000000008E-2</v>
      </c>
      <c r="H671" s="9">
        <f t="shared" si="501"/>
        <v>2.4300000000000266E-2</v>
      </c>
      <c r="I671" s="9">
        <f>IF(data!M672&gt; 111.81,1,0)</f>
        <v>0</v>
      </c>
      <c r="J671" s="9">
        <f t="shared" si="502"/>
        <v>1</v>
      </c>
      <c r="K671" s="9">
        <f t="shared" si="503"/>
        <v>0</v>
      </c>
      <c r="L671" s="9">
        <f t="shared" si="504"/>
        <v>-0.37569999999999482</v>
      </c>
      <c r="M671" s="9">
        <f>data!J671</f>
        <v>-50.125</v>
      </c>
      <c r="N671" s="9">
        <f>data!I671</f>
        <v>-63.5</v>
      </c>
      <c r="O671" s="9">
        <f>data!L671</f>
        <v>-62.75</v>
      </c>
      <c r="P671" s="9">
        <f>data!K671</f>
        <v>-59.25</v>
      </c>
      <c r="Q671" s="9">
        <f>data!R671</f>
        <v>-57</v>
      </c>
      <c r="R671" s="9">
        <f t="shared" si="505"/>
        <v>0.375</v>
      </c>
      <c r="S671" s="9">
        <f t="shared" si="506"/>
        <v>2.375</v>
      </c>
      <c r="T671" s="9">
        <f t="shared" si="507"/>
        <v>3.875</v>
      </c>
      <c r="U671" s="9">
        <f t="shared" si="508"/>
        <v>4.5</v>
      </c>
      <c r="V671" s="9">
        <f t="shared" si="509"/>
        <v>2.125</v>
      </c>
      <c r="W671" s="9">
        <f t="shared" si="510"/>
        <v>-1.375</v>
      </c>
      <c r="X671" s="9">
        <f t="shared" si="511"/>
        <v>6.625</v>
      </c>
      <c r="Y671" s="9">
        <f t="shared" si="512"/>
        <v>9.875</v>
      </c>
      <c r="Z671" s="9">
        <f t="shared" si="513"/>
        <v>8.375</v>
      </c>
      <c r="AA671" s="9">
        <f t="shared" si="514"/>
        <v>0</v>
      </c>
      <c r="AB671" s="9">
        <f t="shared" si="515"/>
        <v>0.4375</v>
      </c>
      <c r="AC671" s="9">
        <f t="shared" si="516"/>
        <v>1.625</v>
      </c>
      <c r="AD671" s="9">
        <f t="shared" si="517"/>
        <v>2.875</v>
      </c>
      <c r="AE671" s="9">
        <f t="shared" si="518"/>
        <v>1.125</v>
      </c>
      <c r="AF671" s="9">
        <f t="shared" si="519"/>
        <v>4.625</v>
      </c>
      <c r="AG671" s="9">
        <f t="shared" si="520"/>
        <v>8</v>
      </c>
      <c r="AH671" s="9">
        <f t="shared" si="521"/>
        <v>10.125</v>
      </c>
      <c r="AI671" s="9">
        <f t="shared" si="522"/>
        <v>9.375</v>
      </c>
      <c r="AJ671" s="9">
        <f t="shared" si="523"/>
        <v>-0.75</v>
      </c>
      <c r="AK671" s="9">
        <f t="shared" si="524"/>
        <v>0.5</v>
      </c>
      <c r="AL671" s="9">
        <f t="shared" si="525"/>
        <v>1</v>
      </c>
      <c r="AM671" s="9">
        <f t="shared" si="526"/>
        <v>1.75</v>
      </c>
      <c r="AN671" s="9">
        <f t="shared" si="527"/>
        <v>0.75</v>
      </c>
      <c r="AO671" s="9">
        <f t="shared" si="528"/>
        <v>4.25</v>
      </c>
      <c r="AP671" s="9">
        <f t="shared" si="529"/>
        <v>7.25</v>
      </c>
      <c r="AQ671" s="9">
        <f t="shared" si="530"/>
        <v>6.25</v>
      </c>
      <c r="AR671" s="9">
        <f t="shared" si="531"/>
        <v>7.5</v>
      </c>
      <c r="AS671" s="9">
        <f t="shared" si="532"/>
        <v>0</v>
      </c>
      <c r="AT671" s="9">
        <f t="shared" si="533"/>
        <v>1.625</v>
      </c>
      <c r="AU671" s="9">
        <f t="shared" si="534"/>
        <v>2.625</v>
      </c>
      <c r="AV671" s="9">
        <f t="shared" si="535"/>
        <v>2.5</v>
      </c>
      <c r="AW671" s="9">
        <f t="shared" si="536"/>
        <v>2</v>
      </c>
      <c r="AX671" s="9">
        <f t="shared" si="537"/>
        <v>4.75</v>
      </c>
      <c r="AY671" s="9">
        <f t="shared" si="538"/>
        <v>6.375</v>
      </c>
      <c r="AZ671" s="9">
        <f t="shared" si="539"/>
        <v>5.1875</v>
      </c>
      <c r="BA671" s="9">
        <f t="shared" si="540"/>
        <v>6.25</v>
      </c>
      <c r="BB671" s="9">
        <f t="shared" si="541"/>
        <v>-0.25</v>
      </c>
      <c r="BC671" s="9">
        <f t="shared" si="542"/>
        <v>1</v>
      </c>
      <c r="BD671" s="9">
        <f t="shared" si="543"/>
        <v>2</v>
      </c>
      <c r="BE671" s="9">
        <f t="shared" si="544"/>
        <v>2.125</v>
      </c>
      <c r="BF671" s="9">
        <f t="shared" si="545"/>
        <v>1.75</v>
      </c>
      <c r="BG671" s="9">
        <f t="shared" si="546"/>
        <v>4.5</v>
      </c>
      <c r="BH671" s="9">
        <f t="shared" si="547"/>
        <v>6</v>
      </c>
      <c r="BI671" s="9">
        <f t="shared" si="548"/>
        <v>5.75</v>
      </c>
      <c r="BJ671" s="9">
        <f t="shared" si="549"/>
        <v>6.25</v>
      </c>
    </row>
    <row r="672" spans="1:62" x14ac:dyDescent="0.2">
      <c r="A672" s="9">
        <f>data!M673-data!M672</f>
        <v>-0.56100000000000705</v>
      </c>
      <c r="B672" s="9">
        <f>data!C673-data!C672</f>
        <v>0.14000000000000057</v>
      </c>
      <c r="C672" s="9">
        <f>data!D673-data!D672</f>
        <v>0.14000000000000057</v>
      </c>
      <c r="D672" s="10">
        <f>data!B673-data!B672</f>
        <v>-0.11250000000000004</v>
      </c>
      <c r="E672" s="9">
        <f>data!E672-data!G672</f>
        <v>2.3604000000000003</v>
      </c>
      <c r="F672" s="9">
        <f>(data!E672-data!F672)-(data!G672-data!H672)</f>
        <v>0.52330000000000021</v>
      </c>
      <c r="G672" s="9">
        <f t="shared" si="500"/>
        <v>-4.5900000000000052E-2</v>
      </c>
      <c r="H672" s="9">
        <f t="shared" si="501"/>
        <v>-0.13210000000000011</v>
      </c>
      <c r="I672" s="9">
        <f>IF(data!M673&gt; 111.81,1,0)</f>
        <v>0</v>
      </c>
      <c r="J672" s="9">
        <f t="shared" si="502"/>
        <v>1</v>
      </c>
      <c r="K672" s="9">
        <f t="shared" si="503"/>
        <v>0</v>
      </c>
      <c r="L672" s="9">
        <f t="shared" si="504"/>
        <v>-0.56100000000000705</v>
      </c>
      <c r="M672" s="9">
        <f>data!J672</f>
        <v>-49.75</v>
      </c>
      <c r="N672" s="9">
        <f>data!I672</f>
        <v>-63.5</v>
      </c>
      <c r="O672" s="9">
        <f>data!L672</f>
        <v>-63.5</v>
      </c>
      <c r="P672" s="9">
        <f>data!K672</f>
        <v>-59.25</v>
      </c>
      <c r="Q672" s="9">
        <f>data!R672</f>
        <v>-57.25</v>
      </c>
      <c r="R672" s="9">
        <f t="shared" si="505"/>
        <v>2</v>
      </c>
      <c r="S672" s="9">
        <f t="shared" si="506"/>
        <v>3.5</v>
      </c>
      <c r="T672" s="9">
        <f t="shared" si="507"/>
        <v>4.125</v>
      </c>
      <c r="U672" s="9">
        <f t="shared" si="508"/>
        <v>1.75</v>
      </c>
      <c r="V672" s="9">
        <f t="shared" si="509"/>
        <v>-1.75</v>
      </c>
      <c r="W672" s="9">
        <f t="shared" si="510"/>
        <v>6.25</v>
      </c>
      <c r="X672" s="9">
        <f t="shared" si="511"/>
        <v>9.5</v>
      </c>
      <c r="Y672" s="9">
        <f t="shared" si="512"/>
        <v>8</v>
      </c>
      <c r="Z672" s="9">
        <f t="shared" si="513"/>
        <v>9.5</v>
      </c>
      <c r="AA672" s="9">
        <f t="shared" si="514"/>
        <v>0.4375</v>
      </c>
      <c r="AB672" s="9">
        <f t="shared" si="515"/>
        <v>1.625</v>
      </c>
      <c r="AC672" s="9">
        <f t="shared" si="516"/>
        <v>2.875</v>
      </c>
      <c r="AD672" s="9">
        <f t="shared" si="517"/>
        <v>1.125</v>
      </c>
      <c r="AE672" s="9">
        <f t="shared" si="518"/>
        <v>4.625</v>
      </c>
      <c r="AF672" s="9">
        <f t="shared" si="519"/>
        <v>8</v>
      </c>
      <c r="AG672" s="9">
        <f t="shared" si="520"/>
        <v>10.125</v>
      </c>
      <c r="AH672" s="9">
        <f t="shared" si="521"/>
        <v>9.375</v>
      </c>
      <c r="AI672" s="9">
        <f t="shared" si="522"/>
        <v>10.875</v>
      </c>
      <c r="AJ672" s="9">
        <f t="shared" si="523"/>
        <v>1.25</v>
      </c>
      <c r="AK672" s="9">
        <f t="shared" si="524"/>
        <v>1.75</v>
      </c>
      <c r="AL672" s="9">
        <f t="shared" si="525"/>
        <v>2.5</v>
      </c>
      <c r="AM672" s="9">
        <f t="shared" si="526"/>
        <v>1.5</v>
      </c>
      <c r="AN672" s="9">
        <f t="shared" si="527"/>
        <v>5</v>
      </c>
      <c r="AO672" s="9">
        <f t="shared" si="528"/>
        <v>8</v>
      </c>
      <c r="AP672" s="9">
        <f t="shared" si="529"/>
        <v>7</v>
      </c>
      <c r="AQ672" s="9">
        <f t="shared" si="530"/>
        <v>8.25</v>
      </c>
      <c r="AR672" s="9">
        <f t="shared" si="531"/>
        <v>9.875</v>
      </c>
      <c r="AS672" s="9">
        <f t="shared" si="532"/>
        <v>1.625</v>
      </c>
      <c r="AT672" s="9">
        <f t="shared" si="533"/>
        <v>2.625</v>
      </c>
      <c r="AU672" s="9">
        <f t="shared" si="534"/>
        <v>2.5</v>
      </c>
      <c r="AV672" s="9">
        <f t="shared" si="535"/>
        <v>2</v>
      </c>
      <c r="AW672" s="9">
        <f t="shared" si="536"/>
        <v>4.75</v>
      </c>
      <c r="AX672" s="9">
        <f t="shared" si="537"/>
        <v>6.375</v>
      </c>
      <c r="AY672" s="9">
        <f t="shared" si="538"/>
        <v>5.1875</v>
      </c>
      <c r="AZ672" s="9">
        <f t="shared" si="539"/>
        <v>6.25</v>
      </c>
      <c r="BA672" s="9">
        <f t="shared" si="540"/>
        <v>7.875</v>
      </c>
      <c r="BB672" s="9">
        <f t="shared" si="541"/>
        <v>1.25</v>
      </c>
      <c r="BC672" s="9">
        <f t="shared" si="542"/>
        <v>2.25</v>
      </c>
      <c r="BD672" s="9">
        <f t="shared" si="543"/>
        <v>2.375</v>
      </c>
      <c r="BE672" s="9">
        <f t="shared" si="544"/>
        <v>2</v>
      </c>
      <c r="BF672" s="9">
        <f t="shared" si="545"/>
        <v>4.75</v>
      </c>
      <c r="BG672" s="9">
        <f t="shared" si="546"/>
        <v>6.25</v>
      </c>
      <c r="BH672" s="9">
        <f t="shared" si="547"/>
        <v>6</v>
      </c>
      <c r="BI672" s="9">
        <f t="shared" si="548"/>
        <v>6.5</v>
      </c>
      <c r="BJ672" s="9">
        <f t="shared" si="549"/>
        <v>8.125</v>
      </c>
    </row>
    <row r="673" spans="1:62" x14ac:dyDescent="0.2">
      <c r="A673" s="9">
        <f>data!M674-data!M673</f>
        <v>-0.97629999999999484</v>
      </c>
      <c r="B673" s="9">
        <f>data!C674-data!C673</f>
        <v>-1.7599999999999998</v>
      </c>
      <c r="C673" s="9">
        <f>data!D674-data!D673</f>
        <v>-0.35000000000000053</v>
      </c>
      <c r="D673" s="10">
        <f>data!B674-data!B673</f>
        <v>5.2499999999999991E-2</v>
      </c>
      <c r="E673" s="9">
        <f>data!E673-data!G673</f>
        <v>2.3145000000000002</v>
      </c>
      <c r="F673" s="9">
        <f>(data!E673-data!F673)-(data!G673-data!H673)</f>
        <v>0.3912000000000001</v>
      </c>
      <c r="G673" s="9">
        <f t="shared" si="500"/>
        <v>3.2999999999998586E-3</v>
      </c>
      <c r="H673" s="9">
        <f t="shared" si="501"/>
        <v>-4.6999999999999265E-3</v>
      </c>
      <c r="I673" s="9">
        <f>IF(data!M674&gt; 111.81,1,0)</f>
        <v>0</v>
      </c>
      <c r="J673" s="9">
        <f t="shared" si="502"/>
        <v>1</v>
      </c>
      <c r="K673" s="9">
        <f t="shared" si="503"/>
        <v>0</v>
      </c>
      <c r="L673" s="9">
        <f t="shared" si="504"/>
        <v>-0.97629999999999484</v>
      </c>
      <c r="M673" s="9">
        <f>data!J673</f>
        <v>-47.75</v>
      </c>
      <c r="N673" s="9">
        <f>data!I673</f>
        <v>-63.0625</v>
      </c>
      <c r="O673" s="9">
        <f>data!L673</f>
        <v>-62.25</v>
      </c>
      <c r="P673" s="9">
        <f>data!K673</f>
        <v>-57.625</v>
      </c>
      <c r="Q673" s="9">
        <f>data!R673</f>
        <v>-56</v>
      </c>
      <c r="R673" s="9">
        <f t="shared" si="505"/>
        <v>1.5</v>
      </c>
      <c r="S673" s="9">
        <f t="shared" si="506"/>
        <v>2.125</v>
      </c>
      <c r="T673" s="9">
        <f t="shared" si="507"/>
        <v>-0.25</v>
      </c>
      <c r="U673" s="9">
        <f t="shared" si="508"/>
        <v>-3.75</v>
      </c>
      <c r="V673" s="9">
        <f t="shared" si="509"/>
        <v>4.25</v>
      </c>
      <c r="W673" s="9">
        <f t="shared" si="510"/>
        <v>7.5</v>
      </c>
      <c r="X673" s="9">
        <f t="shared" si="511"/>
        <v>6</v>
      </c>
      <c r="Y673" s="9">
        <f t="shared" si="512"/>
        <v>7.5</v>
      </c>
      <c r="Z673" s="9">
        <f t="shared" si="513"/>
        <v>6.25</v>
      </c>
      <c r="AA673" s="9">
        <f t="shared" si="514"/>
        <v>1.1875</v>
      </c>
      <c r="AB673" s="9">
        <f t="shared" si="515"/>
        <v>2.4375</v>
      </c>
      <c r="AC673" s="9">
        <f t="shared" si="516"/>
        <v>0.6875</v>
      </c>
      <c r="AD673" s="9">
        <f t="shared" si="517"/>
        <v>4.1875</v>
      </c>
      <c r="AE673" s="9">
        <f t="shared" si="518"/>
        <v>7.5625</v>
      </c>
      <c r="AF673" s="9">
        <f t="shared" si="519"/>
        <v>9.6875</v>
      </c>
      <c r="AG673" s="9">
        <f t="shared" si="520"/>
        <v>8.9375</v>
      </c>
      <c r="AH673" s="9">
        <f t="shared" si="521"/>
        <v>10.4375</v>
      </c>
      <c r="AI673" s="9">
        <f t="shared" si="522"/>
        <v>9.5625</v>
      </c>
      <c r="AJ673" s="9">
        <f t="shared" si="523"/>
        <v>0.5</v>
      </c>
      <c r="AK673" s="9">
        <f t="shared" si="524"/>
        <v>1.25</v>
      </c>
      <c r="AL673" s="9">
        <f t="shared" si="525"/>
        <v>0.25</v>
      </c>
      <c r="AM673" s="9">
        <f t="shared" si="526"/>
        <v>3.75</v>
      </c>
      <c r="AN673" s="9">
        <f t="shared" si="527"/>
        <v>6.75</v>
      </c>
      <c r="AO673" s="9">
        <f t="shared" si="528"/>
        <v>5.75</v>
      </c>
      <c r="AP673" s="9">
        <f t="shared" si="529"/>
        <v>7</v>
      </c>
      <c r="AQ673" s="9">
        <f t="shared" si="530"/>
        <v>8.625</v>
      </c>
      <c r="AR673" s="9">
        <f t="shared" si="531"/>
        <v>8</v>
      </c>
      <c r="AS673" s="9">
        <f t="shared" si="532"/>
        <v>1</v>
      </c>
      <c r="AT673" s="9">
        <f t="shared" si="533"/>
        <v>0.875</v>
      </c>
      <c r="AU673" s="9">
        <f t="shared" si="534"/>
        <v>0.375</v>
      </c>
      <c r="AV673" s="9">
        <f t="shared" si="535"/>
        <v>3.125</v>
      </c>
      <c r="AW673" s="9">
        <f t="shared" si="536"/>
        <v>4.75</v>
      </c>
      <c r="AX673" s="9">
        <f t="shared" si="537"/>
        <v>3.5625</v>
      </c>
      <c r="AY673" s="9">
        <f t="shared" si="538"/>
        <v>4.625</v>
      </c>
      <c r="AZ673" s="9">
        <f t="shared" si="539"/>
        <v>6.25</v>
      </c>
      <c r="BA673" s="9">
        <f t="shared" si="540"/>
        <v>5.875</v>
      </c>
      <c r="BB673" s="9">
        <f t="shared" si="541"/>
        <v>1</v>
      </c>
      <c r="BC673" s="9">
        <f t="shared" si="542"/>
        <v>1.125</v>
      </c>
      <c r="BD673" s="9">
        <f t="shared" si="543"/>
        <v>0.75</v>
      </c>
      <c r="BE673" s="9">
        <f t="shared" si="544"/>
        <v>3.5</v>
      </c>
      <c r="BF673" s="9">
        <f t="shared" si="545"/>
        <v>5</v>
      </c>
      <c r="BG673" s="9">
        <f t="shared" si="546"/>
        <v>4.75</v>
      </c>
      <c r="BH673" s="9">
        <f t="shared" si="547"/>
        <v>5.25</v>
      </c>
      <c r="BI673" s="9">
        <f t="shared" si="548"/>
        <v>6.875</v>
      </c>
      <c r="BJ673" s="9">
        <f t="shared" si="549"/>
        <v>6.625</v>
      </c>
    </row>
    <row r="674" spans="1:62" x14ac:dyDescent="0.2">
      <c r="A674" s="9">
        <f>data!M675-data!M674</f>
        <v>0.11599999999999966</v>
      </c>
      <c r="B674" s="9">
        <f>data!C675-data!C674</f>
        <v>1.7599999999999998</v>
      </c>
      <c r="C674" s="9">
        <f>data!D675-data!D674</f>
        <v>0.60499999999999954</v>
      </c>
      <c r="D674" s="10">
        <f>data!B675-data!B674</f>
        <v>2.5000000000000022E-2</v>
      </c>
      <c r="E674" s="9">
        <f>data!E674-data!G674</f>
        <v>2.3178000000000001</v>
      </c>
      <c r="F674" s="9">
        <f>(data!E674-data!F674)-(data!G674-data!H674)</f>
        <v>0.38650000000000018</v>
      </c>
      <c r="G674" s="9">
        <f t="shared" si="500"/>
        <v>1.3700000000000045E-2</v>
      </c>
      <c r="H674" s="9">
        <f t="shared" si="501"/>
        <v>1.2999999999999734E-2</v>
      </c>
      <c r="I674" s="9">
        <f>IF(data!M675&gt; 111.81,1,0)</f>
        <v>0</v>
      </c>
      <c r="J674" s="9">
        <f t="shared" si="502"/>
        <v>1</v>
      </c>
      <c r="K674" s="9">
        <f t="shared" si="503"/>
        <v>0</v>
      </c>
      <c r="L674" s="9">
        <f t="shared" si="504"/>
        <v>0.11599999999999966</v>
      </c>
      <c r="M674" s="9">
        <f>data!J674</f>
        <v>-46.25</v>
      </c>
      <c r="N674" s="9">
        <f>data!I674</f>
        <v>-61.875</v>
      </c>
      <c r="O674" s="9">
        <f>data!L674</f>
        <v>-61.75</v>
      </c>
      <c r="P674" s="9">
        <f>data!K674</f>
        <v>-56.625</v>
      </c>
      <c r="Q674" s="9">
        <f>data!R674</f>
        <v>-55</v>
      </c>
      <c r="R674" s="9">
        <f t="shared" si="505"/>
        <v>0.625</v>
      </c>
      <c r="S674" s="9">
        <f t="shared" si="506"/>
        <v>-1.75</v>
      </c>
      <c r="T674" s="9">
        <f t="shared" si="507"/>
        <v>-5.25</v>
      </c>
      <c r="U674" s="9">
        <f t="shared" si="508"/>
        <v>2.75</v>
      </c>
      <c r="V674" s="9">
        <f t="shared" si="509"/>
        <v>6</v>
      </c>
      <c r="W674" s="9">
        <f t="shared" si="510"/>
        <v>4.5</v>
      </c>
      <c r="X674" s="9">
        <f t="shared" si="511"/>
        <v>6</v>
      </c>
      <c r="Y674" s="9">
        <f t="shared" si="512"/>
        <v>4.75</v>
      </c>
      <c r="Z674" s="9">
        <f t="shared" si="513"/>
        <v>4.25</v>
      </c>
      <c r="AA674" s="9">
        <f t="shared" si="514"/>
        <v>1.25</v>
      </c>
      <c r="AB674" s="9">
        <f t="shared" si="515"/>
        <v>-0.5</v>
      </c>
      <c r="AC674" s="9">
        <f t="shared" si="516"/>
        <v>3</v>
      </c>
      <c r="AD674" s="9">
        <f t="shared" si="517"/>
        <v>6.375</v>
      </c>
      <c r="AE674" s="9">
        <f t="shared" si="518"/>
        <v>8.5</v>
      </c>
      <c r="AF674" s="9">
        <f t="shared" si="519"/>
        <v>7.75</v>
      </c>
      <c r="AG674" s="9">
        <f t="shared" si="520"/>
        <v>9.25</v>
      </c>
      <c r="AH674" s="9">
        <f t="shared" si="521"/>
        <v>8.375</v>
      </c>
      <c r="AI674" s="9">
        <f t="shared" si="522"/>
        <v>8.6875</v>
      </c>
      <c r="AJ674" s="9">
        <f t="shared" si="523"/>
        <v>0.75</v>
      </c>
      <c r="AK674" s="9">
        <f t="shared" si="524"/>
        <v>-0.25</v>
      </c>
      <c r="AL674" s="9">
        <f t="shared" si="525"/>
        <v>3.25</v>
      </c>
      <c r="AM674" s="9">
        <f t="shared" si="526"/>
        <v>6.25</v>
      </c>
      <c r="AN674" s="9">
        <f t="shared" si="527"/>
        <v>5.25</v>
      </c>
      <c r="AO674" s="9">
        <f t="shared" si="528"/>
        <v>6.5</v>
      </c>
      <c r="AP674" s="9">
        <f t="shared" si="529"/>
        <v>8.125</v>
      </c>
      <c r="AQ674" s="9">
        <f t="shared" si="530"/>
        <v>7.5</v>
      </c>
      <c r="AR674" s="9">
        <f t="shared" si="531"/>
        <v>7.625</v>
      </c>
      <c r="AS674" s="9">
        <f t="shared" si="532"/>
        <v>-0.125</v>
      </c>
      <c r="AT674" s="9">
        <f t="shared" si="533"/>
        <v>-0.625</v>
      </c>
      <c r="AU674" s="9">
        <f t="shared" si="534"/>
        <v>2.125</v>
      </c>
      <c r="AV674" s="9">
        <f t="shared" si="535"/>
        <v>3.75</v>
      </c>
      <c r="AW674" s="9">
        <f t="shared" si="536"/>
        <v>2.5625</v>
      </c>
      <c r="AX674" s="9">
        <f t="shared" si="537"/>
        <v>3.625</v>
      </c>
      <c r="AY674" s="9">
        <f t="shared" si="538"/>
        <v>5.25</v>
      </c>
      <c r="AZ674" s="9">
        <f t="shared" si="539"/>
        <v>4.875</v>
      </c>
      <c r="BA674" s="9">
        <f t="shared" si="540"/>
        <v>4.75</v>
      </c>
      <c r="BB674" s="9">
        <f t="shared" si="541"/>
        <v>0.125</v>
      </c>
      <c r="BC674" s="9">
        <f t="shared" si="542"/>
        <v>-0.25</v>
      </c>
      <c r="BD674" s="9">
        <f t="shared" si="543"/>
        <v>2.5</v>
      </c>
      <c r="BE674" s="9">
        <f t="shared" si="544"/>
        <v>4</v>
      </c>
      <c r="BF674" s="9">
        <f t="shared" si="545"/>
        <v>3.75</v>
      </c>
      <c r="BG674" s="9">
        <f t="shared" si="546"/>
        <v>4.25</v>
      </c>
      <c r="BH674" s="9">
        <f t="shared" si="547"/>
        <v>5.875</v>
      </c>
      <c r="BI674" s="9">
        <f t="shared" si="548"/>
        <v>5.625</v>
      </c>
      <c r="BJ674" s="9">
        <f t="shared" si="549"/>
        <v>5.25</v>
      </c>
    </row>
    <row r="675" spans="1:62" x14ac:dyDescent="0.2">
      <c r="A675" s="9">
        <f>data!M676-data!M675</f>
        <v>1.0859999999999985</v>
      </c>
      <c r="B675" s="9">
        <f>data!C676-data!C675</f>
        <v>-1.8499999999999996</v>
      </c>
      <c r="C675" s="9">
        <f>data!D676-data!D675</f>
        <v>-0.44249999999999901</v>
      </c>
      <c r="D675" s="10">
        <f>data!B676-data!B675</f>
        <v>3.5000000000000031E-2</v>
      </c>
      <c r="E675" s="9">
        <f>data!E675-data!G675</f>
        <v>2.3315000000000001</v>
      </c>
      <c r="F675" s="9">
        <f>(data!E675-data!F675)-(data!G675-data!H675)</f>
        <v>0.39949999999999991</v>
      </c>
      <c r="G675" s="9">
        <f t="shared" si="500"/>
        <v>-5.0000000000016698E-4</v>
      </c>
      <c r="H675" s="9">
        <f t="shared" si="501"/>
        <v>-1.8000000000000016E-2</v>
      </c>
      <c r="I675" s="9">
        <f>IF(data!M676&gt; 111.81,1,0)</f>
        <v>0</v>
      </c>
      <c r="J675" s="9">
        <f t="shared" si="502"/>
        <v>1</v>
      </c>
      <c r="K675" s="9">
        <f t="shared" si="503"/>
        <v>0</v>
      </c>
      <c r="L675" s="9">
        <f t="shared" si="504"/>
        <v>1.0859999999999985</v>
      </c>
      <c r="M675" s="9">
        <f>data!J675</f>
        <v>-45.625</v>
      </c>
      <c r="N675" s="9">
        <f>data!I675</f>
        <v>-60.625</v>
      </c>
      <c r="O675" s="9">
        <f>data!L675</f>
        <v>-61</v>
      </c>
      <c r="P675" s="9">
        <f>data!K675</f>
        <v>-56.75</v>
      </c>
      <c r="Q675" s="9">
        <f>data!R675</f>
        <v>-54.875</v>
      </c>
      <c r="R675" s="9">
        <f t="shared" si="505"/>
        <v>-2.375</v>
      </c>
      <c r="S675" s="9">
        <f t="shared" si="506"/>
        <v>-5.875</v>
      </c>
      <c r="T675" s="9">
        <f t="shared" si="507"/>
        <v>2.125</v>
      </c>
      <c r="U675" s="9">
        <f t="shared" si="508"/>
        <v>5.375</v>
      </c>
      <c r="V675" s="9">
        <f t="shared" si="509"/>
        <v>3.875</v>
      </c>
      <c r="W675" s="9">
        <f t="shared" si="510"/>
        <v>5.375</v>
      </c>
      <c r="X675" s="9">
        <f t="shared" si="511"/>
        <v>4.125</v>
      </c>
      <c r="Y675" s="9">
        <f t="shared" si="512"/>
        <v>3.625</v>
      </c>
      <c r="Z675" s="9">
        <f t="shared" si="513"/>
        <v>0.375</v>
      </c>
      <c r="AA675" s="9">
        <f t="shared" si="514"/>
        <v>-1.75</v>
      </c>
      <c r="AB675" s="9">
        <f t="shared" si="515"/>
        <v>1.75</v>
      </c>
      <c r="AC675" s="9">
        <f t="shared" si="516"/>
        <v>5.125</v>
      </c>
      <c r="AD675" s="9">
        <f t="shared" si="517"/>
        <v>7.25</v>
      </c>
      <c r="AE675" s="9">
        <f t="shared" si="518"/>
        <v>6.5</v>
      </c>
      <c r="AF675" s="9">
        <f t="shared" si="519"/>
        <v>8</v>
      </c>
      <c r="AG675" s="9">
        <f t="shared" si="520"/>
        <v>7.125</v>
      </c>
      <c r="AH675" s="9">
        <f t="shared" si="521"/>
        <v>7.4375</v>
      </c>
      <c r="AI675" s="9">
        <f t="shared" si="522"/>
        <v>5.5</v>
      </c>
      <c r="AJ675" s="9">
        <f t="shared" si="523"/>
        <v>-1</v>
      </c>
      <c r="AK675" s="9">
        <f t="shared" si="524"/>
        <v>2.5</v>
      </c>
      <c r="AL675" s="9">
        <f t="shared" si="525"/>
        <v>5.5</v>
      </c>
      <c r="AM675" s="9">
        <f t="shared" si="526"/>
        <v>4.5</v>
      </c>
      <c r="AN675" s="9">
        <f t="shared" si="527"/>
        <v>5.75</v>
      </c>
      <c r="AO675" s="9">
        <f t="shared" si="528"/>
        <v>7.375</v>
      </c>
      <c r="AP675" s="9">
        <f t="shared" si="529"/>
        <v>6.75</v>
      </c>
      <c r="AQ675" s="9">
        <f t="shared" si="530"/>
        <v>6.875</v>
      </c>
      <c r="AR675" s="9">
        <f t="shared" si="531"/>
        <v>5.625</v>
      </c>
      <c r="AS675" s="9">
        <f t="shared" si="532"/>
        <v>-0.5</v>
      </c>
      <c r="AT675" s="9">
        <f t="shared" si="533"/>
        <v>2.25</v>
      </c>
      <c r="AU675" s="9">
        <f t="shared" si="534"/>
        <v>3.875</v>
      </c>
      <c r="AV675" s="9">
        <f t="shared" si="535"/>
        <v>2.6875</v>
      </c>
      <c r="AW675" s="9">
        <f t="shared" si="536"/>
        <v>3.75</v>
      </c>
      <c r="AX675" s="9">
        <f t="shared" si="537"/>
        <v>5.375</v>
      </c>
      <c r="AY675" s="9">
        <f t="shared" si="538"/>
        <v>5</v>
      </c>
      <c r="AZ675" s="9">
        <f t="shared" si="539"/>
        <v>4.875</v>
      </c>
      <c r="BA675" s="9">
        <f t="shared" si="540"/>
        <v>4.375</v>
      </c>
      <c r="BB675" s="9">
        <f t="shared" si="541"/>
        <v>-0.375</v>
      </c>
      <c r="BC675" s="9">
        <f t="shared" si="542"/>
        <v>2.375</v>
      </c>
      <c r="BD675" s="9">
        <f t="shared" si="543"/>
        <v>3.875</v>
      </c>
      <c r="BE675" s="9">
        <f t="shared" si="544"/>
        <v>3.625</v>
      </c>
      <c r="BF675" s="9">
        <f t="shared" si="545"/>
        <v>4.125</v>
      </c>
      <c r="BG675" s="9">
        <f t="shared" si="546"/>
        <v>5.75</v>
      </c>
      <c r="BH675" s="9">
        <f t="shared" si="547"/>
        <v>5.5</v>
      </c>
      <c r="BI675" s="9">
        <f t="shared" si="548"/>
        <v>5.125</v>
      </c>
      <c r="BJ675" s="9">
        <f t="shared" si="549"/>
        <v>4.625</v>
      </c>
    </row>
    <row r="676" spans="1:62" x14ac:dyDescent="0.2">
      <c r="A676" s="9">
        <f>data!M677-data!M676</f>
        <v>-9.8699999999993793E-2</v>
      </c>
      <c r="B676" s="9">
        <f>data!C677-data!C676</f>
        <v>-0.16000000000000014</v>
      </c>
      <c r="C676" s="9">
        <f>data!D677-data!D676</f>
        <v>-0.64749999999999996</v>
      </c>
      <c r="D676" s="10">
        <f>data!B677-data!B676</f>
        <v>0.15749999999999997</v>
      </c>
      <c r="E676" s="9">
        <f>data!E676-data!G676</f>
        <v>2.331</v>
      </c>
      <c r="F676" s="9">
        <f>(data!E676-data!F676)-(data!G676-data!H676)</f>
        <v>0.38149999999999989</v>
      </c>
      <c r="G676" s="9">
        <f t="shared" si="500"/>
        <v>-1.7999999999999794E-2</v>
      </c>
      <c r="H676" s="9">
        <f t="shared" si="501"/>
        <v>-6.0299999999999798E-2</v>
      </c>
      <c r="I676" s="9">
        <f>IF(data!M677&gt; 111.81,1,0)</f>
        <v>0</v>
      </c>
      <c r="J676" s="9">
        <f t="shared" si="502"/>
        <v>1</v>
      </c>
      <c r="K676" s="9">
        <f t="shared" si="503"/>
        <v>0</v>
      </c>
      <c r="L676" s="9">
        <f t="shared" si="504"/>
        <v>-9.8699999999993793E-2</v>
      </c>
      <c r="M676" s="9">
        <f>data!J676</f>
        <v>-48</v>
      </c>
      <c r="N676" s="9">
        <f>data!I676</f>
        <v>-62.375</v>
      </c>
      <c r="O676" s="9">
        <f>data!L676</f>
        <v>-62</v>
      </c>
      <c r="P676" s="9">
        <f>data!K676</f>
        <v>-57.25</v>
      </c>
      <c r="Q676" s="9">
        <f>data!R676</f>
        <v>-55.25</v>
      </c>
      <c r="R676" s="9">
        <f t="shared" si="505"/>
        <v>-3.5</v>
      </c>
      <c r="S676" s="9">
        <f t="shared" si="506"/>
        <v>4.5</v>
      </c>
      <c r="T676" s="9">
        <f t="shared" si="507"/>
        <v>7.75</v>
      </c>
      <c r="U676" s="9">
        <f t="shared" si="508"/>
        <v>6.25</v>
      </c>
      <c r="V676" s="9">
        <f t="shared" si="509"/>
        <v>7.75</v>
      </c>
      <c r="W676" s="9">
        <f t="shared" si="510"/>
        <v>6.5</v>
      </c>
      <c r="X676" s="9">
        <f t="shared" si="511"/>
        <v>6</v>
      </c>
      <c r="Y676" s="9">
        <f t="shared" si="512"/>
        <v>2.75</v>
      </c>
      <c r="Z676" s="9">
        <f t="shared" si="513"/>
        <v>-3.75</v>
      </c>
      <c r="AA676" s="9">
        <f t="shared" si="514"/>
        <v>3.5</v>
      </c>
      <c r="AB676" s="9">
        <f t="shared" si="515"/>
        <v>6.875</v>
      </c>
      <c r="AC676" s="9">
        <f t="shared" si="516"/>
        <v>9</v>
      </c>
      <c r="AD676" s="9">
        <f t="shared" si="517"/>
        <v>8.25</v>
      </c>
      <c r="AE676" s="9">
        <f t="shared" si="518"/>
        <v>9.75</v>
      </c>
      <c r="AF676" s="9">
        <f t="shared" si="519"/>
        <v>8.875</v>
      </c>
      <c r="AG676" s="9">
        <f t="shared" si="520"/>
        <v>9.1875</v>
      </c>
      <c r="AH676" s="9">
        <f t="shared" si="521"/>
        <v>7.25</v>
      </c>
      <c r="AI676" s="9">
        <f t="shared" si="522"/>
        <v>4</v>
      </c>
      <c r="AJ676" s="9">
        <f t="shared" si="523"/>
        <v>3.5</v>
      </c>
      <c r="AK676" s="9">
        <f t="shared" si="524"/>
        <v>6.5</v>
      </c>
      <c r="AL676" s="9">
        <f t="shared" si="525"/>
        <v>5.5</v>
      </c>
      <c r="AM676" s="9">
        <f t="shared" si="526"/>
        <v>6.75</v>
      </c>
      <c r="AN676" s="9">
        <f t="shared" si="527"/>
        <v>8.375</v>
      </c>
      <c r="AO676" s="9">
        <f t="shared" si="528"/>
        <v>7.75</v>
      </c>
      <c r="AP676" s="9">
        <f t="shared" si="529"/>
        <v>7.875</v>
      </c>
      <c r="AQ676" s="9">
        <f t="shared" si="530"/>
        <v>6.625</v>
      </c>
      <c r="AR676" s="9">
        <f t="shared" si="531"/>
        <v>4.5</v>
      </c>
      <c r="AS676" s="9">
        <f t="shared" si="532"/>
        <v>2.75</v>
      </c>
      <c r="AT676" s="9">
        <f t="shared" si="533"/>
        <v>4.375</v>
      </c>
      <c r="AU676" s="9">
        <f t="shared" si="534"/>
        <v>3.1875</v>
      </c>
      <c r="AV676" s="9">
        <f t="shared" si="535"/>
        <v>4.25</v>
      </c>
      <c r="AW676" s="9">
        <f t="shared" si="536"/>
        <v>5.875</v>
      </c>
      <c r="AX676" s="9">
        <f t="shared" si="537"/>
        <v>5.5</v>
      </c>
      <c r="AY676" s="9">
        <f t="shared" si="538"/>
        <v>5.375</v>
      </c>
      <c r="AZ676" s="9">
        <f t="shared" si="539"/>
        <v>4.875</v>
      </c>
      <c r="BA676" s="9">
        <f t="shared" si="540"/>
        <v>3.75</v>
      </c>
      <c r="BB676" s="9">
        <f t="shared" si="541"/>
        <v>2.75</v>
      </c>
      <c r="BC676" s="9">
        <f t="shared" si="542"/>
        <v>4.25</v>
      </c>
      <c r="BD676" s="9">
        <f t="shared" si="543"/>
        <v>4</v>
      </c>
      <c r="BE676" s="9">
        <f t="shared" si="544"/>
        <v>4.5</v>
      </c>
      <c r="BF676" s="9">
        <f t="shared" si="545"/>
        <v>6.125</v>
      </c>
      <c r="BG676" s="9">
        <f t="shared" si="546"/>
        <v>5.875</v>
      </c>
      <c r="BH676" s="9">
        <f t="shared" si="547"/>
        <v>5.5</v>
      </c>
      <c r="BI676" s="9">
        <f t="shared" si="548"/>
        <v>5</v>
      </c>
      <c r="BJ676" s="9">
        <f t="shared" si="549"/>
        <v>4.25</v>
      </c>
    </row>
    <row r="677" spans="1:62" x14ac:dyDescent="0.2">
      <c r="A677" s="9">
        <f>data!M678-data!M677</f>
        <v>-2.8900000000007253E-2</v>
      </c>
      <c r="B677" s="9">
        <f>data!C678-data!C677</f>
        <v>0.48000000000000043</v>
      </c>
      <c r="C677" s="9">
        <f>data!D678-data!D677</f>
        <v>-4.9999999999998934E-3</v>
      </c>
      <c r="D677" s="10">
        <f>data!B678-data!B677</f>
        <v>-7.4999999999999512E-3</v>
      </c>
      <c r="E677" s="9">
        <f>data!E677-data!G677</f>
        <v>2.3130000000000002</v>
      </c>
      <c r="F677" s="9">
        <f>(data!E677-data!F677)-(data!G677-data!H677)</f>
        <v>0.3212000000000001</v>
      </c>
      <c r="G677" s="9">
        <f t="shared" si="500"/>
        <v>0.12499999999999956</v>
      </c>
      <c r="H677" s="9">
        <f t="shared" si="501"/>
        <v>7.6199999999999712E-2</v>
      </c>
      <c r="I677" s="9">
        <f>IF(data!M678&gt; 111.81,1,0)</f>
        <v>0</v>
      </c>
      <c r="J677" s="9">
        <f t="shared" si="502"/>
        <v>1</v>
      </c>
      <c r="K677" s="9">
        <f t="shared" si="503"/>
        <v>0</v>
      </c>
      <c r="L677" s="9">
        <f t="shared" si="504"/>
        <v>-2.8900000000007253E-2</v>
      </c>
      <c r="M677" s="9">
        <f>data!J677</f>
        <v>-51.5</v>
      </c>
      <c r="N677" s="9">
        <f>data!I677</f>
        <v>-58.875</v>
      </c>
      <c r="O677" s="9">
        <f>data!L677</f>
        <v>-58.5</v>
      </c>
      <c r="P677" s="9">
        <f>data!K677</f>
        <v>-54.5</v>
      </c>
      <c r="Q677" s="9">
        <f>data!R677</f>
        <v>-52.5</v>
      </c>
      <c r="R677" s="9">
        <f t="shared" si="505"/>
        <v>8</v>
      </c>
      <c r="S677" s="9">
        <f t="shared" si="506"/>
        <v>11.25</v>
      </c>
      <c r="T677" s="9">
        <f t="shared" si="507"/>
        <v>9.75</v>
      </c>
      <c r="U677" s="9">
        <f t="shared" si="508"/>
        <v>11.25</v>
      </c>
      <c r="V677" s="9">
        <f t="shared" si="509"/>
        <v>10</v>
      </c>
      <c r="W677" s="9">
        <f t="shared" si="510"/>
        <v>9.5</v>
      </c>
      <c r="X677" s="9">
        <f t="shared" si="511"/>
        <v>6.25</v>
      </c>
      <c r="Y677" s="9">
        <f t="shared" si="512"/>
        <v>-0.25</v>
      </c>
      <c r="Z677" s="9">
        <f t="shared" si="513"/>
        <v>2.25</v>
      </c>
      <c r="AA677" s="9">
        <f t="shared" si="514"/>
        <v>3.375</v>
      </c>
      <c r="AB677" s="9">
        <f t="shared" si="515"/>
        <v>5.5</v>
      </c>
      <c r="AC677" s="9">
        <f t="shared" si="516"/>
        <v>4.75</v>
      </c>
      <c r="AD677" s="9">
        <f t="shared" si="517"/>
        <v>6.25</v>
      </c>
      <c r="AE677" s="9">
        <f t="shared" si="518"/>
        <v>5.375</v>
      </c>
      <c r="AF677" s="9">
        <f t="shared" si="519"/>
        <v>5.6875</v>
      </c>
      <c r="AG677" s="9">
        <f t="shared" si="520"/>
        <v>3.75</v>
      </c>
      <c r="AH677" s="9">
        <f t="shared" si="521"/>
        <v>0.5</v>
      </c>
      <c r="AI677" s="9">
        <f t="shared" si="522"/>
        <v>0.625</v>
      </c>
      <c r="AJ677" s="9">
        <f t="shared" si="523"/>
        <v>3</v>
      </c>
      <c r="AK677" s="9">
        <f t="shared" si="524"/>
        <v>2</v>
      </c>
      <c r="AL677" s="9">
        <f t="shared" si="525"/>
        <v>3.25</v>
      </c>
      <c r="AM677" s="9">
        <f t="shared" si="526"/>
        <v>4.875</v>
      </c>
      <c r="AN677" s="9">
        <f t="shared" si="527"/>
        <v>4.25</v>
      </c>
      <c r="AO677" s="9">
        <f t="shared" si="528"/>
        <v>4.375</v>
      </c>
      <c r="AP677" s="9">
        <f t="shared" si="529"/>
        <v>3.125</v>
      </c>
      <c r="AQ677" s="9">
        <f t="shared" si="530"/>
        <v>1</v>
      </c>
      <c r="AR677" s="9">
        <f t="shared" si="531"/>
        <v>1.375</v>
      </c>
      <c r="AS677" s="9">
        <f t="shared" si="532"/>
        <v>1.625</v>
      </c>
      <c r="AT677" s="9">
        <f t="shared" si="533"/>
        <v>0.4375</v>
      </c>
      <c r="AU677" s="9">
        <f t="shared" si="534"/>
        <v>1.5</v>
      </c>
      <c r="AV677" s="9">
        <f t="shared" si="535"/>
        <v>3.125</v>
      </c>
      <c r="AW677" s="9">
        <f t="shared" si="536"/>
        <v>2.75</v>
      </c>
      <c r="AX677" s="9">
        <f t="shared" si="537"/>
        <v>2.625</v>
      </c>
      <c r="AY677" s="9">
        <f t="shared" si="538"/>
        <v>2.125</v>
      </c>
      <c r="AZ677" s="9">
        <f t="shared" si="539"/>
        <v>1</v>
      </c>
      <c r="BA677" s="9">
        <f t="shared" si="540"/>
        <v>1.5</v>
      </c>
      <c r="BB677" s="9">
        <f t="shared" si="541"/>
        <v>1.5</v>
      </c>
      <c r="BC677" s="9">
        <f t="shared" si="542"/>
        <v>1.25</v>
      </c>
      <c r="BD677" s="9">
        <f t="shared" si="543"/>
        <v>1.75</v>
      </c>
      <c r="BE677" s="9">
        <f t="shared" si="544"/>
        <v>3.375</v>
      </c>
      <c r="BF677" s="9">
        <f t="shared" si="545"/>
        <v>3.125</v>
      </c>
      <c r="BG677" s="9">
        <f t="shared" si="546"/>
        <v>2.75</v>
      </c>
      <c r="BH677" s="9">
        <f t="shared" si="547"/>
        <v>2.25</v>
      </c>
      <c r="BI677" s="9">
        <f t="shared" si="548"/>
        <v>1.5</v>
      </c>
      <c r="BJ677" s="9">
        <f t="shared" si="549"/>
        <v>1.5</v>
      </c>
    </row>
    <row r="678" spans="1:62" x14ac:dyDescent="0.2">
      <c r="A678" s="9">
        <f>data!M679-data!M678</f>
        <v>-1.0213999999999999</v>
      </c>
      <c r="B678" s="9">
        <f>data!C679-data!C678</f>
        <v>1.1399999999999988</v>
      </c>
      <c r="C678" s="9">
        <f>data!D679-data!D678</f>
        <v>-5.5000000000000604E-2</v>
      </c>
      <c r="D678" s="10">
        <f>data!B679-data!B678</f>
        <v>5.4999999999999993E-2</v>
      </c>
      <c r="E678" s="9">
        <f>data!E678-data!G678</f>
        <v>2.4379999999999997</v>
      </c>
      <c r="F678" s="9">
        <f>(data!E678-data!F678)-(data!G678-data!H678)</f>
        <v>0.39739999999999981</v>
      </c>
      <c r="G678" s="9">
        <f t="shared" si="500"/>
        <v>-7.5599999999999667E-2</v>
      </c>
      <c r="H678" s="9">
        <f t="shared" si="501"/>
        <v>-5.8999999999999608E-2</v>
      </c>
      <c r="I678" s="9">
        <f>IF(data!M679&gt; 111.81,1,0)</f>
        <v>0</v>
      </c>
      <c r="J678" s="9">
        <f t="shared" si="502"/>
        <v>1</v>
      </c>
      <c r="K678" s="9">
        <f t="shared" si="503"/>
        <v>0</v>
      </c>
      <c r="L678" s="9">
        <f t="shared" si="504"/>
        <v>-1.0213999999999999</v>
      </c>
      <c r="M678" s="9">
        <f>data!J678</f>
        <v>-43.5</v>
      </c>
      <c r="N678" s="9">
        <f>data!I678</f>
        <v>-55.5</v>
      </c>
      <c r="O678" s="9">
        <f>data!L678</f>
        <v>-55.5</v>
      </c>
      <c r="P678" s="9">
        <f>data!K678</f>
        <v>-52.875</v>
      </c>
      <c r="Q678" s="9">
        <f>data!R678</f>
        <v>-51</v>
      </c>
      <c r="R678" s="9">
        <f t="shared" si="505"/>
        <v>3.25</v>
      </c>
      <c r="S678" s="9">
        <f t="shared" si="506"/>
        <v>1.75</v>
      </c>
      <c r="T678" s="9">
        <f t="shared" si="507"/>
        <v>3.25</v>
      </c>
      <c r="U678" s="9">
        <f t="shared" si="508"/>
        <v>2</v>
      </c>
      <c r="V678" s="9">
        <f t="shared" si="509"/>
        <v>1.5</v>
      </c>
      <c r="W678" s="9">
        <f t="shared" si="510"/>
        <v>-1.75</v>
      </c>
      <c r="X678" s="9">
        <f t="shared" si="511"/>
        <v>-8.25</v>
      </c>
      <c r="Y678" s="9">
        <f t="shared" si="512"/>
        <v>-5.75</v>
      </c>
      <c r="Z678" s="9">
        <f t="shared" si="513"/>
        <v>-5.25</v>
      </c>
      <c r="AA678" s="9">
        <f t="shared" si="514"/>
        <v>2.125</v>
      </c>
      <c r="AB678" s="9">
        <f t="shared" si="515"/>
        <v>1.375</v>
      </c>
      <c r="AC678" s="9">
        <f t="shared" si="516"/>
        <v>2.875</v>
      </c>
      <c r="AD678" s="9">
        <f t="shared" si="517"/>
        <v>2</v>
      </c>
      <c r="AE678" s="9">
        <f t="shared" si="518"/>
        <v>2.3125</v>
      </c>
      <c r="AF678" s="9">
        <f t="shared" si="519"/>
        <v>0.375</v>
      </c>
      <c r="AG678" s="9">
        <f t="shared" si="520"/>
        <v>-2.875</v>
      </c>
      <c r="AH678" s="9">
        <f t="shared" si="521"/>
        <v>-2.75</v>
      </c>
      <c r="AI678" s="9">
        <f t="shared" si="522"/>
        <v>-3.5</v>
      </c>
      <c r="AJ678" s="9">
        <f t="shared" si="523"/>
        <v>-1</v>
      </c>
      <c r="AK678" s="9">
        <f t="shared" si="524"/>
        <v>0.25</v>
      </c>
      <c r="AL678" s="9">
        <f t="shared" si="525"/>
        <v>1.875</v>
      </c>
      <c r="AM678" s="9">
        <f t="shared" si="526"/>
        <v>1.25</v>
      </c>
      <c r="AN678" s="9">
        <f t="shared" si="527"/>
        <v>1.375</v>
      </c>
      <c r="AO678" s="9">
        <f t="shared" si="528"/>
        <v>0.125</v>
      </c>
      <c r="AP678" s="9">
        <f t="shared" si="529"/>
        <v>-2</v>
      </c>
      <c r="AQ678" s="9">
        <f t="shared" si="530"/>
        <v>-1.625</v>
      </c>
      <c r="AR678" s="9">
        <f t="shared" si="531"/>
        <v>-2.75</v>
      </c>
      <c r="AS678" s="9">
        <f t="shared" si="532"/>
        <v>-1.1875</v>
      </c>
      <c r="AT678" s="9">
        <f t="shared" si="533"/>
        <v>-0.125</v>
      </c>
      <c r="AU678" s="9">
        <f t="shared" si="534"/>
        <v>1.5</v>
      </c>
      <c r="AV678" s="9">
        <f t="shared" si="535"/>
        <v>1.125</v>
      </c>
      <c r="AW678" s="9">
        <f t="shared" si="536"/>
        <v>1</v>
      </c>
      <c r="AX678" s="9">
        <f t="shared" si="537"/>
        <v>0.5</v>
      </c>
      <c r="AY678" s="9">
        <f t="shared" si="538"/>
        <v>-0.625</v>
      </c>
      <c r="AZ678" s="9">
        <f t="shared" si="539"/>
        <v>-0.125</v>
      </c>
      <c r="BA678" s="9">
        <f t="shared" si="540"/>
        <v>-1.375</v>
      </c>
      <c r="BB678" s="9">
        <f t="shared" si="541"/>
        <v>-0.25</v>
      </c>
      <c r="BC678" s="9">
        <f t="shared" si="542"/>
        <v>0.25</v>
      </c>
      <c r="BD678" s="9">
        <f t="shared" si="543"/>
        <v>1.875</v>
      </c>
      <c r="BE678" s="9">
        <f t="shared" si="544"/>
        <v>1.625</v>
      </c>
      <c r="BF678" s="9">
        <f t="shared" si="545"/>
        <v>1.25</v>
      </c>
      <c r="BG678" s="9">
        <f t="shared" si="546"/>
        <v>0.75</v>
      </c>
      <c r="BH678" s="9">
        <f t="shared" si="547"/>
        <v>0</v>
      </c>
      <c r="BI678" s="9">
        <f t="shared" si="548"/>
        <v>0</v>
      </c>
      <c r="BJ678" s="9">
        <f t="shared" si="549"/>
        <v>-1.125</v>
      </c>
    </row>
    <row r="679" spans="1:62" x14ac:dyDescent="0.2">
      <c r="A679" s="9">
        <f>data!M680-data!M679</f>
        <v>-0.72870000000000346</v>
      </c>
      <c r="B679" s="9">
        <f>data!C680-data!C679</f>
        <v>-1.8199999999999985</v>
      </c>
      <c r="C679" s="9">
        <f>data!D680-data!D679</f>
        <v>-0.35999999999999943</v>
      </c>
      <c r="D679" s="10">
        <f>data!B680-data!B679</f>
        <v>3.999999999999998E-2</v>
      </c>
      <c r="E679" s="9">
        <f>data!E679-data!G679</f>
        <v>2.3624000000000001</v>
      </c>
      <c r="F679" s="9">
        <f>(data!E679-data!F679)-(data!G679-data!H679)</f>
        <v>0.3384000000000002</v>
      </c>
      <c r="G679" s="9">
        <f t="shared" si="500"/>
        <v>5.8899999999999952E-2</v>
      </c>
      <c r="H679" s="9">
        <f t="shared" si="501"/>
        <v>-1.7000000000000015E-2</v>
      </c>
      <c r="I679" s="9">
        <f>IF(data!M680&gt; 111.81,1,0)</f>
        <v>0</v>
      </c>
      <c r="J679" s="9">
        <f t="shared" si="502"/>
        <v>1</v>
      </c>
      <c r="K679" s="9">
        <f t="shared" si="503"/>
        <v>0</v>
      </c>
      <c r="L679" s="9">
        <f t="shared" si="504"/>
        <v>-0.72870000000000346</v>
      </c>
      <c r="M679" s="9">
        <f>data!J679</f>
        <v>-40.25</v>
      </c>
      <c r="N679" s="9">
        <f>data!I679</f>
        <v>-53.375</v>
      </c>
      <c r="O679" s="9">
        <f>data!L679</f>
        <v>-56.5</v>
      </c>
      <c r="P679" s="9">
        <f>data!K679</f>
        <v>-54.0625</v>
      </c>
      <c r="Q679" s="9">
        <f>data!R679</f>
        <v>-51.25</v>
      </c>
      <c r="R679" s="9">
        <f t="shared" si="505"/>
        <v>-1.5</v>
      </c>
      <c r="S679" s="9">
        <f t="shared" si="506"/>
        <v>0</v>
      </c>
      <c r="T679" s="9">
        <f t="shared" si="507"/>
        <v>-1.25</v>
      </c>
      <c r="U679" s="9">
        <f t="shared" si="508"/>
        <v>-1.75</v>
      </c>
      <c r="V679" s="9">
        <f t="shared" si="509"/>
        <v>-5</v>
      </c>
      <c r="W679" s="9">
        <f t="shared" si="510"/>
        <v>-11.5</v>
      </c>
      <c r="X679" s="9">
        <f t="shared" si="511"/>
        <v>-9</v>
      </c>
      <c r="Y679" s="9">
        <f t="shared" si="512"/>
        <v>-8.5</v>
      </c>
      <c r="Z679" s="9">
        <f t="shared" si="513"/>
        <v>-7.75</v>
      </c>
      <c r="AA679" s="9">
        <f t="shared" si="514"/>
        <v>-0.75</v>
      </c>
      <c r="AB679" s="9">
        <f t="shared" si="515"/>
        <v>0.75</v>
      </c>
      <c r="AC679" s="9">
        <f t="shared" si="516"/>
        <v>-0.125</v>
      </c>
      <c r="AD679" s="9">
        <f t="shared" si="517"/>
        <v>0.1875</v>
      </c>
      <c r="AE679" s="9">
        <f t="shared" si="518"/>
        <v>-1.75</v>
      </c>
      <c r="AF679" s="9">
        <f t="shared" si="519"/>
        <v>-5</v>
      </c>
      <c r="AG679" s="9">
        <f t="shared" si="520"/>
        <v>-4.875</v>
      </c>
      <c r="AH679" s="9">
        <f t="shared" si="521"/>
        <v>-5.625</v>
      </c>
      <c r="AI679" s="9">
        <f t="shared" si="522"/>
        <v>-2.75</v>
      </c>
      <c r="AJ679" s="9">
        <f t="shared" si="523"/>
        <v>1.25</v>
      </c>
      <c r="AK679" s="9">
        <f t="shared" si="524"/>
        <v>2.875</v>
      </c>
      <c r="AL679" s="9">
        <f t="shared" si="525"/>
        <v>2.25</v>
      </c>
      <c r="AM679" s="9">
        <f t="shared" si="526"/>
        <v>2.375</v>
      </c>
      <c r="AN679" s="9">
        <f t="shared" si="527"/>
        <v>1.125</v>
      </c>
      <c r="AO679" s="9">
        <f t="shared" si="528"/>
        <v>-1</v>
      </c>
      <c r="AP679" s="9">
        <f t="shared" si="529"/>
        <v>-0.625</v>
      </c>
      <c r="AQ679" s="9">
        <f t="shared" si="530"/>
        <v>-1.75</v>
      </c>
      <c r="AR679" s="9">
        <f t="shared" si="531"/>
        <v>1.375</v>
      </c>
      <c r="AS679" s="9">
        <f t="shared" si="532"/>
        <v>1.0625</v>
      </c>
      <c r="AT679" s="9">
        <f t="shared" si="533"/>
        <v>2.6875</v>
      </c>
      <c r="AU679" s="9">
        <f t="shared" si="534"/>
        <v>2.3125</v>
      </c>
      <c r="AV679" s="9">
        <f t="shared" si="535"/>
        <v>2.1875</v>
      </c>
      <c r="AW679" s="9">
        <f t="shared" si="536"/>
        <v>1.6875</v>
      </c>
      <c r="AX679" s="9">
        <f t="shared" si="537"/>
        <v>0.5625</v>
      </c>
      <c r="AY679" s="9">
        <f t="shared" si="538"/>
        <v>1.0625</v>
      </c>
      <c r="AZ679" s="9">
        <f t="shared" si="539"/>
        <v>-0.1875</v>
      </c>
      <c r="BA679" s="9">
        <f t="shared" si="540"/>
        <v>2.0625</v>
      </c>
      <c r="BB679" s="9">
        <f t="shared" si="541"/>
        <v>0.5</v>
      </c>
      <c r="BC679" s="9">
        <f t="shared" si="542"/>
        <v>2.125</v>
      </c>
      <c r="BD679" s="9">
        <f t="shared" si="543"/>
        <v>1.875</v>
      </c>
      <c r="BE679" s="9">
        <f t="shared" si="544"/>
        <v>1.5</v>
      </c>
      <c r="BF679" s="9">
        <f t="shared" si="545"/>
        <v>1</v>
      </c>
      <c r="BG679" s="9">
        <f t="shared" si="546"/>
        <v>0.25</v>
      </c>
      <c r="BH679" s="9">
        <f t="shared" si="547"/>
        <v>0.25</v>
      </c>
      <c r="BI679" s="9">
        <f t="shared" si="548"/>
        <v>-0.875</v>
      </c>
      <c r="BJ679" s="9">
        <f t="shared" si="549"/>
        <v>1.375</v>
      </c>
    </row>
    <row r="680" spans="1:62" x14ac:dyDescent="0.2">
      <c r="A680" s="9">
        <f>data!M681-data!M680</f>
        <v>-0.44849999999999568</v>
      </c>
      <c r="B680" s="9">
        <f>data!C681-data!C680</f>
        <v>0.9399999999999995</v>
      </c>
      <c r="C680" s="9">
        <f>data!D681-data!D680</f>
        <v>0.40999999999999925</v>
      </c>
      <c r="D680" s="10">
        <f>data!B681-data!B680</f>
        <v>-0.11749999999999999</v>
      </c>
      <c r="E680" s="9">
        <f>data!E680-data!G680</f>
        <v>2.4213</v>
      </c>
      <c r="F680" s="9">
        <f>(data!E680-data!F680)-(data!G680-data!H680)</f>
        <v>0.32140000000000019</v>
      </c>
      <c r="G680" s="9">
        <f t="shared" si="500"/>
        <v>5.1899999999999835E-2</v>
      </c>
      <c r="H680" s="9">
        <f t="shared" si="501"/>
        <v>1.5199999999999547E-2</v>
      </c>
      <c r="I680" s="9">
        <f>IF(data!M681&gt; 111.81,1,0)</f>
        <v>0</v>
      </c>
      <c r="J680" s="9">
        <f t="shared" si="502"/>
        <v>1</v>
      </c>
      <c r="K680" s="9">
        <f t="shared" si="503"/>
        <v>0</v>
      </c>
      <c r="L680" s="9">
        <f t="shared" si="504"/>
        <v>-0.44849999999999568</v>
      </c>
      <c r="M680" s="9">
        <f>data!J680</f>
        <v>-41.75</v>
      </c>
      <c r="N680" s="9">
        <f>data!I680</f>
        <v>-54.125</v>
      </c>
      <c r="O680" s="9">
        <f>data!L680</f>
        <v>-55.25</v>
      </c>
      <c r="P680" s="9">
        <f>data!K680</f>
        <v>-53</v>
      </c>
      <c r="Q680" s="9">
        <f>data!R680</f>
        <v>-50.75</v>
      </c>
      <c r="R680" s="9">
        <f t="shared" si="505"/>
        <v>1.5</v>
      </c>
      <c r="S680" s="9">
        <f t="shared" si="506"/>
        <v>0.25</v>
      </c>
      <c r="T680" s="9">
        <f t="shared" si="507"/>
        <v>-0.25</v>
      </c>
      <c r="U680" s="9">
        <f t="shared" si="508"/>
        <v>-3.5</v>
      </c>
      <c r="V680" s="9">
        <f t="shared" si="509"/>
        <v>-10</v>
      </c>
      <c r="W680" s="9">
        <f t="shared" si="510"/>
        <v>-7.5</v>
      </c>
      <c r="X680" s="9">
        <f t="shared" si="511"/>
        <v>-7</v>
      </c>
      <c r="Y680" s="9">
        <f t="shared" si="512"/>
        <v>-6.25</v>
      </c>
      <c r="Z680" s="9">
        <f t="shared" si="513"/>
        <v>-2.4375</v>
      </c>
      <c r="AA680" s="9">
        <f t="shared" si="514"/>
        <v>1.5</v>
      </c>
      <c r="AB680" s="9">
        <f t="shared" si="515"/>
        <v>0.625</v>
      </c>
      <c r="AC680" s="9">
        <f t="shared" si="516"/>
        <v>0.9375</v>
      </c>
      <c r="AD680" s="9">
        <f t="shared" si="517"/>
        <v>-1</v>
      </c>
      <c r="AE680" s="9">
        <f t="shared" si="518"/>
        <v>-4.25</v>
      </c>
      <c r="AF680" s="9">
        <f t="shared" si="519"/>
        <v>-4.125</v>
      </c>
      <c r="AG680" s="9">
        <f t="shared" si="520"/>
        <v>-4.875</v>
      </c>
      <c r="AH680" s="9">
        <f t="shared" si="521"/>
        <v>-2</v>
      </c>
      <c r="AI680" s="9">
        <f t="shared" si="522"/>
        <v>-0.125</v>
      </c>
      <c r="AJ680" s="9">
        <f t="shared" si="523"/>
        <v>1.625</v>
      </c>
      <c r="AK680" s="9">
        <f t="shared" si="524"/>
        <v>1</v>
      </c>
      <c r="AL680" s="9">
        <f t="shared" si="525"/>
        <v>1.125</v>
      </c>
      <c r="AM680" s="9">
        <f t="shared" si="526"/>
        <v>-0.125</v>
      </c>
      <c r="AN680" s="9">
        <f t="shared" si="527"/>
        <v>-2.25</v>
      </c>
      <c r="AO680" s="9">
        <f t="shared" si="528"/>
        <v>-1.875</v>
      </c>
      <c r="AP680" s="9">
        <f t="shared" si="529"/>
        <v>-3</v>
      </c>
      <c r="AQ680" s="9">
        <f t="shared" si="530"/>
        <v>0.125</v>
      </c>
      <c r="AR680" s="9">
        <f t="shared" si="531"/>
        <v>2</v>
      </c>
      <c r="AS680" s="9">
        <f t="shared" si="532"/>
        <v>1.625</v>
      </c>
      <c r="AT680" s="9">
        <f t="shared" si="533"/>
        <v>1.25</v>
      </c>
      <c r="AU680" s="9">
        <f t="shared" si="534"/>
        <v>1.125</v>
      </c>
      <c r="AV680" s="9">
        <f t="shared" si="535"/>
        <v>0.625</v>
      </c>
      <c r="AW680" s="9">
        <f t="shared" si="536"/>
        <v>-0.5</v>
      </c>
      <c r="AX680" s="9">
        <f t="shared" si="537"/>
        <v>0</v>
      </c>
      <c r="AY680" s="9">
        <f t="shared" si="538"/>
        <v>-1.25</v>
      </c>
      <c r="AZ680" s="9">
        <f t="shared" si="539"/>
        <v>1</v>
      </c>
      <c r="BA680" s="9">
        <f t="shared" si="540"/>
        <v>2.375</v>
      </c>
      <c r="BB680" s="9">
        <f t="shared" si="541"/>
        <v>1.625</v>
      </c>
      <c r="BC680" s="9">
        <f t="shared" si="542"/>
        <v>1.375</v>
      </c>
      <c r="BD680" s="9">
        <f t="shared" si="543"/>
        <v>1</v>
      </c>
      <c r="BE680" s="9">
        <f t="shared" si="544"/>
        <v>0.5</v>
      </c>
      <c r="BF680" s="9">
        <f t="shared" si="545"/>
        <v>-0.25</v>
      </c>
      <c r="BG680" s="9">
        <f t="shared" si="546"/>
        <v>-0.25</v>
      </c>
      <c r="BH680" s="9">
        <f t="shared" si="547"/>
        <v>-1.375</v>
      </c>
      <c r="BI680" s="9">
        <f t="shared" si="548"/>
        <v>0.875</v>
      </c>
      <c r="BJ680" s="9">
        <f t="shared" si="549"/>
        <v>1.625</v>
      </c>
    </row>
    <row r="681" spans="1:62" x14ac:dyDescent="0.2">
      <c r="A681" s="9">
        <f>data!M682-data!M681</f>
        <v>-0.95569999999999311</v>
      </c>
      <c r="B681" s="9">
        <f>data!C682-data!C681</f>
        <v>1.1099999999999994</v>
      </c>
      <c r="C681" s="9">
        <f>data!D682-data!D681</f>
        <v>0.33499999999999996</v>
      </c>
      <c r="D681" s="10">
        <f>data!B682-data!B681</f>
        <v>0.21500000000000002</v>
      </c>
      <c r="E681" s="9">
        <f>data!E681-data!G681</f>
        <v>2.4731999999999998</v>
      </c>
      <c r="F681" s="9">
        <f>(data!E681-data!F681)-(data!G681-data!H681)</f>
        <v>0.33659999999999973</v>
      </c>
      <c r="G681" s="9">
        <f t="shared" si="500"/>
        <v>0.10699999999999976</v>
      </c>
      <c r="H681" s="9">
        <f t="shared" si="501"/>
        <v>3.9899999999999824E-2</v>
      </c>
      <c r="I681" s="9">
        <f>IF(data!M682&gt; 111.81,1,0)</f>
        <v>0</v>
      </c>
      <c r="J681" s="9">
        <f t="shared" si="502"/>
        <v>1</v>
      </c>
      <c r="K681" s="9">
        <f t="shared" si="503"/>
        <v>0</v>
      </c>
      <c r="L681" s="9">
        <f t="shared" si="504"/>
        <v>-0.95569999999999311</v>
      </c>
      <c r="M681" s="9">
        <f>data!J681</f>
        <v>-40.25</v>
      </c>
      <c r="N681" s="9">
        <f>data!I681</f>
        <v>-52.625</v>
      </c>
      <c r="O681" s="9">
        <f>data!L681</f>
        <v>-53.625</v>
      </c>
      <c r="P681" s="9">
        <f>data!K681</f>
        <v>-51.375</v>
      </c>
      <c r="Q681" s="9">
        <f>data!R681</f>
        <v>-49.125</v>
      </c>
      <c r="R681" s="9">
        <f t="shared" si="505"/>
        <v>-1.25</v>
      </c>
      <c r="S681" s="9">
        <f t="shared" si="506"/>
        <v>-1.75</v>
      </c>
      <c r="T681" s="9">
        <f t="shared" si="507"/>
        <v>-5</v>
      </c>
      <c r="U681" s="9">
        <f t="shared" si="508"/>
        <v>-11.5</v>
      </c>
      <c r="V681" s="9">
        <f t="shared" si="509"/>
        <v>-9</v>
      </c>
      <c r="W681" s="9">
        <f t="shared" si="510"/>
        <v>-8.5</v>
      </c>
      <c r="X681" s="9">
        <f t="shared" si="511"/>
        <v>-7.75</v>
      </c>
      <c r="Y681" s="9">
        <f t="shared" si="512"/>
        <v>-3.9375</v>
      </c>
      <c r="Z681" s="9">
        <f t="shared" si="513"/>
        <v>-1.25</v>
      </c>
      <c r="AA681" s="9">
        <f t="shared" si="514"/>
        <v>-0.875</v>
      </c>
      <c r="AB681" s="9">
        <f t="shared" si="515"/>
        <v>-0.5625</v>
      </c>
      <c r="AC681" s="9">
        <f t="shared" si="516"/>
        <v>-2.5</v>
      </c>
      <c r="AD681" s="9">
        <f t="shared" si="517"/>
        <v>-5.75</v>
      </c>
      <c r="AE681" s="9">
        <f t="shared" si="518"/>
        <v>-5.625</v>
      </c>
      <c r="AF681" s="9">
        <f t="shared" si="519"/>
        <v>-6.375</v>
      </c>
      <c r="AG681" s="9">
        <f t="shared" si="520"/>
        <v>-3.5</v>
      </c>
      <c r="AH681" s="9">
        <f t="shared" si="521"/>
        <v>-1.625</v>
      </c>
      <c r="AI681" s="9">
        <f t="shared" si="522"/>
        <v>1.125</v>
      </c>
      <c r="AJ681" s="9">
        <f t="shared" si="523"/>
        <v>-0.625</v>
      </c>
      <c r="AK681" s="9">
        <f t="shared" si="524"/>
        <v>-0.5</v>
      </c>
      <c r="AL681" s="9">
        <f t="shared" si="525"/>
        <v>-1.75</v>
      </c>
      <c r="AM681" s="9">
        <f t="shared" si="526"/>
        <v>-3.875</v>
      </c>
      <c r="AN681" s="9">
        <f t="shared" si="527"/>
        <v>-3.5</v>
      </c>
      <c r="AO681" s="9">
        <f t="shared" si="528"/>
        <v>-4.625</v>
      </c>
      <c r="AP681" s="9">
        <f t="shared" si="529"/>
        <v>-1.5</v>
      </c>
      <c r="AQ681" s="9">
        <f t="shared" si="530"/>
        <v>0.375</v>
      </c>
      <c r="AR681" s="9">
        <f t="shared" si="531"/>
        <v>3.125</v>
      </c>
      <c r="AS681" s="9">
        <f t="shared" si="532"/>
        <v>-0.375</v>
      </c>
      <c r="AT681" s="9">
        <f t="shared" si="533"/>
        <v>-0.5</v>
      </c>
      <c r="AU681" s="9">
        <f t="shared" si="534"/>
        <v>-1</v>
      </c>
      <c r="AV681" s="9">
        <f t="shared" si="535"/>
        <v>-2.125</v>
      </c>
      <c r="AW681" s="9">
        <f t="shared" si="536"/>
        <v>-1.625</v>
      </c>
      <c r="AX681" s="9">
        <f t="shared" si="537"/>
        <v>-2.875</v>
      </c>
      <c r="AY681" s="9">
        <f t="shared" si="538"/>
        <v>-0.625</v>
      </c>
      <c r="AZ681" s="9">
        <f t="shared" si="539"/>
        <v>0.75</v>
      </c>
      <c r="BA681" s="9">
        <f t="shared" si="540"/>
        <v>3.625</v>
      </c>
      <c r="BB681" s="9">
        <f t="shared" si="541"/>
        <v>-0.25</v>
      </c>
      <c r="BC681" s="9">
        <f t="shared" si="542"/>
        <v>-0.625</v>
      </c>
      <c r="BD681" s="9">
        <f t="shared" si="543"/>
        <v>-1.125</v>
      </c>
      <c r="BE681" s="9">
        <f t="shared" si="544"/>
        <v>-1.875</v>
      </c>
      <c r="BF681" s="9">
        <f t="shared" si="545"/>
        <v>-1.875</v>
      </c>
      <c r="BG681" s="9">
        <f t="shared" si="546"/>
        <v>-3</v>
      </c>
      <c r="BH681" s="9">
        <f t="shared" si="547"/>
        <v>-0.75</v>
      </c>
      <c r="BI681" s="9">
        <f t="shared" si="548"/>
        <v>0</v>
      </c>
      <c r="BJ681" s="9">
        <f t="shared" si="549"/>
        <v>2.875</v>
      </c>
    </row>
    <row r="682" spans="1:62" x14ac:dyDescent="0.2">
      <c r="A682" s="9">
        <f>data!M683-data!M682</f>
        <v>-1.2545000000000073</v>
      </c>
      <c r="B682" s="9">
        <f>data!C683-data!C682</f>
        <v>-0.1899999999999995</v>
      </c>
      <c r="C682" s="9">
        <f>data!D683-data!D682</f>
        <v>0.69500000000000117</v>
      </c>
      <c r="D682" s="10">
        <f>data!B683-data!B682</f>
        <v>4.7499999999999987E-2</v>
      </c>
      <c r="E682" s="9">
        <f>data!E682-data!G682</f>
        <v>2.5801999999999996</v>
      </c>
      <c r="F682" s="9">
        <f>(data!E682-data!F682)-(data!G682-data!H682)</f>
        <v>0.37649999999999956</v>
      </c>
      <c r="G682" s="9">
        <f t="shared" si="500"/>
        <v>7.7000000000002622E-3</v>
      </c>
      <c r="H682" s="9">
        <f t="shared" si="501"/>
        <v>-3.5899999999999488E-2</v>
      </c>
      <c r="I682" s="9">
        <f>IF(data!M683&gt; 111.81,1,0)</f>
        <v>0</v>
      </c>
      <c r="J682" s="9">
        <f t="shared" si="502"/>
        <v>1</v>
      </c>
      <c r="K682" s="9">
        <f t="shared" si="503"/>
        <v>0</v>
      </c>
      <c r="L682" s="9">
        <f t="shared" si="504"/>
        <v>-1.2545000000000073</v>
      </c>
      <c r="M682" s="9">
        <f>data!J682</f>
        <v>-41.5</v>
      </c>
      <c r="N682" s="9">
        <f>data!I682</f>
        <v>-53.5</v>
      </c>
      <c r="O682" s="9">
        <f>data!L682</f>
        <v>-54.25</v>
      </c>
      <c r="P682" s="9">
        <f>data!K682</f>
        <v>-51.75</v>
      </c>
      <c r="Q682" s="9">
        <f>data!R682</f>
        <v>-49.375</v>
      </c>
      <c r="R682" s="9">
        <f t="shared" si="505"/>
        <v>-0.5</v>
      </c>
      <c r="S682" s="9">
        <f t="shared" si="506"/>
        <v>-3.75</v>
      </c>
      <c r="T682" s="9">
        <f t="shared" si="507"/>
        <v>-10.25</v>
      </c>
      <c r="U682" s="9">
        <f t="shared" si="508"/>
        <v>-7.75</v>
      </c>
      <c r="V682" s="9">
        <f t="shared" si="509"/>
        <v>-7.25</v>
      </c>
      <c r="W682" s="9">
        <f t="shared" si="510"/>
        <v>-6.5</v>
      </c>
      <c r="X682" s="9">
        <f t="shared" si="511"/>
        <v>-2.6875</v>
      </c>
      <c r="Y682" s="9">
        <f t="shared" si="512"/>
        <v>0</v>
      </c>
      <c r="Z682" s="9">
        <f t="shared" si="513"/>
        <v>4.625</v>
      </c>
      <c r="AA682" s="9">
        <f t="shared" si="514"/>
        <v>0.3125</v>
      </c>
      <c r="AB682" s="9">
        <f t="shared" si="515"/>
        <v>-1.625</v>
      </c>
      <c r="AC682" s="9">
        <f t="shared" si="516"/>
        <v>-4.875</v>
      </c>
      <c r="AD682" s="9">
        <f t="shared" si="517"/>
        <v>-4.75</v>
      </c>
      <c r="AE682" s="9">
        <f t="shared" si="518"/>
        <v>-5.5</v>
      </c>
      <c r="AF682" s="9">
        <f t="shared" si="519"/>
        <v>-2.625</v>
      </c>
      <c r="AG682" s="9">
        <f t="shared" si="520"/>
        <v>-0.75</v>
      </c>
      <c r="AH682" s="9">
        <f t="shared" si="521"/>
        <v>2</v>
      </c>
      <c r="AI682" s="9">
        <f t="shared" si="522"/>
        <v>3.4375</v>
      </c>
      <c r="AJ682" s="9">
        <f t="shared" si="523"/>
        <v>0.125</v>
      </c>
      <c r="AK682" s="9">
        <f t="shared" si="524"/>
        <v>-1.125</v>
      </c>
      <c r="AL682" s="9">
        <f t="shared" si="525"/>
        <v>-3.25</v>
      </c>
      <c r="AM682" s="9">
        <f t="shared" si="526"/>
        <v>-2.875</v>
      </c>
      <c r="AN682" s="9">
        <f t="shared" si="527"/>
        <v>-4</v>
      </c>
      <c r="AO682" s="9">
        <f t="shared" si="528"/>
        <v>-0.875</v>
      </c>
      <c r="AP682" s="9">
        <f t="shared" si="529"/>
        <v>1</v>
      </c>
      <c r="AQ682" s="9">
        <f t="shared" si="530"/>
        <v>3.75</v>
      </c>
      <c r="AR682" s="9">
        <f t="shared" si="531"/>
        <v>3.625</v>
      </c>
      <c r="AS682" s="9">
        <f t="shared" si="532"/>
        <v>-0.125</v>
      </c>
      <c r="AT682" s="9">
        <f t="shared" si="533"/>
        <v>-0.625</v>
      </c>
      <c r="AU682" s="9">
        <f t="shared" si="534"/>
        <v>-1.75</v>
      </c>
      <c r="AV682" s="9">
        <f t="shared" si="535"/>
        <v>-1.25</v>
      </c>
      <c r="AW682" s="9">
        <f t="shared" si="536"/>
        <v>-2.5</v>
      </c>
      <c r="AX682" s="9">
        <f t="shared" si="537"/>
        <v>-0.25</v>
      </c>
      <c r="AY682" s="9">
        <f t="shared" si="538"/>
        <v>1.125</v>
      </c>
      <c r="AZ682" s="9">
        <f t="shared" si="539"/>
        <v>4</v>
      </c>
      <c r="BA682" s="9">
        <f t="shared" si="540"/>
        <v>3.125</v>
      </c>
      <c r="BB682" s="9">
        <f t="shared" si="541"/>
        <v>-0.375</v>
      </c>
      <c r="BC682" s="9">
        <f t="shared" si="542"/>
        <v>-0.875</v>
      </c>
      <c r="BD682" s="9">
        <f t="shared" si="543"/>
        <v>-1.625</v>
      </c>
      <c r="BE682" s="9">
        <f t="shared" si="544"/>
        <v>-1.625</v>
      </c>
      <c r="BF682" s="9">
        <f t="shared" si="545"/>
        <v>-2.75</v>
      </c>
      <c r="BG682" s="9">
        <f t="shared" si="546"/>
        <v>-0.5</v>
      </c>
      <c r="BH682" s="9">
        <f t="shared" si="547"/>
        <v>0.25</v>
      </c>
      <c r="BI682" s="9">
        <f t="shared" si="548"/>
        <v>3.125</v>
      </c>
      <c r="BJ682" s="9">
        <f t="shared" si="549"/>
        <v>2</v>
      </c>
    </row>
    <row r="683" spans="1:62" x14ac:dyDescent="0.2">
      <c r="A683" s="9">
        <f>data!M684-data!M683</f>
        <v>0.42449999999999477</v>
      </c>
      <c r="B683" s="9">
        <f>data!C684-data!C683</f>
        <v>6.2299999999999986</v>
      </c>
      <c r="C683" s="9">
        <f>data!D684-data!D683</f>
        <v>-0.20250000000000057</v>
      </c>
      <c r="D683" s="10">
        <f>data!B684-data!B683</f>
        <v>-0.38500000000000001</v>
      </c>
      <c r="E683" s="9">
        <f>data!E683-data!G683</f>
        <v>2.5878999999999999</v>
      </c>
      <c r="F683" s="9">
        <f>(data!E683-data!F683)-(data!G683-data!H683)</f>
        <v>0.34060000000000007</v>
      </c>
      <c r="G683" s="9">
        <f t="shared" si="500"/>
        <v>0.17320000000000002</v>
      </c>
      <c r="H683" s="9">
        <f t="shared" si="501"/>
        <v>0.14619999999999966</v>
      </c>
      <c r="I683" s="9">
        <f>IF(data!M684&gt; 111.81,1,0)</f>
        <v>0</v>
      </c>
      <c r="J683" s="9">
        <f t="shared" si="502"/>
        <v>1</v>
      </c>
      <c r="K683" s="9">
        <f t="shared" si="503"/>
        <v>0</v>
      </c>
      <c r="L683" s="9">
        <f t="shared" si="504"/>
        <v>0.42449999999999477</v>
      </c>
      <c r="M683" s="9">
        <f>data!J683</f>
        <v>-42</v>
      </c>
      <c r="N683" s="9">
        <f>data!I683</f>
        <v>-53.1875</v>
      </c>
      <c r="O683" s="9">
        <f>data!L683</f>
        <v>-54.125</v>
      </c>
      <c r="P683" s="9">
        <f>data!K683</f>
        <v>-51.875</v>
      </c>
      <c r="Q683" s="9">
        <f>data!R683</f>
        <v>-49.75</v>
      </c>
      <c r="R683" s="9">
        <f t="shared" si="505"/>
        <v>-3.25</v>
      </c>
      <c r="S683" s="9">
        <f t="shared" si="506"/>
        <v>-9.75</v>
      </c>
      <c r="T683" s="9">
        <f t="shared" si="507"/>
        <v>-7.25</v>
      </c>
      <c r="U683" s="9">
        <f t="shared" si="508"/>
        <v>-6.75</v>
      </c>
      <c r="V683" s="9">
        <f t="shared" si="509"/>
        <v>-6</v>
      </c>
      <c r="W683" s="9">
        <f t="shared" si="510"/>
        <v>-2.1875</v>
      </c>
      <c r="X683" s="9">
        <f t="shared" si="511"/>
        <v>0.5</v>
      </c>
      <c r="Y683" s="9">
        <f t="shared" si="512"/>
        <v>5.125</v>
      </c>
      <c r="Z683" s="9">
        <f t="shared" si="513"/>
        <v>8.25</v>
      </c>
      <c r="AA683" s="9">
        <f t="shared" si="514"/>
        <v>-1.9375</v>
      </c>
      <c r="AB683" s="9">
        <f t="shared" si="515"/>
        <v>-5.1875</v>
      </c>
      <c r="AC683" s="9">
        <f t="shared" si="516"/>
        <v>-5.0625</v>
      </c>
      <c r="AD683" s="9">
        <f t="shared" si="517"/>
        <v>-5.8125</v>
      </c>
      <c r="AE683" s="9">
        <f t="shared" si="518"/>
        <v>-2.9375</v>
      </c>
      <c r="AF683" s="9">
        <f t="shared" si="519"/>
        <v>-1.0625</v>
      </c>
      <c r="AG683" s="9">
        <f t="shared" si="520"/>
        <v>1.6875</v>
      </c>
      <c r="AH683" s="9">
        <f t="shared" si="521"/>
        <v>3.125</v>
      </c>
      <c r="AI683" s="9">
        <f t="shared" si="522"/>
        <v>5.75</v>
      </c>
      <c r="AJ683" s="9">
        <f t="shared" si="523"/>
        <v>-1.25</v>
      </c>
      <c r="AK683" s="9">
        <f t="shared" si="524"/>
        <v>-3.375</v>
      </c>
      <c r="AL683" s="9">
        <f t="shared" si="525"/>
        <v>-3</v>
      </c>
      <c r="AM683" s="9">
        <f t="shared" si="526"/>
        <v>-4.125</v>
      </c>
      <c r="AN683" s="9">
        <f t="shared" si="527"/>
        <v>-1</v>
      </c>
      <c r="AO683" s="9">
        <f t="shared" si="528"/>
        <v>0.875</v>
      </c>
      <c r="AP683" s="9">
        <f t="shared" si="529"/>
        <v>3.625</v>
      </c>
      <c r="AQ683" s="9">
        <f t="shared" si="530"/>
        <v>3.5</v>
      </c>
      <c r="AR683" s="9">
        <f t="shared" si="531"/>
        <v>5.125</v>
      </c>
      <c r="AS683" s="9">
        <f t="shared" si="532"/>
        <v>-0.5</v>
      </c>
      <c r="AT683" s="9">
        <f t="shared" si="533"/>
        <v>-1.625</v>
      </c>
      <c r="AU683" s="9">
        <f t="shared" si="534"/>
        <v>-1.125</v>
      </c>
      <c r="AV683" s="9">
        <f t="shared" si="535"/>
        <v>-2.375</v>
      </c>
      <c r="AW683" s="9">
        <f t="shared" si="536"/>
        <v>-0.125</v>
      </c>
      <c r="AX683" s="9">
        <f t="shared" si="537"/>
        <v>1.25</v>
      </c>
      <c r="AY683" s="9">
        <f t="shared" si="538"/>
        <v>4.125</v>
      </c>
      <c r="AZ683" s="9">
        <f t="shared" si="539"/>
        <v>3.25</v>
      </c>
      <c r="BA683" s="9">
        <f t="shared" si="540"/>
        <v>4.625</v>
      </c>
      <c r="BB683" s="9">
        <f t="shared" si="541"/>
        <v>-0.5</v>
      </c>
      <c r="BC683" s="9">
        <f t="shared" si="542"/>
        <v>-1.25</v>
      </c>
      <c r="BD683" s="9">
        <f t="shared" si="543"/>
        <v>-1.25</v>
      </c>
      <c r="BE683" s="9">
        <f t="shared" si="544"/>
        <v>-2.375</v>
      </c>
      <c r="BF683" s="9">
        <f t="shared" si="545"/>
        <v>-0.125</v>
      </c>
      <c r="BG683" s="9">
        <f t="shared" si="546"/>
        <v>0.625</v>
      </c>
      <c r="BH683" s="9">
        <f t="shared" si="547"/>
        <v>3.5</v>
      </c>
      <c r="BI683" s="9">
        <f t="shared" si="548"/>
        <v>2.375</v>
      </c>
      <c r="BJ683" s="9">
        <f t="shared" si="549"/>
        <v>3.625</v>
      </c>
    </row>
    <row r="684" spans="1:62" x14ac:dyDescent="0.2">
      <c r="A684" s="9">
        <f>data!M685-data!M684</f>
        <v>1.1425000000000125</v>
      </c>
      <c r="B684" s="9">
        <f>data!C685-data!C684</f>
        <v>11.75</v>
      </c>
      <c r="C684" s="9">
        <f>data!D685-data!D684</f>
        <v>1.5724999999999998</v>
      </c>
      <c r="D684" s="10">
        <f>data!B685-data!B684</f>
        <v>-0.48749999999999993</v>
      </c>
      <c r="E684" s="9">
        <f>data!E684-data!G684</f>
        <v>2.7610999999999999</v>
      </c>
      <c r="F684" s="9">
        <f>(data!E684-data!F684)-(data!G684-data!H684)</f>
        <v>0.48679999999999973</v>
      </c>
      <c r="G684" s="9">
        <f t="shared" si="500"/>
        <v>2.9100000000000126E-2</v>
      </c>
      <c r="H684" s="9">
        <f t="shared" si="501"/>
        <v>7.7200000000000324E-2</v>
      </c>
      <c r="I684" s="9">
        <f>IF(data!M685&gt; 111.81,1,0)</f>
        <v>0</v>
      </c>
      <c r="J684" s="9">
        <f t="shared" si="502"/>
        <v>1</v>
      </c>
      <c r="K684" s="9">
        <f t="shared" si="503"/>
        <v>0</v>
      </c>
      <c r="L684" s="9">
        <f t="shared" si="504"/>
        <v>1.1425000000000125</v>
      </c>
      <c r="M684" s="9">
        <f>data!J684</f>
        <v>-45.25</v>
      </c>
      <c r="N684" s="9">
        <f>data!I684</f>
        <v>-55.125</v>
      </c>
      <c r="O684" s="9">
        <f>data!L684</f>
        <v>-55.375</v>
      </c>
      <c r="P684" s="9">
        <f>data!K684</f>
        <v>-52.375</v>
      </c>
      <c r="Q684" s="9">
        <f>data!R684</f>
        <v>-50.25</v>
      </c>
      <c r="R684" s="9">
        <f t="shared" si="505"/>
        <v>-6.5</v>
      </c>
      <c r="S684" s="9">
        <f t="shared" si="506"/>
        <v>-4</v>
      </c>
      <c r="T684" s="9">
        <f t="shared" si="507"/>
        <v>-3.5</v>
      </c>
      <c r="U684" s="9">
        <f t="shared" si="508"/>
        <v>-2.75</v>
      </c>
      <c r="V684" s="9">
        <f t="shared" si="509"/>
        <v>1.0625</v>
      </c>
      <c r="W684" s="9">
        <f t="shared" si="510"/>
        <v>3.75</v>
      </c>
      <c r="X684" s="9">
        <f t="shared" si="511"/>
        <v>8.375</v>
      </c>
      <c r="Y684" s="9">
        <f t="shared" si="512"/>
        <v>11.5</v>
      </c>
      <c r="Z684" s="9">
        <f t="shared" si="513"/>
        <v>10.5</v>
      </c>
      <c r="AA684" s="9">
        <f t="shared" si="514"/>
        <v>-3.25</v>
      </c>
      <c r="AB684" s="9">
        <f t="shared" si="515"/>
        <v>-3.125</v>
      </c>
      <c r="AC684" s="9">
        <f t="shared" si="516"/>
        <v>-3.875</v>
      </c>
      <c r="AD684" s="9">
        <f t="shared" si="517"/>
        <v>-1</v>
      </c>
      <c r="AE684" s="9">
        <f t="shared" si="518"/>
        <v>0.875</v>
      </c>
      <c r="AF684" s="9">
        <f t="shared" si="519"/>
        <v>3.625</v>
      </c>
      <c r="AG684" s="9">
        <f t="shared" si="520"/>
        <v>5.0625</v>
      </c>
      <c r="AH684" s="9">
        <f t="shared" si="521"/>
        <v>7.6875</v>
      </c>
      <c r="AI684" s="9">
        <f t="shared" si="522"/>
        <v>6.25</v>
      </c>
      <c r="AJ684" s="9">
        <f t="shared" si="523"/>
        <v>-2.125</v>
      </c>
      <c r="AK684" s="9">
        <f t="shared" si="524"/>
        <v>-1.75</v>
      </c>
      <c r="AL684" s="9">
        <f t="shared" si="525"/>
        <v>-2.875</v>
      </c>
      <c r="AM684" s="9">
        <f t="shared" si="526"/>
        <v>0.25</v>
      </c>
      <c r="AN684" s="9">
        <f t="shared" si="527"/>
        <v>2.125</v>
      </c>
      <c r="AO684" s="9">
        <f t="shared" si="528"/>
        <v>4.875</v>
      </c>
      <c r="AP684" s="9">
        <f t="shared" si="529"/>
        <v>4.75</v>
      </c>
      <c r="AQ684" s="9">
        <f t="shared" si="530"/>
        <v>6.375</v>
      </c>
      <c r="AR684" s="9">
        <f t="shared" si="531"/>
        <v>5.5625</v>
      </c>
      <c r="AS684" s="9">
        <f t="shared" si="532"/>
        <v>-1.125</v>
      </c>
      <c r="AT684" s="9">
        <f t="shared" si="533"/>
        <v>-0.625</v>
      </c>
      <c r="AU684" s="9">
        <f t="shared" si="534"/>
        <v>-1.875</v>
      </c>
      <c r="AV684" s="9">
        <f t="shared" si="535"/>
        <v>0.375</v>
      </c>
      <c r="AW684" s="9">
        <f t="shared" si="536"/>
        <v>1.75</v>
      </c>
      <c r="AX684" s="9">
        <f t="shared" si="537"/>
        <v>4.625</v>
      </c>
      <c r="AY684" s="9">
        <f t="shared" si="538"/>
        <v>3.75</v>
      </c>
      <c r="AZ684" s="9">
        <f t="shared" si="539"/>
        <v>5.125</v>
      </c>
      <c r="BA684" s="9">
        <f t="shared" si="540"/>
        <v>3.9375</v>
      </c>
      <c r="BB684" s="9">
        <f t="shared" si="541"/>
        <v>-0.75</v>
      </c>
      <c r="BC684" s="9">
        <f t="shared" si="542"/>
        <v>-0.75</v>
      </c>
      <c r="BD684" s="9">
        <f t="shared" si="543"/>
        <v>-1.875</v>
      </c>
      <c r="BE684" s="9">
        <f t="shared" si="544"/>
        <v>0.375</v>
      </c>
      <c r="BF684" s="9">
        <f t="shared" si="545"/>
        <v>1.125</v>
      </c>
      <c r="BG684" s="9">
        <f t="shared" si="546"/>
        <v>4</v>
      </c>
      <c r="BH684" s="9">
        <f t="shared" si="547"/>
        <v>2.875</v>
      </c>
      <c r="BI684" s="9">
        <f t="shared" si="548"/>
        <v>4.125</v>
      </c>
      <c r="BJ684" s="9">
        <f t="shared" si="549"/>
        <v>2.3125</v>
      </c>
    </row>
    <row r="685" spans="1:62" x14ac:dyDescent="0.2">
      <c r="A685" s="9">
        <f>data!M686-data!M685</f>
        <v>-1.2220000000000084</v>
      </c>
      <c r="B685" s="9">
        <f>data!C686-data!C685</f>
        <v>-9.5999999999999979</v>
      </c>
      <c r="C685" s="9">
        <f>data!D686-data!D685</f>
        <v>-0.46250000000000036</v>
      </c>
      <c r="D685" s="10">
        <f>data!B686-data!B685</f>
        <v>0.20749999999999991</v>
      </c>
      <c r="E685" s="9">
        <f>data!E685-data!G685</f>
        <v>2.7902</v>
      </c>
      <c r="F685" s="9">
        <f>(data!E685-data!F685)-(data!G685-data!H685)</f>
        <v>0.56400000000000006</v>
      </c>
      <c r="G685" s="9">
        <f t="shared" si="500"/>
        <v>3.069999999999995E-2</v>
      </c>
      <c r="H685" s="9">
        <f t="shared" si="501"/>
        <v>-9.2600000000000016E-2</v>
      </c>
      <c r="I685" s="9">
        <f>IF(data!M686&gt; 111.81,1,0)</f>
        <v>0</v>
      </c>
      <c r="J685" s="9">
        <f t="shared" si="502"/>
        <v>1</v>
      </c>
      <c r="K685" s="9">
        <f t="shared" si="503"/>
        <v>0</v>
      </c>
      <c r="L685" s="9">
        <f t="shared" si="504"/>
        <v>-1.2220000000000084</v>
      </c>
      <c r="M685" s="9">
        <f>data!J685</f>
        <v>-51.75</v>
      </c>
      <c r="N685" s="9">
        <f>data!I685</f>
        <v>-58.375</v>
      </c>
      <c r="O685" s="9">
        <f>data!L685</f>
        <v>-57.5</v>
      </c>
      <c r="P685" s="9">
        <f>data!K685</f>
        <v>-53.5</v>
      </c>
      <c r="Q685" s="9">
        <f>data!R685</f>
        <v>-51</v>
      </c>
      <c r="R685" s="9">
        <f t="shared" si="505"/>
        <v>2.5</v>
      </c>
      <c r="S685" s="9">
        <f t="shared" si="506"/>
        <v>3</v>
      </c>
      <c r="T685" s="9">
        <f t="shared" si="507"/>
        <v>3.75</v>
      </c>
      <c r="U685" s="9">
        <f t="shared" si="508"/>
        <v>7.5625</v>
      </c>
      <c r="V685" s="9">
        <f t="shared" si="509"/>
        <v>10.25</v>
      </c>
      <c r="W685" s="9">
        <f t="shared" si="510"/>
        <v>14.875</v>
      </c>
      <c r="X685" s="9">
        <f t="shared" si="511"/>
        <v>18</v>
      </c>
      <c r="Y685" s="9">
        <f t="shared" si="512"/>
        <v>17</v>
      </c>
      <c r="Z685" s="9">
        <f t="shared" si="513"/>
        <v>15.75</v>
      </c>
      <c r="AA685" s="9">
        <f t="shared" si="514"/>
        <v>0.125</v>
      </c>
      <c r="AB685" s="9">
        <f t="shared" si="515"/>
        <v>-0.625</v>
      </c>
      <c r="AC685" s="9">
        <f t="shared" si="516"/>
        <v>2.25</v>
      </c>
      <c r="AD685" s="9">
        <f t="shared" si="517"/>
        <v>4.125</v>
      </c>
      <c r="AE685" s="9">
        <f t="shared" si="518"/>
        <v>6.875</v>
      </c>
      <c r="AF685" s="9">
        <f t="shared" si="519"/>
        <v>8.3125</v>
      </c>
      <c r="AG685" s="9">
        <f t="shared" si="520"/>
        <v>10.9375</v>
      </c>
      <c r="AH685" s="9">
        <f t="shared" si="521"/>
        <v>9.5</v>
      </c>
      <c r="AI685" s="9">
        <f t="shared" si="522"/>
        <v>8.8125</v>
      </c>
      <c r="AJ685" s="9">
        <f t="shared" si="523"/>
        <v>0.375</v>
      </c>
      <c r="AK685" s="9">
        <f t="shared" si="524"/>
        <v>-0.75</v>
      </c>
      <c r="AL685" s="9">
        <f t="shared" si="525"/>
        <v>2.375</v>
      </c>
      <c r="AM685" s="9">
        <f t="shared" si="526"/>
        <v>4.25</v>
      </c>
      <c r="AN685" s="9">
        <f t="shared" si="527"/>
        <v>7</v>
      </c>
      <c r="AO685" s="9">
        <f t="shared" si="528"/>
        <v>6.875</v>
      </c>
      <c r="AP685" s="9">
        <f t="shared" si="529"/>
        <v>8.5</v>
      </c>
      <c r="AQ685" s="9">
        <f t="shared" si="530"/>
        <v>7.6875</v>
      </c>
      <c r="AR685" s="9">
        <f t="shared" si="531"/>
        <v>7.75</v>
      </c>
      <c r="AS685" s="9">
        <f t="shared" si="532"/>
        <v>0.5</v>
      </c>
      <c r="AT685" s="9">
        <f t="shared" si="533"/>
        <v>-0.75</v>
      </c>
      <c r="AU685" s="9">
        <f t="shared" si="534"/>
        <v>1.5</v>
      </c>
      <c r="AV685" s="9">
        <f t="shared" si="535"/>
        <v>2.875</v>
      </c>
      <c r="AW685" s="9">
        <f t="shared" si="536"/>
        <v>5.75</v>
      </c>
      <c r="AX685" s="9">
        <f t="shared" si="537"/>
        <v>4.875</v>
      </c>
      <c r="AY685" s="9">
        <f t="shared" si="538"/>
        <v>6.25</v>
      </c>
      <c r="AZ685" s="9">
        <f t="shared" si="539"/>
        <v>5.0625</v>
      </c>
      <c r="BA685" s="9">
        <f t="shared" si="540"/>
        <v>5</v>
      </c>
      <c r="BB685" s="9">
        <f t="shared" si="541"/>
        <v>0</v>
      </c>
      <c r="BC685" s="9">
        <f t="shared" si="542"/>
        <v>-1.125</v>
      </c>
      <c r="BD685" s="9">
        <f t="shared" si="543"/>
        <v>1.125</v>
      </c>
      <c r="BE685" s="9">
        <f t="shared" si="544"/>
        <v>1.875</v>
      </c>
      <c r="BF685" s="9">
        <f t="shared" si="545"/>
        <v>4.75</v>
      </c>
      <c r="BG685" s="9">
        <f t="shared" si="546"/>
        <v>3.625</v>
      </c>
      <c r="BH685" s="9">
        <f t="shared" si="547"/>
        <v>4.875</v>
      </c>
      <c r="BI685" s="9">
        <f t="shared" si="548"/>
        <v>3.0625</v>
      </c>
      <c r="BJ685" s="9">
        <f t="shared" si="549"/>
        <v>2.875</v>
      </c>
    </row>
    <row r="686" spans="1:62" x14ac:dyDescent="0.2">
      <c r="A686" s="9">
        <f>data!M687-data!M686</f>
        <v>0.64430000000000121</v>
      </c>
      <c r="B686" s="9">
        <f>data!C687-data!C686</f>
        <v>-2.9700000000000024</v>
      </c>
      <c r="C686" s="9">
        <f>data!D687-data!D686</f>
        <v>-0.81749999999999901</v>
      </c>
      <c r="D686" s="10">
        <f>data!B687-data!B686</f>
        <v>8.0000000000000071E-2</v>
      </c>
      <c r="E686" s="9">
        <f>data!E686-data!G686</f>
        <v>2.8209</v>
      </c>
      <c r="F686" s="9">
        <f>(data!E686-data!F686)-(data!G686-data!H686)</f>
        <v>0.47140000000000004</v>
      </c>
      <c r="G686" s="9">
        <f t="shared" si="500"/>
        <v>-2.8999999999999027E-3</v>
      </c>
      <c r="H686" s="9">
        <f t="shared" si="501"/>
        <v>-4.6399999999999941E-2</v>
      </c>
      <c r="I686" s="9">
        <f>IF(data!M687&gt; 111.81,1,0)</f>
        <v>0</v>
      </c>
      <c r="J686" s="9">
        <f t="shared" si="502"/>
        <v>1</v>
      </c>
      <c r="K686" s="9">
        <f t="shared" si="503"/>
        <v>0</v>
      </c>
      <c r="L686" s="9">
        <f t="shared" si="504"/>
        <v>0.64430000000000121</v>
      </c>
      <c r="M686" s="9">
        <f>data!J686</f>
        <v>-49.25</v>
      </c>
      <c r="N686" s="9">
        <f>data!I686</f>
        <v>-58.25</v>
      </c>
      <c r="O686" s="9">
        <f>data!L686</f>
        <v>-57.125</v>
      </c>
      <c r="P686" s="9">
        <f>data!K686</f>
        <v>-53</v>
      </c>
      <c r="Q686" s="9">
        <f>data!R686</f>
        <v>-51</v>
      </c>
      <c r="R686" s="9">
        <f t="shared" si="505"/>
        <v>0.5</v>
      </c>
      <c r="S686" s="9">
        <f t="shared" si="506"/>
        <v>1.25</v>
      </c>
      <c r="T686" s="9">
        <f t="shared" si="507"/>
        <v>5.0625</v>
      </c>
      <c r="U686" s="9">
        <f t="shared" si="508"/>
        <v>7.75</v>
      </c>
      <c r="V686" s="9">
        <f t="shared" si="509"/>
        <v>12.375</v>
      </c>
      <c r="W686" s="9">
        <f t="shared" si="510"/>
        <v>15.5</v>
      </c>
      <c r="X686" s="9">
        <f t="shared" si="511"/>
        <v>14.5</v>
      </c>
      <c r="Y686" s="9">
        <f t="shared" si="512"/>
        <v>13.25</v>
      </c>
      <c r="Z686" s="9">
        <f t="shared" si="513"/>
        <v>15.875</v>
      </c>
      <c r="AA686" s="9">
        <f t="shared" si="514"/>
        <v>-0.75</v>
      </c>
      <c r="AB686" s="9">
        <f t="shared" si="515"/>
        <v>2.125</v>
      </c>
      <c r="AC686" s="9">
        <f t="shared" si="516"/>
        <v>4</v>
      </c>
      <c r="AD686" s="9">
        <f t="shared" si="517"/>
        <v>6.75</v>
      </c>
      <c r="AE686" s="9">
        <f t="shared" si="518"/>
        <v>8.1875</v>
      </c>
      <c r="AF686" s="9">
        <f t="shared" si="519"/>
        <v>10.8125</v>
      </c>
      <c r="AG686" s="9">
        <f t="shared" si="520"/>
        <v>9.375</v>
      </c>
      <c r="AH686" s="9">
        <f t="shared" si="521"/>
        <v>8.6875</v>
      </c>
      <c r="AI686" s="9">
        <f t="shared" si="522"/>
        <v>10.75</v>
      </c>
      <c r="AJ686" s="9">
        <f t="shared" si="523"/>
        <v>-1.125</v>
      </c>
      <c r="AK686" s="9">
        <f t="shared" si="524"/>
        <v>2</v>
      </c>
      <c r="AL686" s="9">
        <f t="shared" si="525"/>
        <v>3.875</v>
      </c>
      <c r="AM686" s="9">
        <f t="shared" si="526"/>
        <v>6.625</v>
      </c>
      <c r="AN686" s="9">
        <f t="shared" si="527"/>
        <v>6.5</v>
      </c>
      <c r="AO686" s="9">
        <f t="shared" si="528"/>
        <v>8.125</v>
      </c>
      <c r="AP686" s="9">
        <f t="shared" si="529"/>
        <v>7.3125</v>
      </c>
      <c r="AQ686" s="9">
        <f t="shared" si="530"/>
        <v>7.375</v>
      </c>
      <c r="AR686" s="9">
        <f t="shared" si="531"/>
        <v>7.75</v>
      </c>
      <c r="AS686" s="9">
        <f t="shared" si="532"/>
        <v>-1.25</v>
      </c>
      <c r="AT686" s="9">
        <f t="shared" si="533"/>
        <v>1</v>
      </c>
      <c r="AU686" s="9">
        <f t="shared" si="534"/>
        <v>2.375</v>
      </c>
      <c r="AV686" s="9">
        <f t="shared" si="535"/>
        <v>5.25</v>
      </c>
      <c r="AW686" s="9">
        <f t="shared" si="536"/>
        <v>4.375</v>
      </c>
      <c r="AX686" s="9">
        <f t="shared" si="537"/>
        <v>5.75</v>
      </c>
      <c r="AY686" s="9">
        <f t="shared" si="538"/>
        <v>4.5625</v>
      </c>
      <c r="AZ686" s="9">
        <f t="shared" si="539"/>
        <v>4.5</v>
      </c>
      <c r="BA686" s="9">
        <f t="shared" si="540"/>
        <v>4.5</v>
      </c>
      <c r="BB686" s="9">
        <f t="shared" si="541"/>
        <v>-1.125</v>
      </c>
      <c r="BC686" s="9">
        <f t="shared" si="542"/>
        <v>1.125</v>
      </c>
      <c r="BD686" s="9">
        <f t="shared" si="543"/>
        <v>1.875</v>
      </c>
      <c r="BE686" s="9">
        <f t="shared" si="544"/>
        <v>4.75</v>
      </c>
      <c r="BF686" s="9">
        <f t="shared" si="545"/>
        <v>3.625</v>
      </c>
      <c r="BG686" s="9">
        <f t="shared" si="546"/>
        <v>4.875</v>
      </c>
      <c r="BH686" s="9">
        <f t="shared" si="547"/>
        <v>3.0625</v>
      </c>
      <c r="BI686" s="9">
        <f t="shared" si="548"/>
        <v>2.875</v>
      </c>
      <c r="BJ686" s="9">
        <f t="shared" si="549"/>
        <v>2.625</v>
      </c>
    </row>
    <row r="687" spans="1:62" x14ac:dyDescent="0.2">
      <c r="A687" s="9">
        <f>data!M688-data!M687</f>
        <v>0.85550000000000637</v>
      </c>
      <c r="B687" s="9">
        <f>data!C688-data!C687</f>
        <v>3.1000000000000014</v>
      </c>
      <c r="C687" s="9">
        <f>data!D688-data!D687</f>
        <v>0.47499999999999964</v>
      </c>
      <c r="D687" s="10">
        <f>data!B688-data!B687</f>
        <v>2.7499999999999969E-2</v>
      </c>
      <c r="E687" s="9">
        <f>data!E687-data!G687</f>
        <v>2.8180000000000001</v>
      </c>
      <c r="F687" s="9">
        <f>(data!E687-data!F687)-(data!G687-data!H687)</f>
        <v>0.4250000000000001</v>
      </c>
      <c r="G687" s="9">
        <f t="shared" si="500"/>
        <v>-1.6700000000000159E-2</v>
      </c>
      <c r="H687" s="9">
        <f t="shared" si="501"/>
        <v>-2.7500000000000024E-2</v>
      </c>
      <c r="I687" s="9">
        <f>IF(data!M688&gt; 111.81,1,0)</f>
        <v>0</v>
      </c>
      <c r="J687" s="9">
        <f t="shared" si="502"/>
        <v>1</v>
      </c>
      <c r="K687" s="9">
        <f t="shared" si="503"/>
        <v>0</v>
      </c>
      <c r="L687" s="9">
        <f t="shared" si="504"/>
        <v>0.85550000000000637</v>
      </c>
      <c r="M687" s="9">
        <f>data!J687</f>
        <v>-48.75</v>
      </c>
      <c r="N687" s="9">
        <f>data!I687</f>
        <v>-59</v>
      </c>
      <c r="O687" s="9">
        <f>data!L687</f>
        <v>-58.25</v>
      </c>
      <c r="P687" s="9">
        <f>data!K687</f>
        <v>-54.25</v>
      </c>
      <c r="Q687" s="9">
        <f>data!R687</f>
        <v>-52.125</v>
      </c>
      <c r="R687" s="9">
        <f t="shared" si="505"/>
        <v>0.75</v>
      </c>
      <c r="S687" s="9">
        <f t="shared" si="506"/>
        <v>4.5625</v>
      </c>
      <c r="T687" s="9">
        <f t="shared" si="507"/>
        <v>7.25</v>
      </c>
      <c r="U687" s="9">
        <f t="shared" si="508"/>
        <v>11.875</v>
      </c>
      <c r="V687" s="9">
        <f t="shared" si="509"/>
        <v>15</v>
      </c>
      <c r="W687" s="9">
        <f t="shared" si="510"/>
        <v>14</v>
      </c>
      <c r="X687" s="9">
        <f t="shared" si="511"/>
        <v>12.75</v>
      </c>
      <c r="Y687" s="9">
        <f t="shared" si="512"/>
        <v>15.375</v>
      </c>
      <c r="Z687" s="9">
        <f t="shared" si="513"/>
        <v>13.75</v>
      </c>
      <c r="AA687" s="9">
        <f t="shared" si="514"/>
        <v>2.875</v>
      </c>
      <c r="AB687" s="9">
        <f t="shared" si="515"/>
        <v>4.75</v>
      </c>
      <c r="AC687" s="9">
        <f t="shared" si="516"/>
        <v>7.5</v>
      </c>
      <c r="AD687" s="9">
        <f t="shared" si="517"/>
        <v>8.9375</v>
      </c>
      <c r="AE687" s="9">
        <f t="shared" si="518"/>
        <v>11.5625</v>
      </c>
      <c r="AF687" s="9">
        <f t="shared" si="519"/>
        <v>10.125</v>
      </c>
      <c r="AG687" s="9">
        <f t="shared" si="520"/>
        <v>9.4375</v>
      </c>
      <c r="AH687" s="9">
        <f t="shared" si="521"/>
        <v>11.5</v>
      </c>
      <c r="AI687" s="9">
        <f t="shared" si="522"/>
        <v>10.125</v>
      </c>
      <c r="AJ687" s="9">
        <f t="shared" si="523"/>
        <v>3.125</v>
      </c>
      <c r="AK687" s="9">
        <f t="shared" si="524"/>
        <v>5</v>
      </c>
      <c r="AL687" s="9">
        <f t="shared" si="525"/>
        <v>7.75</v>
      </c>
      <c r="AM687" s="9">
        <f t="shared" si="526"/>
        <v>7.625</v>
      </c>
      <c r="AN687" s="9">
        <f t="shared" si="527"/>
        <v>9.25</v>
      </c>
      <c r="AO687" s="9">
        <f t="shared" si="528"/>
        <v>8.4375</v>
      </c>
      <c r="AP687" s="9">
        <f t="shared" si="529"/>
        <v>8.5</v>
      </c>
      <c r="AQ687" s="9">
        <f t="shared" si="530"/>
        <v>8.875</v>
      </c>
      <c r="AR687" s="9">
        <f t="shared" si="531"/>
        <v>6.875</v>
      </c>
      <c r="AS687" s="9">
        <f t="shared" si="532"/>
        <v>2.25</v>
      </c>
      <c r="AT687" s="9">
        <f t="shared" si="533"/>
        <v>3.625</v>
      </c>
      <c r="AU687" s="9">
        <f t="shared" si="534"/>
        <v>6.5</v>
      </c>
      <c r="AV687" s="9">
        <f t="shared" si="535"/>
        <v>5.625</v>
      </c>
      <c r="AW687" s="9">
        <f t="shared" si="536"/>
        <v>7</v>
      </c>
      <c r="AX687" s="9">
        <f t="shared" si="537"/>
        <v>5.8125</v>
      </c>
      <c r="AY687" s="9">
        <f t="shared" si="538"/>
        <v>5.75</v>
      </c>
      <c r="AZ687" s="9">
        <f t="shared" si="539"/>
        <v>5.75</v>
      </c>
      <c r="BA687" s="9">
        <f t="shared" si="540"/>
        <v>3.875</v>
      </c>
      <c r="BB687" s="9">
        <f t="shared" si="541"/>
        <v>2.25</v>
      </c>
      <c r="BC687" s="9">
        <f t="shared" si="542"/>
        <v>3</v>
      </c>
      <c r="BD687" s="9">
        <f t="shared" si="543"/>
        <v>5.875</v>
      </c>
      <c r="BE687" s="9">
        <f t="shared" si="544"/>
        <v>4.75</v>
      </c>
      <c r="BF687" s="9">
        <f t="shared" si="545"/>
        <v>6</v>
      </c>
      <c r="BG687" s="9">
        <f t="shared" si="546"/>
        <v>4.1875</v>
      </c>
      <c r="BH687" s="9">
        <f t="shared" si="547"/>
        <v>4</v>
      </c>
      <c r="BI687" s="9">
        <f t="shared" si="548"/>
        <v>3.75</v>
      </c>
      <c r="BJ687" s="9">
        <f t="shared" si="549"/>
        <v>2</v>
      </c>
    </row>
    <row r="688" spans="1:62" x14ac:dyDescent="0.2">
      <c r="A688" s="9">
        <f>data!M689-data!M688</f>
        <v>-0.61260000000000048</v>
      </c>
      <c r="B688" s="9">
        <f>data!C689-data!C688</f>
        <v>-4.9499999999999993</v>
      </c>
      <c r="C688" s="9">
        <f>data!D689-data!D688</f>
        <v>-1.1450000000000005</v>
      </c>
      <c r="D688" s="10">
        <f>data!B689-data!B688</f>
        <v>7.7500000000000013E-2</v>
      </c>
      <c r="E688" s="9">
        <f>data!E688-data!G688</f>
        <v>2.8012999999999999</v>
      </c>
      <c r="F688" s="9">
        <f>(data!E688-data!F688)-(data!G688-data!H688)</f>
        <v>0.39750000000000008</v>
      </c>
      <c r="G688" s="9">
        <f t="shared" si="500"/>
        <v>4.4500000000000206E-2</v>
      </c>
      <c r="H688" s="9">
        <f t="shared" si="501"/>
        <v>3.2300000000000051E-2</v>
      </c>
      <c r="I688" s="9">
        <f>IF(data!M689&gt; 111.81,1,0)</f>
        <v>0</v>
      </c>
      <c r="J688" s="9">
        <f t="shared" si="502"/>
        <v>1</v>
      </c>
      <c r="K688" s="9">
        <f t="shared" si="503"/>
        <v>0</v>
      </c>
      <c r="L688" s="9">
        <f t="shared" si="504"/>
        <v>-0.61260000000000048</v>
      </c>
      <c r="M688" s="9">
        <f>data!J688</f>
        <v>-48</v>
      </c>
      <c r="N688" s="9">
        <f>data!I688</f>
        <v>-56.125</v>
      </c>
      <c r="O688" s="9">
        <f>data!L688</f>
        <v>-55.125</v>
      </c>
      <c r="P688" s="9">
        <f>data!K688</f>
        <v>-52</v>
      </c>
      <c r="Q688" s="9">
        <f>data!R688</f>
        <v>-49.875</v>
      </c>
      <c r="R688" s="9">
        <f t="shared" si="505"/>
        <v>3.8125</v>
      </c>
      <c r="S688" s="9">
        <f t="shared" si="506"/>
        <v>6.5</v>
      </c>
      <c r="T688" s="9">
        <f t="shared" si="507"/>
        <v>11.125</v>
      </c>
      <c r="U688" s="9">
        <f t="shared" si="508"/>
        <v>14.25</v>
      </c>
      <c r="V688" s="9">
        <f t="shared" si="509"/>
        <v>13.25</v>
      </c>
      <c r="W688" s="9">
        <f t="shared" si="510"/>
        <v>12</v>
      </c>
      <c r="X688" s="9">
        <f t="shared" si="511"/>
        <v>14.625</v>
      </c>
      <c r="Y688" s="9">
        <f t="shared" si="512"/>
        <v>13</v>
      </c>
      <c r="Z688" s="9">
        <f t="shared" si="513"/>
        <v>14.5</v>
      </c>
      <c r="AA688" s="9">
        <f t="shared" si="514"/>
        <v>1.875</v>
      </c>
      <c r="AB688" s="9">
        <f t="shared" si="515"/>
        <v>4.625</v>
      </c>
      <c r="AC688" s="9">
        <f t="shared" si="516"/>
        <v>6.0625</v>
      </c>
      <c r="AD688" s="9">
        <f t="shared" si="517"/>
        <v>8.6875</v>
      </c>
      <c r="AE688" s="9">
        <f t="shared" si="518"/>
        <v>7.25</v>
      </c>
      <c r="AF688" s="9">
        <f t="shared" si="519"/>
        <v>6.5625</v>
      </c>
      <c r="AG688" s="9">
        <f t="shared" si="520"/>
        <v>8.625</v>
      </c>
      <c r="AH688" s="9">
        <f t="shared" si="521"/>
        <v>7.25</v>
      </c>
      <c r="AI688" s="9">
        <f t="shared" si="522"/>
        <v>7.875</v>
      </c>
      <c r="AJ688" s="9">
        <f t="shared" si="523"/>
        <v>1.875</v>
      </c>
      <c r="AK688" s="9">
        <f t="shared" si="524"/>
        <v>4.625</v>
      </c>
      <c r="AL688" s="9">
        <f t="shared" si="525"/>
        <v>4.5</v>
      </c>
      <c r="AM688" s="9">
        <f t="shared" si="526"/>
        <v>6.125</v>
      </c>
      <c r="AN688" s="9">
        <f t="shared" si="527"/>
        <v>5.3125</v>
      </c>
      <c r="AO688" s="9">
        <f t="shared" si="528"/>
        <v>5.375</v>
      </c>
      <c r="AP688" s="9">
        <f t="shared" si="529"/>
        <v>5.75</v>
      </c>
      <c r="AQ688" s="9">
        <f t="shared" si="530"/>
        <v>3.75</v>
      </c>
      <c r="AR688" s="9">
        <f t="shared" si="531"/>
        <v>4.375</v>
      </c>
      <c r="AS688" s="9">
        <f t="shared" si="532"/>
        <v>1.375</v>
      </c>
      <c r="AT688" s="9">
        <f t="shared" si="533"/>
        <v>4.25</v>
      </c>
      <c r="AU688" s="9">
        <f t="shared" si="534"/>
        <v>3.375</v>
      </c>
      <c r="AV688" s="9">
        <f t="shared" si="535"/>
        <v>4.75</v>
      </c>
      <c r="AW688" s="9">
        <f t="shared" si="536"/>
        <v>3.5625</v>
      </c>
      <c r="AX688" s="9">
        <f t="shared" si="537"/>
        <v>3.5</v>
      </c>
      <c r="AY688" s="9">
        <f t="shared" si="538"/>
        <v>3.5</v>
      </c>
      <c r="AZ688" s="9">
        <f t="shared" si="539"/>
        <v>1.625</v>
      </c>
      <c r="BA688" s="9">
        <f t="shared" si="540"/>
        <v>2</v>
      </c>
      <c r="BB688" s="9">
        <f t="shared" si="541"/>
        <v>0.75</v>
      </c>
      <c r="BC688" s="9">
        <f t="shared" si="542"/>
        <v>3.625</v>
      </c>
      <c r="BD688" s="9">
        <f t="shared" si="543"/>
        <v>2.5</v>
      </c>
      <c r="BE688" s="9">
        <f t="shared" si="544"/>
        <v>3.75</v>
      </c>
      <c r="BF688" s="9">
        <f t="shared" si="545"/>
        <v>1.9375</v>
      </c>
      <c r="BG688" s="9">
        <f t="shared" si="546"/>
        <v>1.75</v>
      </c>
      <c r="BH688" s="9">
        <f t="shared" si="547"/>
        <v>1.5</v>
      </c>
      <c r="BI688" s="9">
        <f t="shared" si="548"/>
        <v>-0.25</v>
      </c>
      <c r="BJ688" s="9">
        <f t="shared" si="549"/>
        <v>0.125</v>
      </c>
    </row>
    <row r="689" spans="1:62" x14ac:dyDescent="0.2">
      <c r="A689" s="9">
        <f>data!M690-data!M689</f>
        <v>0.51019999999999754</v>
      </c>
      <c r="B689" s="9">
        <f>data!C690-data!C689</f>
        <v>1.1600000000000001</v>
      </c>
      <c r="C689" s="9">
        <f>data!D690-data!D689</f>
        <v>0.47500000000000053</v>
      </c>
      <c r="D689" s="10">
        <f>data!B690-data!B689</f>
        <v>-7.2500000000000009E-2</v>
      </c>
      <c r="E689" s="9">
        <f>data!E689-data!G689</f>
        <v>2.8458000000000001</v>
      </c>
      <c r="F689" s="9">
        <f>(data!E689-data!F689)-(data!G689-data!H689)</f>
        <v>0.42980000000000013</v>
      </c>
      <c r="G689" s="9">
        <f t="shared" si="500"/>
        <v>-3.4299999999999997E-2</v>
      </c>
      <c r="H689" s="9">
        <f t="shared" si="501"/>
        <v>-5.8200000000000252E-2</v>
      </c>
      <c r="I689" s="9">
        <f>IF(data!M690&gt; 111.81,1,0)</f>
        <v>0</v>
      </c>
      <c r="J689" s="9">
        <f t="shared" si="502"/>
        <v>1</v>
      </c>
      <c r="K689" s="9">
        <f t="shared" si="503"/>
        <v>0</v>
      </c>
      <c r="L689" s="9">
        <f t="shared" si="504"/>
        <v>0.51019999999999754</v>
      </c>
      <c r="M689" s="9">
        <f>data!J689</f>
        <v>-44.1875</v>
      </c>
      <c r="N689" s="9">
        <f>data!I689</f>
        <v>-54.25</v>
      </c>
      <c r="O689" s="9">
        <f>data!L689</f>
        <v>-53.25</v>
      </c>
      <c r="P689" s="9">
        <f>data!K689</f>
        <v>-50.625</v>
      </c>
      <c r="Q689" s="9">
        <f>data!R689</f>
        <v>-49.125</v>
      </c>
      <c r="R689" s="9">
        <f t="shared" si="505"/>
        <v>2.6875</v>
      </c>
      <c r="S689" s="9">
        <f t="shared" si="506"/>
        <v>7.3125</v>
      </c>
      <c r="T689" s="9">
        <f t="shared" si="507"/>
        <v>10.4375</v>
      </c>
      <c r="U689" s="9">
        <f t="shared" si="508"/>
        <v>9.4375</v>
      </c>
      <c r="V689" s="9">
        <f t="shared" si="509"/>
        <v>8.1875</v>
      </c>
      <c r="W689" s="9">
        <f t="shared" si="510"/>
        <v>10.8125</v>
      </c>
      <c r="X689" s="9">
        <f t="shared" si="511"/>
        <v>9.1875</v>
      </c>
      <c r="Y689" s="9">
        <f t="shared" si="512"/>
        <v>10.6875</v>
      </c>
      <c r="Z689" s="9">
        <f t="shared" si="513"/>
        <v>13.1875</v>
      </c>
      <c r="AA689" s="9">
        <f t="shared" si="514"/>
        <v>2.75</v>
      </c>
      <c r="AB689" s="9">
        <f t="shared" si="515"/>
        <v>4.1875</v>
      </c>
      <c r="AC689" s="9">
        <f t="shared" si="516"/>
        <v>6.8125</v>
      </c>
      <c r="AD689" s="9">
        <f t="shared" si="517"/>
        <v>5.375</v>
      </c>
      <c r="AE689" s="9">
        <f t="shared" si="518"/>
        <v>4.6875</v>
      </c>
      <c r="AF689" s="9">
        <f t="shared" si="519"/>
        <v>6.75</v>
      </c>
      <c r="AG689" s="9">
        <f t="shared" si="520"/>
        <v>5.375</v>
      </c>
      <c r="AH689" s="9">
        <f t="shared" si="521"/>
        <v>6</v>
      </c>
      <c r="AI689" s="9">
        <f t="shared" si="522"/>
        <v>7.125</v>
      </c>
      <c r="AJ689" s="9">
        <f t="shared" si="523"/>
        <v>2.75</v>
      </c>
      <c r="AK689" s="9">
        <f t="shared" si="524"/>
        <v>2.625</v>
      </c>
      <c r="AL689" s="9">
        <f t="shared" si="525"/>
        <v>4.25</v>
      </c>
      <c r="AM689" s="9">
        <f t="shared" si="526"/>
        <v>3.4375</v>
      </c>
      <c r="AN689" s="9">
        <f t="shared" si="527"/>
        <v>3.5</v>
      </c>
      <c r="AO689" s="9">
        <f t="shared" si="528"/>
        <v>3.875</v>
      </c>
      <c r="AP689" s="9">
        <f t="shared" si="529"/>
        <v>1.875</v>
      </c>
      <c r="AQ689" s="9">
        <f t="shared" si="530"/>
        <v>2.5</v>
      </c>
      <c r="AR689" s="9">
        <f t="shared" si="531"/>
        <v>3.125</v>
      </c>
      <c r="AS689" s="9">
        <f t="shared" si="532"/>
        <v>2.875</v>
      </c>
      <c r="AT689" s="9">
        <f t="shared" si="533"/>
        <v>2</v>
      </c>
      <c r="AU689" s="9">
        <f t="shared" si="534"/>
        <v>3.375</v>
      </c>
      <c r="AV689" s="9">
        <f t="shared" si="535"/>
        <v>2.1875</v>
      </c>
      <c r="AW689" s="9">
        <f t="shared" si="536"/>
        <v>2.125</v>
      </c>
      <c r="AX689" s="9">
        <f t="shared" si="537"/>
        <v>2.125</v>
      </c>
      <c r="AY689" s="9">
        <f t="shared" si="538"/>
        <v>0.25</v>
      </c>
      <c r="AZ689" s="9">
        <f t="shared" si="539"/>
        <v>0.625</v>
      </c>
      <c r="BA689" s="9">
        <f t="shared" si="540"/>
        <v>1.625</v>
      </c>
      <c r="BB689" s="9">
        <f t="shared" si="541"/>
        <v>2.875</v>
      </c>
      <c r="BC689" s="9">
        <f t="shared" si="542"/>
        <v>1.75</v>
      </c>
      <c r="BD689" s="9">
        <f t="shared" si="543"/>
        <v>3</v>
      </c>
      <c r="BE689" s="9">
        <f t="shared" si="544"/>
        <v>1.1875</v>
      </c>
      <c r="BF689" s="9">
        <f t="shared" si="545"/>
        <v>1</v>
      </c>
      <c r="BG689" s="9">
        <f t="shared" si="546"/>
        <v>0.75</v>
      </c>
      <c r="BH689" s="9">
        <f t="shared" si="547"/>
        <v>-1</v>
      </c>
      <c r="BI689" s="9">
        <f t="shared" si="548"/>
        <v>-0.625</v>
      </c>
      <c r="BJ689" s="9">
        <f t="shared" si="549"/>
        <v>0.25</v>
      </c>
    </row>
    <row r="690" spans="1:62" x14ac:dyDescent="0.2">
      <c r="A690" s="9">
        <f>data!M691-data!M690</f>
        <v>-0.68380000000000507</v>
      </c>
      <c r="B690" s="9">
        <f>data!C691-data!C690</f>
        <v>9.07</v>
      </c>
      <c r="C690" s="9">
        <f>data!D691-data!D690</f>
        <v>0.19500000000000028</v>
      </c>
      <c r="D690" s="10">
        <f>data!B691-data!B690</f>
        <v>-0.10999999999999999</v>
      </c>
      <c r="E690" s="9">
        <f>data!E690-data!G690</f>
        <v>2.8115000000000001</v>
      </c>
      <c r="F690" s="9">
        <f>(data!E690-data!F690)-(data!G690-data!H690)</f>
        <v>0.37159999999999987</v>
      </c>
      <c r="G690" s="9">
        <f t="shared" si="500"/>
        <v>-1.6000000000000014E-2</v>
      </c>
      <c r="H690" s="9">
        <f t="shared" si="501"/>
        <v>1.0099999999999998E-2</v>
      </c>
      <c r="I690" s="9">
        <f>IF(data!M691&gt; 111.81,1,0)</f>
        <v>0</v>
      </c>
      <c r="J690" s="9">
        <f t="shared" si="502"/>
        <v>1</v>
      </c>
      <c r="K690" s="9">
        <f t="shared" si="503"/>
        <v>0</v>
      </c>
      <c r="L690" s="9">
        <f t="shared" si="504"/>
        <v>-0.68380000000000507</v>
      </c>
      <c r="M690" s="9">
        <f>data!J690</f>
        <v>-41.5</v>
      </c>
      <c r="N690" s="9">
        <f>data!I690</f>
        <v>-51.5</v>
      </c>
      <c r="O690" s="9">
        <f>data!L690</f>
        <v>-50.5</v>
      </c>
      <c r="P690" s="9">
        <f>data!K690</f>
        <v>-47.75</v>
      </c>
      <c r="Q690" s="9">
        <f>data!R690</f>
        <v>-46.25</v>
      </c>
      <c r="R690" s="9">
        <f t="shared" si="505"/>
        <v>4.625</v>
      </c>
      <c r="S690" s="9">
        <f t="shared" si="506"/>
        <v>7.75</v>
      </c>
      <c r="T690" s="9">
        <f t="shared" si="507"/>
        <v>6.75</v>
      </c>
      <c r="U690" s="9">
        <f t="shared" si="508"/>
        <v>5.5</v>
      </c>
      <c r="V690" s="9">
        <f t="shared" si="509"/>
        <v>8.125</v>
      </c>
      <c r="W690" s="9">
        <f t="shared" si="510"/>
        <v>6.5</v>
      </c>
      <c r="X690" s="9">
        <f t="shared" si="511"/>
        <v>8</v>
      </c>
      <c r="Y690" s="9">
        <f t="shared" si="512"/>
        <v>10.5</v>
      </c>
      <c r="Z690" s="9">
        <f t="shared" si="513"/>
        <v>10.125</v>
      </c>
      <c r="AA690" s="9">
        <f t="shared" si="514"/>
        <v>1.4375</v>
      </c>
      <c r="AB690" s="9">
        <f t="shared" si="515"/>
        <v>4.0625</v>
      </c>
      <c r="AC690" s="9">
        <f t="shared" si="516"/>
        <v>2.625</v>
      </c>
      <c r="AD690" s="9">
        <f t="shared" si="517"/>
        <v>1.9375</v>
      </c>
      <c r="AE690" s="9">
        <f t="shared" si="518"/>
        <v>4</v>
      </c>
      <c r="AF690" s="9">
        <f t="shared" si="519"/>
        <v>2.625</v>
      </c>
      <c r="AG690" s="9">
        <f t="shared" si="520"/>
        <v>3.25</v>
      </c>
      <c r="AH690" s="9">
        <f t="shared" si="521"/>
        <v>4.375</v>
      </c>
      <c r="AI690" s="9">
        <f t="shared" si="522"/>
        <v>4.875</v>
      </c>
      <c r="AJ690" s="9">
        <f t="shared" si="523"/>
        <v>-0.125</v>
      </c>
      <c r="AK690" s="9">
        <f t="shared" si="524"/>
        <v>1.5</v>
      </c>
      <c r="AL690" s="9">
        <f t="shared" si="525"/>
        <v>0.6875</v>
      </c>
      <c r="AM690" s="9">
        <f t="shared" si="526"/>
        <v>0.75</v>
      </c>
      <c r="AN690" s="9">
        <f t="shared" si="527"/>
        <v>1.125</v>
      </c>
      <c r="AO690" s="9">
        <f t="shared" si="528"/>
        <v>-0.875</v>
      </c>
      <c r="AP690" s="9">
        <f t="shared" si="529"/>
        <v>-0.25</v>
      </c>
      <c r="AQ690" s="9">
        <f t="shared" si="530"/>
        <v>0.375</v>
      </c>
      <c r="AR690" s="9">
        <f t="shared" si="531"/>
        <v>0.625</v>
      </c>
      <c r="AS690" s="9">
        <f t="shared" si="532"/>
        <v>-0.875</v>
      </c>
      <c r="AT690" s="9">
        <f t="shared" si="533"/>
        <v>0.5</v>
      </c>
      <c r="AU690" s="9">
        <f t="shared" si="534"/>
        <v>-0.6875</v>
      </c>
      <c r="AV690" s="9">
        <f t="shared" si="535"/>
        <v>-0.75</v>
      </c>
      <c r="AW690" s="9">
        <f t="shared" si="536"/>
        <v>-0.75</v>
      </c>
      <c r="AX690" s="9">
        <f t="shared" si="537"/>
        <v>-2.625</v>
      </c>
      <c r="AY690" s="9">
        <f t="shared" si="538"/>
        <v>-2.25</v>
      </c>
      <c r="AZ690" s="9">
        <f t="shared" si="539"/>
        <v>-1.25</v>
      </c>
      <c r="BA690" s="9">
        <f t="shared" si="540"/>
        <v>-0.375</v>
      </c>
      <c r="BB690" s="9">
        <f t="shared" si="541"/>
        <v>-1.125</v>
      </c>
      <c r="BC690" s="9">
        <f t="shared" si="542"/>
        <v>0.125</v>
      </c>
      <c r="BD690" s="9">
        <f t="shared" si="543"/>
        <v>-1.6875</v>
      </c>
      <c r="BE690" s="9">
        <f t="shared" si="544"/>
        <v>-1.875</v>
      </c>
      <c r="BF690" s="9">
        <f t="shared" si="545"/>
        <v>-2.125</v>
      </c>
      <c r="BG690" s="9">
        <f t="shared" si="546"/>
        <v>-3.875</v>
      </c>
      <c r="BH690" s="9">
        <f t="shared" si="547"/>
        <v>-3.5</v>
      </c>
      <c r="BI690" s="9">
        <f t="shared" si="548"/>
        <v>-2.625</v>
      </c>
      <c r="BJ690" s="9">
        <f t="shared" si="549"/>
        <v>-1.5</v>
      </c>
    </row>
    <row r="691" spans="1:62" x14ac:dyDescent="0.2">
      <c r="A691" s="9">
        <f>data!M692-data!M691</f>
        <v>-0.27119999999999322</v>
      </c>
      <c r="B691" s="9">
        <f>data!C692-data!C691</f>
        <v>-4.9000000000000021</v>
      </c>
      <c r="C691" s="9">
        <f>data!D692-data!D691</f>
        <v>-0.53500000000000014</v>
      </c>
      <c r="D691" s="10">
        <f>data!B692-data!B691</f>
        <v>7.999999999999996E-2</v>
      </c>
      <c r="E691" s="9">
        <f>data!E691-data!G691</f>
        <v>2.7955000000000001</v>
      </c>
      <c r="F691" s="9">
        <f>(data!E691-data!F691)-(data!G691-data!H691)</f>
        <v>0.38169999999999987</v>
      </c>
      <c r="G691" s="9">
        <f t="shared" si="500"/>
        <v>-0.10060000000000002</v>
      </c>
      <c r="H691" s="9">
        <f t="shared" si="501"/>
        <v>-9.0899999999999537E-2</v>
      </c>
      <c r="I691" s="9">
        <f>IF(data!M692&gt; 111.81,1,0)</f>
        <v>0</v>
      </c>
      <c r="J691" s="9">
        <f t="shared" si="502"/>
        <v>1</v>
      </c>
      <c r="K691" s="9">
        <f t="shared" si="503"/>
        <v>0</v>
      </c>
      <c r="L691" s="9">
        <f t="shared" si="504"/>
        <v>-0.27119999999999322</v>
      </c>
      <c r="M691" s="9">
        <f>data!J691</f>
        <v>-36.875</v>
      </c>
      <c r="N691" s="9">
        <f>data!I691</f>
        <v>-50.0625</v>
      </c>
      <c r="O691" s="9">
        <f>data!L691</f>
        <v>-50.625</v>
      </c>
      <c r="P691" s="9">
        <f>data!K691</f>
        <v>-48.625</v>
      </c>
      <c r="Q691" s="9">
        <f>data!R691</f>
        <v>-47.375</v>
      </c>
      <c r="R691" s="9">
        <f t="shared" si="505"/>
        <v>3.125</v>
      </c>
      <c r="S691" s="9">
        <f t="shared" si="506"/>
        <v>2.125</v>
      </c>
      <c r="T691" s="9">
        <f t="shared" si="507"/>
        <v>0.875</v>
      </c>
      <c r="U691" s="9">
        <f t="shared" si="508"/>
        <v>3.5</v>
      </c>
      <c r="V691" s="9">
        <f t="shared" si="509"/>
        <v>1.875</v>
      </c>
      <c r="W691" s="9">
        <f t="shared" si="510"/>
        <v>3.375</v>
      </c>
      <c r="X691" s="9">
        <f t="shared" si="511"/>
        <v>5.875</v>
      </c>
      <c r="Y691" s="9">
        <f t="shared" si="512"/>
        <v>5.5</v>
      </c>
      <c r="Z691" s="9">
        <f t="shared" si="513"/>
        <v>0.25</v>
      </c>
      <c r="AA691" s="9">
        <f t="shared" si="514"/>
        <v>2.625</v>
      </c>
      <c r="AB691" s="9">
        <f t="shared" si="515"/>
        <v>1.1875</v>
      </c>
      <c r="AC691" s="9">
        <f t="shared" si="516"/>
        <v>0.5</v>
      </c>
      <c r="AD691" s="9">
        <f t="shared" si="517"/>
        <v>2.5625</v>
      </c>
      <c r="AE691" s="9">
        <f t="shared" si="518"/>
        <v>1.1875</v>
      </c>
      <c r="AF691" s="9">
        <f t="shared" si="519"/>
        <v>1.8125</v>
      </c>
      <c r="AG691" s="9">
        <f t="shared" si="520"/>
        <v>2.9375</v>
      </c>
      <c r="AH691" s="9">
        <f t="shared" si="521"/>
        <v>3.4375</v>
      </c>
      <c r="AI691" s="9">
        <f t="shared" si="522"/>
        <v>0.8125</v>
      </c>
      <c r="AJ691" s="9">
        <f t="shared" si="523"/>
        <v>1.625</v>
      </c>
      <c r="AK691" s="9">
        <f t="shared" si="524"/>
        <v>0.8125</v>
      </c>
      <c r="AL691" s="9">
        <f t="shared" si="525"/>
        <v>0.875</v>
      </c>
      <c r="AM691" s="9">
        <f t="shared" si="526"/>
        <v>1.25</v>
      </c>
      <c r="AN691" s="9">
        <f t="shared" si="527"/>
        <v>-0.75</v>
      </c>
      <c r="AO691" s="9">
        <f t="shared" si="528"/>
        <v>-0.125</v>
      </c>
      <c r="AP691" s="9">
        <f t="shared" si="529"/>
        <v>0.5</v>
      </c>
      <c r="AQ691" s="9">
        <f t="shared" si="530"/>
        <v>0.75</v>
      </c>
      <c r="AR691" s="9">
        <f t="shared" si="531"/>
        <v>-0.625</v>
      </c>
      <c r="AS691" s="9">
        <f t="shared" si="532"/>
        <v>1.375</v>
      </c>
      <c r="AT691" s="9">
        <f t="shared" si="533"/>
        <v>0.1875</v>
      </c>
      <c r="AU691" s="9">
        <f t="shared" si="534"/>
        <v>0.125</v>
      </c>
      <c r="AV691" s="9">
        <f t="shared" si="535"/>
        <v>0.125</v>
      </c>
      <c r="AW691" s="9">
        <f t="shared" si="536"/>
        <v>-1.75</v>
      </c>
      <c r="AX691" s="9">
        <f t="shared" si="537"/>
        <v>-1.375</v>
      </c>
      <c r="AY691" s="9">
        <f t="shared" si="538"/>
        <v>-0.375</v>
      </c>
      <c r="AZ691" s="9">
        <f t="shared" si="539"/>
        <v>0.5</v>
      </c>
      <c r="BA691" s="9">
        <f t="shared" si="540"/>
        <v>-0.75</v>
      </c>
      <c r="BB691" s="9">
        <f t="shared" si="541"/>
        <v>1.25</v>
      </c>
      <c r="BC691" s="9">
        <f t="shared" si="542"/>
        <v>-0.5625</v>
      </c>
      <c r="BD691" s="9">
        <f t="shared" si="543"/>
        <v>-0.75</v>
      </c>
      <c r="BE691" s="9">
        <f t="shared" si="544"/>
        <v>-1</v>
      </c>
      <c r="BF691" s="9">
        <f t="shared" si="545"/>
        <v>-2.75</v>
      </c>
      <c r="BG691" s="9">
        <f t="shared" si="546"/>
        <v>-2.375</v>
      </c>
      <c r="BH691" s="9">
        <f t="shared" si="547"/>
        <v>-1.5</v>
      </c>
      <c r="BI691" s="9">
        <f t="shared" si="548"/>
        <v>-0.375</v>
      </c>
      <c r="BJ691" s="9">
        <f t="shared" si="549"/>
        <v>-1.5</v>
      </c>
    </row>
    <row r="692" spans="1:62" x14ac:dyDescent="0.2">
      <c r="A692" s="9">
        <f>data!M693-data!M692</f>
        <v>0.31009999999999138</v>
      </c>
      <c r="B692" s="9">
        <f>data!C693-data!C692</f>
        <v>1.5199999999999996</v>
      </c>
      <c r="C692" s="9">
        <f>data!D693-data!D692</f>
        <v>-0.30750000000000011</v>
      </c>
      <c r="D692" s="10">
        <f>data!B693-data!B692</f>
        <v>7.4999999999999956E-2</v>
      </c>
      <c r="E692" s="9">
        <f>data!E692-data!G692</f>
        <v>2.6949000000000001</v>
      </c>
      <c r="F692" s="9">
        <f>(data!E692-data!F692)-(data!G692-data!H692)</f>
        <v>0.29080000000000034</v>
      </c>
      <c r="G692" s="9">
        <f t="shared" si="500"/>
        <v>3.7599999999999856E-2</v>
      </c>
      <c r="H692" s="9">
        <f t="shared" si="501"/>
        <v>3.0599999999999739E-2</v>
      </c>
      <c r="I692" s="9">
        <f>IF(data!M693&gt; 111.81,1,0)</f>
        <v>0</v>
      </c>
      <c r="J692" s="9">
        <f t="shared" si="502"/>
        <v>1</v>
      </c>
      <c r="K692" s="9">
        <f t="shared" si="503"/>
        <v>0</v>
      </c>
      <c r="L692" s="9">
        <f t="shared" si="504"/>
        <v>0.31009999999999138</v>
      </c>
      <c r="M692" s="9">
        <f>data!J692</f>
        <v>-33.75</v>
      </c>
      <c r="N692" s="9">
        <f>data!I692</f>
        <v>-47.4375</v>
      </c>
      <c r="O692" s="9">
        <f>data!L692</f>
        <v>-49</v>
      </c>
      <c r="P692" s="9">
        <f>data!K692</f>
        <v>-47.25</v>
      </c>
      <c r="Q692" s="9">
        <f>data!R692</f>
        <v>-46.125</v>
      </c>
      <c r="R692" s="9">
        <f t="shared" si="505"/>
        <v>-1</v>
      </c>
      <c r="S692" s="9">
        <f t="shared" si="506"/>
        <v>-2.25</v>
      </c>
      <c r="T692" s="9">
        <f t="shared" si="507"/>
        <v>0.375</v>
      </c>
      <c r="U692" s="9">
        <f t="shared" si="508"/>
        <v>-1.25</v>
      </c>
      <c r="V692" s="9">
        <f t="shared" si="509"/>
        <v>0.25</v>
      </c>
      <c r="W692" s="9">
        <f t="shared" si="510"/>
        <v>2.75</v>
      </c>
      <c r="X692" s="9">
        <f t="shared" si="511"/>
        <v>2.375</v>
      </c>
      <c r="Y692" s="9">
        <f t="shared" si="512"/>
        <v>-2.875</v>
      </c>
      <c r="Z692" s="9">
        <f t="shared" si="513"/>
        <v>-1</v>
      </c>
      <c r="AA692" s="9">
        <f t="shared" si="514"/>
        <v>-1.4375</v>
      </c>
      <c r="AB692" s="9">
        <f t="shared" si="515"/>
        <v>-2.125</v>
      </c>
      <c r="AC692" s="9">
        <f t="shared" si="516"/>
        <v>-6.25E-2</v>
      </c>
      <c r="AD692" s="9">
        <f t="shared" si="517"/>
        <v>-1.4375</v>
      </c>
      <c r="AE692" s="9">
        <f t="shared" si="518"/>
        <v>-0.8125</v>
      </c>
      <c r="AF692" s="9">
        <f t="shared" si="519"/>
        <v>0.3125</v>
      </c>
      <c r="AG692" s="9">
        <f t="shared" si="520"/>
        <v>0.8125</v>
      </c>
      <c r="AH692" s="9">
        <f t="shared" si="521"/>
        <v>-1.8125</v>
      </c>
      <c r="AI692" s="9">
        <f t="shared" si="522"/>
        <v>-2.1875</v>
      </c>
      <c r="AJ692" s="9">
        <f t="shared" si="523"/>
        <v>-0.8125</v>
      </c>
      <c r="AK692" s="9">
        <f t="shared" si="524"/>
        <v>-0.75</v>
      </c>
      <c r="AL692" s="9">
        <f t="shared" si="525"/>
        <v>-0.375</v>
      </c>
      <c r="AM692" s="9">
        <f t="shared" si="526"/>
        <v>-2.375</v>
      </c>
      <c r="AN692" s="9">
        <f t="shared" si="527"/>
        <v>-1.75</v>
      </c>
      <c r="AO692" s="9">
        <f t="shared" si="528"/>
        <v>-1.125</v>
      </c>
      <c r="AP692" s="9">
        <f t="shared" si="529"/>
        <v>-0.875</v>
      </c>
      <c r="AQ692" s="9">
        <f t="shared" si="530"/>
        <v>-2.25</v>
      </c>
      <c r="AR692" s="9">
        <f t="shared" si="531"/>
        <v>-2.75</v>
      </c>
      <c r="AS692" s="9">
        <f t="shared" si="532"/>
        <v>-1.1875</v>
      </c>
      <c r="AT692" s="9">
        <f t="shared" si="533"/>
        <v>-1.25</v>
      </c>
      <c r="AU692" s="9">
        <f t="shared" si="534"/>
        <v>-1.25</v>
      </c>
      <c r="AV692" s="9">
        <f t="shared" si="535"/>
        <v>-3.125</v>
      </c>
      <c r="AW692" s="9">
        <f t="shared" si="536"/>
        <v>-2.75</v>
      </c>
      <c r="AX692" s="9">
        <f t="shared" si="537"/>
        <v>-1.75</v>
      </c>
      <c r="AY692" s="9">
        <f t="shared" si="538"/>
        <v>-0.875</v>
      </c>
      <c r="AZ692" s="9">
        <f t="shared" si="539"/>
        <v>-2.125</v>
      </c>
      <c r="BA692" s="9">
        <f t="shared" si="540"/>
        <v>-2.5</v>
      </c>
      <c r="BB692" s="9">
        <f t="shared" si="541"/>
        <v>-1.8125</v>
      </c>
      <c r="BC692" s="9">
        <f t="shared" si="542"/>
        <v>-2</v>
      </c>
      <c r="BD692" s="9">
        <f t="shared" si="543"/>
        <v>-2.25</v>
      </c>
      <c r="BE692" s="9">
        <f t="shared" si="544"/>
        <v>-4</v>
      </c>
      <c r="BF692" s="9">
        <f t="shared" si="545"/>
        <v>-3.625</v>
      </c>
      <c r="BG692" s="9">
        <f t="shared" si="546"/>
        <v>-2.75</v>
      </c>
      <c r="BH692" s="9">
        <f t="shared" si="547"/>
        <v>-1.625</v>
      </c>
      <c r="BI692" s="9">
        <f t="shared" si="548"/>
        <v>-2.75</v>
      </c>
      <c r="BJ692" s="9">
        <f t="shared" si="549"/>
        <v>-2.875</v>
      </c>
    </row>
    <row r="693" spans="1:62" x14ac:dyDescent="0.2">
      <c r="A693" s="9">
        <f>data!M694-data!M693</f>
        <v>-0.55249999999999488</v>
      </c>
      <c r="B693" s="9">
        <f>data!C694-data!C693</f>
        <v>-4.0799999999999983</v>
      </c>
      <c r="C693" s="9">
        <f>data!D694-data!D693</f>
        <v>-0.3050000000000006</v>
      </c>
      <c r="D693" s="10">
        <f>data!B694-data!B693</f>
        <v>0.11750000000000005</v>
      </c>
      <c r="E693" s="9">
        <f>data!E693-data!G693</f>
        <v>2.7324999999999999</v>
      </c>
      <c r="F693" s="9">
        <f>(data!E693-data!F693)-(data!G693-data!H693)</f>
        <v>0.32140000000000007</v>
      </c>
      <c r="G693" s="9">
        <f t="shared" si="500"/>
        <v>6.1200000000000365E-2</v>
      </c>
      <c r="H693" s="9">
        <f t="shared" si="501"/>
        <v>-4.2299999999999671E-2</v>
      </c>
      <c r="I693" s="9">
        <f>IF(data!M694&gt; 111.81,1,0)</f>
        <v>0</v>
      </c>
      <c r="J693" s="9">
        <f t="shared" si="502"/>
        <v>1</v>
      </c>
      <c r="K693" s="9">
        <f t="shared" si="503"/>
        <v>0</v>
      </c>
      <c r="L693" s="9">
        <f t="shared" si="504"/>
        <v>-0.55249999999999488</v>
      </c>
      <c r="M693" s="9">
        <f>data!J693</f>
        <v>-34.75</v>
      </c>
      <c r="N693" s="9">
        <f>data!I693</f>
        <v>-48.875</v>
      </c>
      <c r="O693" s="9">
        <f>data!L693</f>
        <v>-49.8125</v>
      </c>
      <c r="P693" s="9">
        <f>data!K693</f>
        <v>-48.4375</v>
      </c>
      <c r="Q693" s="9">
        <f>data!R693</f>
        <v>-47.9375</v>
      </c>
      <c r="R693" s="9">
        <f t="shared" si="505"/>
        <v>-1.25</v>
      </c>
      <c r="S693" s="9">
        <f t="shared" si="506"/>
        <v>1.375</v>
      </c>
      <c r="T693" s="9">
        <f t="shared" si="507"/>
        <v>-0.25</v>
      </c>
      <c r="U693" s="9">
        <f t="shared" si="508"/>
        <v>1.25</v>
      </c>
      <c r="V693" s="9">
        <f t="shared" si="509"/>
        <v>3.75</v>
      </c>
      <c r="W693" s="9">
        <f t="shared" si="510"/>
        <v>3.375</v>
      </c>
      <c r="X693" s="9">
        <f t="shared" si="511"/>
        <v>-1.875</v>
      </c>
      <c r="Y693" s="9">
        <f t="shared" si="512"/>
        <v>0</v>
      </c>
      <c r="Z693" s="9">
        <f t="shared" si="513"/>
        <v>1.6875</v>
      </c>
      <c r="AA693" s="9">
        <f t="shared" si="514"/>
        <v>-0.6875</v>
      </c>
      <c r="AB693" s="9">
        <f t="shared" si="515"/>
        <v>1.375</v>
      </c>
      <c r="AC693" s="9">
        <f t="shared" si="516"/>
        <v>0</v>
      </c>
      <c r="AD693" s="9">
        <f t="shared" si="517"/>
        <v>0.625</v>
      </c>
      <c r="AE693" s="9">
        <f t="shared" si="518"/>
        <v>1.75</v>
      </c>
      <c r="AF693" s="9">
        <f t="shared" si="519"/>
        <v>2.25</v>
      </c>
      <c r="AG693" s="9">
        <f t="shared" si="520"/>
        <v>-0.375</v>
      </c>
      <c r="AH693" s="9">
        <f t="shared" si="521"/>
        <v>-0.75</v>
      </c>
      <c r="AI693" s="9">
        <f t="shared" si="522"/>
        <v>-0.125</v>
      </c>
      <c r="AJ693" s="9">
        <f t="shared" si="523"/>
        <v>6.25E-2</v>
      </c>
      <c r="AK693" s="9">
        <f t="shared" si="524"/>
        <v>0.4375</v>
      </c>
      <c r="AL693" s="9">
        <f t="shared" si="525"/>
        <v>-1.5625</v>
      </c>
      <c r="AM693" s="9">
        <f t="shared" si="526"/>
        <v>-0.9375</v>
      </c>
      <c r="AN693" s="9">
        <f t="shared" si="527"/>
        <v>-0.3125</v>
      </c>
      <c r="AO693" s="9">
        <f t="shared" si="528"/>
        <v>-6.25E-2</v>
      </c>
      <c r="AP693" s="9">
        <f t="shared" si="529"/>
        <v>-1.4375</v>
      </c>
      <c r="AQ693" s="9">
        <f t="shared" si="530"/>
        <v>-1.9375</v>
      </c>
      <c r="AR693" s="9">
        <f t="shared" si="531"/>
        <v>-1.9375</v>
      </c>
      <c r="AS693" s="9">
        <f t="shared" si="532"/>
        <v>-6.25E-2</v>
      </c>
      <c r="AT693" s="9">
        <f t="shared" si="533"/>
        <v>-6.25E-2</v>
      </c>
      <c r="AU693" s="9">
        <f t="shared" si="534"/>
        <v>-1.9375</v>
      </c>
      <c r="AV693" s="9">
        <f t="shared" si="535"/>
        <v>-1.5625</v>
      </c>
      <c r="AW693" s="9">
        <f t="shared" si="536"/>
        <v>-0.5625</v>
      </c>
      <c r="AX693" s="9">
        <f t="shared" si="537"/>
        <v>0.3125</v>
      </c>
      <c r="AY693" s="9">
        <f t="shared" si="538"/>
        <v>-0.9375</v>
      </c>
      <c r="AZ693" s="9">
        <f t="shared" si="539"/>
        <v>-1.3125</v>
      </c>
      <c r="BA693" s="9">
        <f t="shared" si="540"/>
        <v>-0.5625</v>
      </c>
      <c r="BB693" s="9">
        <f t="shared" si="541"/>
        <v>-0.1875</v>
      </c>
      <c r="BC693" s="9">
        <f t="shared" si="542"/>
        <v>-0.4375</v>
      </c>
      <c r="BD693" s="9">
        <f t="shared" si="543"/>
        <v>-2.1875</v>
      </c>
      <c r="BE693" s="9">
        <f t="shared" si="544"/>
        <v>-1.8125</v>
      </c>
      <c r="BF693" s="9">
        <f t="shared" si="545"/>
        <v>-0.9375</v>
      </c>
      <c r="BG693" s="9">
        <f t="shared" si="546"/>
        <v>0.1875</v>
      </c>
      <c r="BH693" s="9">
        <f t="shared" si="547"/>
        <v>-0.9375</v>
      </c>
      <c r="BI693" s="9">
        <f t="shared" si="548"/>
        <v>-1.0625</v>
      </c>
      <c r="BJ693" s="9">
        <f t="shared" si="549"/>
        <v>-0.25</v>
      </c>
    </row>
    <row r="694" spans="1:62" x14ac:dyDescent="0.2">
      <c r="A694" s="9">
        <f>data!M695-data!M694</f>
        <v>0.94230000000000302</v>
      </c>
      <c r="B694" s="9">
        <f>data!C695-data!C694</f>
        <v>-0.53000000000000114</v>
      </c>
      <c r="C694" s="9">
        <f>data!D695-data!D694</f>
        <v>-0.10250000000000004</v>
      </c>
      <c r="D694" s="10">
        <f>data!B695-data!B694</f>
        <v>-6.4999999999999947E-2</v>
      </c>
      <c r="E694" s="9">
        <f>data!E694-data!G694</f>
        <v>2.7937000000000003</v>
      </c>
      <c r="F694" s="9">
        <f>(data!E694-data!F694)-(data!G694-data!H694)</f>
        <v>0.2791000000000004</v>
      </c>
      <c r="G694" s="9">
        <f t="shared" si="500"/>
        <v>0.11149999999999949</v>
      </c>
      <c r="H694" s="9">
        <f t="shared" si="501"/>
        <v>3.5799999999999499E-2</v>
      </c>
      <c r="I694" s="9">
        <f>IF(data!M695&gt; 111.81,1,0)</f>
        <v>0</v>
      </c>
      <c r="J694" s="9">
        <f t="shared" si="502"/>
        <v>1</v>
      </c>
      <c r="K694" s="9">
        <f t="shared" si="503"/>
        <v>0</v>
      </c>
      <c r="L694" s="9">
        <f t="shared" si="504"/>
        <v>0.94230000000000302</v>
      </c>
      <c r="M694" s="9">
        <f>data!J694</f>
        <v>-36</v>
      </c>
      <c r="N694" s="9">
        <f>data!I694</f>
        <v>-49.5625</v>
      </c>
      <c r="O694" s="9">
        <f>data!L694</f>
        <v>-49.75</v>
      </c>
      <c r="P694" s="9">
        <f>data!K694</f>
        <v>-48.5</v>
      </c>
      <c r="Q694" s="9">
        <f>data!R694</f>
        <v>-48.125</v>
      </c>
      <c r="R694" s="9">
        <f t="shared" si="505"/>
        <v>2.625</v>
      </c>
      <c r="S694" s="9">
        <f t="shared" si="506"/>
        <v>1</v>
      </c>
      <c r="T694" s="9">
        <f t="shared" si="507"/>
        <v>2.5</v>
      </c>
      <c r="U694" s="9">
        <f t="shared" si="508"/>
        <v>5</v>
      </c>
      <c r="V694" s="9">
        <f t="shared" si="509"/>
        <v>4.625</v>
      </c>
      <c r="W694" s="9">
        <f t="shared" si="510"/>
        <v>-0.625</v>
      </c>
      <c r="X694" s="9">
        <f t="shared" si="511"/>
        <v>1.25</v>
      </c>
      <c r="Y694" s="9">
        <f t="shared" si="512"/>
        <v>2.9375</v>
      </c>
      <c r="Z694" s="9">
        <f t="shared" si="513"/>
        <v>4.5</v>
      </c>
      <c r="AA694" s="9">
        <f t="shared" si="514"/>
        <v>2.0625</v>
      </c>
      <c r="AB694" s="9">
        <f t="shared" si="515"/>
        <v>0.6875</v>
      </c>
      <c r="AC694" s="9">
        <f t="shared" si="516"/>
        <v>1.3125</v>
      </c>
      <c r="AD694" s="9">
        <f t="shared" si="517"/>
        <v>2.4375</v>
      </c>
      <c r="AE694" s="9">
        <f t="shared" si="518"/>
        <v>2.9375</v>
      </c>
      <c r="AF694" s="9">
        <f t="shared" si="519"/>
        <v>0.3125</v>
      </c>
      <c r="AG694" s="9">
        <f t="shared" si="520"/>
        <v>-6.25E-2</v>
      </c>
      <c r="AH694" s="9">
        <f t="shared" si="521"/>
        <v>0.5625</v>
      </c>
      <c r="AI694" s="9">
        <f t="shared" si="522"/>
        <v>2.3125</v>
      </c>
      <c r="AJ694" s="9">
        <f t="shared" si="523"/>
        <v>0.375</v>
      </c>
      <c r="AK694" s="9">
        <f t="shared" si="524"/>
        <v>-1.625</v>
      </c>
      <c r="AL694" s="9">
        <f t="shared" si="525"/>
        <v>-1</v>
      </c>
      <c r="AM694" s="9">
        <f t="shared" si="526"/>
        <v>-0.375</v>
      </c>
      <c r="AN694" s="9">
        <f t="shared" si="527"/>
        <v>-0.125</v>
      </c>
      <c r="AO694" s="9">
        <f t="shared" si="528"/>
        <v>-1.5</v>
      </c>
      <c r="AP694" s="9">
        <f t="shared" si="529"/>
        <v>-2</v>
      </c>
      <c r="AQ694" s="9">
        <f t="shared" si="530"/>
        <v>-2</v>
      </c>
      <c r="AR694" s="9">
        <f t="shared" si="531"/>
        <v>0.5</v>
      </c>
      <c r="AS694" s="9">
        <f t="shared" si="532"/>
        <v>0</v>
      </c>
      <c r="AT694" s="9">
        <f t="shared" si="533"/>
        <v>-1.875</v>
      </c>
      <c r="AU694" s="9">
        <f t="shared" si="534"/>
        <v>-1.5</v>
      </c>
      <c r="AV694" s="9">
        <f t="shared" si="535"/>
        <v>-0.5</v>
      </c>
      <c r="AW694" s="9">
        <f t="shared" si="536"/>
        <v>0.375</v>
      </c>
      <c r="AX694" s="9">
        <f t="shared" si="537"/>
        <v>-0.875</v>
      </c>
      <c r="AY694" s="9">
        <f t="shared" si="538"/>
        <v>-1.25</v>
      </c>
      <c r="AZ694" s="9">
        <f t="shared" si="539"/>
        <v>-0.5</v>
      </c>
      <c r="BA694" s="9">
        <f t="shared" si="540"/>
        <v>3.5</v>
      </c>
      <c r="BB694" s="9">
        <f t="shared" si="541"/>
        <v>-0.25</v>
      </c>
      <c r="BC694" s="9">
        <f t="shared" si="542"/>
        <v>-2</v>
      </c>
      <c r="BD694" s="9">
        <f t="shared" si="543"/>
        <v>-1.625</v>
      </c>
      <c r="BE694" s="9">
        <f t="shared" si="544"/>
        <v>-0.75</v>
      </c>
      <c r="BF694" s="9">
        <f t="shared" si="545"/>
        <v>0.375</v>
      </c>
      <c r="BG694" s="9">
        <f t="shared" si="546"/>
        <v>-0.75</v>
      </c>
      <c r="BH694" s="9">
        <f t="shared" si="547"/>
        <v>-0.875</v>
      </c>
      <c r="BI694" s="9">
        <f t="shared" si="548"/>
        <v>-6.25E-2</v>
      </c>
      <c r="BJ694" s="9">
        <f t="shared" si="549"/>
        <v>4.625</v>
      </c>
    </row>
    <row r="695" spans="1:62" x14ac:dyDescent="0.2">
      <c r="A695" s="9">
        <f>data!M696-data!M695</f>
        <v>0.99469999999999459</v>
      </c>
      <c r="B695" s="9">
        <f>data!C696-data!C695</f>
        <v>-1.4699999999999989</v>
      </c>
      <c r="C695" s="9">
        <f>data!D696-data!D695</f>
        <v>-0.10999999999999943</v>
      </c>
      <c r="D695" s="10">
        <f>data!B696-data!B695</f>
        <v>-7.2500000000000009E-2</v>
      </c>
      <c r="E695" s="9">
        <f>data!E695-data!G695</f>
        <v>2.9051999999999998</v>
      </c>
      <c r="F695" s="9">
        <f>(data!E695-data!F695)-(data!G695-data!H695)</f>
        <v>0.3148999999999999</v>
      </c>
      <c r="G695" s="9">
        <f t="shared" si="500"/>
        <v>1.6000000000002679E-3</v>
      </c>
      <c r="H695" s="9">
        <f t="shared" si="501"/>
        <v>-3.1900000000000039E-2</v>
      </c>
      <c r="I695" s="9">
        <f>IF(data!M696&gt; 111.81,1,0)</f>
        <v>0</v>
      </c>
      <c r="J695" s="9">
        <f t="shared" si="502"/>
        <v>1</v>
      </c>
      <c r="K695" s="9">
        <f t="shared" si="503"/>
        <v>0</v>
      </c>
      <c r="L695" s="9">
        <f t="shared" si="504"/>
        <v>0.99469999999999459</v>
      </c>
      <c r="M695" s="9">
        <f>data!J695</f>
        <v>-33.375</v>
      </c>
      <c r="N695" s="9">
        <f>data!I695</f>
        <v>-47.5</v>
      </c>
      <c r="O695" s="9">
        <f>data!L695</f>
        <v>-49.375</v>
      </c>
      <c r="P695" s="9">
        <f>data!K695</f>
        <v>-48.5</v>
      </c>
      <c r="Q695" s="9">
        <f>data!R695</f>
        <v>-48.375</v>
      </c>
      <c r="R695" s="9">
        <f t="shared" si="505"/>
        <v>-1.625</v>
      </c>
      <c r="S695" s="9">
        <f t="shared" si="506"/>
        <v>-0.125</v>
      </c>
      <c r="T695" s="9">
        <f t="shared" si="507"/>
        <v>2.375</v>
      </c>
      <c r="U695" s="9">
        <f t="shared" si="508"/>
        <v>2</v>
      </c>
      <c r="V695" s="9">
        <f t="shared" si="509"/>
        <v>-3.25</v>
      </c>
      <c r="W695" s="9">
        <f t="shared" si="510"/>
        <v>-1.375</v>
      </c>
      <c r="X695" s="9">
        <f t="shared" si="511"/>
        <v>0.3125</v>
      </c>
      <c r="Y695" s="9">
        <f t="shared" si="512"/>
        <v>1.875</v>
      </c>
      <c r="Z695" s="9">
        <f t="shared" si="513"/>
        <v>1.125</v>
      </c>
      <c r="AA695" s="9">
        <f t="shared" si="514"/>
        <v>-1.375</v>
      </c>
      <c r="AB695" s="9">
        <f t="shared" si="515"/>
        <v>-0.75</v>
      </c>
      <c r="AC695" s="9">
        <f t="shared" si="516"/>
        <v>0.375</v>
      </c>
      <c r="AD695" s="9">
        <f t="shared" si="517"/>
        <v>0.875</v>
      </c>
      <c r="AE695" s="9">
        <f t="shared" si="518"/>
        <v>-1.75</v>
      </c>
      <c r="AF695" s="9">
        <f t="shared" si="519"/>
        <v>-2.125</v>
      </c>
      <c r="AG695" s="9">
        <f t="shared" si="520"/>
        <v>-1.5</v>
      </c>
      <c r="AH695" s="9">
        <f t="shared" si="521"/>
        <v>0.25</v>
      </c>
      <c r="AI695" s="9">
        <f t="shared" si="522"/>
        <v>1</v>
      </c>
      <c r="AJ695" s="9">
        <f t="shared" si="523"/>
        <v>-2</v>
      </c>
      <c r="AK695" s="9">
        <f t="shared" si="524"/>
        <v>-1.375</v>
      </c>
      <c r="AL695" s="9">
        <f t="shared" si="525"/>
        <v>-0.75</v>
      </c>
      <c r="AM695" s="9">
        <f t="shared" si="526"/>
        <v>-0.5</v>
      </c>
      <c r="AN695" s="9">
        <f t="shared" si="527"/>
        <v>-1.875</v>
      </c>
      <c r="AO695" s="9">
        <f t="shared" si="528"/>
        <v>-2.375</v>
      </c>
      <c r="AP695" s="9">
        <f t="shared" si="529"/>
        <v>-2.375</v>
      </c>
      <c r="AQ695" s="9">
        <f t="shared" si="530"/>
        <v>0.125</v>
      </c>
      <c r="AR695" s="9">
        <f t="shared" si="531"/>
        <v>0.875</v>
      </c>
      <c r="AS695" s="9">
        <f t="shared" si="532"/>
        <v>-1.875</v>
      </c>
      <c r="AT695" s="9">
        <f t="shared" si="533"/>
        <v>-1.5</v>
      </c>
      <c r="AU695" s="9">
        <f t="shared" si="534"/>
        <v>-0.5</v>
      </c>
      <c r="AV695" s="9">
        <f t="shared" si="535"/>
        <v>0.375</v>
      </c>
      <c r="AW695" s="9">
        <f t="shared" si="536"/>
        <v>-0.875</v>
      </c>
      <c r="AX695" s="9">
        <f t="shared" si="537"/>
        <v>-1.25</v>
      </c>
      <c r="AY695" s="9">
        <f t="shared" si="538"/>
        <v>-0.5</v>
      </c>
      <c r="AZ695" s="9">
        <f t="shared" si="539"/>
        <v>3.5</v>
      </c>
      <c r="BA695" s="9">
        <f t="shared" si="540"/>
        <v>5.125</v>
      </c>
      <c r="BB695" s="9">
        <f t="shared" si="541"/>
        <v>-1.75</v>
      </c>
      <c r="BC695" s="9">
        <f t="shared" si="542"/>
        <v>-1.375</v>
      </c>
      <c r="BD695" s="9">
        <f t="shared" si="543"/>
        <v>-0.5</v>
      </c>
      <c r="BE695" s="9">
        <f t="shared" si="544"/>
        <v>0.625</v>
      </c>
      <c r="BF695" s="9">
        <f t="shared" si="545"/>
        <v>-0.5</v>
      </c>
      <c r="BG695" s="9">
        <f t="shared" si="546"/>
        <v>-0.625</v>
      </c>
      <c r="BH695" s="9">
        <f t="shared" si="547"/>
        <v>0.1875</v>
      </c>
      <c r="BI695" s="9">
        <f t="shared" si="548"/>
        <v>4.875</v>
      </c>
      <c r="BJ695" s="9">
        <f t="shared" si="549"/>
        <v>6.875</v>
      </c>
    </row>
    <row r="696" spans="1:62" x14ac:dyDescent="0.2">
      <c r="A696" s="9">
        <f>data!M697-data!M696</f>
        <v>1.0763000000000034</v>
      </c>
      <c r="B696" s="9">
        <f>data!C697-data!C696</f>
        <v>-0.64000000000000057</v>
      </c>
      <c r="C696" s="9">
        <f>data!D697-data!D696</f>
        <v>0.1949999999999994</v>
      </c>
      <c r="D696" s="10">
        <f>data!B697-data!B696</f>
        <v>3.499999999999992E-2</v>
      </c>
      <c r="E696" s="9">
        <f>data!E696-data!G696</f>
        <v>2.9068000000000001</v>
      </c>
      <c r="F696" s="9">
        <f>(data!E696-data!F696)-(data!G696-data!H696)</f>
        <v>0.28299999999999986</v>
      </c>
      <c r="G696" s="9">
        <f t="shared" si="500"/>
        <v>2.8999999999999027E-3</v>
      </c>
      <c r="H696" s="9">
        <f t="shared" si="501"/>
        <v>-8.2000000000000406E-3</v>
      </c>
      <c r="I696" s="9">
        <f>IF(data!M697&gt; 111.81,1,0)</f>
        <v>0</v>
      </c>
      <c r="J696" s="9">
        <f t="shared" si="502"/>
        <v>1</v>
      </c>
      <c r="K696" s="9">
        <f t="shared" si="503"/>
        <v>0</v>
      </c>
      <c r="L696" s="9">
        <f t="shared" si="504"/>
        <v>1.0763000000000034</v>
      </c>
      <c r="M696" s="9">
        <f>data!J696</f>
        <v>-35</v>
      </c>
      <c r="N696" s="9">
        <f>data!I696</f>
        <v>-48.875</v>
      </c>
      <c r="O696" s="9">
        <f>data!L696</f>
        <v>-51.375</v>
      </c>
      <c r="P696" s="9">
        <f>data!K696</f>
        <v>-50.375</v>
      </c>
      <c r="Q696" s="9">
        <f>data!R696</f>
        <v>-50.125</v>
      </c>
      <c r="R696" s="9">
        <f t="shared" si="505"/>
        <v>1.5</v>
      </c>
      <c r="S696" s="9">
        <f t="shared" si="506"/>
        <v>4</v>
      </c>
      <c r="T696" s="9">
        <f t="shared" si="507"/>
        <v>3.625</v>
      </c>
      <c r="U696" s="9">
        <f t="shared" si="508"/>
        <v>-1.625</v>
      </c>
      <c r="V696" s="9">
        <f t="shared" si="509"/>
        <v>0.25</v>
      </c>
      <c r="W696" s="9">
        <f t="shared" si="510"/>
        <v>1.9375</v>
      </c>
      <c r="X696" s="9">
        <f t="shared" si="511"/>
        <v>3.5</v>
      </c>
      <c r="Y696" s="9">
        <f t="shared" si="512"/>
        <v>2.75</v>
      </c>
      <c r="Z696" s="9">
        <f t="shared" si="513"/>
        <v>6.75</v>
      </c>
      <c r="AA696" s="9">
        <f t="shared" si="514"/>
        <v>0.625</v>
      </c>
      <c r="AB696" s="9">
        <f t="shared" si="515"/>
        <v>1.75</v>
      </c>
      <c r="AC696" s="9">
        <f t="shared" si="516"/>
        <v>2.25</v>
      </c>
      <c r="AD696" s="9">
        <f t="shared" si="517"/>
        <v>-0.375</v>
      </c>
      <c r="AE696" s="9">
        <f t="shared" si="518"/>
        <v>-0.75</v>
      </c>
      <c r="AF696" s="9">
        <f t="shared" si="519"/>
        <v>-0.125</v>
      </c>
      <c r="AG696" s="9">
        <f t="shared" si="520"/>
        <v>1.625</v>
      </c>
      <c r="AH696" s="9">
        <f t="shared" si="521"/>
        <v>2.375</v>
      </c>
      <c r="AI696" s="9">
        <f t="shared" si="522"/>
        <v>5</v>
      </c>
      <c r="AJ696" s="9">
        <f t="shared" si="523"/>
        <v>0.625</v>
      </c>
      <c r="AK696" s="9">
        <f t="shared" si="524"/>
        <v>1.25</v>
      </c>
      <c r="AL696" s="9">
        <f t="shared" si="525"/>
        <v>1.5</v>
      </c>
      <c r="AM696" s="9">
        <f t="shared" si="526"/>
        <v>0.125</v>
      </c>
      <c r="AN696" s="9">
        <f t="shared" si="527"/>
        <v>-0.375</v>
      </c>
      <c r="AO696" s="9">
        <f t="shared" si="528"/>
        <v>-0.375</v>
      </c>
      <c r="AP696" s="9">
        <f t="shared" si="529"/>
        <v>2.125</v>
      </c>
      <c r="AQ696" s="9">
        <f t="shared" si="530"/>
        <v>2.875</v>
      </c>
      <c r="AR696" s="9">
        <f t="shared" si="531"/>
        <v>5.0625</v>
      </c>
      <c r="AS696" s="9">
        <f t="shared" si="532"/>
        <v>0.375</v>
      </c>
      <c r="AT696" s="9">
        <f t="shared" si="533"/>
        <v>1.375</v>
      </c>
      <c r="AU696" s="9">
        <f t="shared" si="534"/>
        <v>2.25</v>
      </c>
      <c r="AV696" s="9">
        <f t="shared" si="535"/>
        <v>1</v>
      </c>
      <c r="AW696" s="9">
        <f t="shared" si="536"/>
        <v>0.625</v>
      </c>
      <c r="AX696" s="9">
        <f t="shared" si="537"/>
        <v>1.375</v>
      </c>
      <c r="AY696" s="9">
        <f t="shared" si="538"/>
        <v>5.375</v>
      </c>
      <c r="AZ696" s="9">
        <f t="shared" si="539"/>
        <v>7</v>
      </c>
      <c r="BA696" s="9">
        <f t="shared" si="540"/>
        <v>8.375</v>
      </c>
      <c r="BB696" s="9">
        <f t="shared" si="541"/>
        <v>0.375</v>
      </c>
      <c r="BC696" s="9">
        <f t="shared" si="542"/>
        <v>1.25</v>
      </c>
      <c r="BD696" s="9">
        <f t="shared" si="543"/>
        <v>2.375</v>
      </c>
      <c r="BE696" s="9">
        <f t="shared" si="544"/>
        <v>1.25</v>
      </c>
      <c r="BF696" s="9">
        <f t="shared" si="545"/>
        <v>1.125</v>
      </c>
      <c r="BG696" s="9">
        <f t="shared" si="546"/>
        <v>1.9375</v>
      </c>
      <c r="BH696" s="9">
        <f t="shared" si="547"/>
        <v>6.625</v>
      </c>
      <c r="BI696" s="9">
        <f t="shared" si="548"/>
        <v>8.625</v>
      </c>
      <c r="BJ696" s="9">
        <f t="shared" si="549"/>
        <v>9.625</v>
      </c>
    </row>
    <row r="697" spans="1:62" x14ac:dyDescent="0.2">
      <c r="A697" s="9">
        <f>data!M698-data!M697</f>
        <v>3.4700000000000841E-2</v>
      </c>
      <c r="B697" s="9">
        <f>data!C698-data!C697</f>
        <v>-2.1199999999999992</v>
      </c>
      <c r="C697" s="9">
        <f>data!D698-data!D697</f>
        <v>-0.33000000000000007</v>
      </c>
      <c r="D697" s="10">
        <f>data!B698-data!B697</f>
        <v>2.2500000000000075E-2</v>
      </c>
      <c r="E697" s="9">
        <f>data!E697-data!G697</f>
        <v>2.9097</v>
      </c>
      <c r="F697" s="9">
        <f>(data!E697-data!F697)-(data!G697-data!H697)</f>
        <v>0.27479999999999982</v>
      </c>
      <c r="G697" s="9">
        <f t="shared" si="500"/>
        <v>1.980000000000004E-2</v>
      </c>
      <c r="H697" s="9">
        <f t="shared" si="501"/>
        <v>-1.9199999999999773E-2</v>
      </c>
      <c r="I697" s="9">
        <f>IF(data!M698&gt; 111.81,1,0)</f>
        <v>0</v>
      </c>
      <c r="J697" s="9">
        <f t="shared" si="502"/>
        <v>1</v>
      </c>
      <c r="K697" s="9">
        <f t="shared" si="503"/>
        <v>0</v>
      </c>
      <c r="L697" s="9">
        <f t="shared" si="504"/>
        <v>3.4700000000000841E-2</v>
      </c>
      <c r="M697" s="9">
        <f>data!J697</f>
        <v>-33.5</v>
      </c>
      <c r="N697" s="9">
        <f>data!I697</f>
        <v>-48.25</v>
      </c>
      <c r="O697" s="9">
        <f>data!L697</f>
        <v>-50.75</v>
      </c>
      <c r="P697" s="9">
        <f>data!K697</f>
        <v>-50</v>
      </c>
      <c r="Q697" s="9">
        <f>data!R697</f>
        <v>-49.75</v>
      </c>
      <c r="R697" s="9">
        <f t="shared" si="505"/>
        <v>2.5</v>
      </c>
      <c r="S697" s="9">
        <f t="shared" si="506"/>
        <v>2.125</v>
      </c>
      <c r="T697" s="9">
        <f t="shared" si="507"/>
        <v>-3.125</v>
      </c>
      <c r="U697" s="9">
        <f t="shared" si="508"/>
        <v>-1.25</v>
      </c>
      <c r="V697" s="9">
        <f t="shared" si="509"/>
        <v>0.4375</v>
      </c>
      <c r="W697" s="9">
        <f t="shared" si="510"/>
        <v>2</v>
      </c>
      <c r="X697" s="9">
        <f t="shared" si="511"/>
        <v>1.25</v>
      </c>
      <c r="Y697" s="9">
        <f t="shared" si="512"/>
        <v>5.25</v>
      </c>
      <c r="Z697" s="9">
        <f t="shared" si="513"/>
        <v>5.875</v>
      </c>
      <c r="AA697" s="9">
        <f t="shared" si="514"/>
        <v>1.125</v>
      </c>
      <c r="AB697" s="9">
        <f t="shared" si="515"/>
        <v>1.625</v>
      </c>
      <c r="AC697" s="9">
        <f t="shared" si="516"/>
        <v>-1</v>
      </c>
      <c r="AD697" s="9">
        <f t="shared" si="517"/>
        <v>-1.375</v>
      </c>
      <c r="AE697" s="9">
        <f t="shared" si="518"/>
        <v>-0.75</v>
      </c>
      <c r="AF697" s="9">
        <f t="shared" si="519"/>
        <v>1</v>
      </c>
      <c r="AG697" s="9">
        <f t="shared" si="520"/>
        <v>1.75</v>
      </c>
      <c r="AH697" s="9">
        <f t="shared" si="521"/>
        <v>4.375</v>
      </c>
      <c r="AI697" s="9">
        <f t="shared" si="522"/>
        <v>6.75</v>
      </c>
      <c r="AJ697" s="9">
        <f t="shared" si="523"/>
        <v>0.625</v>
      </c>
      <c r="AK697" s="9">
        <f t="shared" si="524"/>
        <v>0.875</v>
      </c>
      <c r="AL697" s="9">
        <f t="shared" si="525"/>
        <v>-0.5</v>
      </c>
      <c r="AM697" s="9">
        <f t="shared" si="526"/>
        <v>-1</v>
      </c>
      <c r="AN697" s="9">
        <f t="shared" si="527"/>
        <v>-1</v>
      </c>
      <c r="AO697" s="9">
        <f t="shared" si="528"/>
        <v>1.5</v>
      </c>
      <c r="AP697" s="9">
        <f t="shared" si="529"/>
        <v>2.25</v>
      </c>
      <c r="AQ697" s="9">
        <f t="shared" si="530"/>
        <v>4.4375</v>
      </c>
      <c r="AR697" s="9">
        <f t="shared" si="531"/>
        <v>5.75</v>
      </c>
      <c r="AS697" s="9">
        <f t="shared" si="532"/>
        <v>1</v>
      </c>
      <c r="AT697" s="9">
        <f t="shared" si="533"/>
        <v>1.875</v>
      </c>
      <c r="AU697" s="9">
        <f t="shared" si="534"/>
        <v>0.625</v>
      </c>
      <c r="AV697" s="9">
        <f t="shared" si="535"/>
        <v>0.25</v>
      </c>
      <c r="AW697" s="9">
        <f t="shared" si="536"/>
        <v>1</v>
      </c>
      <c r="AX697" s="9">
        <f t="shared" si="537"/>
        <v>5</v>
      </c>
      <c r="AY697" s="9">
        <f t="shared" si="538"/>
        <v>6.625</v>
      </c>
      <c r="AZ697" s="9">
        <f t="shared" si="539"/>
        <v>8</v>
      </c>
      <c r="BA697" s="9">
        <f t="shared" si="540"/>
        <v>8.5</v>
      </c>
      <c r="BB697" s="9">
        <f t="shared" si="541"/>
        <v>0.875</v>
      </c>
      <c r="BC697" s="9">
        <f t="shared" si="542"/>
        <v>2</v>
      </c>
      <c r="BD697" s="9">
        <f t="shared" si="543"/>
        <v>0.875</v>
      </c>
      <c r="BE697" s="9">
        <f t="shared" si="544"/>
        <v>0.75</v>
      </c>
      <c r="BF697" s="9">
        <f t="shared" si="545"/>
        <v>1.5625</v>
      </c>
      <c r="BG697" s="9">
        <f t="shared" si="546"/>
        <v>6.25</v>
      </c>
      <c r="BH697" s="9">
        <f t="shared" si="547"/>
        <v>8.25</v>
      </c>
      <c r="BI697" s="9">
        <f t="shared" si="548"/>
        <v>9.25</v>
      </c>
      <c r="BJ697" s="9">
        <f t="shared" si="549"/>
        <v>10.25</v>
      </c>
    </row>
    <row r="698" spans="1:62" x14ac:dyDescent="0.2">
      <c r="A698" s="9">
        <f>data!M699-data!M698</f>
        <v>1.4321999999999946</v>
      </c>
      <c r="B698" s="9">
        <f>data!C699-data!C698</f>
        <v>0.76999999999999957</v>
      </c>
      <c r="C698" s="9">
        <f>data!D699-data!D698</f>
        <v>-9.9999999999997868E-3</v>
      </c>
      <c r="D698" s="10">
        <f>data!B699-data!B698</f>
        <v>4.7499999999999987E-2</v>
      </c>
      <c r="E698" s="9">
        <f>data!E698-data!G698</f>
        <v>2.9295</v>
      </c>
      <c r="F698" s="9">
        <f>(data!E698-data!F698)-(data!G698-data!H698)</f>
        <v>0.25560000000000005</v>
      </c>
      <c r="G698" s="9">
        <f t="shared" si="500"/>
        <v>7.0399999999999796E-2</v>
      </c>
      <c r="H698" s="9">
        <f t="shared" si="501"/>
        <v>5.7599999999999818E-2</v>
      </c>
      <c r="I698" s="9">
        <f>IF(data!M699&gt; 111.81,1,0)</f>
        <v>0</v>
      </c>
      <c r="J698" s="9">
        <f t="shared" si="502"/>
        <v>1</v>
      </c>
      <c r="K698" s="9">
        <f t="shared" si="503"/>
        <v>0</v>
      </c>
      <c r="L698" s="9">
        <f t="shared" si="504"/>
        <v>1.4321999999999946</v>
      </c>
      <c r="M698" s="9">
        <f>data!J698</f>
        <v>-31</v>
      </c>
      <c r="N698" s="9">
        <f>data!I698</f>
        <v>-47.125</v>
      </c>
      <c r="O698" s="9">
        <f>data!L698</f>
        <v>-50.125</v>
      </c>
      <c r="P698" s="9">
        <f>data!K698</f>
        <v>-49</v>
      </c>
      <c r="Q698" s="9">
        <f>data!R698</f>
        <v>-48.875</v>
      </c>
      <c r="R698" s="9">
        <f t="shared" si="505"/>
        <v>-0.375</v>
      </c>
      <c r="S698" s="9">
        <f t="shared" si="506"/>
        <v>-5.625</v>
      </c>
      <c r="T698" s="9">
        <f t="shared" si="507"/>
        <v>-3.75</v>
      </c>
      <c r="U698" s="9">
        <f t="shared" si="508"/>
        <v>-2.0625</v>
      </c>
      <c r="V698" s="9">
        <f t="shared" si="509"/>
        <v>-0.5</v>
      </c>
      <c r="W698" s="9">
        <f t="shared" si="510"/>
        <v>-1.25</v>
      </c>
      <c r="X698" s="9">
        <f t="shared" si="511"/>
        <v>2.75</v>
      </c>
      <c r="Y698" s="9">
        <f t="shared" si="512"/>
        <v>3.375</v>
      </c>
      <c r="Z698" s="9">
        <f t="shared" si="513"/>
        <v>5.125</v>
      </c>
      <c r="AA698" s="9">
        <f t="shared" si="514"/>
        <v>0.5</v>
      </c>
      <c r="AB698" s="9">
        <f t="shared" si="515"/>
        <v>-2.125</v>
      </c>
      <c r="AC698" s="9">
        <f t="shared" si="516"/>
        <v>-2.5</v>
      </c>
      <c r="AD698" s="9">
        <f t="shared" si="517"/>
        <v>-1.875</v>
      </c>
      <c r="AE698" s="9">
        <f t="shared" si="518"/>
        <v>-0.125</v>
      </c>
      <c r="AF698" s="9">
        <f t="shared" si="519"/>
        <v>0.625</v>
      </c>
      <c r="AG698" s="9">
        <f t="shared" si="520"/>
        <v>3.25</v>
      </c>
      <c r="AH698" s="9">
        <f t="shared" si="521"/>
        <v>5.625</v>
      </c>
      <c r="AI698" s="9">
        <f t="shared" si="522"/>
        <v>5.125</v>
      </c>
      <c r="AJ698" s="9">
        <f t="shared" si="523"/>
        <v>0.25</v>
      </c>
      <c r="AK698" s="9">
        <f t="shared" si="524"/>
        <v>-1.125</v>
      </c>
      <c r="AL698" s="9">
        <f t="shared" si="525"/>
        <v>-1.625</v>
      </c>
      <c r="AM698" s="9">
        <f t="shared" si="526"/>
        <v>-1.625</v>
      </c>
      <c r="AN698" s="9">
        <f t="shared" si="527"/>
        <v>0.875</v>
      </c>
      <c r="AO698" s="9">
        <f t="shared" si="528"/>
        <v>1.625</v>
      </c>
      <c r="AP698" s="9">
        <f t="shared" si="529"/>
        <v>3.8125</v>
      </c>
      <c r="AQ698" s="9">
        <f t="shared" si="530"/>
        <v>5.125</v>
      </c>
      <c r="AR698" s="9">
        <f t="shared" si="531"/>
        <v>4.75</v>
      </c>
      <c r="AS698" s="9">
        <f t="shared" si="532"/>
        <v>0.875</v>
      </c>
      <c r="AT698" s="9">
        <f t="shared" si="533"/>
        <v>-0.375</v>
      </c>
      <c r="AU698" s="9">
        <f t="shared" si="534"/>
        <v>-0.75</v>
      </c>
      <c r="AV698" s="9">
        <f t="shared" si="535"/>
        <v>0</v>
      </c>
      <c r="AW698" s="9">
        <f t="shared" si="536"/>
        <v>4</v>
      </c>
      <c r="AX698" s="9">
        <f t="shared" si="537"/>
        <v>5.625</v>
      </c>
      <c r="AY698" s="9">
        <f t="shared" si="538"/>
        <v>7</v>
      </c>
      <c r="AZ698" s="9">
        <f t="shared" si="539"/>
        <v>7.5</v>
      </c>
      <c r="BA698" s="9">
        <f t="shared" si="540"/>
        <v>6.75</v>
      </c>
      <c r="BB698" s="9">
        <f t="shared" si="541"/>
        <v>1.125</v>
      </c>
      <c r="BC698" s="9">
        <f t="shared" si="542"/>
        <v>0</v>
      </c>
      <c r="BD698" s="9">
        <f t="shared" si="543"/>
        <v>-0.125</v>
      </c>
      <c r="BE698" s="9">
        <f t="shared" si="544"/>
        <v>0.6875</v>
      </c>
      <c r="BF698" s="9">
        <f t="shared" si="545"/>
        <v>5.375</v>
      </c>
      <c r="BG698" s="9">
        <f t="shared" si="546"/>
        <v>7.375</v>
      </c>
      <c r="BH698" s="9">
        <f t="shared" si="547"/>
        <v>8.375</v>
      </c>
      <c r="BI698" s="9">
        <f t="shared" si="548"/>
        <v>9.375</v>
      </c>
      <c r="BJ698" s="9">
        <f t="shared" si="549"/>
        <v>8.5</v>
      </c>
    </row>
    <row r="699" spans="1:62" x14ac:dyDescent="0.2">
      <c r="A699" s="9">
        <f>data!M700-data!M699</f>
        <v>-0.13329999999999131</v>
      </c>
      <c r="B699" s="9">
        <f>data!C700-data!C699</f>
        <v>-0.19999999999999929</v>
      </c>
      <c r="C699" s="9">
        <f>data!D700-data!D699</f>
        <v>0.27500000000000036</v>
      </c>
      <c r="D699" s="10">
        <f>data!B700-data!B699</f>
        <v>1.749999999999996E-2</v>
      </c>
      <c r="E699" s="9">
        <f>data!E699-data!G699</f>
        <v>2.9998999999999998</v>
      </c>
      <c r="F699" s="9">
        <f>(data!E699-data!F699)-(data!G699-data!H699)</f>
        <v>0.31319999999999987</v>
      </c>
      <c r="G699" s="9">
        <f t="shared" si="500"/>
        <v>-0.10360000000000014</v>
      </c>
      <c r="H699" s="9">
        <f t="shared" si="501"/>
        <v>-3.6700000000000066E-2</v>
      </c>
      <c r="I699" s="9">
        <f>IF(data!M700&gt; 111.81,1,0)</f>
        <v>0</v>
      </c>
      <c r="J699" s="9">
        <f t="shared" si="502"/>
        <v>1</v>
      </c>
      <c r="K699" s="9">
        <f t="shared" si="503"/>
        <v>0</v>
      </c>
      <c r="L699" s="9">
        <f t="shared" si="504"/>
        <v>-0.13329999999999131</v>
      </c>
      <c r="M699" s="9">
        <f>data!J699</f>
        <v>-31.375</v>
      </c>
      <c r="N699" s="9">
        <f>data!I699</f>
        <v>-46.625</v>
      </c>
      <c r="O699" s="9">
        <f>data!L699</f>
        <v>-49.875</v>
      </c>
      <c r="P699" s="9">
        <f>data!K699</f>
        <v>-48.125</v>
      </c>
      <c r="Q699" s="9">
        <f>data!R699</f>
        <v>-47.75</v>
      </c>
      <c r="R699" s="9">
        <f t="shared" si="505"/>
        <v>-5.25</v>
      </c>
      <c r="S699" s="9">
        <f t="shared" si="506"/>
        <v>-3.375</v>
      </c>
      <c r="T699" s="9">
        <f t="shared" si="507"/>
        <v>-1.6875</v>
      </c>
      <c r="U699" s="9">
        <f t="shared" si="508"/>
        <v>-0.125</v>
      </c>
      <c r="V699" s="9">
        <f t="shared" si="509"/>
        <v>-0.875</v>
      </c>
      <c r="W699" s="9">
        <f t="shared" si="510"/>
        <v>3.125</v>
      </c>
      <c r="X699" s="9">
        <f t="shared" si="511"/>
        <v>3.75</v>
      </c>
      <c r="Y699" s="9">
        <f t="shared" si="512"/>
        <v>5.5</v>
      </c>
      <c r="Z699" s="9">
        <f t="shared" si="513"/>
        <v>5.875</v>
      </c>
      <c r="AA699" s="9">
        <f t="shared" si="514"/>
        <v>-2.625</v>
      </c>
      <c r="AB699" s="9">
        <f t="shared" si="515"/>
        <v>-3</v>
      </c>
      <c r="AC699" s="9">
        <f t="shared" si="516"/>
        <v>-2.375</v>
      </c>
      <c r="AD699" s="9">
        <f t="shared" si="517"/>
        <v>-0.625</v>
      </c>
      <c r="AE699" s="9">
        <f t="shared" si="518"/>
        <v>0.125</v>
      </c>
      <c r="AF699" s="9">
        <f t="shared" si="519"/>
        <v>2.75</v>
      </c>
      <c r="AG699" s="9">
        <f t="shared" si="520"/>
        <v>5.125</v>
      </c>
      <c r="AH699" s="9">
        <f t="shared" si="521"/>
        <v>4.625</v>
      </c>
      <c r="AI699" s="9">
        <f t="shared" si="522"/>
        <v>3.875</v>
      </c>
      <c r="AJ699" s="9">
        <f t="shared" si="523"/>
        <v>-1.375</v>
      </c>
      <c r="AK699" s="9">
        <f t="shared" si="524"/>
        <v>-1.875</v>
      </c>
      <c r="AL699" s="9">
        <f t="shared" si="525"/>
        <v>-1.875</v>
      </c>
      <c r="AM699" s="9">
        <f t="shared" si="526"/>
        <v>0.625</v>
      </c>
      <c r="AN699" s="9">
        <f t="shared" si="527"/>
        <v>1.375</v>
      </c>
      <c r="AO699" s="9">
        <f t="shared" si="528"/>
        <v>3.5625</v>
      </c>
      <c r="AP699" s="9">
        <f t="shared" si="529"/>
        <v>4.875</v>
      </c>
      <c r="AQ699" s="9">
        <f t="shared" si="530"/>
        <v>4.5</v>
      </c>
      <c r="AR699" s="9">
        <f t="shared" si="531"/>
        <v>3.5</v>
      </c>
      <c r="AS699" s="9">
        <f t="shared" si="532"/>
        <v>-1.25</v>
      </c>
      <c r="AT699" s="9">
        <f t="shared" si="533"/>
        <v>-1.625</v>
      </c>
      <c r="AU699" s="9">
        <f t="shared" si="534"/>
        <v>-0.875</v>
      </c>
      <c r="AV699" s="9">
        <f t="shared" si="535"/>
        <v>3.125</v>
      </c>
      <c r="AW699" s="9">
        <f t="shared" si="536"/>
        <v>4.75</v>
      </c>
      <c r="AX699" s="9">
        <f t="shared" si="537"/>
        <v>6.125</v>
      </c>
      <c r="AY699" s="9">
        <f t="shared" si="538"/>
        <v>6.625</v>
      </c>
      <c r="AZ699" s="9">
        <f t="shared" si="539"/>
        <v>5.875</v>
      </c>
      <c r="BA699" s="9">
        <f t="shared" si="540"/>
        <v>4.75</v>
      </c>
      <c r="BB699" s="9">
        <f t="shared" si="541"/>
        <v>-1.125</v>
      </c>
      <c r="BC699" s="9">
        <f t="shared" si="542"/>
        <v>-1.25</v>
      </c>
      <c r="BD699" s="9">
        <f t="shared" si="543"/>
        <v>-0.4375</v>
      </c>
      <c r="BE699" s="9">
        <f t="shared" si="544"/>
        <v>4.25</v>
      </c>
      <c r="BF699" s="9">
        <f t="shared" si="545"/>
        <v>6.25</v>
      </c>
      <c r="BG699" s="9">
        <f t="shared" si="546"/>
        <v>7.25</v>
      </c>
      <c r="BH699" s="9">
        <f t="shared" si="547"/>
        <v>8.25</v>
      </c>
      <c r="BI699" s="9">
        <f t="shared" si="548"/>
        <v>7.375</v>
      </c>
      <c r="BJ699" s="9">
        <f t="shared" si="549"/>
        <v>6.125</v>
      </c>
    </row>
    <row r="700" spans="1:62" x14ac:dyDescent="0.2">
      <c r="A700" s="9">
        <f>data!M701-data!M700</f>
        <v>0.24249999999999261</v>
      </c>
      <c r="B700" s="9">
        <f>data!C701-data!C700</f>
        <v>0.24000000000000021</v>
      </c>
      <c r="C700" s="9">
        <f>data!D701-data!D700</f>
        <v>5.9999999999999609E-2</v>
      </c>
      <c r="D700" s="10">
        <f>data!B701-data!B700</f>
        <v>-0.12</v>
      </c>
      <c r="E700" s="9">
        <f>data!E700-data!G700</f>
        <v>2.8962999999999997</v>
      </c>
      <c r="F700" s="9">
        <f>(data!E700-data!F700)-(data!G700-data!H700)</f>
        <v>0.2764999999999998</v>
      </c>
      <c r="G700" s="9">
        <f t="shared" si="500"/>
        <v>-3.7099999999999689E-2</v>
      </c>
      <c r="H700" s="9">
        <f t="shared" si="501"/>
        <v>-3.0899999999999705E-2</v>
      </c>
      <c r="I700" s="9">
        <f>IF(data!M701&gt; 111.81,1,0)</f>
        <v>1</v>
      </c>
      <c r="J700" s="9">
        <f t="shared" si="502"/>
        <v>0</v>
      </c>
      <c r="K700" s="9">
        <f t="shared" si="503"/>
        <v>0.24249999999999261</v>
      </c>
      <c r="L700" s="9">
        <f t="shared" si="504"/>
        <v>0</v>
      </c>
      <c r="M700" s="9">
        <f>data!J700</f>
        <v>-36.625</v>
      </c>
      <c r="N700" s="9">
        <f>data!I700</f>
        <v>-49.25</v>
      </c>
      <c r="O700" s="9">
        <f>data!L700</f>
        <v>-51.25</v>
      </c>
      <c r="P700" s="9">
        <f>data!K700</f>
        <v>-49.375</v>
      </c>
      <c r="Q700" s="9">
        <f>data!R700</f>
        <v>-48.875</v>
      </c>
      <c r="R700" s="9">
        <f t="shared" si="505"/>
        <v>1.875</v>
      </c>
      <c r="S700" s="9">
        <f t="shared" si="506"/>
        <v>3.5625</v>
      </c>
      <c r="T700" s="9">
        <f t="shared" si="507"/>
        <v>5.125</v>
      </c>
      <c r="U700" s="9">
        <f t="shared" si="508"/>
        <v>4.375</v>
      </c>
      <c r="V700" s="9">
        <f t="shared" si="509"/>
        <v>8.375</v>
      </c>
      <c r="W700" s="9">
        <f t="shared" si="510"/>
        <v>9</v>
      </c>
      <c r="X700" s="9">
        <f t="shared" si="511"/>
        <v>10.75</v>
      </c>
      <c r="Y700" s="9">
        <f t="shared" si="512"/>
        <v>11.125</v>
      </c>
      <c r="Z700" s="9">
        <f t="shared" si="513"/>
        <v>10.375</v>
      </c>
      <c r="AA700" s="9">
        <f t="shared" si="514"/>
        <v>-0.375</v>
      </c>
      <c r="AB700" s="9">
        <f t="shared" si="515"/>
        <v>0.25</v>
      </c>
      <c r="AC700" s="9">
        <f t="shared" si="516"/>
        <v>2</v>
      </c>
      <c r="AD700" s="9">
        <f t="shared" si="517"/>
        <v>2.75</v>
      </c>
      <c r="AE700" s="9">
        <f t="shared" si="518"/>
        <v>5.375</v>
      </c>
      <c r="AF700" s="9">
        <f t="shared" si="519"/>
        <v>7.75</v>
      </c>
      <c r="AG700" s="9">
        <f t="shared" si="520"/>
        <v>7.25</v>
      </c>
      <c r="AH700" s="9">
        <f t="shared" si="521"/>
        <v>6.5</v>
      </c>
      <c r="AI700" s="9">
        <f t="shared" si="522"/>
        <v>5.5</v>
      </c>
      <c r="AJ700" s="9">
        <f t="shared" si="523"/>
        <v>-0.5</v>
      </c>
      <c r="AK700" s="9">
        <f t="shared" si="524"/>
        <v>-0.5</v>
      </c>
      <c r="AL700" s="9">
        <f t="shared" si="525"/>
        <v>2</v>
      </c>
      <c r="AM700" s="9">
        <f t="shared" si="526"/>
        <v>2.75</v>
      </c>
      <c r="AN700" s="9">
        <f t="shared" si="527"/>
        <v>4.9375</v>
      </c>
      <c r="AO700" s="9">
        <f t="shared" si="528"/>
        <v>6.25</v>
      </c>
      <c r="AP700" s="9">
        <f t="shared" si="529"/>
        <v>5.875</v>
      </c>
      <c r="AQ700" s="9">
        <f t="shared" si="530"/>
        <v>4.875</v>
      </c>
      <c r="AR700" s="9">
        <f t="shared" si="531"/>
        <v>3.5</v>
      </c>
      <c r="AS700" s="9">
        <f t="shared" si="532"/>
        <v>-0.375</v>
      </c>
      <c r="AT700" s="9">
        <f t="shared" si="533"/>
        <v>0.375</v>
      </c>
      <c r="AU700" s="9">
        <f t="shared" si="534"/>
        <v>4.375</v>
      </c>
      <c r="AV700" s="9">
        <f t="shared" si="535"/>
        <v>6</v>
      </c>
      <c r="AW700" s="9">
        <f t="shared" si="536"/>
        <v>7.375</v>
      </c>
      <c r="AX700" s="9">
        <f t="shared" si="537"/>
        <v>7.875</v>
      </c>
      <c r="AY700" s="9">
        <f t="shared" si="538"/>
        <v>7.125</v>
      </c>
      <c r="AZ700" s="9">
        <f t="shared" si="539"/>
        <v>6</v>
      </c>
      <c r="BA700" s="9">
        <f t="shared" si="540"/>
        <v>4.5</v>
      </c>
      <c r="BB700" s="9">
        <f t="shared" si="541"/>
        <v>-0.125</v>
      </c>
      <c r="BC700" s="9">
        <f t="shared" si="542"/>
        <v>0.6875</v>
      </c>
      <c r="BD700" s="9">
        <f t="shared" si="543"/>
        <v>5.375</v>
      </c>
      <c r="BE700" s="9">
        <f t="shared" si="544"/>
        <v>7.375</v>
      </c>
      <c r="BF700" s="9">
        <f t="shared" si="545"/>
        <v>8.375</v>
      </c>
      <c r="BG700" s="9">
        <f t="shared" si="546"/>
        <v>9.375</v>
      </c>
      <c r="BH700" s="9">
        <f t="shared" si="547"/>
        <v>8.5</v>
      </c>
      <c r="BI700" s="9">
        <f t="shared" si="548"/>
        <v>7.25</v>
      </c>
      <c r="BJ700" s="9">
        <f t="shared" si="549"/>
        <v>5.875</v>
      </c>
    </row>
    <row r="701" spans="1:62" x14ac:dyDescent="0.2">
      <c r="A701" s="9">
        <f>data!M702-data!M701</f>
        <v>0.2804000000000002</v>
      </c>
      <c r="B701" s="9">
        <f>data!C702-data!C701</f>
        <v>-1.2800000000000011</v>
      </c>
      <c r="C701" s="9">
        <f>data!D702-data!D701</f>
        <v>8.0000000000000071E-2</v>
      </c>
      <c r="D701" s="10">
        <f>data!B702-data!B701</f>
        <v>7.999999999999996E-2</v>
      </c>
      <c r="E701" s="9">
        <f>data!E701-data!G701</f>
        <v>2.8592</v>
      </c>
      <c r="F701" s="9">
        <f>(data!E701-data!F701)-(data!G701-data!H701)</f>
        <v>0.2456000000000001</v>
      </c>
      <c r="G701" s="9">
        <f t="shared" si="500"/>
        <v>4.6899999999999942E-2</v>
      </c>
      <c r="H701" s="9">
        <f t="shared" si="501"/>
        <v>3.2799999999999774E-2</v>
      </c>
      <c r="I701" s="9">
        <f>IF(data!M702&gt; 111.81,1,0)</f>
        <v>1</v>
      </c>
      <c r="J701" s="9">
        <f t="shared" si="502"/>
        <v>0</v>
      </c>
      <c r="K701" s="9">
        <f t="shared" si="503"/>
        <v>0.2804000000000002</v>
      </c>
      <c r="L701" s="9">
        <f t="shared" si="504"/>
        <v>0</v>
      </c>
      <c r="M701" s="9">
        <f>data!J701</f>
        <v>-34.75</v>
      </c>
      <c r="N701" s="9">
        <f>data!I701</f>
        <v>-49.625</v>
      </c>
      <c r="O701" s="9">
        <f>data!L701</f>
        <v>-51.75</v>
      </c>
      <c r="P701" s="9">
        <f>data!K701</f>
        <v>-49.75</v>
      </c>
      <c r="Q701" s="9">
        <f>data!R701</f>
        <v>-49</v>
      </c>
      <c r="R701" s="9">
        <f t="shared" si="505"/>
        <v>1.6875</v>
      </c>
      <c r="S701" s="9">
        <f t="shared" si="506"/>
        <v>3.25</v>
      </c>
      <c r="T701" s="9">
        <f t="shared" si="507"/>
        <v>2.5</v>
      </c>
      <c r="U701" s="9">
        <f t="shared" si="508"/>
        <v>6.5</v>
      </c>
      <c r="V701" s="9">
        <f t="shared" si="509"/>
        <v>7.125</v>
      </c>
      <c r="W701" s="9">
        <f t="shared" si="510"/>
        <v>8.875</v>
      </c>
      <c r="X701" s="9">
        <f t="shared" si="511"/>
        <v>9.25</v>
      </c>
      <c r="Y701" s="9">
        <f t="shared" si="512"/>
        <v>8.5</v>
      </c>
      <c r="Z701" s="9">
        <f t="shared" si="513"/>
        <v>7.625</v>
      </c>
      <c r="AA701" s="9">
        <f t="shared" si="514"/>
        <v>0.625</v>
      </c>
      <c r="AB701" s="9">
        <f t="shared" si="515"/>
        <v>2.375</v>
      </c>
      <c r="AC701" s="9">
        <f t="shared" si="516"/>
        <v>3.125</v>
      </c>
      <c r="AD701" s="9">
        <f t="shared" si="517"/>
        <v>5.75</v>
      </c>
      <c r="AE701" s="9">
        <f t="shared" si="518"/>
        <v>8.125</v>
      </c>
      <c r="AF701" s="9">
        <f t="shared" si="519"/>
        <v>7.625</v>
      </c>
      <c r="AG701" s="9">
        <f t="shared" si="520"/>
        <v>6.875</v>
      </c>
      <c r="AH701" s="9">
        <f t="shared" si="521"/>
        <v>5.875</v>
      </c>
      <c r="AI701" s="9">
        <f t="shared" si="522"/>
        <v>4.5</v>
      </c>
      <c r="AJ701" s="9">
        <f t="shared" si="523"/>
        <v>0</v>
      </c>
      <c r="AK701" s="9">
        <f t="shared" si="524"/>
        <v>2.5</v>
      </c>
      <c r="AL701" s="9">
        <f t="shared" si="525"/>
        <v>3.25</v>
      </c>
      <c r="AM701" s="9">
        <f t="shared" si="526"/>
        <v>5.4375</v>
      </c>
      <c r="AN701" s="9">
        <f t="shared" si="527"/>
        <v>6.75</v>
      </c>
      <c r="AO701" s="9">
        <f t="shared" si="528"/>
        <v>6.375</v>
      </c>
      <c r="AP701" s="9">
        <f t="shared" si="529"/>
        <v>5.375</v>
      </c>
      <c r="AQ701" s="9">
        <f t="shared" si="530"/>
        <v>4</v>
      </c>
      <c r="AR701" s="9">
        <f t="shared" si="531"/>
        <v>2.25</v>
      </c>
      <c r="AS701" s="9">
        <f t="shared" si="532"/>
        <v>0.75</v>
      </c>
      <c r="AT701" s="9">
        <f t="shared" si="533"/>
        <v>4.75</v>
      </c>
      <c r="AU701" s="9">
        <f t="shared" si="534"/>
        <v>6.375</v>
      </c>
      <c r="AV701" s="9">
        <f t="shared" si="535"/>
        <v>7.75</v>
      </c>
      <c r="AW701" s="9">
        <f t="shared" si="536"/>
        <v>8.25</v>
      </c>
      <c r="AX701" s="9">
        <f t="shared" si="537"/>
        <v>7.5</v>
      </c>
      <c r="AY701" s="9">
        <f t="shared" si="538"/>
        <v>6.375</v>
      </c>
      <c r="AZ701" s="9">
        <f t="shared" si="539"/>
        <v>4.875</v>
      </c>
      <c r="BA701" s="9">
        <f t="shared" si="540"/>
        <v>3</v>
      </c>
      <c r="BB701" s="9">
        <f t="shared" si="541"/>
        <v>0.8125</v>
      </c>
      <c r="BC701" s="9">
        <f t="shared" si="542"/>
        <v>5.5</v>
      </c>
      <c r="BD701" s="9">
        <f t="shared" si="543"/>
        <v>7.5</v>
      </c>
      <c r="BE701" s="9">
        <f t="shared" si="544"/>
        <v>8.5</v>
      </c>
      <c r="BF701" s="9">
        <f t="shared" si="545"/>
        <v>9.5</v>
      </c>
      <c r="BG701" s="9">
        <f t="shared" si="546"/>
        <v>8.625</v>
      </c>
      <c r="BH701" s="9">
        <f t="shared" si="547"/>
        <v>7.375</v>
      </c>
      <c r="BI701" s="9">
        <f t="shared" si="548"/>
        <v>6</v>
      </c>
      <c r="BJ701" s="9">
        <f t="shared" si="549"/>
        <v>4.25</v>
      </c>
    </row>
    <row r="702" spans="1:62" x14ac:dyDescent="0.2">
      <c r="A702" s="9">
        <f>data!M703-data!M702</f>
        <v>1.2312000000000012</v>
      </c>
      <c r="B702" s="9">
        <f>data!C703-data!C702</f>
        <v>-0.19999999999999929</v>
      </c>
      <c r="C702" s="9">
        <f>data!D703-data!D702</f>
        <v>-0.39499999999999957</v>
      </c>
      <c r="D702" s="10">
        <f>data!B703-data!B702</f>
        <v>-1.9999999999999907E-2</v>
      </c>
      <c r="E702" s="9">
        <f>data!E702-data!G702</f>
        <v>2.9060999999999999</v>
      </c>
      <c r="F702" s="9">
        <f>(data!E702-data!F702)-(data!G702-data!H702)</f>
        <v>0.27839999999999987</v>
      </c>
      <c r="G702" s="9">
        <f t="shared" si="500"/>
        <v>-1.5599999999999614E-2</v>
      </c>
      <c r="H702" s="9">
        <f t="shared" si="501"/>
        <v>-7.4999999999999706E-2</v>
      </c>
      <c r="I702" s="9">
        <f>IF(data!M703&gt; 111.81,1,0)</f>
        <v>1</v>
      </c>
      <c r="J702" s="9">
        <f t="shared" si="502"/>
        <v>0</v>
      </c>
      <c r="K702" s="9">
        <f t="shared" si="503"/>
        <v>1.2312000000000012</v>
      </c>
      <c r="L702" s="9">
        <f t="shared" si="504"/>
        <v>0</v>
      </c>
      <c r="M702" s="9">
        <f>data!J702</f>
        <v>-33.0625</v>
      </c>
      <c r="N702" s="9">
        <f>data!I702</f>
        <v>-49</v>
      </c>
      <c r="O702" s="9">
        <f>data!L702</f>
        <v>-51.75</v>
      </c>
      <c r="P702" s="9">
        <f>data!K702</f>
        <v>-49</v>
      </c>
      <c r="Q702" s="9">
        <f>data!R702</f>
        <v>-48.1875</v>
      </c>
      <c r="R702" s="9">
        <f t="shared" si="505"/>
        <v>1.5625</v>
      </c>
      <c r="S702" s="9">
        <f t="shared" si="506"/>
        <v>0.8125</v>
      </c>
      <c r="T702" s="9">
        <f t="shared" si="507"/>
        <v>4.8125</v>
      </c>
      <c r="U702" s="9">
        <f t="shared" si="508"/>
        <v>5.4375</v>
      </c>
      <c r="V702" s="9">
        <f t="shared" si="509"/>
        <v>7.1875</v>
      </c>
      <c r="W702" s="9">
        <f t="shared" si="510"/>
        <v>7.5625</v>
      </c>
      <c r="X702" s="9">
        <f t="shared" si="511"/>
        <v>6.8125</v>
      </c>
      <c r="Y702" s="9">
        <f t="shared" si="512"/>
        <v>5.9375</v>
      </c>
      <c r="Z702" s="9">
        <f t="shared" si="513"/>
        <v>2.5625</v>
      </c>
      <c r="AA702" s="9">
        <f t="shared" si="514"/>
        <v>1.75</v>
      </c>
      <c r="AB702" s="9">
        <f t="shared" si="515"/>
        <v>2.5</v>
      </c>
      <c r="AC702" s="9">
        <f t="shared" si="516"/>
        <v>5.125</v>
      </c>
      <c r="AD702" s="9">
        <f t="shared" si="517"/>
        <v>7.5</v>
      </c>
      <c r="AE702" s="9">
        <f t="shared" si="518"/>
        <v>7</v>
      </c>
      <c r="AF702" s="9">
        <f t="shared" si="519"/>
        <v>6.25</v>
      </c>
      <c r="AG702" s="9">
        <f t="shared" si="520"/>
        <v>5.25</v>
      </c>
      <c r="AH702" s="9">
        <f t="shared" si="521"/>
        <v>3.875</v>
      </c>
      <c r="AI702" s="9">
        <f t="shared" si="522"/>
        <v>2.625</v>
      </c>
      <c r="AJ702" s="9">
        <f t="shared" si="523"/>
        <v>2.5</v>
      </c>
      <c r="AK702" s="9">
        <f t="shared" si="524"/>
        <v>3.25</v>
      </c>
      <c r="AL702" s="9">
        <f t="shared" si="525"/>
        <v>5.4375</v>
      </c>
      <c r="AM702" s="9">
        <f t="shared" si="526"/>
        <v>6.75</v>
      </c>
      <c r="AN702" s="9">
        <f t="shared" si="527"/>
        <v>6.375</v>
      </c>
      <c r="AO702" s="9">
        <f t="shared" si="528"/>
        <v>5.375</v>
      </c>
      <c r="AP702" s="9">
        <f t="shared" si="529"/>
        <v>4</v>
      </c>
      <c r="AQ702" s="9">
        <f t="shared" si="530"/>
        <v>2.25</v>
      </c>
      <c r="AR702" s="9">
        <f t="shared" si="531"/>
        <v>0.625</v>
      </c>
      <c r="AS702" s="9">
        <f t="shared" si="532"/>
        <v>4</v>
      </c>
      <c r="AT702" s="9">
        <f t="shared" si="533"/>
        <v>5.625</v>
      </c>
      <c r="AU702" s="9">
        <f t="shared" si="534"/>
        <v>7</v>
      </c>
      <c r="AV702" s="9">
        <f t="shared" si="535"/>
        <v>7.5</v>
      </c>
      <c r="AW702" s="9">
        <f t="shared" si="536"/>
        <v>6.75</v>
      </c>
      <c r="AX702" s="9">
        <f t="shared" si="537"/>
        <v>5.625</v>
      </c>
      <c r="AY702" s="9">
        <f t="shared" si="538"/>
        <v>4.125</v>
      </c>
      <c r="AZ702" s="9">
        <f t="shared" si="539"/>
        <v>2.25</v>
      </c>
      <c r="BA702" s="9">
        <f t="shared" si="540"/>
        <v>-0.25</v>
      </c>
      <c r="BB702" s="9">
        <f t="shared" si="541"/>
        <v>4.6875</v>
      </c>
      <c r="BC702" s="9">
        <f t="shared" si="542"/>
        <v>6.6875</v>
      </c>
      <c r="BD702" s="9">
        <f t="shared" si="543"/>
        <v>7.6875</v>
      </c>
      <c r="BE702" s="9">
        <f t="shared" si="544"/>
        <v>8.6875</v>
      </c>
      <c r="BF702" s="9">
        <f t="shared" si="545"/>
        <v>7.8125</v>
      </c>
      <c r="BG702" s="9">
        <f t="shared" si="546"/>
        <v>6.5625</v>
      </c>
      <c r="BH702" s="9">
        <f t="shared" si="547"/>
        <v>5.1875</v>
      </c>
      <c r="BI702" s="9">
        <f t="shared" si="548"/>
        <v>3.4375</v>
      </c>
      <c r="BJ702" s="9">
        <f t="shared" si="549"/>
        <v>0.5625</v>
      </c>
    </row>
    <row r="703" spans="1:62" x14ac:dyDescent="0.2">
      <c r="A703" s="9">
        <f>data!M704-data!M703</f>
        <v>-3.3000000000001251E-2</v>
      </c>
      <c r="B703" s="9">
        <f>data!C704-data!C703</f>
        <v>1.7899999999999991</v>
      </c>
      <c r="C703" s="9">
        <f>data!D704-data!D703</f>
        <v>0.26750000000000007</v>
      </c>
      <c r="D703" s="10">
        <f>data!B704-data!B703</f>
        <v>-0.16000000000000003</v>
      </c>
      <c r="E703" s="9">
        <f>data!E703-data!G703</f>
        <v>2.8905000000000003</v>
      </c>
      <c r="F703" s="9">
        <f>(data!E703-data!F703)-(data!G703-data!H703)</f>
        <v>0.20340000000000016</v>
      </c>
      <c r="G703" s="9">
        <f t="shared" si="500"/>
        <v>-2.4600000000000399E-2</v>
      </c>
      <c r="H703" s="9">
        <f t="shared" si="501"/>
        <v>-1.7700000000000271E-2</v>
      </c>
      <c r="I703" s="9">
        <f>IF(data!M704&gt; 111.81,1,0)</f>
        <v>1</v>
      </c>
      <c r="J703" s="9">
        <f t="shared" si="502"/>
        <v>0</v>
      </c>
      <c r="K703" s="9">
        <f t="shared" si="503"/>
        <v>-3.3000000000001251E-2</v>
      </c>
      <c r="L703" s="9">
        <f t="shared" si="504"/>
        <v>0</v>
      </c>
      <c r="M703" s="9">
        <f>data!J703</f>
        <v>-31.5</v>
      </c>
      <c r="N703" s="9">
        <f>data!I703</f>
        <v>-47.25</v>
      </c>
      <c r="O703" s="9">
        <f>data!L703</f>
        <v>-49.25</v>
      </c>
      <c r="P703" s="9">
        <f>data!K703</f>
        <v>-45</v>
      </c>
      <c r="Q703" s="9">
        <f>data!R703</f>
        <v>-43.5</v>
      </c>
      <c r="R703" s="9">
        <f t="shared" si="505"/>
        <v>-0.75</v>
      </c>
      <c r="S703" s="9">
        <f t="shared" si="506"/>
        <v>3.25</v>
      </c>
      <c r="T703" s="9">
        <f t="shared" si="507"/>
        <v>3.875</v>
      </c>
      <c r="U703" s="9">
        <f t="shared" si="508"/>
        <v>5.625</v>
      </c>
      <c r="V703" s="9">
        <f t="shared" si="509"/>
        <v>6</v>
      </c>
      <c r="W703" s="9">
        <f t="shared" si="510"/>
        <v>5.25</v>
      </c>
      <c r="X703" s="9">
        <f t="shared" si="511"/>
        <v>4.375</v>
      </c>
      <c r="Y703" s="9">
        <f t="shared" si="512"/>
        <v>1</v>
      </c>
      <c r="Z703" s="9">
        <f t="shared" si="513"/>
        <v>1.125</v>
      </c>
      <c r="AA703" s="9">
        <f t="shared" si="514"/>
        <v>0.75</v>
      </c>
      <c r="AB703" s="9">
        <f t="shared" si="515"/>
        <v>3.375</v>
      </c>
      <c r="AC703" s="9">
        <f t="shared" si="516"/>
        <v>5.75</v>
      </c>
      <c r="AD703" s="9">
        <f t="shared" si="517"/>
        <v>5.25</v>
      </c>
      <c r="AE703" s="9">
        <f t="shared" si="518"/>
        <v>4.5</v>
      </c>
      <c r="AF703" s="9">
        <f t="shared" si="519"/>
        <v>3.5</v>
      </c>
      <c r="AG703" s="9">
        <f t="shared" si="520"/>
        <v>2.125</v>
      </c>
      <c r="AH703" s="9">
        <f t="shared" si="521"/>
        <v>0.875</v>
      </c>
      <c r="AI703" s="9">
        <f t="shared" si="522"/>
        <v>1.25</v>
      </c>
      <c r="AJ703" s="9">
        <f t="shared" si="523"/>
        <v>0.75</v>
      </c>
      <c r="AK703" s="9">
        <f t="shared" si="524"/>
        <v>2.9375</v>
      </c>
      <c r="AL703" s="9">
        <f t="shared" si="525"/>
        <v>4.25</v>
      </c>
      <c r="AM703" s="9">
        <f t="shared" si="526"/>
        <v>3.875</v>
      </c>
      <c r="AN703" s="9">
        <f t="shared" si="527"/>
        <v>2.875</v>
      </c>
      <c r="AO703" s="9">
        <f t="shared" si="528"/>
        <v>1.5</v>
      </c>
      <c r="AP703" s="9">
        <f t="shared" si="529"/>
        <v>-0.25</v>
      </c>
      <c r="AQ703" s="9">
        <f t="shared" si="530"/>
        <v>-1.875</v>
      </c>
      <c r="AR703" s="9">
        <f t="shared" si="531"/>
        <v>-1.875</v>
      </c>
      <c r="AS703" s="9">
        <f t="shared" si="532"/>
        <v>1.625</v>
      </c>
      <c r="AT703" s="9">
        <f t="shared" si="533"/>
        <v>3</v>
      </c>
      <c r="AU703" s="9">
        <f t="shared" si="534"/>
        <v>3.5</v>
      </c>
      <c r="AV703" s="9">
        <f t="shared" si="535"/>
        <v>2.75</v>
      </c>
      <c r="AW703" s="9">
        <f t="shared" si="536"/>
        <v>1.625</v>
      </c>
      <c r="AX703" s="9">
        <f t="shared" si="537"/>
        <v>0.125</v>
      </c>
      <c r="AY703" s="9">
        <f t="shared" si="538"/>
        <v>-1.75</v>
      </c>
      <c r="AZ703" s="9">
        <f t="shared" si="539"/>
        <v>-4.25</v>
      </c>
      <c r="BA703" s="9">
        <f t="shared" si="540"/>
        <v>-3.75</v>
      </c>
      <c r="BB703" s="9">
        <f t="shared" si="541"/>
        <v>2</v>
      </c>
      <c r="BC703" s="9">
        <f t="shared" si="542"/>
        <v>3</v>
      </c>
      <c r="BD703" s="9">
        <f t="shared" si="543"/>
        <v>4</v>
      </c>
      <c r="BE703" s="9">
        <f t="shared" si="544"/>
        <v>3.125</v>
      </c>
      <c r="BF703" s="9">
        <f t="shared" si="545"/>
        <v>1.875</v>
      </c>
      <c r="BG703" s="9">
        <f t="shared" si="546"/>
        <v>0.5</v>
      </c>
      <c r="BH703" s="9">
        <f t="shared" si="547"/>
        <v>-1.25</v>
      </c>
      <c r="BI703" s="9">
        <f t="shared" si="548"/>
        <v>-4.125</v>
      </c>
      <c r="BJ703" s="9">
        <f t="shared" si="549"/>
        <v>-3</v>
      </c>
    </row>
    <row r="704" spans="1:62" x14ac:dyDescent="0.2">
      <c r="A704" s="9">
        <f>data!M705-data!M704</f>
        <v>-4.5599999999993202E-2</v>
      </c>
      <c r="B704" s="9">
        <f>data!C705-data!C704</f>
        <v>2.3200000000000003</v>
      </c>
      <c r="C704" s="9">
        <f>data!D705-data!D704</f>
        <v>0.12249999999999961</v>
      </c>
      <c r="D704" s="10">
        <f>data!B705-data!B704</f>
        <v>-3.7499999999999978E-2</v>
      </c>
      <c r="E704" s="9">
        <f>data!E704-data!G704</f>
        <v>2.8658999999999999</v>
      </c>
      <c r="F704" s="9">
        <f>(data!E704-data!F704)-(data!G704-data!H704)</f>
        <v>0.18569999999999989</v>
      </c>
      <c r="G704" s="9">
        <f t="shared" si="500"/>
        <v>-3.479999999999972E-2</v>
      </c>
      <c r="H704" s="9">
        <f t="shared" si="501"/>
        <v>-1.079999999999981E-2</v>
      </c>
      <c r="I704" s="9">
        <f>IF(data!M705&gt; 111.81,1,0)</f>
        <v>1</v>
      </c>
      <c r="J704" s="9">
        <f t="shared" si="502"/>
        <v>0</v>
      </c>
      <c r="K704" s="9">
        <f t="shared" si="503"/>
        <v>-4.5599999999993202E-2</v>
      </c>
      <c r="L704" s="9">
        <f t="shared" si="504"/>
        <v>0</v>
      </c>
      <c r="M704" s="9">
        <f>data!J704</f>
        <v>-32.25</v>
      </c>
      <c r="N704" s="9">
        <f>data!I704</f>
        <v>-46.5</v>
      </c>
      <c r="O704" s="9">
        <f>data!L704</f>
        <v>-48.5</v>
      </c>
      <c r="P704" s="9">
        <f>data!K704</f>
        <v>-43.375</v>
      </c>
      <c r="Q704" s="9">
        <f>data!R704</f>
        <v>-41.5</v>
      </c>
      <c r="R704" s="9">
        <f t="shared" si="505"/>
        <v>4</v>
      </c>
      <c r="S704" s="9">
        <f t="shared" si="506"/>
        <v>4.625</v>
      </c>
      <c r="T704" s="9">
        <f t="shared" si="507"/>
        <v>6.375</v>
      </c>
      <c r="U704" s="9">
        <f t="shared" si="508"/>
        <v>6.75</v>
      </c>
      <c r="V704" s="9">
        <f t="shared" si="509"/>
        <v>6</v>
      </c>
      <c r="W704" s="9">
        <f t="shared" si="510"/>
        <v>5.125</v>
      </c>
      <c r="X704" s="9">
        <f t="shared" si="511"/>
        <v>1.75</v>
      </c>
      <c r="Y704" s="9">
        <f t="shared" si="512"/>
        <v>1.875</v>
      </c>
      <c r="Z704" s="9">
        <f t="shared" si="513"/>
        <v>1.375</v>
      </c>
      <c r="AA704" s="9">
        <f t="shared" si="514"/>
        <v>2.625</v>
      </c>
      <c r="AB704" s="9">
        <f t="shared" si="515"/>
        <v>5</v>
      </c>
      <c r="AC704" s="9">
        <f t="shared" si="516"/>
        <v>4.5</v>
      </c>
      <c r="AD704" s="9">
        <f t="shared" si="517"/>
        <v>3.75</v>
      </c>
      <c r="AE704" s="9">
        <f t="shared" si="518"/>
        <v>2.75</v>
      </c>
      <c r="AF704" s="9">
        <f t="shared" si="519"/>
        <v>1.375</v>
      </c>
      <c r="AG704" s="9">
        <f t="shared" si="520"/>
        <v>0.125</v>
      </c>
      <c r="AH704" s="9">
        <f t="shared" si="521"/>
        <v>0.5</v>
      </c>
      <c r="AI704" s="9">
        <f t="shared" si="522"/>
        <v>-0.25</v>
      </c>
      <c r="AJ704" s="9">
        <f t="shared" si="523"/>
        <v>2.1875</v>
      </c>
      <c r="AK704" s="9">
        <f t="shared" si="524"/>
        <v>3.5</v>
      </c>
      <c r="AL704" s="9">
        <f t="shared" si="525"/>
        <v>3.125</v>
      </c>
      <c r="AM704" s="9">
        <f t="shared" si="526"/>
        <v>2.125</v>
      </c>
      <c r="AN704" s="9">
        <f t="shared" si="527"/>
        <v>0.75</v>
      </c>
      <c r="AO704" s="9">
        <f t="shared" si="528"/>
        <v>-1</v>
      </c>
      <c r="AP704" s="9">
        <f t="shared" si="529"/>
        <v>-2.625</v>
      </c>
      <c r="AQ704" s="9">
        <f t="shared" si="530"/>
        <v>-2.625</v>
      </c>
      <c r="AR704" s="9">
        <f t="shared" si="531"/>
        <v>-3</v>
      </c>
      <c r="AS704" s="9">
        <f t="shared" si="532"/>
        <v>1.375</v>
      </c>
      <c r="AT704" s="9">
        <f t="shared" si="533"/>
        <v>1.875</v>
      </c>
      <c r="AU704" s="9">
        <f t="shared" si="534"/>
        <v>1.125</v>
      </c>
      <c r="AV704" s="9">
        <f t="shared" si="535"/>
        <v>0</v>
      </c>
      <c r="AW704" s="9">
        <f t="shared" si="536"/>
        <v>-1.5</v>
      </c>
      <c r="AX704" s="9">
        <f t="shared" si="537"/>
        <v>-3.375</v>
      </c>
      <c r="AY704" s="9">
        <f t="shared" si="538"/>
        <v>-5.875</v>
      </c>
      <c r="AZ704" s="9">
        <f t="shared" si="539"/>
        <v>-5.375</v>
      </c>
      <c r="BA704" s="9">
        <f t="shared" si="540"/>
        <v>-5.625</v>
      </c>
      <c r="BB704" s="9">
        <f t="shared" si="541"/>
        <v>1</v>
      </c>
      <c r="BC704" s="9">
        <f t="shared" si="542"/>
        <v>2</v>
      </c>
      <c r="BD704" s="9">
        <f t="shared" si="543"/>
        <v>1.125</v>
      </c>
      <c r="BE704" s="9">
        <f t="shared" si="544"/>
        <v>-0.125</v>
      </c>
      <c r="BF704" s="9">
        <f t="shared" si="545"/>
        <v>-1.5</v>
      </c>
      <c r="BG704" s="9">
        <f t="shared" si="546"/>
        <v>-3.25</v>
      </c>
      <c r="BH704" s="9">
        <f t="shared" si="547"/>
        <v>-6.125</v>
      </c>
      <c r="BI704" s="9">
        <f t="shared" si="548"/>
        <v>-5</v>
      </c>
      <c r="BJ704" s="9">
        <f t="shared" si="549"/>
        <v>-5.375</v>
      </c>
    </row>
    <row r="705" spans="1:62" x14ac:dyDescent="0.2">
      <c r="A705" s="9">
        <f>data!M706-data!M705</f>
        <v>-0.61570000000000391</v>
      </c>
      <c r="B705" s="9">
        <f>data!C706-data!C705</f>
        <v>-2.7200000000000006</v>
      </c>
      <c r="C705" s="9">
        <f>data!D706-data!D705</f>
        <v>-0.50499999999999989</v>
      </c>
      <c r="D705" s="10">
        <f>data!B706-data!B705</f>
        <v>7.2500000000000009E-2</v>
      </c>
      <c r="E705" s="9">
        <f>data!E705-data!G705</f>
        <v>2.8311000000000002</v>
      </c>
      <c r="F705" s="9">
        <f>(data!E705-data!F705)-(data!G705-data!H705)</f>
        <v>0.17490000000000008</v>
      </c>
      <c r="G705" s="9">
        <f t="shared" si="500"/>
        <v>-3.5400000000000098E-2</v>
      </c>
      <c r="H705" s="9">
        <f t="shared" si="501"/>
        <v>-4.9700000000000411E-2</v>
      </c>
      <c r="I705" s="9">
        <f>IF(data!M706&gt; 111.81,1,0)</f>
        <v>1</v>
      </c>
      <c r="J705" s="9">
        <f t="shared" si="502"/>
        <v>0</v>
      </c>
      <c r="K705" s="9">
        <f t="shared" si="503"/>
        <v>-0.61570000000000391</v>
      </c>
      <c r="L705" s="9">
        <f t="shared" si="504"/>
        <v>0</v>
      </c>
      <c r="M705" s="9">
        <f>data!J705</f>
        <v>-28.25</v>
      </c>
      <c r="N705" s="9">
        <f>data!I705</f>
        <v>-43.875</v>
      </c>
      <c r="O705" s="9">
        <f>data!L705</f>
        <v>-46.3125</v>
      </c>
      <c r="P705" s="9">
        <f>data!K705</f>
        <v>-42</v>
      </c>
      <c r="Q705" s="9">
        <f>data!R705</f>
        <v>-40.5</v>
      </c>
      <c r="R705" s="9">
        <f t="shared" si="505"/>
        <v>0.625</v>
      </c>
      <c r="S705" s="9">
        <f t="shared" si="506"/>
        <v>2.375</v>
      </c>
      <c r="T705" s="9">
        <f t="shared" si="507"/>
        <v>2.75</v>
      </c>
      <c r="U705" s="9">
        <f t="shared" si="508"/>
        <v>2</v>
      </c>
      <c r="V705" s="9">
        <f t="shared" si="509"/>
        <v>1.125</v>
      </c>
      <c r="W705" s="9">
        <f t="shared" si="510"/>
        <v>-2.25</v>
      </c>
      <c r="X705" s="9">
        <f t="shared" si="511"/>
        <v>-2.125</v>
      </c>
      <c r="Y705" s="9">
        <f t="shared" si="512"/>
        <v>-2.625</v>
      </c>
      <c r="Z705" s="9">
        <f t="shared" si="513"/>
        <v>-3.375</v>
      </c>
      <c r="AA705" s="9">
        <f t="shared" si="514"/>
        <v>2.375</v>
      </c>
      <c r="AB705" s="9">
        <f t="shared" si="515"/>
        <v>1.875</v>
      </c>
      <c r="AC705" s="9">
        <f t="shared" si="516"/>
        <v>1.125</v>
      </c>
      <c r="AD705" s="9">
        <f t="shared" si="517"/>
        <v>0.125</v>
      </c>
      <c r="AE705" s="9">
        <f t="shared" si="518"/>
        <v>-1.25</v>
      </c>
      <c r="AF705" s="9">
        <f t="shared" si="519"/>
        <v>-2.5</v>
      </c>
      <c r="AG705" s="9">
        <f t="shared" si="520"/>
        <v>-2.125</v>
      </c>
      <c r="AH705" s="9">
        <f t="shared" si="521"/>
        <v>-2.875</v>
      </c>
      <c r="AI705" s="9">
        <f t="shared" si="522"/>
        <v>-5</v>
      </c>
      <c r="AJ705" s="9">
        <f t="shared" si="523"/>
        <v>1.3125</v>
      </c>
      <c r="AK705" s="9">
        <f t="shared" si="524"/>
        <v>0.9375</v>
      </c>
      <c r="AL705" s="9">
        <f t="shared" si="525"/>
        <v>-6.25E-2</v>
      </c>
      <c r="AM705" s="9">
        <f t="shared" si="526"/>
        <v>-1.4375</v>
      </c>
      <c r="AN705" s="9">
        <f t="shared" si="527"/>
        <v>-3.1875</v>
      </c>
      <c r="AO705" s="9">
        <f t="shared" si="528"/>
        <v>-4.8125</v>
      </c>
      <c r="AP705" s="9">
        <f t="shared" si="529"/>
        <v>-4.8125</v>
      </c>
      <c r="AQ705" s="9">
        <f t="shared" si="530"/>
        <v>-5.1875</v>
      </c>
      <c r="AR705" s="9">
        <f t="shared" si="531"/>
        <v>-7.5625</v>
      </c>
      <c r="AS705" s="9">
        <f t="shared" si="532"/>
        <v>0.5</v>
      </c>
      <c r="AT705" s="9">
        <f t="shared" si="533"/>
        <v>-0.25</v>
      </c>
      <c r="AU705" s="9">
        <f t="shared" si="534"/>
        <v>-1.375</v>
      </c>
      <c r="AV705" s="9">
        <f t="shared" si="535"/>
        <v>-2.875</v>
      </c>
      <c r="AW705" s="9">
        <f t="shared" si="536"/>
        <v>-4.75</v>
      </c>
      <c r="AX705" s="9">
        <f t="shared" si="537"/>
        <v>-7.25</v>
      </c>
      <c r="AY705" s="9">
        <f t="shared" si="538"/>
        <v>-6.75</v>
      </c>
      <c r="AZ705" s="9">
        <f t="shared" si="539"/>
        <v>-7</v>
      </c>
      <c r="BA705" s="9">
        <f t="shared" si="540"/>
        <v>-9.25</v>
      </c>
      <c r="BB705" s="9">
        <f t="shared" si="541"/>
        <v>1</v>
      </c>
      <c r="BC705" s="9">
        <f t="shared" si="542"/>
        <v>0.125</v>
      </c>
      <c r="BD705" s="9">
        <f t="shared" si="543"/>
        <v>-1.125</v>
      </c>
      <c r="BE705" s="9">
        <f t="shared" si="544"/>
        <v>-2.5</v>
      </c>
      <c r="BF705" s="9">
        <f t="shared" si="545"/>
        <v>-4.25</v>
      </c>
      <c r="BG705" s="9">
        <f t="shared" si="546"/>
        <v>-7.125</v>
      </c>
      <c r="BH705" s="9">
        <f t="shared" si="547"/>
        <v>-6</v>
      </c>
      <c r="BI705" s="9">
        <f t="shared" si="548"/>
        <v>-6.375</v>
      </c>
      <c r="BJ705" s="9">
        <f t="shared" si="549"/>
        <v>-9.375</v>
      </c>
    </row>
    <row r="706" spans="1:62" x14ac:dyDescent="0.2">
      <c r="A706" s="9">
        <f>data!M707-data!M706</f>
        <v>0.42789999999999395</v>
      </c>
      <c r="B706" s="9">
        <f>data!C707-data!C706</f>
        <v>-1.1899999999999995</v>
      </c>
      <c r="C706" s="9">
        <f>data!D707-data!D706</f>
        <v>0.23500000000000032</v>
      </c>
      <c r="D706" s="10">
        <f>data!B707-data!B706</f>
        <v>-5.2499999999999991E-2</v>
      </c>
      <c r="E706" s="9">
        <f>data!E706-data!G706</f>
        <v>2.7957000000000001</v>
      </c>
      <c r="F706" s="9">
        <f>(data!E706-data!F706)-(data!G706-data!H706)</f>
        <v>0.12519999999999967</v>
      </c>
      <c r="G706" s="9">
        <f t="shared" si="500"/>
        <v>-3.6000000000000476E-3</v>
      </c>
      <c r="H706" s="9">
        <f t="shared" si="501"/>
        <v>-4.6099999999999364E-2</v>
      </c>
      <c r="I706" s="9">
        <f>IF(data!M707&gt; 111.81,1,0)</f>
        <v>1</v>
      </c>
      <c r="J706" s="9">
        <f t="shared" si="502"/>
        <v>0</v>
      </c>
      <c r="K706" s="9">
        <f t="shared" si="503"/>
        <v>0.42789999999999395</v>
      </c>
      <c r="L706" s="9">
        <f t="shared" si="504"/>
        <v>0</v>
      </c>
      <c r="M706" s="9">
        <f>data!J706</f>
        <v>-27.625</v>
      </c>
      <c r="N706" s="9">
        <f>data!I706</f>
        <v>-41.5</v>
      </c>
      <c r="O706" s="9">
        <f>data!L706</f>
        <v>-45</v>
      </c>
      <c r="P706" s="9">
        <f>data!K706</f>
        <v>-41.5</v>
      </c>
      <c r="Q706" s="9">
        <f>data!R706</f>
        <v>-39.5</v>
      </c>
      <c r="R706" s="9">
        <f t="shared" si="505"/>
        <v>1.75</v>
      </c>
      <c r="S706" s="9">
        <f t="shared" si="506"/>
        <v>2.125</v>
      </c>
      <c r="T706" s="9">
        <f t="shared" si="507"/>
        <v>1.375</v>
      </c>
      <c r="U706" s="9">
        <f t="shared" si="508"/>
        <v>0.5</v>
      </c>
      <c r="V706" s="9">
        <f t="shared" si="509"/>
        <v>-2.875</v>
      </c>
      <c r="W706" s="9">
        <f t="shared" si="510"/>
        <v>-2.75</v>
      </c>
      <c r="X706" s="9">
        <f t="shared" si="511"/>
        <v>-3.25</v>
      </c>
      <c r="Y706" s="9">
        <f t="shared" si="512"/>
        <v>-4</v>
      </c>
      <c r="Z706" s="9">
        <f t="shared" si="513"/>
        <v>-5.625</v>
      </c>
      <c r="AA706" s="9">
        <f t="shared" si="514"/>
        <v>-0.5</v>
      </c>
      <c r="AB706" s="9">
        <f t="shared" si="515"/>
        <v>-1.25</v>
      </c>
      <c r="AC706" s="9">
        <f t="shared" si="516"/>
        <v>-2.25</v>
      </c>
      <c r="AD706" s="9">
        <f t="shared" si="517"/>
        <v>-3.625</v>
      </c>
      <c r="AE706" s="9">
        <f t="shared" si="518"/>
        <v>-4.875</v>
      </c>
      <c r="AF706" s="9">
        <f t="shared" si="519"/>
        <v>-4.5</v>
      </c>
      <c r="AG706" s="9">
        <f t="shared" si="520"/>
        <v>-5.25</v>
      </c>
      <c r="AH706" s="9">
        <f t="shared" si="521"/>
        <v>-7.375</v>
      </c>
      <c r="AI706" s="9">
        <f t="shared" si="522"/>
        <v>-8.375</v>
      </c>
      <c r="AJ706" s="9">
        <f t="shared" si="523"/>
        <v>-0.375</v>
      </c>
      <c r="AK706" s="9">
        <f t="shared" si="524"/>
        <v>-1.375</v>
      </c>
      <c r="AL706" s="9">
        <f t="shared" si="525"/>
        <v>-2.75</v>
      </c>
      <c r="AM706" s="9">
        <f t="shared" si="526"/>
        <v>-4.5</v>
      </c>
      <c r="AN706" s="9">
        <f t="shared" si="527"/>
        <v>-6.125</v>
      </c>
      <c r="AO706" s="9">
        <f t="shared" si="528"/>
        <v>-6.125</v>
      </c>
      <c r="AP706" s="9">
        <f t="shared" si="529"/>
        <v>-6.5</v>
      </c>
      <c r="AQ706" s="9">
        <f t="shared" si="530"/>
        <v>-8.875</v>
      </c>
      <c r="AR706" s="9">
        <f t="shared" si="531"/>
        <v>-10</v>
      </c>
      <c r="AS706" s="9">
        <f t="shared" si="532"/>
        <v>-0.75</v>
      </c>
      <c r="AT706" s="9">
        <f t="shared" si="533"/>
        <v>-1.875</v>
      </c>
      <c r="AU706" s="9">
        <f t="shared" si="534"/>
        <v>-3.375</v>
      </c>
      <c r="AV706" s="9">
        <f t="shared" si="535"/>
        <v>-5.25</v>
      </c>
      <c r="AW706" s="9">
        <f t="shared" si="536"/>
        <v>-7.75</v>
      </c>
      <c r="AX706" s="9">
        <f t="shared" si="537"/>
        <v>-7.25</v>
      </c>
      <c r="AY706" s="9">
        <f t="shared" si="538"/>
        <v>-7.5</v>
      </c>
      <c r="AZ706" s="9">
        <f t="shared" si="539"/>
        <v>-9.75</v>
      </c>
      <c r="BA706" s="9">
        <f t="shared" si="540"/>
        <v>-11</v>
      </c>
      <c r="BB706" s="9">
        <f t="shared" si="541"/>
        <v>-0.875</v>
      </c>
      <c r="BC706" s="9">
        <f t="shared" si="542"/>
        <v>-2.125</v>
      </c>
      <c r="BD706" s="9">
        <f t="shared" si="543"/>
        <v>-3.5</v>
      </c>
      <c r="BE706" s="9">
        <f t="shared" si="544"/>
        <v>-5.25</v>
      </c>
      <c r="BF706" s="9">
        <f t="shared" si="545"/>
        <v>-8.125</v>
      </c>
      <c r="BG706" s="9">
        <f t="shared" si="546"/>
        <v>-7</v>
      </c>
      <c r="BH706" s="9">
        <f t="shared" si="547"/>
        <v>-7.375</v>
      </c>
      <c r="BI706" s="9">
        <f t="shared" si="548"/>
        <v>-10.375</v>
      </c>
      <c r="BJ706" s="9">
        <f t="shared" si="549"/>
        <v>-11.625</v>
      </c>
    </row>
    <row r="707" spans="1:62" x14ac:dyDescent="0.2">
      <c r="A707" s="9">
        <f>data!M708-data!M707</f>
        <v>0.25090000000000146</v>
      </c>
      <c r="B707" s="9">
        <f>data!C708-data!C707</f>
        <v>0.67999999999999972</v>
      </c>
      <c r="C707" s="9">
        <f>data!D708-data!D707</f>
        <v>0.42499999999999982</v>
      </c>
      <c r="D707" s="10">
        <f>data!B708-data!B707</f>
        <v>-0.13250000000000006</v>
      </c>
      <c r="E707" s="9">
        <f>data!E707-data!G707</f>
        <v>2.7921</v>
      </c>
      <c r="F707" s="9">
        <f>(data!E707-data!F707)-(data!G707-data!H707)</f>
        <v>7.9100000000000309E-2</v>
      </c>
      <c r="G707" s="9">
        <f t="shared" ref="G707:G770" si="550">E708-E707</f>
        <v>7.1000000000000174E-2</v>
      </c>
      <c r="H707" s="9">
        <f t="shared" ref="H707:H770" si="551">F708-F707</f>
        <v>6.089999999999951E-2</v>
      </c>
      <c r="I707" s="9">
        <f>IF(data!M708&gt; 111.81,1,0)</f>
        <v>1</v>
      </c>
      <c r="J707" s="9">
        <f t="shared" ref="J707:J770" si="552">1-I707</f>
        <v>0</v>
      </c>
      <c r="K707" s="9">
        <f t="shared" ref="K707:K770" si="553">A707*I707</f>
        <v>0.25090000000000146</v>
      </c>
      <c r="L707" s="9">
        <f t="shared" ref="L707:L770" si="554">A707*J707</f>
        <v>0</v>
      </c>
      <c r="M707" s="9">
        <f>data!J707</f>
        <v>-25.875</v>
      </c>
      <c r="N707" s="9">
        <f>data!I707</f>
        <v>-42</v>
      </c>
      <c r="O707" s="9">
        <f>data!L707</f>
        <v>-45.375</v>
      </c>
      <c r="P707" s="9">
        <f>data!K707</f>
        <v>-42.25</v>
      </c>
      <c r="Q707" s="9">
        <f>data!R707</f>
        <v>-40.375</v>
      </c>
      <c r="R707" s="9">
        <f t="shared" ref="R707:R770" si="555">M708-M707</f>
        <v>0.375</v>
      </c>
      <c r="S707" s="9">
        <f t="shared" ref="S707:S770" si="556">M709-M707</f>
        <v>-0.375</v>
      </c>
      <c r="T707" s="9">
        <f t="shared" ref="T707:T770" si="557">M710-M707</f>
        <v>-1.25</v>
      </c>
      <c r="U707" s="9">
        <f t="shared" ref="U707:U770" si="558">M711-M707</f>
        <v>-4.625</v>
      </c>
      <c r="V707" s="9">
        <f t="shared" ref="V707:V770" si="559">M712-M707</f>
        <v>-4.5</v>
      </c>
      <c r="W707" s="9">
        <f t="shared" ref="W707:W770" si="560">M713-M707</f>
        <v>-5</v>
      </c>
      <c r="X707" s="9">
        <f t="shared" ref="X707:X770" si="561">M714-M707</f>
        <v>-5.75</v>
      </c>
      <c r="Y707" s="9">
        <f t="shared" ref="Y707:Y770" si="562">M715-M707</f>
        <v>-7.375</v>
      </c>
      <c r="Z707" s="9">
        <f t="shared" ref="Z707:Z770" si="563">M716-M707</f>
        <v>-6.625</v>
      </c>
      <c r="AA707" s="9">
        <f t="shared" ref="AA707:AA770" si="564">N708-N707</f>
        <v>-0.75</v>
      </c>
      <c r="AB707" s="9">
        <f t="shared" ref="AB707:AB770" si="565">N709-N707</f>
        <v>-1.75</v>
      </c>
      <c r="AC707" s="9">
        <f t="shared" ref="AC707:AC770" si="566">N710-N707</f>
        <v>-3.125</v>
      </c>
      <c r="AD707" s="9">
        <f t="shared" ref="AD707:AD770" si="567">N711-N707</f>
        <v>-4.375</v>
      </c>
      <c r="AE707" s="9">
        <f t="shared" ref="AE707:AE770" si="568">N712-N707</f>
        <v>-4</v>
      </c>
      <c r="AF707" s="9">
        <f t="shared" ref="AF707:AF770" si="569">N713-N707</f>
        <v>-4.75</v>
      </c>
      <c r="AG707" s="9">
        <f t="shared" ref="AG707:AG770" si="570">N714-N707</f>
        <v>-6.875</v>
      </c>
      <c r="AH707" s="9">
        <f t="shared" ref="AH707:AH770" si="571">N715-N707</f>
        <v>-7.875</v>
      </c>
      <c r="AI707" s="9">
        <f t="shared" ref="AI707:AI770" si="572">N716-N707</f>
        <v>-6</v>
      </c>
      <c r="AJ707" s="9">
        <f t="shared" ref="AJ707:AJ770" si="573">O708-O707</f>
        <v>-1</v>
      </c>
      <c r="AK707" s="9">
        <f t="shared" ref="AK707:AK770" si="574">O709-O707</f>
        <v>-2.375</v>
      </c>
      <c r="AL707" s="9">
        <f t="shared" ref="AL707:AL770" si="575">O710-O707</f>
        <v>-4.125</v>
      </c>
      <c r="AM707" s="9">
        <f t="shared" ref="AM707:AM770" si="576">O711-O707</f>
        <v>-5.75</v>
      </c>
      <c r="AN707" s="9">
        <f t="shared" ref="AN707:AN770" si="577">O712-O707</f>
        <v>-5.75</v>
      </c>
      <c r="AO707" s="9">
        <f t="shared" ref="AO707:AO770" si="578">O713-O707</f>
        <v>-6.125</v>
      </c>
      <c r="AP707" s="9">
        <f t="shared" ref="AP707:AP770" si="579">O714-O707</f>
        <v>-8.5</v>
      </c>
      <c r="AQ707" s="9">
        <f t="shared" ref="AQ707:AQ770" si="580">O715-O707</f>
        <v>-9.625</v>
      </c>
      <c r="AR707" s="9">
        <f t="shared" ref="AR707:AR770" si="581">O716-O707</f>
        <v>-8.125</v>
      </c>
      <c r="AS707" s="9">
        <f t="shared" ref="AS707:AS770" si="582">P708 - P707</f>
        <v>-1.125</v>
      </c>
      <c r="AT707" s="9">
        <f t="shared" ref="AT707:AT770" si="583">P709 - P707</f>
        <v>-2.625</v>
      </c>
      <c r="AU707" s="9">
        <f t="shared" ref="AU707:AU770" si="584">P710 - P707</f>
        <v>-4.5</v>
      </c>
      <c r="AV707" s="9">
        <f t="shared" ref="AV707:AV770" si="585">P711 - P707</f>
        <v>-7</v>
      </c>
      <c r="AW707" s="9">
        <f t="shared" ref="AW707:AW770" si="586">P712 - P707</f>
        <v>-6.5</v>
      </c>
      <c r="AX707" s="9">
        <f t="shared" ref="AX707:AX770" si="587">P713 - P707</f>
        <v>-6.75</v>
      </c>
      <c r="AY707" s="9">
        <f t="shared" ref="AY707:AY770" si="588">P714 - P707</f>
        <v>-9</v>
      </c>
      <c r="AZ707" s="9">
        <f t="shared" ref="AZ707:AZ770" si="589">P715 - P707</f>
        <v>-10.25</v>
      </c>
      <c r="BA707" s="9">
        <f t="shared" ref="BA707:BA770" si="590">P716 - P707</f>
        <v>-8.625</v>
      </c>
      <c r="BB707" s="9">
        <f t="shared" ref="BB707:BB770" si="591">Q708 - Q707</f>
        <v>-1.25</v>
      </c>
      <c r="BC707" s="9">
        <f t="shared" ref="BC707:BC770" si="592">Q709 - Q707</f>
        <v>-2.625</v>
      </c>
      <c r="BD707" s="9">
        <f t="shared" ref="BD707:BD770" si="593">Q710 - Q707</f>
        <v>-4.375</v>
      </c>
      <c r="BE707" s="9">
        <f t="shared" ref="BE707:BE770" si="594">Q711 - Q707</f>
        <v>-7.25</v>
      </c>
      <c r="BF707" s="9">
        <f t="shared" ref="BF707:BF770" si="595">Q712 - Q707</f>
        <v>-6.125</v>
      </c>
      <c r="BG707" s="9">
        <f t="shared" ref="BG707:BG770" si="596">Q713 - Q707</f>
        <v>-6.5</v>
      </c>
      <c r="BH707" s="9">
        <f t="shared" ref="BH707:BH770" si="597">Q714 - Q707</f>
        <v>-9.5</v>
      </c>
      <c r="BI707" s="9">
        <f t="shared" ref="BI707:BI770" si="598">Q715 - Q707</f>
        <v>-10.75</v>
      </c>
      <c r="BJ707" s="9">
        <f t="shared" ref="BJ707:BJ770" si="599">Q716 - Q707</f>
        <v>-9.125</v>
      </c>
    </row>
    <row r="708" spans="1:62" x14ac:dyDescent="0.2">
      <c r="A708" s="9">
        <f>data!M709-data!M708</f>
        <v>-0.50919999999999277</v>
      </c>
      <c r="B708" s="9">
        <f>data!C709-data!C708</f>
        <v>0.16999999999999993</v>
      </c>
      <c r="C708" s="9">
        <f>data!D709-data!D708</f>
        <v>-7.5000000000000178E-2</v>
      </c>
      <c r="D708" s="10">
        <f>data!B709-data!B708</f>
        <v>0.17749999999999999</v>
      </c>
      <c r="E708" s="9">
        <f>data!E708-data!G708</f>
        <v>2.8631000000000002</v>
      </c>
      <c r="F708" s="9">
        <f>(data!E708-data!F708)-(data!G708-data!H708)</f>
        <v>0.13999999999999982</v>
      </c>
      <c r="G708" s="9">
        <f t="shared" si="550"/>
        <v>-7.9000000000002402E-3</v>
      </c>
      <c r="H708" s="9">
        <f t="shared" si="551"/>
        <v>-7.2199999999999653E-2</v>
      </c>
      <c r="I708" s="9">
        <f>IF(data!M709&gt; 111.81,1,0)</f>
        <v>1</v>
      </c>
      <c r="J708" s="9">
        <f t="shared" si="552"/>
        <v>0</v>
      </c>
      <c r="K708" s="9">
        <f t="shared" si="553"/>
        <v>-0.50919999999999277</v>
      </c>
      <c r="L708" s="9">
        <f t="shared" si="554"/>
        <v>0</v>
      </c>
      <c r="M708" s="9">
        <f>data!J708</f>
        <v>-25.5</v>
      </c>
      <c r="N708" s="9">
        <f>data!I708</f>
        <v>-42.75</v>
      </c>
      <c r="O708" s="9">
        <f>data!L708</f>
        <v>-46.375</v>
      </c>
      <c r="P708" s="9">
        <f>data!K708</f>
        <v>-43.375</v>
      </c>
      <c r="Q708" s="9">
        <f>data!R708</f>
        <v>-41.625</v>
      </c>
      <c r="R708" s="9">
        <f t="shared" si="555"/>
        <v>-0.75</v>
      </c>
      <c r="S708" s="9">
        <f t="shared" si="556"/>
        <v>-1.625</v>
      </c>
      <c r="T708" s="9">
        <f t="shared" si="557"/>
        <v>-5</v>
      </c>
      <c r="U708" s="9">
        <f t="shared" si="558"/>
        <v>-4.875</v>
      </c>
      <c r="V708" s="9">
        <f t="shared" si="559"/>
        <v>-5.375</v>
      </c>
      <c r="W708" s="9">
        <f t="shared" si="560"/>
        <v>-6.125</v>
      </c>
      <c r="X708" s="9">
        <f t="shared" si="561"/>
        <v>-7.75</v>
      </c>
      <c r="Y708" s="9">
        <f t="shared" si="562"/>
        <v>-7</v>
      </c>
      <c r="Z708" s="9">
        <f t="shared" si="563"/>
        <v>-4.75</v>
      </c>
      <c r="AA708" s="9">
        <f t="shared" si="564"/>
        <v>-1</v>
      </c>
      <c r="AB708" s="9">
        <f t="shared" si="565"/>
        <v>-2.375</v>
      </c>
      <c r="AC708" s="9">
        <f t="shared" si="566"/>
        <v>-3.625</v>
      </c>
      <c r="AD708" s="9">
        <f t="shared" si="567"/>
        <v>-3.25</v>
      </c>
      <c r="AE708" s="9">
        <f t="shared" si="568"/>
        <v>-4</v>
      </c>
      <c r="AF708" s="9">
        <f t="shared" si="569"/>
        <v>-6.125</v>
      </c>
      <c r="AG708" s="9">
        <f t="shared" si="570"/>
        <v>-7.125</v>
      </c>
      <c r="AH708" s="9">
        <f t="shared" si="571"/>
        <v>-5.25</v>
      </c>
      <c r="AI708" s="9">
        <f t="shared" si="572"/>
        <v>-3</v>
      </c>
      <c r="AJ708" s="9">
        <f t="shared" si="573"/>
        <v>-1.375</v>
      </c>
      <c r="AK708" s="9">
        <f t="shared" si="574"/>
        <v>-3.125</v>
      </c>
      <c r="AL708" s="9">
        <f t="shared" si="575"/>
        <v>-4.75</v>
      </c>
      <c r="AM708" s="9">
        <f t="shared" si="576"/>
        <v>-4.75</v>
      </c>
      <c r="AN708" s="9">
        <f t="shared" si="577"/>
        <v>-5.125</v>
      </c>
      <c r="AO708" s="9">
        <f t="shared" si="578"/>
        <v>-7.5</v>
      </c>
      <c r="AP708" s="9">
        <f t="shared" si="579"/>
        <v>-8.625</v>
      </c>
      <c r="AQ708" s="9">
        <f t="shared" si="580"/>
        <v>-7.125</v>
      </c>
      <c r="AR708" s="9">
        <f t="shared" si="581"/>
        <v>-3.875</v>
      </c>
      <c r="AS708" s="9">
        <f t="shared" si="582"/>
        <v>-1.5</v>
      </c>
      <c r="AT708" s="9">
        <f t="shared" si="583"/>
        <v>-3.375</v>
      </c>
      <c r="AU708" s="9">
        <f t="shared" si="584"/>
        <v>-5.875</v>
      </c>
      <c r="AV708" s="9">
        <f t="shared" si="585"/>
        <v>-5.375</v>
      </c>
      <c r="AW708" s="9">
        <f t="shared" si="586"/>
        <v>-5.625</v>
      </c>
      <c r="AX708" s="9">
        <f t="shared" si="587"/>
        <v>-7.875</v>
      </c>
      <c r="AY708" s="9">
        <f t="shared" si="588"/>
        <v>-9.125</v>
      </c>
      <c r="AZ708" s="9">
        <f t="shared" si="589"/>
        <v>-7.5</v>
      </c>
      <c r="BA708" s="9">
        <f t="shared" si="590"/>
        <v>-3.875</v>
      </c>
      <c r="BB708" s="9">
        <f t="shared" si="591"/>
        <v>-1.375</v>
      </c>
      <c r="BC708" s="9">
        <f t="shared" si="592"/>
        <v>-3.125</v>
      </c>
      <c r="BD708" s="9">
        <f t="shared" si="593"/>
        <v>-6</v>
      </c>
      <c r="BE708" s="9">
        <f t="shared" si="594"/>
        <v>-4.875</v>
      </c>
      <c r="BF708" s="9">
        <f t="shared" si="595"/>
        <v>-5.25</v>
      </c>
      <c r="BG708" s="9">
        <f t="shared" si="596"/>
        <v>-8.25</v>
      </c>
      <c r="BH708" s="9">
        <f t="shared" si="597"/>
        <v>-9.5</v>
      </c>
      <c r="BI708" s="9">
        <f t="shared" si="598"/>
        <v>-7.875</v>
      </c>
      <c r="BJ708" s="9">
        <f t="shared" si="599"/>
        <v>-4.125</v>
      </c>
    </row>
    <row r="709" spans="1:62" x14ac:dyDescent="0.2">
      <c r="A709" s="9">
        <f>data!M710-data!M709</f>
        <v>0.1991999999999905</v>
      </c>
      <c r="B709" s="9">
        <f>data!C710-data!C709</f>
        <v>-1.3899999999999988</v>
      </c>
      <c r="C709" s="9">
        <f>data!D710-data!D709</f>
        <v>-0.34499999999999975</v>
      </c>
      <c r="D709" s="10">
        <f>data!B710-data!B709</f>
        <v>2.5000000000000577E-3</v>
      </c>
      <c r="E709" s="9">
        <f>data!E709-data!G709</f>
        <v>2.8552</v>
      </c>
      <c r="F709" s="9">
        <f>(data!E709-data!F709)-(data!G709-data!H709)</f>
        <v>6.7800000000000166E-2</v>
      </c>
      <c r="G709" s="9">
        <f t="shared" si="550"/>
        <v>-8.3999999999999631E-3</v>
      </c>
      <c r="H709" s="9">
        <f t="shared" si="551"/>
        <v>1.5799999999999509E-2</v>
      </c>
      <c r="I709" s="9">
        <f>IF(data!M710&gt; 111.81,1,0)</f>
        <v>1</v>
      </c>
      <c r="J709" s="9">
        <f t="shared" si="552"/>
        <v>0</v>
      </c>
      <c r="K709" s="9">
        <f t="shared" si="553"/>
        <v>0.1991999999999905</v>
      </c>
      <c r="L709" s="9">
        <f t="shared" si="554"/>
        <v>0</v>
      </c>
      <c r="M709" s="9">
        <f>data!J709</f>
        <v>-26.25</v>
      </c>
      <c r="N709" s="9">
        <f>data!I709</f>
        <v>-43.75</v>
      </c>
      <c r="O709" s="9">
        <f>data!L709</f>
        <v>-47.75</v>
      </c>
      <c r="P709" s="9">
        <f>data!K709</f>
        <v>-44.875</v>
      </c>
      <c r="Q709" s="9">
        <f>data!R709</f>
        <v>-43</v>
      </c>
      <c r="R709" s="9">
        <f t="shared" si="555"/>
        <v>-0.875</v>
      </c>
      <c r="S709" s="9">
        <f t="shared" si="556"/>
        <v>-4.25</v>
      </c>
      <c r="T709" s="9">
        <f t="shared" si="557"/>
        <v>-4.125</v>
      </c>
      <c r="U709" s="9">
        <f t="shared" si="558"/>
        <v>-4.625</v>
      </c>
      <c r="V709" s="9">
        <f t="shared" si="559"/>
        <v>-5.375</v>
      </c>
      <c r="W709" s="9">
        <f t="shared" si="560"/>
        <v>-7</v>
      </c>
      <c r="X709" s="9">
        <f t="shared" si="561"/>
        <v>-6.25</v>
      </c>
      <c r="Y709" s="9">
        <f t="shared" si="562"/>
        <v>-4</v>
      </c>
      <c r="Z709" s="9">
        <f t="shared" si="563"/>
        <v>-7.25</v>
      </c>
      <c r="AA709" s="9">
        <f t="shared" si="564"/>
        <v>-1.375</v>
      </c>
      <c r="AB709" s="9">
        <f t="shared" si="565"/>
        <v>-2.625</v>
      </c>
      <c r="AC709" s="9">
        <f t="shared" si="566"/>
        <v>-2.25</v>
      </c>
      <c r="AD709" s="9">
        <f t="shared" si="567"/>
        <v>-3</v>
      </c>
      <c r="AE709" s="9">
        <f t="shared" si="568"/>
        <v>-5.125</v>
      </c>
      <c r="AF709" s="9">
        <f t="shared" si="569"/>
        <v>-6.125</v>
      </c>
      <c r="AG709" s="9">
        <f t="shared" si="570"/>
        <v>-4.25</v>
      </c>
      <c r="AH709" s="9">
        <f t="shared" si="571"/>
        <v>-2</v>
      </c>
      <c r="AI709" s="9">
        <f t="shared" si="572"/>
        <v>-2.5</v>
      </c>
      <c r="AJ709" s="9">
        <f t="shared" si="573"/>
        <v>-1.75</v>
      </c>
      <c r="AK709" s="9">
        <f t="shared" si="574"/>
        <v>-3.375</v>
      </c>
      <c r="AL709" s="9">
        <f t="shared" si="575"/>
        <v>-3.375</v>
      </c>
      <c r="AM709" s="9">
        <f t="shared" si="576"/>
        <v>-3.75</v>
      </c>
      <c r="AN709" s="9">
        <f t="shared" si="577"/>
        <v>-6.125</v>
      </c>
      <c r="AO709" s="9">
        <f t="shared" si="578"/>
        <v>-7.25</v>
      </c>
      <c r="AP709" s="9">
        <f t="shared" si="579"/>
        <v>-5.75</v>
      </c>
      <c r="AQ709" s="9">
        <f t="shared" si="580"/>
        <v>-2.5</v>
      </c>
      <c r="AR709" s="9">
        <f t="shared" si="581"/>
        <v>-2.625</v>
      </c>
      <c r="AS709" s="9">
        <f t="shared" si="582"/>
        <v>-1.875</v>
      </c>
      <c r="AT709" s="9">
        <f t="shared" si="583"/>
        <v>-4.375</v>
      </c>
      <c r="AU709" s="9">
        <f t="shared" si="584"/>
        <v>-3.875</v>
      </c>
      <c r="AV709" s="9">
        <f t="shared" si="585"/>
        <v>-4.125</v>
      </c>
      <c r="AW709" s="9">
        <f t="shared" si="586"/>
        <v>-6.375</v>
      </c>
      <c r="AX709" s="9">
        <f t="shared" si="587"/>
        <v>-7.625</v>
      </c>
      <c r="AY709" s="9">
        <f t="shared" si="588"/>
        <v>-6</v>
      </c>
      <c r="AZ709" s="9">
        <f t="shared" si="589"/>
        <v>-2.375</v>
      </c>
      <c r="BA709" s="9">
        <f t="shared" si="590"/>
        <v>-2.25</v>
      </c>
      <c r="BB709" s="9">
        <f t="shared" si="591"/>
        <v>-1.75</v>
      </c>
      <c r="BC709" s="9">
        <f t="shared" si="592"/>
        <v>-4.625</v>
      </c>
      <c r="BD709" s="9">
        <f t="shared" si="593"/>
        <v>-3.5</v>
      </c>
      <c r="BE709" s="9">
        <f t="shared" si="594"/>
        <v>-3.875</v>
      </c>
      <c r="BF709" s="9">
        <f t="shared" si="595"/>
        <v>-6.875</v>
      </c>
      <c r="BG709" s="9">
        <f t="shared" si="596"/>
        <v>-8.125</v>
      </c>
      <c r="BH709" s="9">
        <f t="shared" si="597"/>
        <v>-6.5</v>
      </c>
      <c r="BI709" s="9">
        <f t="shared" si="598"/>
        <v>-2.75</v>
      </c>
      <c r="BJ709" s="9">
        <f t="shared" si="599"/>
        <v>-2.875</v>
      </c>
    </row>
    <row r="710" spans="1:62" x14ac:dyDescent="0.2">
      <c r="A710" s="9">
        <f>data!M711-data!M710</f>
        <v>1.2878000000000043</v>
      </c>
      <c r="B710" s="9">
        <f>data!C711-data!C710</f>
        <v>1.5199999999999996</v>
      </c>
      <c r="C710" s="9">
        <f>data!D711-data!D710</f>
        <v>0.5625</v>
      </c>
      <c r="D710" s="10">
        <f>data!B711-data!B710</f>
        <v>-0.16500000000000004</v>
      </c>
      <c r="E710" s="9">
        <f>data!E710-data!G710</f>
        <v>2.8468</v>
      </c>
      <c r="F710" s="9">
        <f>(data!E710-data!F710)-(data!G710-data!H710)</f>
        <v>8.3599999999999675E-2</v>
      </c>
      <c r="G710" s="9">
        <f t="shared" si="550"/>
        <v>-6.9599999999999884E-2</v>
      </c>
      <c r="H710" s="9">
        <f t="shared" si="551"/>
        <v>-3.1599999999999545E-2</v>
      </c>
      <c r="I710" s="9">
        <f>IF(data!M711&gt; 111.81,1,0)</f>
        <v>1</v>
      </c>
      <c r="J710" s="9">
        <f t="shared" si="552"/>
        <v>0</v>
      </c>
      <c r="K710" s="9">
        <f t="shared" si="553"/>
        <v>1.2878000000000043</v>
      </c>
      <c r="L710" s="9">
        <f t="shared" si="554"/>
        <v>0</v>
      </c>
      <c r="M710" s="9">
        <f>data!J710</f>
        <v>-27.125</v>
      </c>
      <c r="N710" s="9">
        <f>data!I710</f>
        <v>-45.125</v>
      </c>
      <c r="O710" s="9">
        <f>data!L710</f>
        <v>-49.5</v>
      </c>
      <c r="P710" s="9">
        <f>data!K710</f>
        <v>-46.75</v>
      </c>
      <c r="Q710" s="9">
        <f>data!R710</f>
        <v>-44.75</v>
      </c>
      <c r="R710" s="9">
        <f t="shared" si="555"/>
        <v>-3.375</v>
      </c>
      <c r="S710" s="9">
        <f t="shared" si="556"/>
        <v>-3.25</v>
      </c>
      <c r="T710" s="9">
        <f t="shared" si="557"/>
        <v>-3.75</v>
      </c>
      <c r="U710" s="9">
        <f t="shared" si="558"/>
        <v>-4.5</v>
      </c>
      <c r="V710" s="9">
        <f t="shared" si="559"/>
        <v>-6.125</v>
      </c>
      <c r="W710" s="9">
        <f t="shared" si="560"/>
        <v>-5.375</v>
      </c>
      <c r="X710" s="9">
        <f t="shared" si="561"/>
        <v>-3.125</v>
      </c>
      <c r="Y710" s="9">
        <f t="shared" si="562"/>
        <v>-6.375</v>
      </c>
      <c r="Z710" s="9">
        <f t="shared" si="563"/>
        <v>-5.4375</v>
      </c>
      <c r="AA710" s="9">
        <f t="shared" si="564"/>
        <v>-1.25</v>
      </c>
      <c r="AB710" s="9">
        <f t="shared" si="565"/>
        <v>-0.875</v>
      </c>
      <c r="AC710" s="9">
        <f t="shared" si="566"/>
        <v>-1.625</v>
      </c>
      <c r="AD710" s="9">
        <f t="shared" si="567"/>
        <v>-3.75</v>
      </c>
      <c r="AE710" s="9">
        <f t="shared" si="568"/>
        <v>-4.75</v>
      </c>
      <c r="AF710" s="9">
        <f t="shared" si="569"/>
        <v>-2.875</v>
      </c>
      <c r="AG710" s="9">
        <f t="shared" si="570"/>
        <v>-0.625</v>
      </c>
      <c r="AH710" s="9">
        <f t="shared" si="571"/>
        <v>-1.125</v>
      </c>
      <c r="AI710" s="9">
        <f t="shared" si="572"/>
        <v>-1</v>
      </c>
      <c r="AJ710" s="9">
        <f t="shared" si="573"/>
        <v>-1.625</v>
      </c>
      <c r="AK710" s="9">
        <f t="shared" si="574"/>
        <v>-1.625</v>
      </c>
      <c r="AL710" s="9">
        <f t="shared" si="575"/>
        <v>-2</v>
      </c>
      <c r="AM710" s="9">
        <f t="shared" si="576"/>
        <v>-4.375</v>
      </c>
      <c r="AN710" s="9">
        <f t="shared" si="577"/>
        <v>-5.5</v>
      </c>
      <c r="AO710" s="9">
        <f t="shared" si="578"/>
        <v>-4</v>
      </c>
      <c r="AP710" s="9">
        <f t="shared" si="579"/>
        <v>-0.75</v>
      </c>
      <c r="AQ710" s="9">
        <f t="shared" si="580"/>
        <v>-0.875</v>
      </c>
      <c r="AR710" s="9">
        <f t="shared" si="581"/>
        <v>-0.625</v>
      </c>
      <c r="AS710" s="9">
        <f t="shared" si="582"/>
        <v>-2.5</v>
      </c>
      <c r="AT710" s="9">
        <f t="shared" si="583"/>
        <v>-2</v>
      </c>
      <c r="AU710" s="9">
        <f t="shared" si="584"/>
        <v>-2.25</v>
      </c>
      <c r="AV710" s="9">
        <f t="shared" si="585"/>
        <v>-4.5</v>
      </c>
      <c r="AW710" s="9">
        <f t="shared" si="586"/>
        <v>-5.75</v>
      </c>
      <c r="AX710" s="9">
        <f t="shared" si="587"/>
        <v>-4.125</v>
      </c>
      <c r="AY710" s="9">
        <f t="shared" si="588"/>
        <v>-0.5</v>
      </c>
      <c r="AZ710" s="9">
        <f t="shared" si="589"/>
        <v>-0.375</v>
      </c>
      <c r="BA710" s="9">
        <f t="shared" si="590"/>
        <v>0.5</v>
      </c>
      <c r="BB710" s="9">
        <f t="shared" si="591"/>
        <v>-2.875</v>
      </c>
      <c r="BC710" s="9">
        <f t="shared" si="592"/>
        <v>-1.75</v>
      </c>
      <c r="BD710" s="9">
        <f t="shared" si="593"/>
        <v>-2.125</v>
      </c>
      <c r="BE710" s="9">
        <f t="shared" si="594"/>
        <v>-5.125</v>
      </c>
      <c r="BF710" s="9">
        <f t="shared" si="595"/>
        <v>-6.375</v>
      </c>
      <c r="BG710" s="9">
        <f t="shared" si="596"/>
        <v>-4.75</v>
      </c>
      <c r="BH710" s="9">
        <f t="shared" si="597"/>
        <v>-1</v>
      </c>
      <c r="BI710" s="9">
        <f t="shared" si="598"/>
        <v>-1.125</v>
      </c>
      <c r="BJ710" s="9">
        <f t="shared" si="599"/>
        <v>-0.125</v>
      </c>
    </row>
    <row r="711" spans="1:62" x14ac:dyDescent="0.2">
      <c r="A711" s="9">
        <f>data!M712-data!M711</f>
        <v>0.23350000000000648</v>
      </c>
      <c r="B711" s="9">
        <f>data!C712-data!C711</f>
        <v>-0.51999999999999957</v>
      </c>
      <c r="C711" s="9">
        <f>data!D712-data!D711</f>
        <v>-2.7500000000000746E-2</v>
      </c>
      <c r="D711" s="10">
        <f>data!B712-data!B711</f>
        <v>-0.21000000000000008</v>
      </c>
      <c r="E711" s="9">
        <f>data!E711-data!G711</f>
        <v>2.7772000000000001</v>
      </c>
      <c r="F711" s="9">
        <f>(data!E711-data!F711)-(data!G711-data!H711)</f>
        <v>5.2000000000000129E-2</v>
      </c>
      <c r="G711" s="9">
        <f t="shared" si="550"/>
        <v>-9.7000000000000419E-3</v>
      </c>
      <c r="H711" s="9">
        <f t="shared" si="551"/>
        <v>-2.4400000000000199E-2</v>
      </c>
      <c r="I711" s="9">
        <f>IF(data!M712&gt; 111.81,1,0)</f>
        <v>1</v>
      </c>
      <c r="J711" s="9">
        <f t="shared" si="552"/>
        <v>0</v>
      </c>
      <c r="K711" s="9">
        <f t="shared" si="553"/>
        <v>0.23350000000000648</v>
      </c>
      <c r="L711" s="9">
        <f t="shared" si="554"/>
        <v>0</v>
      </c>
      <c r="M711" s="9">
        <f>data!J711</f>
        <v>-30.5</v>
      </c>
      <c r="N711" s="9">
        <f>data!I711</f>
        <v>-46.375</v>
      </c>
      <c r="O711" s="9">
        <f>data!L711</f>
        <v>-51.125</v>
      </c>
      <c r="P711" s="9">
        <f>data!K711</f>
        <v>-49.25</v>
      </c>
      <c r="Q711" s="9">
        <f>data!R711</f>
        <v>-47.625</v>
      </c>
      <c r="R711" s="9">
        <f t="shared" si="555"/>
        <v>0.125</v>
      </c>
      <c r="S711" s="9">
        <f t="shared" si="556"/>
        <v>-0.375</v>
      </c>
      <c r="T711" s="9">
        <f t="shared" si="557"/>
        <v>-1.125</v>
      </c>
      <c r="U711" s="9">
        <f t="shared" si="558"/>
        <v>-2.75</v>
      </c>
      <c r="V711" s="9">
        <f t="shared" si="559"/>
        <v>-2</v>
      </c>
      <c r="W711" s="9">
        <f t="shared" si="560"/>
        <v>0.25</v>
      </c>
      <c r="X711" s="9">
        <f t="shared" si="561"/>
        <v>-3</v>
      </c>
      <c r="Y711" s="9">
        <f t="shared" si="562"/>
        <v>-2.0625</v>
      </c>
      <c r="Z711" s="9">
        <f t="shared" si="563"/>
        <v>-6.125</v>
      </c>
      <c r="AA711" s="9">
        <f t="shared" si="564"/>
        <v>0.375</v>
      </c>
      <c r="AB711" s="9">
        <f t="shared" si="565"/>
        <v>-0.375</v>
      </c>
      <c r="AC711" s="9">
        <f t="shared" si="566"/>
        <v>-2.5</v>
      </c>
      <c r="AD711" s="9">
        <f t="shared" si="567"/>
        <v>-3.5</v>
      </c>
      <c r="AE711" s="9">
        <f t="shared" si="568"/>
        <v>-1.625</v>
      </c>
      <c r="AF711" s="9">
        <f t="shared" si="569"/>
        <v>0.625</v>
      </c>
      <c r="AG711" s="9">
        <f t="shared" si="570"/>
        <v>0.125</v>
      </c>
      <c r="AH711" s="9">
        <f t="shared" si="571"/>
        <v>0.25</v>
      </c>
      <c r="AI711" s="9">
        <f t="shared" si="572"/>
        <v>-2.375</v>
      </c>
      <c r="AJ711" s="9">
        <f t="shared" si="573"/>
        <v>0</v>
      </c>
      <c r="AK711" s="9">
        <f t="shared" si="574"/>
        <v>-0.375</v>
      </c>
      <c r="AL711" s="9">
        <f t="shared" si="575"/>
        <v>-2.75</v>
      </c>
      <c r="AM711" s="9">
        <f t="shared" si="576"/>
        <v>-3.875</v>
      </c>
      <c r="AN711" s="9">
        <f t="shared" si="577"/>
        <v>-2.375</v>
      </c>
      <c r="AO711" s="9">
        <f t="shared" si="578"/>
        <v>0.875</v>
      </c>
      <c r="AP711" s="9">
        <f t="shared" si="579"/>
        <v>0.75</v>
      </c>
      <c r="AQ711" s="9">
        <f t="shared" si="580"/>
        <v>1</v>
      </c>
      <c r="AR711" s="9">
        <f t="shared" si="581"/>
        <v>-1.75</v>
      </c>
      <c r="AS711" s="9">
        <f t="shared" si="582"/>
        <v>0.5</v>
      </c>
      <c r="AT711" s="9">
        <f t="shared" si="583"/>
        <v>0.25</v>
      </c>
      <c r="AU711" s="9">
        <f t="shared" si="584"/>
        <v>-2</v>
      </c>
      <c r="AV711" s="9">
        <f t="shared" si="585"/>
        <v>-3.25</v>
      </c>
      <c r="AW711" s="9">
        <f t="shared" si="586"/>
        <v>-1.625</v>
      </c>
      <c r="AX711" s="9">
        <f t="shared" si="587"/>
        <v>2</v>
      </c>
      <c r="AY711" s="9">
        <f t="shared" si="588"/>
        <v>2.125</v>
      </c>
      <c r="AZ711" s="9">
        <f t="shared" si="589"/>
        <v>3</v>
      </c>
      <c r="BA711" s="9">
        <f t="shared" si="590"/>
        <v>1.375</v>
      </c>
      <c r="BB711" s="9">
        <f t="shared" si="591"/>
        <v>1.125</v>
      </c>
      <c r="BC711" s="9">
        <f t="shared" si="592"/>
        <v>0.75</v>
      </c>
      <c r="BD711" s="9">
        <f t="shared" si="593"/>
        <v>-2.25</v>
      </c>
      <c r="BE711" s="9">
        <f t="shared" si="594"/>
        <v>-3.5</v>
      </c>
      <c r="BF711" s="9">
        <f t="shared" si="595"/>
        <v>-1.875</v>
      </c>
      <c r="BG711" s="9">
        <f t="shared" si="596"/>
        <v>1.875</v>
      </c>
      <c r="BH711" s="9">
        <f t="shared" si="597"/>
        <v>1.75</v>
      </c>
      <c r="BI711" s="9">
        <f t="shared" si="598"/>
        <v>2.75</v>
      </c>
      <c r="BJ711" s="9">
        <f t="shared" si="599"/>
        <v>1.25</v>
      </c>
    </row>
    <row r="712" spans="1:62" x14ac:dyDescent="0.2">
      <c r="A712" s="9">
        <f>data!M713-data!M712</f>
        <v>-0.93470000000000653</v>
      </c>
      <c r="B712" s="9">
        <f>data!C713-data!C712</f>
        <v>-0.65000000000000036</v>
      </c>
      <c r="C712" s="9">
        <f>data!D713-data!D712</f>
        <v>-0.46499999999999986</v>
      </c>
      <c r="D712" s="10">
        <f>data!B713-data!B712</f>
        <v>3.7500000000000089E-2</v>
      </c>
      <c r="E712" s="9">
        <f>data!E712-data!G712</f>
        <v>2.7675000000000001</v>
      </c>
      <c r="F712" s="9">
        <f>(data!E712-data!F712)-(data!G712-data!H712)</f>
        <v>2.759999999999993E-2</v>
      </c>
      <c r="G712" s="9">
        <f t="shared" si="550"/>
        <v>-5.2700000000000191E-2</v>
      </c>
      <c r="H712" s="9">
        <f t="shared" si="551"/>
        <v>-5.3999999999999937E-2</v>
      </c>
      <c r="I712" s="9">
        <f>IF(data!M713&gt; 111.81,1,0)</f>
        <v>1</v>
      </c>
      <c r="J712" s="9">
        <f t="shared" si="552"/>
        <v>0</v>
      </c>
      <c r="K712" s="9">
        <f t="shared" si="553"/>
        <v>-0.93470000000000653</v>
      </c>
      <c r="L712" s="9">
        <f t="shared" si="554"/>
        <v>0</v>
      </c>
      <c r="M712" s="9">
        <f>data!J712</f>
        <v>-30.375</v>
      </c>
      <c r="N712" s="9">
        <f>data!I712</f>
        <v>-46</v>
      </c>
      <c r="O712" s="9">
        <f>data!L712</f>
        <v>-51.125</v>
      </c>
      <c r="P712" s="9">
        <f>data!K712</f>
        <v>-48.75</v>
      </c>
      <c r="Q712" s="9">
        <f>data!R712</f>
        <v>-46.5</v>
      </c>
      <c r="R712" s="9">
        <f t="shared" si="555"/>
        <v>-0.5</v>
      </c>
      <c r="S712" s="9">
        <f t="shared" si="556"/>
        <v>-1.25</v>
      </c>
      <c r="T712" s="9">
        <f t="shared" si="557"/>
        <v>-2.875</v>
      </c>
      <c r="U712" s="9">
        <f t="shared" si="558"/>
        <v>-2.125</v>
      </c>
      <c r="V712" s="9">
        <f t="shared" si="559"/>
        <v>0.125</v>
      </c>
      <c r="W712" s="9">
        <f t="shared" si="560"/>
        <v>-3.125</v>
      </c>
      <c r="X712" s="9">
        <f t="shared" si="561"/>
        <v>-2.1875</v>
      </c>
      <c r="Y712" s="9">
        <f t="shared" si="562"/>
        <v>-6.25</v>
      </c>
      <c r="Z712" s="9">
        <f t="shared" si="563"/>
        <v>-4.125</v>
      </c>
      <c r="AA712" s="9">
        <f t="shared" si="564"/>
        <v>-0.75</v>
      </c>
      <c r="AB712" s="9">
        <f t="shared" si="565"/>
        <v>-2.875</v>
      </c>
      <c r="AC712" s="9">
        <f t="shared" si="566"/>
        <v>-3.875</v>
      </c>
      <c r="AD712" s="9">
        <f t="shared" si="567"/>
        <v>-2</v>
      </c>
      <c r="AE712" s="9">
        <f t="shared" si="568"/>
        <v>0.25</v>
      </c>
      <c r="AF712" s="9">
        <f t="shared" si="569"/>
        <v>-0.25</v>
      </c>
      <c r="AG712" s="9">
        <f t="shared" si="570"/>
        <v>-0.125</v>
      </c>
      <c r="AH712" s="9">
        <f t="shared" si="571"/>
        <v>-2.75</v>
      </c>
      <c r="AI712" s="9">
        <f t="shared" si="572"/>
        <v>-2.75</v>
      </c>
      <c r="AJ712" s="9">
        <f t="shared" si="573"/>
        <v>-0.375</v>
      </c>
      <c r="AK712" s="9">
        <f t="shared" si="574"/>
        <v>-2.75</v>
      </c>
      <c r="AL712" s="9">
        <f t="shared" si="575"/>
        <v>-3.875</v>
      </c>
      <c r="AM712" s="9">
        <f t="shared" si="576"/>
        <v>-2.375</v>
      </c>
      <c r="AN712" s="9">
        <f t="shared" si="577"/>
        <v>0.875</v>
      </c>
      <c r="AO712" s="9">
        <f t="shared" si="578"/>
        <v>0.75</v>
      </c>
      <c r="AP712" s="9">
        <f t="shared" si="579"/>
        <v>1</v>
      </c>
      <c r="AQ712" s="9">
        <f t="shared" si="580"/>
        <v>-1.75</v>
      </c>
      <c r="AR712" s="9">
        <f t="shared" si="581"/>
        <v>-0.875</v>
      </c>
      <c r="AS712" s="9">
        <f t="shared" si="582"/>
        <v>-0.25</v>
      </c>
      <c r="AT712" s="9">
        <f t="shared" si="583"/>
        <v>-2.5</v>
      </c>
      <c r="AU712" s="9">
        <f t="shared" si="584"/>
        <v>-3.75</v>
      </c>
      <c r="AV712" s="9">
        <f t="shared" si="585"/>
        <v>-2.125</v>
      </c>
      <c r="AW712" s="9">
        <f t="shared" si="586"/>
        <v>1.5</v>
      </c>
      <c r="AX712" s="9">
        <f t="shared" si="587"/>
        <v>1.625</v>
      </c>
      <c r="AY712" s="9">
        <f t="shared" si="588"/>
        <v>2.5</v>
      </c>
      <c r="AZ712" s="9">
        <f t="shared" si="589"/>
        <v>0.875</v>
      </c>
      <c r="BA712" s="9">
        <f t="shared" si="590"/>
        <v>4</v>
      </c>
      <c r="BB712" s="9">
        <f t="shared" si="591"/>
        <v>-0.375</v>
      </c>
      <c r="BC712" s="9">
        <f t="shared" si="592"/>
        <v>-3.375</v>
      </c>
      <c r="BD712" s="9">
        <f t="shared" si="593"/>
        <v>-4.625</v>
      </c>
      <c r="BE712" s="9">
        <f t="shared" si="594"/>
        <v>-3</v>
      </c>
      <c r="BF712" s="9">
        <f t="shared" si="595"/>
        <v>0.75</v>
      </c>
      <c r="BG712" s="9">
        <f t="shared" si="596"/>
        <v>0.625</v>
      </c>
      <c r="BH712" s="9">
        <f t="shared" si="597"/>
        <v>1.625</v>
      </c>
      <c r="BI712" s="9">
        <f t="shared" si="598"/>
        <v>0.125</v>
      </c>
      <c r="BJ712" s="9">
        <f t="shared" si="599"/>
        <v>5</v>
      </c>
    </row>
    <row r="713" spans="1:62" x14ac:dyDescent="0.2">
      <c r="A713" s="9">
        <f>data!M714-data!M713</f>
        <v>0.67700000000000671</v>
      </c>
      <c r="B713" s="9">
        <f>data!C714-data!C713</f>
        <v>0.86999999999999922</v>
      </c>
      <c r="C713" s="9">
        <f>data!D714-data!D713</f>
        <v>5.5000000000000604E-2</v>
      </c>
      <c r="D713" s="10">
        <f>data!B714-data!B713</f>
        <v>-5.0000000000000044E-2</v>
      </c>
      <c r="E713" s="9">
        <f>data!E713-data!G713</f>
        <v>2.7147999999999999</v>
      </c>
      <c r="F713" s="9">
        <f>(data!E713-data!F713)-(data!G713-data!H713)</f>
        <v>-2.6400000000000007E-2</v>
      </c>
      <c r="G713" s="9">
        <f t="shared" si="550"/>
        <v>4.4599999999999973E-2</v>
      </c>
      <c r="H713" s="9">
        <f t="shared" si="551"/>
        <v>3.8899999999999824E-2</v>
      </c>
      <c r="I713" s="9">
        <f>IF(data!M714&gt; 111.81,1,0)</f>
        <v>1</v>
      </c>
      <c r="J713" s="9">
        <f t="shared" si="552"/>
        <v>0</v>
      </c>
      <c r="K713" s="9">
        <f t="shared" si="553"/>
        <v>0.67700000000000671</v>
      </c>
      <c r="L713" s="9">
        <f t="shared" si="554"/>
        <v>0</v>
      </c>
      <c r="M713" s="9">
        <f>data!J713</f>
        <v>-30.875</v>
      </c>
      <c r="N713" s="9">
        <f>data!I713</f>
        <v>-46.75</v>
      </c>
      <c r="O713" s="9">
        <f>data!L713</f>
        <v>-51.5</v>
      </c>
      <c r="P713" s="9">
        <f>data!K713</f>
        <v>-49</v>
      </c>
      <c r="Q713" s="9">
        <f>data!R713</f>
        <v>-46.875</v>
      </c>
      <c r="R713" s="9">
        <f t="shared" si="555"/>
        <v>-0.75</v>
      </c>
      <c r="S713" s="9">
        <f t="shared" si="556"/>
        <v>-2.375</v>
      </c>
      <c r="T713" s="9">
        <f t="shared" si="557"/>
        <v>-1.625</v>
      </c>
      <c r="U713" s="9">
        <f t="shared" si="558"/>
        <v>0.625</v>
      </c>
      <c r="V713" s="9">
        <f t="shared" si="559"/>
        <v>-2.625</v>
      </c>
      <c r="W713" s="9">
        <f t="shared" si="560"/>
        <v>-1.6875</v>
      </c>
      <c r="X713" s="9">
        <f t="shared" si="561"/>
        <v>-5.75</v>
      </c>
      <c r="Y713" s="9">
        <f t="shared" si="562"/>
        <v>-3.625</v>
      </c>
      <c r="Z713" s="9">
        <f t="shared" si="563"/>
        <v>-2.5</v>
      </c>
      <c r="AA713" s="9">
        <f t="shared" si="564"/>
        <v>-2.125</v>
      </c>
      <c r="AB713" s="9">
        <f t="shared" si="565"/>
        <v>-3.125</v>
      </c>
      <c r="AC713" s="9">
        <f t="shared" si="566"/>
        <v>-1.25</v>
      </c>
      <c r="AD713" s="9">
        <f t="shared" si="567"/>
        <v>1</v>
      </c>
      <c r="AE713" s="9">
        <f t="shared" si="568"/>
        <v>0.5</v>
      </c>
      <c r="AF713" s="9">
        <f t="shared" si="569"/>
        <v>0.625</v>
      </c>
      <c r="AG713" s="9">
        <f t="shared" si="570"/>
        <v>-2</v>
      </c>
      <c r="AH713" s="9">
        <f t="shared" si="571"/>
        <v>-2</v>
      </c>
      <c r="AI713" s="9">
        <f t="shared" si="572"/>
        <v>-0.75</v>
      </c>
      <c r="AJ713" s="9">
        <f t="shared" si="573"/>
        <v>-2.375</v>
      </c>
      <c r="AK713" s="9">
        <f t="shared" si="574"/>
        <v>-3.5</v>
      </c>
      <c r="AL713" s="9">
        <f t="shared" si="575"/>
        <v>-2</v>
      </c>
      <c r="AM713" s="9">
        <f t="shared" si="576"/>
        <v>1.25</v>
      </c>
      <c r="AN713" s="9">
        <f t="shared" si="577"/>
        <v>1.125</v>
      </c>
      <c r="AO713" s="9">
        <f t="shared" si="578"/>
        <v>1.375</v>
      </c>
      <c r="AP713" s="9">
        <f t="shared" si="579"/>
        <v>-1.375</v>
      </c>
      <c r="AQ713" s="9">
        <f t="shared" si="580"/>
        <v>-0.5</v>
      </c>
      <c r="AR713" s="9">
        <f t="shared" si="581"/>
        <v>0.75</v>
      </c>
      <c r="AS713" s="9">
        <f t="shared" si="582"/>
        <v>-2.25</v>
      </c>
      <c r="AT713" s="9">
        <f t="shared" si="583"/>
        <v>-3.5</v>
      </c>
      <c r="AU713" s="9">
        <f t="shared" si="584"/>
        <v>-1.875</v>
      </c>
      <c r="AV713" s="9">
        <f t="shared" si="585"/>
        <v>1.75</v>
      </c>
      <c r="AW713" s="9">
        <f t="shared" si="586"/>
        <v>1.875</v>
      </c>
      <c r="AX713" s="9">
        <f t="shared" si="587"/>
        <v>2.75</v>
      </c>
      <c r="AY713" s="9">
        <f t="shared" si="588"/>
        <v>1.125</v>
      </c>
      <c r="AZ713" s="9">
        <f t="shared" si="589"/>
        <v>4.25</v>
      </c>
      <c r="BA713" s="9">
        <f t="shared" si="590"/>
        <v>6</v>
      </c>
      <c r="BB713" s="9">
        <f t="shared" si="591"/>
        <v>-3</v>
      </c>
      <c r="BC713" s="9">
        <f t="shared" si="592"/>
        <v>-4.25</v>
      </c>
      <c r="BD713" s="9">
        <f t="shared" si="593"/>
        <v>-2.625</v>
      </c>
      <c r="BE713" s="9">
        <f t="shared" si="594"/>
        <v>1.125</v>
      </c>
      <c r="BF713" s="9">
        <f t="shared" si="595"/>
        <v>1</v>
      </c>
      <c r="BG713" s="9">
        <f t="shared" si="596"/>
        <v>2</v>
      </c>
      <c r="BH713" s="9">
        <f t="shared" si="597"/>
        <v>0.5</v>
      </c>
      <c r="BI713" s="9">
        <f t="shared" si="598"/>
        <v>5.375</v>
      </c>
      <c r="BJ713" s="9">
        <f t="shared" si="599"/>
        <v>7.125</v>
      </c>
    </row>
    <row r="714" spans="1:62" x14ac:dyDescent="0.2">
      <c r="A714" s="9">
        <f>data!M715-data!M714</f>
        <v>0.30569999999998743</v>
      </c>
      <c r="B714" s="9">
        <f>data!C715-data!C714</f>
        <v>2.0200000000000014</v>
      </c>
      <c r="C714" s="9">
        <f>data!D715-data!D714</f>
        <v>0.12249999999999961</v>
      </c>
      <c r="D714" s="10">
        <f>data!B715-data!B714</f>
        <v>-0.34250000000000003</v>
      </c>
      <c r="E714" s="9">
        <f>data!E714-data!G714</f>
        <v>2.7593999999999999</v>
      </c>
      <c r="F714" s="9">
        <f>(data!E714-data!F714)-(data!G714-data!H714)</f>
        <v>1.2499999999999817E-2</v>
      </c>
      <c r="G714" s="9">
        <f t="shared" si="550"/>
        <v>7.3400000000000354E-2</v>
      </c>
      <c r="H714" s="9">
        <f t="shared" si="551"/>
        <v>7.8000000000001402E-3</v>
      </c>
      <c r="I714" s="9">
        <f>IF(data!M715&gt; 111.81,1,0)</f>
        <v>1</v>
      </c>
      <c r="J714" s="9">
        <f t="shared" si="552"/>
        <v>0</v>
      </c>
      <c r="K714" s="9">
        <f t="shared" si="553"/>
        <v>0.30569999999998743</v>
      </c>
      <c r="L714" s="9">
        <f t="shared" si="554"/>
        <v>0</v>
      </c>
      <c r="M714" s="9">
        <f>data!J714</f>
        <v>-31.625</v>
      </c>
      <c r="N714" s="9">
        <f>data!I714</f>
        <v>-48.875</v>
      </c>
      <c r="O714" s="9">
        <f>data!L714</f>
        <v>-53.875</v>
      </c>
      <c r="P714" s="9">
        <f>data!K714</f>
        <v>-51.25</v>
      </c>
      <c r="Q714" s="9">
        <f>data!R714</f>
        <v>-49.875</v>
      </c>
      <c r="R714" s="9">
        <f t="shared" si="555"/>
        <v>-1.625</v>
      </c>
      <c r="S714" s="9">
        <f t="shared" si="556"/>
        <v>-0.875</v>
      </c>
      <c r="T714" s="9">
        <f t="shared" si="557"/>
        <v>1.375</v>
      </c>
      <c r="U714" s="9">
        <f t="shared" si="558"/>
        <v>-1.875</v>
      </c>
      <c r="V714" s="9">
        <f t="shared" si="559"/>
        <v>-0.9375</v>
      </c>
      <c r="W714" s="9">
        <f t="shared" si="560"/>
        <v>-5</v>
      </c>
      <c r="X714" s="9">
        <f t="shared" si="561"/>
        <v>-2.875</v>
      </c>
      <c r="Y714" s="9">
        <f t="shared" si="562"/>
        <v>-1.75</v>
      </c>
      <c r="Z714" s="9">
        <f t="shared" si="563"/>
        <v>-0.5</v>
      </c>
      <c r="AA714" s="9">
        <f t="shared" si="564"/>
        <v>-1</v>
      </c>
      <c r="AB714" s="9">
        <f t="shared" si="565"/>
        <v>0.875</v>
      </c>
      <c r="AC714" s="9">
        <f t="shared" si="566"/>
        <v>3.125</v>
      </c>
      <c r="AD714" s="9">
        <f t="shared" si="567"/>
        <v>2.625</v>
      </c>
      <c r="AE714" s="9">
        <f t="shared" si="568"/>
        <v>2.75</v>
      </c>
      <c r="AF714" s="9">
        <f t="shared" si="569"/>
        <v>0.125</v>
      </c>
      <c r="AG714" s="9">
        <f t="shared" si="570"/>
        <v>0.125</v>
      </c>
      <c r="AH714" s="9">
        <f t="shared" si="571"/>
        <v>1.375</v>
      </c>
      <c r="AI714" s="9">
        <f t="shared" si="572"/>
        <v>1.125</v>
      </c>
      <c r="AJ714" s="9">
        <f t="shared" si="573"/>
        <v>-1.125</v>
      </c>
      <c r="AK714" s="9">
        <f t="shared" si="574"/>
        <v>0.375</v>
      </c>
      <c r="AL714" s="9">
        <f t="shared" si="575"/>
        <v>3.625</v>
      </c>
      <c r="AM714" s="9">
        <f t="shared" si="576"/>
        <v>3.5</v>
      </c>
      <c r="AN714" s="9">
        <f t="shared" si="577"/>
        <v>3.75</v>
      </c>
      <c r="AO714" s="9">
        <f t="shared" si="578"/>
        <v>1</v>
      </c>
      <c r="AP714" s="9">
        <f t="shared" si="579"/>
        <v>1.875</v>
      </c>
      <c r="AQ714" s="9">
        <f t="shared" si="580"/>
        <v>3.125</v>
      </c>
      <c r="AR714" s="9">
        <f t="shared" si="581"/>
        <v>2.625</v>
      </c>
      <c r="AS714" s="9">
        <f t="shared" si="582"/>
        <v>-1.25</v>
      </c>
      <c r="AT714" s="9">
        <f t="shared" si="583"/>
        <v>0.375</v>
      </c>
      <c r="AU714" s="9">
        <f t="shared" si="584"/>
        <v>4</v>
      </c>
      <c r="AV714" s="9">
        <f t="shared" si="585"/>
        <v>4.125</v>
      </c>
      <c r="AW714" s="9">
        <f t="shared" si="586"/>
        <v>5</v>
      </c>
      <c r="AX714" s="9">
        <f t="shared" si="587"/>
        <v>3.375</v>
      </c>
      <c r="AY714" s="9">
        <f t="shared" si="588"/>
        <v>6.5</v>
      </c>
      <c r="AZ714" s="9">
        <f t="shared" si="589"/>
        <v>8.25</v>
      </c>
      <c r="BA714" s="9">
        <f t="shared" si="590"/>
        <v>8.25</v>
      </c>
      <c r="BB714" s="9">
        <f t="shared" si="591"/>
        <v>-1.25</v>
      </c>
      <c r="BC714" s="9">
        <f t="shared" si="592"/>
        <v>0.375</v>
      </c>
      <c r="BD714" s="9">
        <f t="shared" si="593"/>
        <v>4.125</v>
      </c>
      <c r="BE714" s="9">
        <f t="shared" si="594"/>
        <v>4</v>
      </c>
      <c r="BF714" s="9">
        <f t="shared" si="595"/>
        <v>5</v>
      </c>
      <c r="BG714" s="9">
        <f t="shared" si="596"/>
        <v>3.5</v>
      </c>
      <c r="BH714" s="9">
        <f t="shared" si="597"/>
        <v>8.375</v>
      </c>
      <c r="BI714" s="9">
        <f t="shared" si="598"/>
        <v>10.125</v>
      </c>
      <c r="BJ714" s="9">
        <f t="shared" si="599"/>
        <v>10</v>
      </c>
    </row>
    <row r="715" spans="1:62" x14ac:dyDescent="0.2">
      <c r="A715" s="9">
        <f>data!M716-data!M715</f>
        <v>-0.51529999999999632</v>
      </c>
      <c r="B715" s="9">
        <f>data!C716-data!C715</f>
        <v>-2.8100000000000005</v>
      </c>
      <c r="C715" s="9">
        <f>data!D716-data!D715</f>
        <v>-0.28249999999999975</v>
      </c>
      <c r="D715" s="10">
        <f>data!B716-data!B715</f>
        <v>0.24250000000000016</v>
      </c>
      <c r="E715" s="9">
        <f>data!E715-data!G715</f>
        <v>2.8328000000000002</v>
      </c>
      <c r="F715" s="9">
        <f>(data!E715-data!F715)-(data!G715-data!H715)</f>
        <v>2.0299999999999957E-2</v>
      </c>
      <c r="G715" s="9">
        <f t="shared" si="550"/>
        <v>5.0099999999999589E-2</v>
      </c>
      <c r="H715" s="9">
        <f t="shared" si="551"/>
        <v>-2.6100000000000012E-2</v>
      </c>
      <c r="I715" s="9">
        <f>IF(data!M716&gt; 111.81,1,0)</f>
        <v>1</v>
      </c>
      <c r="J715" s="9">
        <f t="shared" si="552"/>
        <v>0</v>
      </c>
      <c r="K715" s="9">
        <f t="shared" si="553"/>
        <v>-0.51529999999999632</v>
      </c>
      <c r="L715" s="9">
        <f t="shared" si="554"/>
        <v>0</v>
      </c>
      <c r="M715" s="9">
        <f>data!J715</f>
        <v>-33.25</v>
      </c>
      <c r="N715" s="9">
        <f>data!I715</f>
        <v>-49.875</v>
      </c>
      <c r="O715" s="9">
        <f>data!L715</f>
        <v>-55</v>
      </c>
      <c r="P715" s="9">
        <f>data!K715</f>
        <v>-52.5</v>
      </c>
      <c r="Q715" s="9">
        <f>data!R715</f>
        <v>-51.125</v>
      </c>
      <c r="R715" s="9">
        <f t="shared" si="555"/>
        <v>0.75</v>
      </c>
      <c r="S715" s="9">
        <f t="shared" si="556"/>
        <v>3</v>
      </c>
      <c r="T715" s="9">
        <f t="shared" si="557"/>
        <v>-0.25</v>
      </c>
      <c r="U715" s="9">
        <f t="shared" si="558"/>
        <v>0.6875</v>
      </c>
      <c r="V715" s="9">
        <f t="shared" si="559"/>
        <v>-3.375</v>
      </c>
      <c r="W715" s="9">
        <f t="shared" si="560"/>
        <v>-1.25</v>
      </c>
      <c r="X715" s="9">
        <f t="shared" si="561"/>
        <v>-0.125</v>
      </c>
      <c r="Y715" s="9">
        <f t="shared" si="562"/>
        <v>1.125</v>
      </c>
      <c r="Z715" s="9">
        <f t="shared" si="563"/>
        <v>-1</v>
      </c>
      <c r="AA715" s="9">
        <f t="shared" si="564"/>
        <v>1.875</v>
      </c>
      <c r="AB715" s="9">
        <f t="shared" si="565"/>
        <v>4.125</v>
      </c>
      <c r="AC715" s="9">
        <f t="shared" si="566"/>
        <v>3.625</v>
      </c>
      <c r="AD715" s="9">
        <f t="shared" si="567"/>
        <v>3.75</v>
      </c>
      <c r="AE715" s="9">
        <f t="shared" si="568"/>
        <v>1.125</v>
      </c>
      <c r="AF715" s="9">
        <f t="shared" si="569"/>
        <v>1.125</v>
      </c>
      <c r="AG715" s="9">
        <f t="shared" si="570"/>
        <v>2.375</v>
      </c>
      <c r="AH715" s="9">
        <f t="shared" si="571"/>
        <v>2.125</v>
      </c>
      <c r="AI715" s="9">
        <f t="shared" si="572"/>
        <v>0.875</v>
      </c>
      <c r="AJ715" s="9">
        <f t="shared" si="573"/>
        <v>1.5</v>
      </c>
      <c r="AK715" s="9">
        <f t="shared" si="574"/>
        <v>4.75</v>
      </c>
      <c r="AL715" s="9">
        <f t="shared" si="575"/>
        <v>4.625</v>
      </c>
      <c r="AM715" s="9">
        <f t="shared" si="576"/>
        <v>4.875</v>
      </c>
      <c r="AN715" s="9">
        <f t="shared" si="577"/>
        <v>2.125</v>
      </c>
      <c r="AO715" s="9">
        <f t="shared" si="578"/>
        <v>3</v>
      </c>
      <c r="AP715" s="9">
        <f t="shared" si="579"/>
        <v>4.25</v>
      </c>
      <c r="AQ715" s="9">
        <f t="shared" si="580"/>
        <v>3.75</v>
      </c>
      <c r="AR715" s="9">
        <f t="shared" si="581"/>
        <v>3</v>
      </c>
      <c r="AS715" s="9">
        <f t="shared" si="582"/>
        <v>1.625</v>
      </c>
      <c r="AT715" s="9">
        <f t="shared" si="583"/>
        <v>5.25</v>
      </c>
      <c r="AU715" s="9">
        <f t="shared" si="584"/>
        <v>5.375</v>
      </c>
      <c r="AV715" s="9">
        <f t="shared" si="585"/>
        <v>6.25</v>
      </c>
      <c r="AW715" s="9">
        <f t="shared" si="586"/>
        <v>4.625</v>
      </c>
      <c r="AX715" s="9">
        <f t="shared" si="587"/>
        <v>7.75</v>
      </c>
      <c r="AY715" s="9">
        <f t="shared" si="588"/>
        <v>9.5</v>
      </c>
      <c r="AZ715" s="9">
        <f t="shared" si="589"/>
        <v>9.5</v>
      </c>
      <c r="BA715" s="9">
        <f t="shared" si="590"/>
        <v>8.5</v>
      </c>
      <c r="BB715" s="9">
        <f t="shared" si="591"/>
        <v>1.625</v>
      </c>
      <c r="BC715" s="9">
        <f t="shared" si="592"/>
        <v>5.375</v>
      </c>
      <c r="BD715" s="9">
        <f t="shared" si="593"/>
        <v>5.25</v>
      </c>
      <c r="BE715" s="9">
        <f t="shared" si="594"/>
        <v>6.25</v>
      </c>
      <c r="BF715" s="9">
        <f t="shared" si="595"/>
        <v>4.75</v>
      </c>
      <c r="BG715" s="9">
        <f t="shared" si="596"/>
        <v>9.625</v>
      </c>
      <c r="BH715" s="9">
        <f t="shared" si="597"/>
        <v>11.375</v>
      </c>
      <c r="BI715" s="9">
        <f t="shared" si="598"/>
        <v>11.25</v>
      </c>
      <c r="BJ715" s="9">
        <f t="shared" si="599"/>
        <v>10.375</v>
      </c>
    </row>
    <row r="716" spans="1:62" x14ac:dyDescent="0.2">
      <c r="A716" s="9">
        <f>data!M717-data!M716</f>
        <v>-0.55570000000000164</v>
      </c>
      <c r="B716" s="9">
        <f>data!C717-data!C716</f>
        <v>-0.39000000000000057</v>
      </c>
      <c r="C716" s="9">
        <f>data!D717-data!D716</f>
        <v>3.5000000000000142E-2</v>
      </c>
      <c r="D716" s="10">
        <f>data!B717-data!B716</f>
        <v>0.16999999999999993</v>
      </c>
      <c r="E716" s="9">
        <f>data!E716-data!G716</f>
        <v>2.8828999999999998</v>
      </c>
      <c r="F716" s="9">
        <f>(data!E716-data!F716)-(data!G716-data!H716)</f>
        <v>-5.8000000000000551E-3</v>
      </c>
      <c r="G716" s="9">
        <f t="shared" si="550"/>
        <v>5.3900000000000503E-2</v>
      </c>
      <c r="H716" s="9">
        <f t="shared" si="551"/>
        <v>2.9700000000000198E-2</v>
      </c>
      <c r="I716" s="9">
        <f>IF(data!M717&gt; 111.81,1,0)</f>
        <v>1</v>
      </c>
      <c r="J716" s="9">
        <f t="shared" si="552"/>
        <v>0</v>
      </c>
      <c r="K716" s="9">
        <f t="shared" si="553"/>
        <v>-0.55570000000000164</v>
      </c>
      <c r="L716" s="9">
        <f t="shared" si="554"/>
        <v>0</v>
      </c>
      <c r="M716" s="9">
        <f>data!J716</f>
        <v>-32.5</v>
      </c>
      <c r="N716" s="9">
        <f>data!I716</f>
        <v>-48</v>
      </c>
      <c r="O716" s="9">
        <f>data!L716</f>
        <v>-53.5</v>
      </c>
      <c r="P716" s="9">
        <f>data!K716</f>
        <v>-50.875</v>
      </c>
      <c r="Q716" s="9">
        <f>data!R716</f>
        <v>-49.5</v>
      </c>
      <c r="R716" s="9">
        <f t="shared" si="555"/>
        <v>2.25</v>
      </c>
      <c r="S716" s="9">
        <f t="shared" si="556"/>
        <v>-1</v>
      </c>
      <c r="T716" s="9">
        <f t="shared" si="557"/>
        <v>-6.25E-2</v>
      </c>
      <c r="U716" s="9">
        <f t="shared" si="558"/>
        <v>-4.125</v>
      </c>
      <c r="V716" s="9">
        <f t="shared" si="559"/>
        <v>-2</v>
      </c>
      <c r="W716" s="9">
        <f t="shared" si="560"/>
        <v>-0.875</v>
      </c>
      <c r="X716" s="9">
        <f t="shared" si="561"/>
        <v>0.375</v>
      </c>
      <c r="Y716" s="9">
        <f t="shared" si="562"/>
        <v>-1.75</v>
      </c>
      <c r="Z716" s="9">
        <f t="shared" si="563"/>
        <v>0.5</v>
      </c>
      <c r="AA716" s="9">
        <f t="shared" si="564"/>
        <v>2.25</v>
      </c>
      <c r="AB716" s="9">
        <f t="shared" si="565"/>
        <v>1.75</v>
      </c>
      <c r="AC716" s="9">
        <f t="shared" si="566"/>
        <v>1.875</v>
      </c>
      <c r="AD716" s="9">
        <f t="shared" si="567"/>
        <v>-0.75</v>
      </c>
      <c r="AE716" s="9">
        <f t="shared" si="568"/>
        <v>-0.75</v>
      </c>
      <c r="AF716" s="9">
        <f t="shared" si="569"/>
        <v>0.5</v>
      </c>
      <c r="AG716" s="9">
        <f t="shared" si="570"/>
        <v>0.25</v>
      </c>
      <c r="AH716" s="9">
        <f t="shared" si="571"/>
        <v>-1</v>
      </c>
      <c r="AI716" s="9">
        <f t="shared" si="572"/>
        <v>-1.5</v>
      </c>
      <c r="AJ716" s="9">
        <f t="shared" si="573"/>
        <v>3.25</v>
      </c>
      <c r="AK716" s="9">
        <f t="shared" si="574"/>
        <v>3.125</v>
      </c>
      <c r="AL716" s="9">
        <f t="shared" si="575"/>
        <v>3.375</v>
      </c>
      <c r="AM716" s="9">
        <f t="shared" si="576"/>
        <v>0.625</v>
      </c>
      <c r="AN716" s="9">
        <f t="shared" si="577"/>
        <v>1.5</v>
      </c>
      <c r="AO716" s="9">
        <f t="shared" si="578"/>
        <v>2.75</v>
      </c>
      <c r="AP716" s="9">
        <f t="shared" si="579"/>
        <v>2.25</v>
      </c>
      <c r="AQ716" s="9">
        <f t="shared" si="580"/>
        <v>1.5</v>
      </c>
      <c r="AR716" s="9">
        <f t="shared" si="581"/>
        <v>0.5</v>
      </c>
      <c r="AS716" s="9">
        <f t="shared" si="582"/>
        <v>3.625</v>
      </c>
      <c r="AT716" s="9">
        <f t="shared" si="583"/>
        <v>3.75</v>
      </c>
      <c r="AU716" s="9">
        <f t="shared" si="584"/>
        <v>4.625</v>
      </c>
      <c r="AV716" s="9">
        <f t="shared" si="585"/>
        <v>3</v>
      </c>
      <c r="AW716" s="9">
        <f t="shared" si="586"/>
        <v>6.125</v>
      </c>
      <c r="AX716" s="9">
        <f t="shared" si="587"/>
        <v>7.875</v>
      </c>
      <c r="AY716" s="9">
        <f t="shared" si="588"/>
        <v>7.875</v>
      </c>
      <c r="AZ716" s="9">
        <f t="shared" si="589"/>
        <v>6.875</v>
      </c>
      <c r="BA716" s="9">
        <f t="shared" si="590"/>
        <v>6.375</v>
      </c>
      <c r="BB716" s="9">
        <f t="shared" si="591"/>
        <v>3.75</v>
      </c>
      <c r="BC716" s="9">
        <f t="shared" si="592"/>
        <v>3.625</v>
      </c>
      <c r="BD716" s="9">
        <f t="shared" si="593"/>
        <v>4.625</v>
      </c>
      <c r="BE716" s="9">
        <f t="shared" si="594"/>
        <v>3.125</v>
      </c>
      <c r="BF716" s="9">
        <f t="shared" si="595"/>
        <v>8</v>
      </c>
      <c r="BG716" s="9">
        <f t="shared" si="596"/>
        <v>9.75</v>
      </c>
      <c r="BH716" s="9">
        <f t="shared" si="597"/>
        <v>9.625</v>
      </c>
      <c r="BI716" s="9">
        <f t="shared" si="598"/>
        <v>8.75</v>
      </c>
      <c r="BJ716" s="9">
        <f t="shared" si="599"/>
        <v>8</v>
      </c>
    </row>
    <row r="717" spans="1:62" x14ac:dyDescent="0.2">
      <c r="A717" s="9">
        <f>data!M718-data!M717</f>
        <v>0.29749999999999943</v>
      </c>
      <c r="B717" s="9">
        <f>data!C718-data!C717</f>
        <v>0.4399999999999995</v>
      </c>
      <c r="C717" s="9">
        <f>data!D718-data!D717</f>
        <v>-0.31500000000000039</v>
      </c>
      <c r="D717" s="10">
        <f>data!B718-data!B717</f>
        <v>0.11499999999999999</v>
      </c>
      <c r="E717" s="9">
        <f>data!E717-data!G717</f>
        <v>2.9368000000000003</v>
      </c>
      <c r="F717" s="9">
        <f>(data!E717-data!F717)-(data!G717-data!H717)</f>
        <v>2.3900000000000143E-2</v>
      </c>
      <c r="G717" s="9">
        <f t="shared" si="550"/>
        <v>3.9999999999951186E-4</v>
      </c>
      <c r="H717" s="9">
        <f t="shared" si="551"/>
        <v>-2.5500000000000189E-2</v>
      </c>
      <c r="I717" s="9">
        <f>IF(data!M718&gt; 111.81,1,0)</f>
        <v>1</v>
      </c>
      <c r="J717" s="9">
        <f t="shared" si="552"/>
        <v>0</v>
      </c>
      <c r="K717" s="9">
        <f t="shared" si="553"/>
        <v>0.29749999999999943</v>
      </c>
      <c r="L717" s="9">
        <f t="shared" si="554"/>
        <v>0</v>
      </c>
      <c r="M717" s="9">
        <f>data!J717</f>
        <v>-30.25</v>
      </c>
      <c r="N717" s="9">
        <f>data!I717</f>
        <v>-45.75</v>
      </c>
      <c r="O717" s="9">
        <f>data!L717</f>
        <v>-50.25</v>
      </c>
      <c r="P717" s="9">
        <f>data!K717</f>
        <v>-47.25</v>
      </c>
      <c r="Q717" s="9">
        <f>data!R717</f>
        <v>-45.75</v>
      </c>
      <c r="R717" s="9">
        <f t="shared" si="555"/>
        <v>-3.25</v>
      </c>
      <c r="S717" s="9">
        <f t="shared" si="556"/>
        <v>-2.3125</v>
      </c>
      <c r="T717" s="9">
        <f t="shared" si="557"/>
        <v>-6.375</v>
      </c>
      <c r="U717" s="9">
        <f t="shared" si="558"/>
        <v>-4.25</v>
      </c>
      <c r="V717" s="9">
        <f t="shared" si="559"/>
        <v>-3.125</v>
      </c>
      <c r="W717" s="9">
        <f t="shared" si="560"/>
        <v>-1.875</v>
      </c>
      <c r="X717" s="9">
        <f t="shared" si="561"/>
        <v>-4</v>
      </c>
      <c r="Y717" s="9">
        <f t="shared" si="562"/>
        <v>-1.75</v>
      </c>
      <c r="Z717" s="9">
        <f t="shared" si="563"/>
        <v>-1.625</v>
      </c>
      <c r="AA717" s="9">
        <f t="shared" si="564"/>
        <v>-0.5</v>
      </c>
      <c r="AB717" s="9">
        <f t="shared" si="565"/>
        <v>-0.375</v>
      </c>
      <c r="AC717" s="9">
        <f t="shared" si="566"/>
        <v>-3</v>
      </c>
      <c r="AD717" s="9">
        <f t="shared" si="567"/>
        <v>-3</v>
      </c>
      <c r="AE717" s="9">
        <f t="shared" si="568"/>
        <v>-1.75</v>
      </c>
      <c r="AF717" s="9">
        <f t="shared" si="569"/>
        <v>-2</v>
      </c>
      <c r="AG717" s="9">
        <f t="shared" si="570"/>
        <v>-3.25</v>
      </c>
      <c r="AH717" s="9">
        <f t="shared" si="571"/>
        <v>-3.75</v>
      </c>
      <c r="AI717" s="9">
        <f t="shared" si="572"/>
        <v>-2.625</v>
      </c>
      <c r="AJ717" s="9">
        <f t="shared" si="573"/>
        <v>-0.125</v>
      </c>
      <c r="AK717" s="9">
        <f t="shared" si="574"/>
        <v>0.125</v>
      </c>
      <c r="AL717" s="9">
        <f t="shared" si="575"/>
        <v>-2.625</v>
      </c>
      <c r="AM717" s="9">
        <f t="shared" si="576"/>
        <v>-1.75</v>
      </c>
      <c r="AN717" s="9">
        <f t="shared" si="577"/>
        <v>-0.5</v>
      </c>
      <c r="AO717" s="9">
        <f t="shared" si="578"/>
        <v>-1</v>
      </c>
      <c r="AP717" s="9">
        <f t="shared" si="579"/>
        <v>-1.75</v>
      </c>
      <c r="AQ717" s="9">
        <f t="shared" si="580"/>
        <v>-2.75</v>
      </c>
      <c r="AR717" s="9">
        <f t="shared" si="581"/>
        <v>-1.375</v>
      </c>
      <c r="AS717" s="9">
        <f t="shared" si="582"/>
        <v>0.125</v>
      </c>
      <c r="AT717" s="9">
        <f t="shared" si="583"/>
        <v>1</v>
      </c>
      <c r="AU717" s="9">
        <f t="shared" si="584"/>
        <v>-0.625</v>
      </c>
      <c r="AV717" s="9">
        <f t="shared" si="585"/>
        <v>2.5</v>
      </c>
      <c r="AW717" s="9">
        <f t="shared" si="586"/>
        <v>4.25</v>
      </c>
      <c r="AX717" s="9">
        <f t="shared" si="587"/>
        <v>4.25</v>
      </c>
      <c r="AY717" s="9">
        <f t="shared" si="588"/>
        <v>3.25</v>
      </c>
      <c r="AZ717" s="9">
        <f t="shared" si="589"/>
        <v>2.75</v>
      </c>
      <c r="BA717" s="9">
        <f t="shared" si="590"/>
        <v>4.375</v>
      </c>
      <c r="BB717" s="9">
        <f t="shared" si="591"/>
        <v>-0.125</v>
      </c>
      <c r="BC717" s="9">
        <f t="shared" si="592"/>
        <v>0.875</v>
      </c>
      <c r="BD717" s="9">
        <f t="shared" si="593"/>
        <v>-0.625</v>
      </c>
      <c r="BE717" s="9">
        <f t="shared" si="594"/>
        <v>4.25</v>
      </c>
      <c r="BF717" s="9">
        <f t="shared" si="595"/>
        <v>6</v>
      </c>
      <c r="BG717" s="9">
        <f t="shared" si="596"/>
        <v>5.875</v>
      </c>
      <c r="BH717" s="9">
        <f t="shared" si="597"/>
        <v>5</v>
      </c>
      <c r="BI717" s="9">
        <f t="shared" si="598"/>
        <v>4.25</v>
      </c>
      <c r="BJ717" s="9">
        <f t="shared" si="599"/>
        <v>6.375</v>
      </c>
    </row>
    <row r="718" spans="1:62" x14ac:dyDescent="0.2">
      <c r="A718" s="9">
        <f>data!M719-data!M718</f>
        <v>0.75270000000000437</v>
      </c>
      <c r="B718" s="9">
        <f>data!C719-data!C718</f>
        <v>2.7000000000000011</v>
      </c>
      <c r="C718" s="9">
        <f>data!D719-data!D718</f>
        <v>0.20999999999999996</v>
      </c>
      <c r="D718" s="10">
        <f>data!B719-data!B718</f>
        <v>-0.30249999999999999</v>
      </c>
      <c r="E718" s="9">
        <f>data!E718-data!G718</f>
        <v>2.9371999999999998</v>
      </c>
      <c r="F718" s="9">
        <f>(data!E718-data!F718)-(data!G718-data!H718)</f>
        <v>-1.6000000000000458E-3</v>
      </c>
      <c r="G718" s="9">
        <f t="shared" si="550"/>
        <v>0.1456000000000004</v>
      </c>
      <c r="H718" s="9">
        <f t="shared" si="551"/>
        <v>7.5400000000000356E-2</v>
      </c>
      <c r="I718" s="9">
        <f>IF(data!M719&gt; 111.81,1,0)</f>
        <v>1</v>
      </c>
      <c r="J718" s="9">
        <f t="shared" si="552"/>
        <v>0</v>
      </c>
      <c r="K718" s="9">
        <f t="shared" si="553"/>
        <v>0.75270000000000437</v>
      </c>
      <c r="L718" s="9">
        <f t="shared" si="554"/>
        <v>0</v>
      </c>
      <c r="M718" s="9">
        <f>data!J718</f>
        <v>-33.5</v>
      </c>
      <c r="N718" s="9">
        <f>data!I718</f>
        <v>-46.25</v>
      </c>
      <c r="O718" s="9">
        <f>data!L718</f>
        <v>-50.375</v>
      </c>
      <c r="P718" s="9">
        <f>data!K718</f>
        <v>-47.125</v>
      </c>
      <c r="Q718" s="9">
        <f>data!R718</f>
        <v>-45.875</v>
      </c>
      <c r="R718" s="9">
        <f t="shared" si="555"/>
        <v>0.9375</v>
      </c>
      <c r="S718" s="9">
        <f t="shared" si="556"/>
        <v>-3.125</v>
      </c>
      <c r="T718" s="9">
        <f t="shared" si="557"/>
        <v>-1</v>
      </c>
      <c r="U718" s="9">
        <f t="shared" si="558"/>
        <v>0.125</v>
      </c>
      <c r="V718" s="9">
        <f t="shared" si="559"/>
        <v>1.375</v>
      </c>
      <c r="W718" s="9">
        <f t="shared" si="560"/>
        <v>-0.75</v>
      </c>
      <c r="X718" s="9">
        <f t="shared" si="561"/>
        <v>1.5</v>
      </c>
      <c r="Y718" s="9">
        <f t="shared" si="562"/>
        <v>1.625</v>
      </c>
      <c r="Z718" s="9">
        <f t="shared" si="563"/>
        <v>4.5</v>
      </c>
      <c r="AA718" s="9">
        <f t="shared" si="564"/>
        <v>0.125</v>
      </c>
      <c r="AB718" s="9">
        <f t="shared" si="565"/>
        <v>-2.5</v>
      </c>
      <c r="AC718" s="9">
        <f t="shared" si="566"/>
        <v>-2.5</v>
      </c>
      <c r="AD718" s="9">
        <f t="shared" si="567"/>
        <v>-1.25</v>
      </c>
      <c r="AE718" s="9">
        <f t="shared" si="568"/>
        <v>-1.5</v>
      </c>
      <c r="AF718" s="9">
        <f t="shared" si="569"/>
        <v>-2.75</v>
      </c>
      <c r="AG718" s="9">
        <f t="shared" si="570"/>
        <v>-3.25</v>
      </c>
      <c r="AH718" s="9">
        <f t="shared" si="571"/>
        <v>-2.125</v>
      </c>
      <c r="AI718" s="9">
        <f t="shared" si="572"/>
        <v>-0.875</v>
      </c>
      <c r="AJ718" s="9">
        <f t="shared" si="573"/>
        <v>0.25</v>
      </c>
      <c r="AK718" s="9">
        <f t="shared" si="574"/>
        <v>-2.5</v>
      </c>
      <c r="AL718" s="9">
        <f t="shared" si="575"/>
        <v>-1.625</v>
      </c>
      <c r="AM718" s="9">
        <f t="shared" si="576"/>
        <v>-0.375</v>
      </c>
      <c r="AN718" s="9">
        <f t="shared" si="577"/>
        <v>-0.875</v>
      </c>
      <c r="AO718" s="9">
        <f t="shared" si="578"/>
        <v>-1.625</v>
      </c>
      <c r="AP718" s="9">
        <f t="shared" si="579"/>
        <v>-2.625</v>
      </c>
      <c r="AQ718" s="9">
        <f t="shared" si="580"/>
        <v>-1.25</v>
      </c>
      <c r="AR718" s="9">
        <f t="shared" si="581"/>
        <v>-1.125</v>
      </c>
      <c r="AS718" s="9">
        <f t="shared" si="582"/>
        <v>0.875</v>
      </c>
      <c r="AT718" s="9">
        <f t="shared" si="583"/>
        <v>-0.75</v>
      </c>
      <c r="AU718" s="9">
        <f t="shared" si="584"/>
        <v>2.375</v>
      </c>
      <c r="AV718" s="9">
        <f t="shared" si="585"/>
        <v>4.125</v>
      </c>
      <c r="AW718" s="9">
        <f t="shared" si="586"/>
        <v>4.125</v>
      </c>
      <c r="AX718" s="9">
        <f t="shared" si="587"/>
        <v>3.125</v>
      </c>
      <c r="AY718" s="9">
        <f t="shared" si="588"/>
        <v>2.625</v>
      </c>
      <c r="AZ718" s="9">
        <f t="shared" si="589"/>
        <v>4.25</v>
      </c>
      <c r="BA718" s="9">
        <f t="shared" si="590"/>
        <v>4.875</v>
      </c>
      <c r="BB718" s="9">
        <f t="shared" si="591"/>
        <v>1</v>
      </c>
      <c r="BC718" s="9">
        <f t="shared" si="592"/>
        <v>-0.5</v>
      </c>
      <c r="BD718" s="9">
        <f t="shared" si="593"/>
        <v>4.375</v>
      </c>
      <c r="BE718" s="9">
        <f t="shared" si="594"/>
        <v>6.125</v>
      </c>
      <c r="BF718" s="9">
        <f t="shared" si="595"/>
        <v>6</v>
      </c>
      <c r="BG718" s="9">
        <f t="shared" si="596"/>
        <v>5.125</v>
      </c>
      <c r="BH718" s="9">
        <f t="shared" si="597"/>
        <v>4.375</v>
      </c>
      <c r="BI718" s="9">
        <f t="shared" si="598"/>
        <v>6.5</v>
      </c>
      <c r="BJ718" s="9">
        <f t="shared" si="599"/>
        <v>8.5</v>
      </c>
    </row>
    <row r="719" spans="1:62" x14ac:dyDescent="0.2">
      <c r="A719" s="9">
        <f>data!M720-data!M719</f>
        <v>-0.19190000000000396</v>
      </c>
      <c r="B719" s="9">
        <f>data!C720-data!C719</f>
        <v>6.4899999999999984</v>
      </c>
      <c r="C719" s="9">
        <f>data!D720-data!D719</f>
        <v>0.10500000000000043</v>
      </c>
      <c r="D719" s="10">
        <f>data!B720-data!B719</f>
        <v>0.16249999999999987</v>
      </c>
      <c r="E719" s="9">
        <f>data!E719-data!G719</f>
        <v>3.0828000000000002</v>
      </c>
      <c r="F719" s="9">
        <f>(data!E719-data!F719)-(data!G719-data!H719)</f>
        <v>7.380000000000031E-2</v>
      </c>
      <c r="G719" s="9">
        <f t="shared" si="550"/>
        <v>-6.6500000000000004E-2</v>
      </c>
      <c r="H719" s="9">
        <f t="shared" si="551"/>
        <v>-2.8299999999999881E-2</v>
      </c>
      <c r="I719" s="9">
        <f>IF(data!M720&gt; 111.81,1,0)</f>
        <v>1</v>
      </c>
      <c r="J719" s="9">
        <f t="shared" si="552"/>
        <v>0</v>
      </c>
      <c r="K719" s="9">
        <f t="shared" si="553"/>
        <v>-0.19190000000000396</v>
      </c>
      <c r="L719" s="9">
        <f t="shared" si="554"/>
        <v>0</v>
      </c>
      <c r="M719" s="9">
        <f>data!J719</f>
        <v>-32.5625</v>
      </c>
      <c r="N719" s="9">
        <f>data!I719</f>
        <v>-46.125</v>
      </c>
      <c r="O719" s="9">
        <f>data!L719</f>
        <v>-50.125</v>
      </c>
      <c r="P719" s="9">
        <f>data!K719</f>
        <v>-46.25</v>
      </c>
      <c r="Q719" s="9">
        <f>data!R719</f>
        <v>-44.875</v>
      </c>
      <c r="R719" s="9">
        <f t="shared" si="555"/>
        <v>-4.0625</v>
      </c>
      <c r="S719" s="9">
        <f t="shared" si="556"/>
        <v>-1.9375</v>
      </c>
      <c r="T719" s="9">
        <f t="shared" si="557"/>
        <v>-0.8125</v>
      </c>
      <c r="U719" s="9">
        <f t="shared" si="558"/>
        <v>0.4375</v>
      </c>
      <c r="V719" s="9">
        <f t="shared" si="559"/>
        <v>-1.6875</v>
      </c>
      <c r="W719" s="9">
        <f t="shared" si="560"/>
        <v>0.5625</v>
      </c>
      <c r="X719" s="9">
        <f t="shared" si="561"/>
        <v>0.6875</v>
      </c>
      <c r="Y719" s="9">
        <f t="shared" si="562"/>
        <v>3.5625</v>
      </c>
      <c r="Z719" s="9">
        <f t="shared" si="563"/>
        <v>6.0625</v>
      </c>
      <c r="AA719" s="9">
        <f t="shared" si="564"/>
        <v>-2.625</v>
      </c>
      <c r="AB719" s="9">
        <f t="shared" si="565"/>
        <v>-2.625</v>
      </c>
      <c r="AC719" s="9">
        <f t="shared" si="566"/>
        <v>-1.375</v>
      </c>
      <c r="AD719" s="9">
        <f t="shared" si="567"/>
        <v>-1.625</v>
      </c>
      <c r="AE719" s="9">
        <f t="shared" si="568"/>
        <v>-2.875</v>
      </c>
      <c r="AF719" s="9">
        <f t="shared" si="569"/>
        <v>-3.375</v>
      </c>
      <c r="AG719" s="9">
        <f t="shared" si="570"/>
        <v>-2.25</v>
      </c>
      <c r="AH719" s="9">
        <f t="shared" si="571"/>
        <v>-1</v>
      </c>
      <c r="AI719" s="9">
        <f t="shared" si="572"/>
        <v>-0.875</v>
      </c>
      <c r="AJ719" s="9">
        <f t="shared" si="573"/>
        <v>-2.75</v>
      </c>
      <c r="AK719" s="9">
        <f t="shared" si="574"/>
        <v>-1.875</v>
      </c>
      <c r="AL719" s="9">
        <f t="shared" si="575"/>
        <v>-0.625</v>
      </c>
      <c r="AM719" s="9">
        <f t="shared" si="576"/>
        <v>-1.125</v>
      </c>
      <c r="AN719" s="9">
        <f t="shared" si="577"/>
        <v>-1.875</v>
      </c>
      <c r="AO719" s="9">
        <f t="shared" si="578"/>
        <v>-2.875</v>
      </c>
      <c r="AP719" s="9">
        <f t="shared" si="579"/>
        <v>-1.5</v>
      </c>
      <c r="AQ719" s="9">
        <f t="shared" si="580"/>
        <v>-1.375</v>
      </c>
      <c r="AR719" s="9">
        <f t="shared" si="581"/>
        <v>-2.75</v>
      </c>
      <c r="AS719" s="9">
        <f t="shared" si="582"/>
        <v>-1.625</v>
      </c>
      <c r="AT719" s="9">
        <f t="shared" si="583"/>
        <v>1.5</v>
      </c>
      <c r="AU719" s="9">
        <f t="shared" si="584"/>
        <v>3.25</v>
      </c>
      <c r="AV719" s="9">
        <f t="shared" si="585"/>
        <v>3.25</v>
      </c>
      <c r="AW719" s="9">
        <f t="shared" si="586"/>
        <v>2.25</v>
      </c>
      <c r="AX719" s="9">
        <f t="shared" si="587"/>
        <v>1.75</v>
      </c>
      <c r="AY719" s="9">
        <f t="shared" si="588"/>
        <v>3.375</v>
      </c>
      <c r="AZ719" s="9">
        <f t="shared" si="589"/>
        <v>4</v>
      </c>
      <c r="BA719" s="9">
        <f t="shared" si="590"/>
        <v>4.75</v>
      </c>
      <c r="BB719" s="9">
        <f t="shared" si="591"/>
        <v>-1.5</v>
      </c>
      <c r="BC719" s="9">
        <f t="shared" si="592"/>
        <v>3.375</v>
      </c>
      <c r="BD719" s="9">
        <f t="shared" si="593"/>
        <v>5.125</v>
      </c>
      <c r="BE719" s="9">
        <f t="shared" si="594"/>
        <v>5</v>
      </c>
      <c r="BF719" s="9">
        <f t="shared" si="595"/>
        <v>4.125</v>
      </c>
      <c r="BG719" s="9">
        <f t="shared" si="596"/>
        <v>3.375</v>
      </c>
      <c r="BH719" s="9">
        <f t="shared" si="597"/>
        <v>5.5</v>
      </c>
      <c r="BI719" s="9">
        <f t="shared" si="598"/>
        <v>7.5</v>
      </c>
      <c r="BJ719" s="9">
        <f t="shared" si="599"/>
        <v>8.25</v>
      </c>
    </row>
    <row r="720" spans="1:62" x14ac:dyDescent="0.2">
      <c r="A720" s="9">
        <f>data!M721-data!M720</f>
        <v>0.4877000000000038</v>
      </c>
      <c r="B720" s="9">
        <f>data!C721-data!C720</f>
        <v>-1.4199999999999982</v>
      </c>
      <c r="C720" s="9">
        <f>data!D721-data!D720</f>
        <v>-0.35500000000000043</v>
      </c>
      <c r="D720" s="10">
        <f>data!B721-data!B720</f>
        <v>7.5000000000000178E-2</v>
      </c>
      <c r="E720" s="9">
        <f>data!E720-data!G720</f>
        <v>3.0163000000000002</v>
      </c>
      <c r="F720" s="9">
        <f>(data!E720-data!F720)-(data!G720-data!H720)</f>
        <v>4.5500000000000429E-2</v>
      </c>
      <c r="G720" s="9">
        <f t="shared" si="550"/>
        <v>3.1799999999999606E-2</v>
      </c>
      <c r="H720" s="9">
        <f t="shared" si="551"/>
        <v>-2.1200000000000441E-2</v>
      </c>
      <c r="I720" s="9">
        <f>IF(data!M721&gt; 111.81,1,0)</f>
        <v>1</v>
      </c>
      <c r="J720" s="9">
        <f t="shared" si="552"/>
        <v>0</v>
      </c>
      <c r="K720" s="9">
        <f t="shared" si="553"/>
        <v>0.4877000000000038</v>
      </c>
      <c r="L720" s="9">
        <f t="shared" si="554"/>
        <v>0</v>
      </c>
      <c r="M720" s="9">
        <f>data!J720</f>
        <v>-36.625</v>
      </c>
      <c r="N720" s="9">
        <f>data!I720</f>
        <v>-48.75</v>
      </c>
      <c r="O720" s="9">
        <f>data!L720</f>
        <v>-52.875</v>
      </c>
      <c r="P720" s="9">
        <f>data!K720</f>
        <v>-47.875</v>
      </c>
      <c r="Q720" s="9">
        <f>data!R720</f>
        <v>-46.375</v>
      </c>
      <c r="R720" s="9">
        <f t="shared" si="555"/>
        <v>2.125</v>
      </c>
      <c r="S720" s="9">
        <f t="shared" si="556"/>
        <v>3.25</v>
      </c>
      <c r="T720" s="9">
        <f t="shared" si="557"/>
        <v>4.5</v>
      </c>
      <c r="U720" s="9">
        <f t="shared" si="558"/>
        <v>2.375</v>
      </c>
      <c r="V720" s="9">
        <f t="shared" si="559"/>
        <v>4.625</v>
      </c>
      <c r="W720" s="9">
        <f t="shared" si="560"/>
        <v>4.75</v>
      </c>
      <c r="X720" s="9">
        <f t="shared" si="561"/>
        <v>7.625</v>
      </c>
      <c r="Y720" s="9">
        <f t="shared" si="562"/>
        <v>10.125</v>
      </c>
      <c r="Z720" s="9">
        <f t="shared" si="563"/>
        <v>12</v>
      </c>
      <c r="AA720" s="9">
        <f t="shared" si="564"/>
        <v>0</v>
      </c>
      <c r="AB720" s="9">
        <f t="shared" si="565"/>
        <v>1.25</v>
      </c>
      <c r="AC720" s="9">
        <f t="shared" si="566"/>
        <v>1</v>
      </c>
      <c r="AD720" s="9">
        <f t="shared" si="567"/>
        <v>-0.25</v>
      </c>
      <c r="AE720" s="9">
        <f t="shared" si="568"/>
        <v>-0.75</v>
      </c>
      <c r="AF720" s="9">
        <f t="shared" si="569"/>
        <v>0.375</v>
      </c>
      <c r="AG720" s="9">
        <f t="shared" si="570"/>
        <v>1.625</v>
      </c>
      <c r="AH720" s="9">
        <f t="shared" si="571"/>
        <v>1.75</v>
      </c>
      <c r="AI720" s="9">
        <f t="shared" si="572"/>
        <v>3.25</v>
      </c>
      <c r="AJ720" s="9">
        <f t="shared" si="573"/>
        <v>0.875</v>
      </c>
      <c r="AK720" s="9">
        <f t="shared" si="574"/>
        <v>2.125</v>
      </c>
      <c r="AL720" s="9">
        <f t="shared" si="575"/>
        <v>1.625</v>
      </c>
      <c r="AM720" s="9">
        <f t="shared" si="576"/>
        <v>0.875</v>
      </c>
      <c r="AN720" s="9">
        <f t="shared" si="577"/>
        <v>-0.125</v>
      </c>
      <c r="AO720" s="9">
        <f t="shared" si="578"/>
        <v>1.25</v>
      </c>
      <c r="AP720" s="9">
        <f t="shared" si="579"/>
        <v>1.375</v>
      </c>
      <c r="AQ720" s="9">
        <f t="shared" si="580"/>
        <v>0</v>
      </c>
      <c r="AR720" s="9">
        <f t="shared" si="581"/>
        <v>2.5</v>
      </c>
      <c r="AS720" s="9">
        <f t="shared" si="582"/>
        <v>3.125</v>
      </c>
      <c r="AT720" s="9">
        <f t="shared" si="583"/>
        <v>4.875</v>
      </c>
      <c r="AU720" s="9">
        <f t="shared" si="584"/>
        <v>4.875</v>
      </c>
      <c r="AV720" s="9">
        <f t="shared" si="585"/>
        <v>3.875</v>
      </c>
      <c r="AW720" s="9">
        <f t="shared" si="586"/>
        <v>3.375</v>
      </c>
      <c r="AX720" s="9">
        <f t="shared" si="587"/>
        <v>5</v>
      </c>
      <c r="AY720" s="9">
        <f t="shared" si="588"/>
        <v>5.625</v>
      </c>
      <c r="AZ720" s="9">
        <f t="shared" si="589"/>
        <v>6.375</v>
      </c>
      <c r="BA720" s="9">
        <f t="shared" si="590"/>
        <v>8.375</v>
      </c>
      <c r="BB720" s="9">
        <f t="shared" si="591"/>
        <v>4.875</v>
      </c>
      <c r="BC720" s="9">
        <f t="shared" si="592"/>
        <v>6.625</v>
      </c>
      <c r="BD720" s="9">
        <f t="shared" si="593"/>
        <v>6.5</v>
      </c>
      <c r="BE720" s="9">
        <f t="shared" si="594"/>
        <v>5.625</v>
      </c>
      <c r="BF720" s="9">
        <f t="shared" si="595"/>
        <v>4.875</v>
      </c>
      <c r="BG720" s="9">
        <f t="shared" si="596"/>
        <v>7</v>
      </c>
      <c r="BH720" s="9">
        <f t="shared" si="597"/>
        <v>9</v>
      </c>
      <c r="BI720" s="9">
        <f t="shared" si="598"/>
        <v>9.75</v>
      </c>
      <c r="BJ720" s="9">
        <f t="shared" si="599"/>
        <v>12.375</v>
      </c>
    </row>
    <row r="721" spans="1:62" x14ac:dyDescent="0.2">
      <c r="A721" s="9">
        <f>data!M722-data!M721</f>
        <v>0.61599999999999966</v>
      </c>
      <c r="B721" s="9">
        <f>data!C722-data!C721</f>
        <v>4.2699999999999996</v>
      </c>
      <c r="C721" s="9">
        <f>data!D722-data!D721</f>
        <v>0.69000000000000039</v>
      </c>
      <c r="D721" s="10">
        <f>data!B722-data!B721</f>
        <v>-0.12750000000000017</v>
      </c>
      <c r="E721" s="9">
        <f>data!E721-data!G721</f>
        <v>3.0480999999999998</v>
      </c>
      <c r="F721" s="9">
        <f>(data!E721-data!F721)-(data!G721-data!H721)</f>
        <v>2.4299999999999988E-2</v>
      </c>
      <c r="G721" s="9">
        <f t="shared" si="550"/>
        <v>-7.8599999999999781E-2</v>
      </c>
      <c r="H721" s="9">
        <f t="shared" si="551"/>
        <v>1.4999999999999902E-2</v>
      </c>
      <c r="I721" s="9">
        <f>IF(data!M722&gt; 111.81,1,0)</f>
        <v>1</v>
      </c>
      <c r="J721" s="9">
        <f t="shared" si="552"/>
        <v>0</v>
      </c>
      <c r="K721" s="9">
        <f t="shared" si="553"/>
        <v>0.61599999999999966</v>
      </c>
      <c r="L721" s="9">
        <f t="shared" si="554"/>
        <v>0</v>
      </c>
      <c r="M721" s="9">
        <f>data!J721</f>
        <v>-34.5</v>
      </c>
      <c r="N721" s="9">
        <f>data!I721</f>
        <v>-48.75</v>
      </c>
      <c r="O721" s="9">
        <f>data!L721</f>
        <v>-52</v>
      </c>
      <c r="P721" s="9">
        <f>data!K721</f>
        <v>-44.75</v>
      </c>
      <c r="Q721" s="9">
        <f>data!R721</f>
        <v>-41.5</v>
      </c>
      <c r="R721" s="9">
        <f t="shared" si="555"/>
        <v>1.125</v>
      </c>
      <c r="S721" s="9">
        <f t="shared" si="556"/>
        <v>2.375</v>
      </c>
      <c r="T721" s="9">
        <f t="shared" si="557"/>
        <v>0.25</v>
      </c>
      <c r="U721" s="9">
        <f t="shared" si="558"/>
        <v>2.5</v>
      </c>
      <c r="V721" s="9">
        <f t="shared" si="559"/>
        <v>2.625</v>
      </c>
      <c r="W721" s="9">
        <f t="shared" si="560"/>
        <v>5.5</v>
      </c>
      <c r="X721" s="9">
        <f t="shared" si="561"/>
        <v>8</v>
      </c>
      <c r="Y721" s="9">
        <f t="shared" si="562"/>
        <v>9.875</v>
      </c>
      <c r="Z721" s="9">
        <f t="shared" si="563"/>
        <v>11</v>
      </c>
      <c r="AA721" s="9">
        <f t="shared" si="564"/>
        <v>1.25</v>
      </c>
      <c r="AB721" s="9">
        <f t="shared" si="565"/>
        <v>1</v>
      </c>
      <c r="AC721" s="9">
        <f t="shared" si="566"/>
        <v>-0.25</v>
      </c>
      <c r="AD721" s="9">
        <f t="shared" si="567"/>
        <v>-0.75</v>
      </c>
      <c r="AE721" s="9">
        <f t="shared" si="568"/>
        <v>0.375</v>
      </c>
      <c r="AF721" s="9">
        <f t="shared" si="569"/>
        <v>1.625</v>
      </c>
      <c r="AG721" s="9">
        <f t="shared" si="570"/>
        <v>1.75</v>
      </c>
      <c r="AH721" s="9">
        <f t="shared" si="571"/>
        <v>3.25</v>
      </c>
      <c r="AI721" s="9">
        <f t="shared" si="572"/>
        <v>3.1875</v>
      </c>
      <c r="AJ721" s="9">
        <f t="shared" si="573"/>
        <v>1.25</v>
      </c>
      <c r="AK721" s="9">
        <f t="shared" si="574"/>
        <v>0.75</v>
      </c>
      <c r="AL721" s="9">
        <f t="shared" si="575"/>
        <v>0</v>
      </c>
      <c r="AM721" s="9">
        <f t="shared" si="576"/>
        <v>-1</v>
      </c>
      <c r="AN721" s="9">
        <f t="shared" si="577"/>
        <v>0.375</v>
      </c>
      <c r="AO721" s="9">
        <f t="shared" si="578"/>
        <v>0.5</v>
      </c>
      <c r="AP721" s="9">
        <f t="shared" si="579"/>
        <v>-0.875</v>
      </c>
      <c r="AQ721" s="9">
        <f t="shared" si="580"/>
        <v>1.625</v>
      </c>
      <c r="AR721" s="9">
        <f t="shared" si="581"/>
        <v>1.4375</v>
      </c>
      <c r="AS721" s="9">
        <f t="shared" si="582"/>
        <v>1.75</v>
      </c>
      <c r="AT721" s="9">
        <f t="shared" si="583"/>
        <v>1.75</v>
      </c>
      <c r="AU721" s="9">
        <f t="shared" si="584"/>
        <v>0.75</v>
      </c>
      <c r="AV721" s="9">
        <f t="shared" si="585"/>
        <v>0.25</v>
      </c>
      <c r="AW721" s="9">
        <f t="shared" si="586"/>
        <v>1.875</v>
      </c>
      <c r="AX721" s="9">
        <f t="shared" si="587"/>
        <v>2.5</v>
      </c>
      <c r="AY721" s="9">
        <f t="shared" si="588"/>
        <v>3.25</v>
      </c>
      <c r="AZ721" s="9">
        <f t="shared" si="589"/>
        <v>5.25</v>
      </c>
      <c r="BA721" s="9">
        <f t="shared" si="590"/>
        <v>5.5</v>
      </c>
      <c r="BB721" s="9">
        <f t="shared" si="591"/>
        <v>1.75</v>
      </c>
      <c r="BC721" s="9">
        <f t="shared" si="592"/>
        <v>1.625</v>
      </c>
      <c r="BD721" s="9">
        <f t="shared" si="593"/>
        <v>0.75</v>
      </c>
      <c r="BE721" s="9">
        <f t="shared" si="594"/>
        <v>0</v>
      </c>
      <c r="BF721" s="9">
        <f t="shared" si="595"/>
        <v>2.125</v>
      </c>
      <c r="BG721" s="9">
        <f t="shared" si="596"/>
        <v>4.125</v>
      </c>
      <c r="BH721" s="9">
        <f t="shared" si="597"/>
        <v>4.875</v>
      </c>
      <c r="BI721" s="9">
        <f t="shared" si="598"/>
        <v>7.5</v>
      </c>
      <c r="BJ721" s="9">
        <f t="shared" si="599"/>
        <v>9.75</v>
      </c>
    </row>
    <row r="722" spans="1:62" x14ac:dyDescent="0.2">
      <c r="A722" s="9">
        <f>data!M723-data!M722</f>
        <v>0.16979999999999507</v>
      </c>
      <c r="B722" s="9">
        <f>data!C723-data!C722</f>
        <v>-4.6499999999999986</v>
      </c>
      <c r="C722" s="9">
        <f>data!D723-data!D722</f>
        <v>-0.41999999999999993</v>
      </c>
      <c r="D722" s="10">
        <f>data!B723-data!B722</f>
        <v>0.26750000000000007</v>
      </c>
      <c r="E722" s="9">
        <f>data!E722-data!G722</f>
        <v>2.9695</v>
      </c>
      <c r="F722" s="9">
        <f>(data!E722-data!F722)-(data!G722-data!H722)</f>
        <v>3.9299999999999891E-2</v>
      </c>
      <c r="G722" s="9">
        <f t="shared" si="550"/>
        <v>0.12060000000000004</v>
      </c>
      <c r="H722" s="9">
        <f t="shared" si="551"/>
        <v>1.540000000000008E-2</v>
      </c>
      <c r="I722" s="9">
        <f>IF(data!M723&gt; 111.81,1,0)</f>
        <v>1</v>
      </c>
      <c r="J722" s="9">
        <f t="shared" si="552"/>
        <v>0</v>
      </c>
      <c r="K722" s="9">
        <f t="shared" si="553"/>
        <v>0.16979999999999507</v>
      </c>
      <c r="L722" s="9">
        <f t="shared" si="554"/>
        <v>0</v>
      </c>
      <c r="M722" s="9">
        <f>data!J722</f>
        <v>-33.375</v>
      </c>
      <c r="N722" s="9">
        <f>data!I722</f>
        <v>-47.5</v>
      </c>
      <c r="O722" s="9">
        <f>data!L722</f>
        <v>-50.75</v>
      </c>
      <c r="P722" s="9">
        <f>data!K722</f>
        <v>-43</v>
      </c>
      <c r="Q722" s="9">
        <f>data!R722</f>
        <v>-39.75</v>
      </c>
      <c r="R722" s="9">
        <f t="shared" si="555"/>
        <v>1.25</v>
      </c>
      <c r="S722" s="9">
        <f t="shared" si="556"/>
        <v>-0.875</v>
      </c>
      <c r="T722" s="9">
        <f t="shared" si="557"/>
        <v>1.375</v>
      </c>
      <c r="U722" s="9">
        <f t="shared" si="558"/>
        <v>1.5</v>
      </c>
      <c r="V722" s="9">
        <f t="shared" si="559"/>
        <v>4.375</v>
      </c>
      <c r="W722" s="9">
        <f t="shared" si="560"/>
        <v>6.875</v>
      </c>
      <c r="X722" s="9">
        <f t="shared" si="561"/>
        <v>8.75</v>
      </c>
      <c r="Y722" s="9">
        <f t="shared" si="562"/>
        <v>9.875</v>
      </c>
      <c r="Z722" s="9">
        <f t="shared" si="563"/>
        <v>4.1875</v>
      </c>
      <c r="AA722" s="9">
        <f t="shared" si="564"/>
        <v>-0.25</v>
      </c>
      <c r="AB722" s="9">
        <f t="shared" si="565"/>
        <v>-1.5</v>
      </c>
      <c r="AC722" s="9">
        <f t="shared" si="566"/>
        <v>-2</v>
      </c>
      <c r="AD722" s="9">
        <f t="shared" si="567"/>
        <v>-0.875</v>
      </c>
      <c r="AE722" s="9">
        <f t="shared" si="568"/>
        <v>0.375</v>
      </c>
      <c r="AF722" s="9">
        <f t="shared" si="569"/>
        <v>0.5</v>
      </c>
      <c r="AG722" s="9">
        <f t="shared" si="570"/>
        <v>2</v>
      </c>
      <c r="AH722" s="9">
        <f t="shared" si="571"/>
        <v>1.9375</v>
      </c>
      <c r="AI722" s="9">
        <f t="shared" si="572"/>
        <v>0.75</v>
      </c>
      <c r="AJ722" s="9">
        <f t="shared" si="573"/>
        <v>-0.5</v>
      </c>
      <c r="AK722" s="9">
        <f t="shared" si="574"/>
        <v>-1.25</v>
      </c>
      <c r="AL722" s="9">
        <f t="shared" si="575"/>
        <v>-2.25</v>
      </c>
      <c r="AM722" s="9">
        <f t="shared" si="576"/>
        <v>-0.875</v>
      </c>
      <c r="AN722" s="9">
        <f t="shared" si="577"/>
        <v>-0.75</v>
      </c>
      <c r="AO722" s="9">
        <f t="shared" si="578"/>
        <v>-2.125</v>
      </c>
      <c r="AP722" s="9">
        <f t="shared" si="579"/>
        <v>0.375</v>
      </c>
      <c r="AQ722" s="9">
        <f t="shared" si="580"/>
        <v>0.1875</v>
      </c>
      <c r="AR722" s="9">
        <f t="shared" si="581"/>
        <v>0.3125</v>
      </c>
      <c r="AS722" s="9">
        <f t="shared" si="582"/>
        <v>0</v>
      </c>
      <c r="AT722" s="9">
        <f t="shared" si="583"/>
        <v>-1</v>
      </c>
      <c r="AU722" s="9">
        <f t="shared" si="584"/>
        <v>-1.5</v>
      </c>
      <c r="AV722" s="9">
        <f t="shared" si="585"/>
        <v>0.125</v>
      </c>
      <c r="AW722" s="9">
        <f t="shared" si="586"/>
        <v>0.75</v>
      </c>
      <c r="AX722" s="9">
        <f t="shared" si="587"/>
        <v>1.5</v>
      </c>
      <c r="AY722" s="9">
        <f t="shared" si="588"/>
        <v>3.5</v>
      </c>
      <c r="AZ722" s="9">
        <f t="shared" si="589"/>
        <v>3.75</v>
      </c>
      <c r="BA722" s="9">
        <f t="shared" si="590"/>
        <v>4.25</v>
      </c>
      <c r="BB722" s="9">
        <f t="shared" si="591"/>
        <v>-0.125</v>
      </c>
      <c r="BC722" s="9">
        <f t="shared" si="592"/>
        <v>-1</v>
      </c>
      <c r="BD722" s="9">
        <f t="shared" si="593"/>
        <v>-1.75</v>
      </c>
      <c r="BE722" s="9">
        <f t="shared" si="594"/>
        <v>0.375</v>
      </c>
      <c r="BF722" s="9">
        <f t="shared" si="595"/>
        <v>2.375</v>
      </c>
      <c r="BG722" s="9">
        <f t="shared" si="596"/>
        <v>3.125</v>
      </c>
      <c r="BH722" s="9">
        <f t="shared" si="597"/>
        <v>5.75</v>
      </c>
      <c r="BI722" s="9">
        <f t="shared" si="598"/>
        <v>8</v>
      </c>
      <c r="BJ722" s="9">
        <f t="shared" si="599"/>
        <v>9.5</v>
      </c>
    </row>
    <row r="723" spans="1:62" x14ac:dyDescent="0.2">
      <c r="A723" s="9">
        <f>data!M724-data!M723</f>
        <v>0.83470000000001221</v>
      </c>
      <c r="B723" s="9">
        <f>data!C724-data!C723</f>
        <v>-2.1500000000000021</v>
      </c>
      <c r="C723" s="9">
        <f>data!D724-data!D723</f>
        <v>-0.13000000000000078</v>
      </c>
      <c r="D723" s="10">
        <f>data!B724-data!B723</f>
        <v>2.0000000000000018E-2</v>
      </c>
      <c r="E723" s="9">
        <f>data!E723-data!G723</f>
        <v>3.0901000000000001</v>
      </c>
      <c r="F723" s="9">
        <f>(data!E723-data!F723)-(data!G723-data!H723)</f>
        <v>5.4699999999999971E-2</v>
      </c>
      <c r="G723" s="9">
        <f t="shared" si="550"/>
        <v>-2.4199999999999999E-2</v>
      </c>
      <c r="H723" s="9">
        <f t="shared" si="551"/>
        <v>-5.2899999999999947E-2</v>
      </c>
      <c r="I723" s="9">
        <f>IF(data!M724&gt; 111.81,1,0)</f>
        <v>1</v>
      </c>
      <c r="J723" s="9">
        <f t="shared" si="552"/>
        <v>0</v>
      </c>
      <c r="K723" s="9">
        <f t="shared" si="553"/>
        <v>0.83470000000001221</v>
      </c>
      <c r="L723" s="9">
        <f t="shared" si="554"/>
        <v>0</v>
      </c>
      <c r="M723" s="9">
        <f>data!J723</f>
        <v>-32.125</v>
      </c>
      <c r="N723" s="9">
        <f>data!I723</f>
        <v>-47.75</v>
      </c>
      <c r="O723" s="9">
        <f>data!L723</f>
        <v>-51.25</v>
      </c>
      <c r="P723" s="9">
        <f>data!K723</f>
        <v>-43</v>
      </c>
      <c r="Q723" s="9">
        <f>data!R723</f>
        <v>-39.875</v>
      </c>
      <c r="R723" s="9">
        <f t="shared" si="555"/>
        <v>-2.125</v>
      </c>
      <c r="S723" s="9">
        <f t="shared" si="556"/>
        <v>0.125</v>
      </c>
      <c r="T723" s="9">
        <f t="shared" si="557"/>
        <v>0.25</v>
      </c>
      <c r="U723" s="9">
        <f t="shared" si="558"/>
        <v>3.125</v>
      </c>
      <c r="V723" s="9">
        <f t="shared" si="559"/>
        <v>5.625</v>
      </c>
      <c r="W723" s="9">
        <f t="shared" si="560"/>
        <v>7.5</v>
      </c>
      <c r="X723" s="9">
        <f t="shared" si="561"/>
        <v>8.625</v>
      </c>
      <c r="Y723" s="9">
        <f t="shared" si="562"/>
        <v>2.9375</v>
      </c>
      <c r="Z723" s="9">
        <f t="shared" si="563"/>
        <v>3.875</v>
      </c>
      <c r="AA723" s="9">
        <f t="shared" si="564"/>
        <v>-1.25</v>
      </c>
      <c r="AB723" s="9">
        <f t="shared" si="565"/>
        <v>-1.75</v>
      </c>
      <c r="AC723" s="9">
        <f t="shared" si="566"/>
        <v>-0.625</v>
      </c>
      <c r="AD723" s="9">
        <f t="shared" si="567"/>
        <v>0.625</v>
      </c>
      <c r="AE723" s="9">
        <f t="shared" si="568"/>
        <v>0.75</v>
      </c>
      <c r="AF723" s="9">
        <f t="shared" si="569"/>
        <v>2.25</v>
      </c>
      <c r="AG723" s="9">
        <f t="shared" si="570"/>
        <v>2.1875</v>
      </c>
      <c r="AH723" s="9">
        <f t="shared" si="571"/>
        <v>1</v>
      </c>
      <c r="AI723" s="9">
        <f t="shared" si="572"/>
        <v>2</v>
      </c>
      <c r="AJ723" s="9">
        <f t="shared" si="573"/>
        <v>-0.75</v>
      </c>
      <c r="AK723" s="9">
        <f t="shared" si="574"/>
        <v>-1.75</v>
      </c>
      <c r="AL723" s="9">
        <f t="shared" si="575"/>
        <v>-0.375</v>
      </c>
      <c r="AM723" s="9">
        <f t="shared" si="576"/>
        <v>-0.25</v>
      </c>
      <c r="AN723" s="9">
        <f t="shared" si="577"/>
        <v>-1.625</v>
      </c>
      <c r="AO723" s="9">
        <f t="shared" si="578"/>
        <v>0.875</v>
      </c>
      <c r="AP723" s="9">
        <f t="shared" si="579"/>
        <v>0.6875</v>
      </c>
      <c r="AQ723" s="9">
        <f t="shared" si="580"/>
        <v>0.8125</v>
      </c>
      <c r="AR723" s="9">
        <f t="shared" si="581"/>
        <v>0.5</v>
      </c>
      <c r="AS723" s="9">
        <f t="shared" si="582"/>
        <v>-1</v>
      </c>
      <c r="AT723" s="9">
        <f t="shared" si="583"/>
        <v>-1.5</v>
      </c>
      <c r="AU723" s="9">
        <f t="shared" si="584"/>
        <v>0.125</v>
      </c>
      <c r="AV723" s="9">
        <f t="shared" si="585"/>
        <v>0.75</v>
      </c>
      <c r="AW723" s="9">
        <f t="shared" si="586"/>
        <v>1.5</v>
      </c>
      <c r="AX723" s="9">
        <f t="shared" si="587"/>
        <v>3.5</v>
      </c>
      <c r="AY723" s="9">
        <f t="shared" si="588"/>
        <v>3.75</v>
      </c>
      <c r="AZ723" s="9">
        <f t="shared" si="589"/>
        <v>4.25</v>
      </c>
      <c r="BA723" s="9">
        <f t="shared" si="590"/>
        <v>4.125</v>
      </c>
      <c r="BB723" s="9">
        <f t="shared" si="591"/>
        <v>-0.875</v>
      </c>
      <c r="BC723" s="9">
        <f t="shared" si="592"/>
        <v>-1.625</v>
      </c>
      <c r="BD723" s="9">
        <f t="shared" si="593"/>
        <v>0.5</v>
      </c>
      <c r="BE723" s="9">
        <f t="shared" si="594"/>
        <v>2.5</v>
      </c>
      <c r="BF723" s="9">
        <f t="shared" si="595"/>
        <v>3.25</v>
      </c>
      <c r="BG723" s="9">
        <f t="shared" si="596"/>
        <v>5.875</v>
      </c>
      <c r="BH723" s="9">
        <f t="shared" si="597"/>
        <v>8.125</v>
      </c>
      <c r="BI723" s="9">
        <f t="shared" si="598"/>
        <v>9.625</v>
      </c>
      <c r="BJ723" s="9">
        <f t="shared" si="599"/>
        <v>10</v>
      </c>
    </row>
    <row r="724" spans="1:62" x14ac:dyDescent="0.2">
      <c r="A724" s="9">
        <f>data!M725-data!M724</f>
        <v>-0.55160000000000764</v>
      </c>
      <c r="B724" s="9">
        <f>data!C725-data!C724</f>
        <v>0.78000000000000114</v>
      </c>
      <c r="C724" s="9">
        <f>data!D725-data!D724</f>
        <v>0.31500000000000039</v>
      </c>
      <c r="D724" s="10">
        <f>data!B725-data!B724</f>
        <v>-6.25E-2</v>
      </c>
      <c r="E724" s="9">
        <f>data!E724-data!G724</f>
        <v>3.0659000000000001</v>
      </c>
      <c r="F724" s="9">
        <f>(data!E724-data!F724)-(data!G724-data!H724)</f>
        <v>1.8000000000000238E-3</v>
      </c>
      <c r="G724" s="9">
        <f t="shared" si="550"/>
        <v>-0.10109999999999975</v>
      </c>
      <c r="H724" s="9">
        <f t="shared" si="551"/>
        <v>1.8200000000000327E-2</v>
      </c>
      <c r="I724" s="9">
        <f>IF(data!M725&gt; 111.81,1,0)</f>
        <v>1</v>
      </c>
      <c r="J724" s="9">
        <f t="shared" si="552"/>
        <v>0</v>
      </c>
      <c r="K724" s="9">
        <f t="shared" si="553"/>
        <v>-0.55160000000000764</v>
      </c>
      <c r="L724" s="9">
        <f t="shared" si="554"/>
        <v>0</v>
      </c>
      <c r="M724" s="9">
        <f>data!J724</f>
        <v>-34.25</v>
      </c>
      <c r="N724" s="9">
        <f>data!I724</f>
        <v>-49</v>
      </c>
      <c r="O724" s="9">
        <f>data!L724</f>
        <v>-52</v>
      </c>
      <c r="P724" s="9">
        <f>data!K724</f>
        <v>-44</v>
      </c>
      <c r="Q724" s="9">
        <f>data!R724</f>
        <v>-40.75</v>
      </c>
      <c r="R724" s="9">
        <f t="shared" si="555"/>
        <v>2.25</v>
      </c>
      <c r="S724" s="9">
        <f t="shared" si="556"/>
        <v>2.375</v>
      </c>
      <c r="T724" s="9">
        <f t="shared" si="557"/>
        <v>5.25</v>
      </c>
      <c r="U724" s="9">
        <f t="shared" si="558"/>
        <v>7.75</v>
      </c>
      <c r="V724" s="9">
        <f t="shared" si="559"/>
        <v>9.625</v>
      </c>
      <c r="W724" s="9">
        <f t="shared" si="560"/>
        <v>10.75</v>
      </c>
      <c r="X724" s="9">
        <f t="shared" si="561"/>
        <v>5.0625</v>
      </c>
      <c r="Y724" s="9">
        <f t="shared" si="562"/>
        <v>6</v>
      </c>
      <c r="Z724" s="9">
        <f t="shared" si="563"/>
        <v>5.875</v>
      </c>
      <c r="AA724" s="9">
        <f t="shared" si="564"/>
        <v>-0.5</v>
      </c>
      <c r="AB724" s="9">
        <f t="shared" si="565"/>
        <v>0.625</v>
      </c>
      <c r="AC724" s="9">
        <f t="shared" si="566"/>
        <v>1.875</v>
      </c>
      <c r="AD724" s="9">
        <f t="shared" si="567"/>
        <v>2</v>
      </c>
      <c r="AE724" s="9">
        <f t="shared" si="568"/>
        <v>3.5</v>
      </c>
      <c r="AF724" s="9">
        <f t="shared" si="569"/>
        <v>3.4375</v>
      </c>
      <c r="AG724" s="9">
        <f t="shared" si="570"/>
        <v>2.25</v>
      </c>
      <c r="AH724" s="9">
        <f t="shared" si="571"/>
        <v>3.25</v>
      </c>
      <c r="AI724" s="9">
        <f t="shared" si="572"/>
        <v>2.625</v>
      </c>
      <c r="AJ724" s="9">
        <f t="shared" si="573"/>
        <v>-1</v>
      </c>
      <c r="AK724" s="9">
        <f t="shared" si="574"/>
        <v>0.375</v>
      </c>
      <c r="AL724" s="9">
        <f t="shared" si="575"/>
        <v>0.5</v>
      </c>
      <c r="AM724" s="9">
        <f t="shared" si="576"/>
        <v>-0.875</v>
      </c>
      <c r="AN724" s="9">
        <f t="shared" si="577"/>
        <v>1.625</v>
      </c>
      <c r="AO724" s="9">
        <f t="shared" si="578"/>
        <v>1.4375</v>
      </c>
      <c r="AP724" s="9">
        <f t="shared" si="579"/>
        <v>1.5625</v>
      </c>
      <c r="AQ724" s="9">
        <f t="shared" si="580"/>
        <v>1.25</v>
      </c>
      <c r="AR724" s="9">
        <f t="shared" si="581"/>
        <v>0.625</v>
      </c>
      <c r="AS724" s="9">
        <f t="shared" si="582"/>
        <v>-0.5</v>
      </c>
      <c r="AT724" s="9">
        <f t="shared" si="583"/>
        <v>1.125</v>
      </c>
      <c r="AU724" s="9">
        <f t="shared" si="584"/>
        <v>1.75</v>
      </c>
      <c r="AV724" s="9">
        <f t="shared" si="585"/>
        <v>2.5</v>
      </c>
      <c r="AW724" s="9">
        <f t="shared" si="586"/>
        <v>4.5</v>
      </c>
      <c r="AX724" s="9">
        <f t="shared" si="587"/>
        <v>4.75</v>
      </c>
      <c r="AY724" s="9">
        <f t="shared" si="588"/>
        <v>5.25</v>
      </c>
      <c r="AZ724" s="9">
        <f t="shared" si="589"/>
        <v>5.125</v>
      </c>
      <c r="BA724" s="9">
        <f t="shared" si="590"/>
        <v>4.625</v>
      </c>
      <c r="BB724" s="9">
        <f t="shared" si="591"/>
        <v>-0.75</v>
      </c>
      <c r="BC724" s="9">
        <f t="shared" si="592"/>
        <v>1.375</v>
      </c>
      <c r="BD724" s="9">
        <f t="shared" si="593"/>
        <v>3.375</v>
      </c>
      <c r="BE724" s="9">
        <f t="shared" si="594"/>
        <v>4.125</v>
      </c>
      <c r="BF724" s="9">
        <f t="shared" si="595"/>
        <v>6.75</v>
      </c>
      <c r="BG724" s="9">
        <f t="shared" si="596"/>
        <v>9</v>
      </c>
      <c r="BH724" s="9">
        <f t="shared" si="597"/>
        <v>10.5</v>
      </c>
      <c r="BI724" s="9">
        <f t="shared" si="598"/>
        <v>10.875</v>
      </c>
      <c r="BJ724" s="9">
        <f t="shared" si="599"/>
        <v>9.375</v>
      </c>
    </row>
    <row r="725" spans="1:62" x14ac:dyDescent="0.2">
      <c r="A725" s="9">
        <f>data!M726-data!M725</f>
        <v>0.54569999999999652</v>
      </c>
      <c r="B725" s="9">
        <f>data!C726-data!C725</f>
        <v>3.379999999999999</v>
      </c>
      <c r="C725" s="9">
        <f>data!D726-data!D725</f>
        <v>-0.36249999999999982</v>
      </c>
      <c r="D725" s="10">
        <f>data!B726-data!B725</f>
        <v>5.0000000000000044E-2</v>
      </c>
      <c r="E725" s="9">
        <f>data!E725-data!G725</f>
        <v>2.9648000000000003</v>
      </c>
      <c r="F725" s="9">
        <f>(data!E725-data!F725)-(data!G725-data!H725)</f>
        <v>2.0000000000000351E-2</v>
      </c>
      <c r="G725" s="9">
        <f t="shared" si="550"/>
        <v>-1.880000000000015E-2</v>
      </c>
      <c r="H725" s="9">
        <f t="shared" si="551"/>
        <v>-2.7400000000000313E-2</v>
      </c>
      <c r="I725" s="9">
        <f>IF(data!M726&gt; 111.81,1,0)</f>
        <v>1</v>
      </c>
      <c r="J725" s="9">
        <f t="shared" si="552"/>
        <v>0</v>
      </c>
      <c r="K725" s="9">
        <f t="shared" si="553"/>
        <v>0.54569999999999652</v>
      </c>
      <c r="L725" s="9">
        <f t="shared" si="554"/>
        <v>0</v>
      </c>
      <c r="M725" s="9">
        <f>data!J725</f>
        <v>-32</v>
      </c>
      <c r="N725" s="9">
        <f>data!I725</f>
        <v>-49.5</v>
      </c>
      <c r="O725" s="9">
        <f>data!L725</f>
        <v>-53</v>
      </c>
      <c r="P725" s="9">
        <f>data!K725</f>
        <v>-44.5</v>
      </c>
      <c r="Q725" s="9">
        <f>data!R725</f>
        <v>-41.5</v>
      </c>
      <c r="R725" s="9">
        <f t="shared" si="555"/>
        <v>0.125</v>
      </c>
      <c r="S725" s="9">
        <f t="shared" si="556"/>
        <v>3</v>
      </c>
      <c r="T725" s="9">
        <f t="shared" si="557"/>
        <v>5.5</v>
      </c>
      <c r="U725" s="9">
        <f t="shared" si="558"/>
        <v>7.375</v>
      </c>
      <c r="V725" s="9">
        <f t="shared" si="559"/>
        <v>8.5</v>
      </c>
      <c r="W725" s="9">
        <f t="shared" si="560"/>
        <v>2.8125</v>
      </c>
      <c r="X725" s="9">
        <f t="shared" si="561"/>
        <v>3.75</v>
      </c>
      <c r="Y725" s="9">
        <f t="shared" si="562"/>
        <v>3.625</v>
      </c>
      <c r="Z725" s="9">
        <f t="shared" si="563"/>
        <v>3.375</v>
      </c>
      <c r="AA725" s="9">
        <f t="shared" si="564"/>
        <v>1.125</v>
      </c>
      <c r="AB725" s="9">
        <f t="shared" si="565"/>
        <v>2.375</v>
      </c>
      <c r="AC725" s="9">
        <f t="shared" si="566"/>
        <v>2.5</v>
      </c>
      <c r="AD725" s="9">
        <f t="shared" si="567"/>
        <v>4</v>
      </c>
      <c r="AE725" s="9">
        <f t="shared" si="568"/>
        <v>3.9375</v>
      </c>
      <c r="AF725" s="9">
        <f t="shared" si="569"/>
        <v>2.75</v>
      </c>
      <c r="AG725" s="9">
        <f t="shared" si="570"/>
        <v>3.75</v>
      </c>
      <c r="AH725" s="9">
        <f t="shared" si="571"/>
        <v>3.125</v>
      </c>
      <c r="AI725" s="9">
        <f t="shared" si="572"/>
        <v>1.75</v>
      </c>
      <c r="AJ725" s="9">
        <f t="shared" si="573"/>
        <v>1.375</v>
      </c>
      <c r="AK725" s="9">
        <f t="shared" si="574"/>
        <v>1.5</v>
      </c>
      <c r="AL725" s="9">
        <f t="shared" si="575"/>
        <v>0.125</v>
      </c>
      <c r="AM725" s="9">
        <f t="shared" si="576"/>
        <v>2.625</v>
      </c>
      <c r="AN725" s="9">
        <f t="shared" si="577"/>
        <v>2.4375</v>
      </c>
      <c r="AO725" s="9">
        <f t="shared" si="578"/>
        <v>2.5625</v>
      </c>
      <c r="AP725" s="9">
        <f t="shared" si="579"/>
        <v>2.25</v>
      </c>
      <c r="AQ725" s="9">
        <f t="shared" si="580"/>
        <v>1.625</v>
      </c>
      <c r="AR725" s="9">
        <f t="shared" si="581"/>
        <v>-0.125</v>
      </c>
      <c r="AS725" s="9">
        <f t="shared" si="582"/>
        <v>1.625</v>
      </c>
      <c r="AT725" s="9">
        <f t="shared" si="583"/>
        <v>2.25</v>
      </c>
      <c r="AU725" s="9">
        <f t="shared" si="584"/>
        <v>3</v>
      </c>
      <c r="AV725" s="9">
        <f t="shared" si="585"/>
        <v>5</v>
      </c>
      <c r="AW725" s="9">
        <f t="shared" si="586"/>
        <v>5.25</v>
      </c>
      <c r="AX725" s="9">
        <f t="shared" si="587"/>
        <v>5.75</v>
      </c>
      <c r="AY725" s="9">
        <f t="shared" si="588"/>
        <v>5.625</v>
      </c>
      <c r="AZ725" s="9">
        <f t="shared" si="589"/>
        <v>5.125</v>
      </c>
      <c r="BA725" s="9">
        <f t="shared" si="590"/>
        <v>3.25</v>
      </c>
      <c r="BB725" s="9">
        <f t="shared" si="591"/>
        <v>2.125</v>
      </c>
      <c r="BC725" s="9">
        <f t="shared" si="592"/>
        <v>4.125</v>
      </c>
      <c r="BD725" s="9">
        <f t="shared" si="593"/>
        <v>4.875</v>
      </c>
      <c r="BE725" s="9">
        <f t="shared" si="594"/>
        <v>7.5</v>
      </c>
      <c r="BF725" s="9">
        <f t="shared" si="595"/>
        <v>9.75</v>
      </c>
      <c r="BG725" s="9">
        <f t="shared" si="596"/>
        <v>11.25</v>
      </c>
      <c r="BH725" s="9">
        <f t="shared" si="597"/>
        <v>11.625</v>
      </c>
      <c r="BI725" s="9">
        <f t="shared" si="598"/>
        <v>10.125</v>
      </c>
      <c r="BJ725" s="9">
        <f t="shared" si="599"/>
        <v>8.25</v>
      </c>
    </row>
    <row r="726" spans="1:62" x14ac:dyDescent="0.2">
      <c r="A726" s="9">
        <f>data!M727-data!M726</f>
        <v>-5.8199999999999363E-2</v>
      </c>
      <c r="B726" s="9">
        <f>data!C727-data!C726</f>
        <v>-3.4499999999999993</v>
      </c>
      <c r="C726" s="9">
        <f>data!D727-data!D726</f>
        <v>-0.13250000000000028</v>
      </c>
      <c r="D726" s="10">
        <f>data!B727-data!B726</f>
        <v>0.17749999999999999</v>
      </c>
      <c r="E726" s="9">
        <f>data!E726-data!G726</f>
        <v>2.9460000000000002</v>
      </c>
      <c r="F726" s="9">
        <f>(data!E726-data!F726)-(data!G726-data!H726)</f>
        <v>-7.3999999999999622E-3</v>
      </c>
      <c r="G726" s="9">
        <f t="shared" si="550"/>
        <v>-4.5100000000000584E-2</v>
      </c>
      <c r="H726" s="9">
        <f t="shared" si="551"/>
        <v>-1.120000000000046E-2</v>
      </c>
      <c r="I726" s="9">
        <f>IF(data!M727&gt; 111.81,1,0)</f>
        <v>1</v>
      </c>
      <c r="J726" s="9">
        <f t="shared" si="552"/>
        <v>0</v>
      </c>
      <c r="K726" s="9">
        <f t="shared" si="553"/>
        <v>-5.8199999999999363E-2</v>
      </c>
      <c r="L726" s="9">
        <f t="shared" si="554"/>
        <v>0</v>
      </c>
      <c r="M726" s="9">
        <f>data!J726</f>
        <v>-31.875</v>
      </c>
      <c r="N726" s="9">
        <f>data!I726</f>
        <v>-48.375</v>
      </c>
      <c r="O726" s="9">
        <f>data!L726</f>
        <v>-51.625</v>
      </c>
      <c r="P726" s="9">
        <f>data!K726</f>
        <v>-42.875</v>
      </c>
      <c r="Q726" s="9">
        <f>data!R726</f>
        <v>-39.375</v>
      </c>
      <c r="R726" s="9">
        <f t="shared" si="555"/>
        <v>2.875</v>
      </c>
      <c r="S726" s="9">
        <f t="shared" si="556"/>
        <v>5.375</v>
      </c>
      <c r="T726" s="9">
        <f t="shared" si="557"/>
        <v>7.25</v>
      </c>
      <c r="U726" s="9">
        <f t="shared" si="558"/>
        <v>8.375</v>
      </c>
      <c r="V726" s="9">
        <f t="shared" si="559"/>
        <v>2.6875</v>
      </c>
      <c r="W726" s="9">
        <f t="shared" si="560"/>
        <v>3.625</v>
      </c>
      <c r="X726" s="9">
        <f t="shared" si="561"/>
        <v>3.5</v>
      </c>
      <c r="Y726" s="9">
        <f t="shared" si="562"/>
        <v>3.25</v>
      </c>
      <c r="Z726" s="9">
        <f t="shared" si="563"/>
        <v>4.625</v>
      </c>
      <c r="AA726" s="9">
        <f t="shared" si="564"/>
        <v>1.25</v>
      </c>
      <c r="AB726" s="9">
        <f t="shared" si="565"/>
        <v>1.375</v>
      </c>
      <c r="AC726" s="9">
        <f t="shared" si="566"/>
        <v>2.875</v>
      </c>
      <c r="AD726" s="9">
        <f t="shared" si="567"/>
        <v>2.8125</v>
      </c>
      <c r="AE726" s="9">
        <f t="shared" si="568"/>
        <v>1.625</v>
      </c>
      <c r="AF726" s="9">
        <f t="shared" si="569"/>
        <v>2.625</v>
      </c>
      <c r="AG726" s="9">
        <f t="shared" si="570"/>
        <v>2</v>
      </c>
      <c r="AH726" s="9">
        <f t="shared" si="571"/>
        <v>0.625</v>
      </c>
      <c r="AI726" s="9">
        <f t="shared" si="572"/>
        <v>-0.375</v>
      </c>
      <c r="AJ726" s="9">
        <f t="shared" si="573"/>
        <v>0.125</v>
      </c>
      <c r="AK726" s="9">
        <f t="shared" si="574"/>
        <v>-1.25</v>
      </c>
      <c r="AL726" s="9">
        <f t="shared" si="575"/>
        <v>1.25</v>
      </c>
      <c r="AM726" s="9">
        <f t="shared" si="576"/>
        <v>1.0625</v>
      </c>
      <c r="AN726" s="9">
        <f t="shared" si="577"/>
        <v>1.1875</v>
      </c>
      <c r="AO726" s="9">
        <f t="shared" si="578"/>
        <v>0.875</v>
      </c>
      <c r="AP726" s="9">
        <f t="shared" si="579"/>
        <v>0.25</v>
      </c>
      <c r="AQ726" s="9">
        <f t="shared" si="580"/>
        <v>-1.5</v>
      </c>
      <c r="AR726" s="9">
        <f t="shared" si="581"/>
        <v>-4.375</v>
      </c>
      <c r="AS726" s="9">
        <f t="shared" si="582"/>
        <v>0.625</v>
      </c>
      <c r="AT726" s="9">
        <f t="shared" si="583"/>
        <v>1.375</v>
      </c>
      <c r="AU726" s="9">
        <f t="shared" si="584"/>
        <v>3.375</v>
      </c>
      <c r="AV726" s="9">
        <f t="shared" si="585"/>
        <v>3.625</v>
      </c>
      <c r="AW726" s="9">
        <f t="shared" si="586"/>
        <v>4.125</v>
      </c>
      <c r="AX726" s="9">
        <f t="shared" si="587"/>
        <v>4</v>
      </c>
      <c r="AY726" s="9">
        <f t="shared" si="588"/>
        <v>3.5</v>
      </c>
      <c r="AZ726" s="9">
        <f t="shared" si="589"/>
        <v>1.625</v>
      </c>
      <c r="BA726" s="9">
        <f t="shared" si="590"/>
        <v>-2.75</v>
      </c>
      <c r="BB726" s="9">
        <f t="shared" si="591"/>
        <v>2</v>
      </c>
      <c r="BC726" s="9">
        <f t="shared" si="592"/>
        <v>2.75</v>
      </c>
      <c r="BD726" s="9">
        <f t="shared" si="593"/>
        <v>5.375</v>
      </c>
      <c r="BE726" s="9">
        <f t="shared" si="594"/>
        <v>7.625</v>
      </c>
      <c r="BF726" s="9">
        <f t="shared" si="595"/>
        <v>9.125</v>
      </c>
      <c r="BG726" s="9">
        <f t="shared" si="596"/>
        <v>9.5</v>
      </c>
      <c r="BH726" s="9">
        <f t="shared" si="597"/>
        <v>8</v>
      </c>
      <c r="BI726" s="9">
        <f t="shared" si="598"/>
        <v>6.125</v>
      </c>
      <c r="BJ726" s="9">
        <f t="shared" si="599"/>
        <v>1.375</v>
      </c>
    </row>
    <row r="727" spans="1:62" x14ac:dyDescent="0.2">
      <c r="A727" s="9">
        <f>data!M728-data!M727</f>
        <v>-0.32819999999999538</v>
      </c>
      <c r="B727" s="9">
        <f>data!C728-data!C727</f>
        <v>5.16</v>
      </c>
      <c r="C727" s="9">
        <f>data!D728-data!D727</f>
        <v>7.0000000000000284E-2</v>
      </c>
      <c r="D727" s="10">
        <f>data!B728-data!B727</f>
        <v>-0.18500000000000005</v>
      </c>
      <c r="E727" s="9">
        <f>data!E727-data!G727</f>
        <v>2.9008999999999996</v>
      </c>
      <c r="F727" s="9">
        <f>(data!E727-data!F727)-(data!G727-data!H727)</f>
        <v>-1.8600000000000422E-2</v>
      </c>
      <c r="G727" s="9">
        <f t="shared" si="550"/>
        <v>-0.10889999999999933</v>
      </c>
      <c r="H727" s="9">
        <f t="shared" si="551"/>
        <v>-4.6299999999999453E-2</v>
      </c>
      <c r="I727" s="9">
        <f>IF(data!M728&gt; 111.81,1,0)</f>
        <v>1</v>
      </c>
      <c r="J727" s="9">
        <f t="shared" si="552"/>
        <v>0</v>
      </c>
      <c r="K727" s="9">
        <f t="shared" si="553"/>
        <v>-0.32819999999999538</v>
      </c>
      <c r="L727" s="9">
        <f t="shared" si="554"/>
        <v>0</v>
      </c>
      <c r="M727" s="9">
        <f>data!J727</f>
        <v>-29</v>
      </c>
      <c r="N727" s="9">
        <f>data!I727</f>
        <v>-47.125</v>
      </c>
      <c r="O727" s="9">
        <f>data!L727</f>
        <v>-51.5</v>
      </c>
      <c r="P727" s="9">
        <f>data!K727</f>
        <v>-42.25</v>
      </c>
      <c r="Q727" s="9">
        <f>data!R727</f>
        <v>-37.375</v>
      </c>
      <c r="R727" s="9">
        <f t="shared" si="555"/>
        <v>2.5</v>
      </c>
      <c r="S727" s="9">
        <f t="shared" si="556"/>
        <v>4.375</v>
      </c>
      <c r="T727" s="9">
        <f t="shared" si="557"/>
        <v>5.5</v>
      </c>
      <c r="U727" s="9">
        <f t="shared" si="558"/>
        <v>-0.1875</v>
      </c>
      <c r="V727" s="9">
        <f t="shared" si="559"/>
        <v>0.75</v>
      </c>
      <c r="W727" s="9">
        <f t="shared" si="560"/>
        <v>0.625</v>
      </c>
      <c r="X727" s="9">
        <f t="shared" si="561"/>
        <v>0.375</v>
      </c>
      <c r="Y727" s="9">
        <f t="shared" si="562"/>
        <v>1.75</v>
      </c>
      <c r="Z727" s="9">
        <f t="shared" si="563"/>
        <v>1.25</v>
      </c>
      <c r="AA727" s="9">
        <f t="shared" si="564"/>
        <v>0.125</v>
      </c>
      <c r="AB727" s="9">
        <f t="shared" si="565"/>
        <v>1.625</v>
      </c>
      <c r="AC727" s="9">
        <f t="shared" si="566"/>
        <v>1.5625</v>
      </c>
      <c r="AD727" s="9">
        <f t="shared" si="567"/>
        <v>0.375</v>
      </c>
      <c r="AE727" s="9">
        <f t="shared" si="568"/>
        <v>1.375</v>
      </c>
      <c r="AF727" s="9">
        <f t="shared" si="569"/>
        <v>0.75</v>
      </c>
      <c r="AG727" s="9">
        <f t="shared" si="570"/>
        <v>-0.625</v>
      </c>
      <c r="AH727" s="9">
        <f t="shared" si="571"/>
        <v>-1.625</v>
      </c>
      <c r="AI727" s="9">
        <f t="shared" si="572"/>
        <v>-0.875</v>
      </c>
      <c r="AJ727" s="9">
        <f t="shared" si="573"/>
        <v>-1.375</v>
      </c>
      <c r="AK727" s="9">
        <f t="shared" si="574"/>
        <v>1.125</v>
      </c>
      <c r="AL727" s="9">
        <f t="shared" si="575"/>
        <v>0.9375</v>
      </c>
      <c r="AM727" s="9">
        <f t="shared" si="576"/>
        <v>1.0625</v>
      </c>
      <c r="AN727" s="9">
        <f t="shared" si="577"/>
        <v>0.75</v>
      </c>
      <c r="AO727" s="9">
        <f t="shared" si="578"/>
        <v>0.125</v>
      </c>
      <c r="AP727" s="9">
        <f t="shared" si="579"/>
        <v>-1.625</v>
      </c>
      <c r="AQ727" s="9">
        <f t="shared" si="580"/>
        <v>-4.5</v>
      </c>
      <c r="AR727" s="9">
        <f t="shared" si="581"/>
        <v>-4.25</v>
      </c>
      <c r="AS727" s="9">
        <f t="shared" si="582"/>
        <v>0.75</v>
      </c>
      <c r="AT727" s="9">
        <f t="shared" si="583"/>
        <v>2.75</v>
      </c>
      <c r="AU727" s="9">
        <f t="shared" si="584"/>
        <v>3</v>
      </c>
      <c r="AV727" s="9">
        <f t="shared" si="585"/>
        <v>3.5</v>
      </c>
      <c r="AW727" s="9">
        <f t="shared" si="586"/>
        <v>3.375</v>
      </c>
      <c r="AX727" s="9">
        <f t="shared" si="587"/>
        <v>2.875</v>
      </c>
      <c r="AY727" s="9">
        <f t="shared" si="588"/>
        <v>1</v>
      </c>
      <c r="AZ727" s="9">
        <f t="shared" si="589"/>
        <v>-3.375</v>
      </c>
      <c r="BA727" s="9">
        <f t="shared" si="590"/>
        <v>-4.625</v>
      </c>
      <c r="BB727" s="9">
        <f t="shared" si="591"/>
        <v>0.75</v>
      </c>
      <c r="BC727" s="9">
        <f t="shared" si="592"/>
        <v>3.375</v>
      </c>
      <c r="BD727" s="9">
        <f t="shared" si="593"/>
        <v>5.625</v>
      </c>
      <c r="BE727" s="9">
        <f t="shared" si="594"/>
        <v>7.125</v>
      </c>
      <c r="BF727" s="9">
        <f t="shared" si="595"/>
        <v>7.5</v>
      </c>
      <c r="BG727" s="9">
        <f t="shared" si="596"/>
        <v>6</v>
      </c>
      <c r="BH727" s="9">
        <f t="shared" si="597"/>
        <v>4.125</v>
      </c>
      <c r="BI727" s="9">
        <f t="shared" si="598"/>
        <v>-0.625</v>
      </c>
      <c r="BJ727" s="9">
        <f t="shared" si="599"/>
        <v>-1.875</v>
      </c>
    </row>
    <row r="728" spans="1:62" x14ac:dyDescent="0.2">
      <c r="A728" s="9">
        <f>data!M729-data!M728</f>
        <v>0.70520000000000493</v>
      </c>
      <c r="B728" s="9">
        <f>data!C729-data!C728</f>
        <v>-1.6000000000000014</v>
      </c>
      <c r="C728" s="9">
        <f>data!D729-data!D728</f>
        <v>-0.29999999999999982</v>
      </c>
      <c r="D728" s="10">
        <f>data!B729-data!B728</f>
        <v>3.7499999999999978E-2</v>
      </c>
      <c r="E728" s="9">
        <f>data!E728-data!G728</f>
        <v>2.7920000000000003</v>
      </c>
      <c r="F728" s="9">
        <f>(data!E728-data!F728)-(data!G728-data!H728)</f>
        <v>-6.4899999999999874E-2</v>
      </c>
      <c r="G728" s="9">
        <f t="shared" si="550"/>
        <v>7.0499999999999563E-2</v>
      </c>
      <c r="H728" s="9">
        <f t="shared" si="551"/>
        <v>3.5399999999999737E-2</v>
      </c>
      <c r="I728" s="9">
        <f>IF(data!M729&gt; 111.81,1,0)</f>
        <v>1</v>
      </c>
      <c r="J728" s="9">
        <f t="shared" si="552"/>
        <v>0</v>
      </c>
      <c r="K728" s="9">
        <f t="shared" si="553"/>
        <v>0.70520000000000493</v>
      </c>
      <c r="L728" s="9">
        <f t="shared" si="554"/>
        <v>0</v>
      </c>
      <c r="M728" s="9">
        <f>data!J728</f>
        <v>-26.5</v>
      </c>
      <c r="N728" s="9">
        <f>data!I728</f>
        <v>-47</v>
      </c>
      <c r="O728" s="9">
        <f>data!L728</f>
        <v>-52.875</v>
      </c>
      <c r="P728" s="9">
        <f>data!K728</f>
        <v>-41.5</v>
      </c>
      <c r="Q728" s="9">
        <f>data!R728</f>
        <v>-36.625</v>
      </c>
      <c r="R728" s="9">
        <f t="shared" si="555"/>
        <v>1.875</v>
      </c>
      <c r="S728" s="9">
        <f t="shared" si="556"/>
        <v>3</v>
      </c>
      <c r="T728" s="9">
        <f t="shared" si="557"/>
        <v>-2.6875</v>
      </c>
      <c r="U728" s="9">
        <f t="shared" si="558"/>
        <v>-1.75</v>
      </c>
      <c r="V728" s="9">
        <f t="shared" si="559"/>
        <v>-1.875</v>
      </c>
      <c r="W728" s="9">
        <f t="shared" si="560"/>
        <v>-2.125</v>
      </c>
      <c r="X728" s="9">
        <f t="shared" si="561"/>
        <v>-0.75</v>
      </c>
      <c r="Y728" s="9">
        <f t="shared" si="562"/>
        <v>-1.25</v>
      </c>
      <c r="Z728" s="9">
        <f t="shared" si="563"/>
        <v>-2.75</v>
      </c>
      <c r="AA728" s="9">
        <f t="shared" si="564"/>
        <v>1.5</v>
      </c>
      <c r="AB728" s="9">
        <f t="shared" si="565"/>
        <v>1.4375</v>
      </c>
      <c r="AC728" s="9">
        <f t="shared" si="566"/>
        <v>0.25</v>
      </c>
      <c r="AD728" s="9">
        <f t="shared" si="567"/>
        <v>1.25</v>
      </c>
      <c r="AE728" s="9">
        <f t="shared" si="568"/>
        <v>0.625</v>
      </c>
      <c r="AF728" s="9">
        <f t="shared" si="569"/>
        <v>-0.75</v>
      </c>
      <c r="AG728" s="9">
        <f t="shared" si="570"/>
        <v>-1.75</v>
      </c>
      <c r="AH728" s="9">
        <f t="shared" si="571"/>
        <v>-1</v>
      </c>
      <c r="AI728" s="9">
        <f t="shared" si="572"/>
        <v>-1.875</v>
      </c>
      <c r="AJ728" s="9">
        <f t="shared" si="573"/>
        <v>2.5</v>
      </c>
      <c r="AK728" s="9">
        <f t="shared" si="574"/>
        <v>2.3125</v>
      </c>
      <c r="AL728" s="9">
        <f t="shared" si="575"/>
        <v>2.4375</v>
      </c>
      <c r="AM728" s="9">
        <f t="shared" si="576"/>
        <v>2.125</v>
      </c>
      <c r="AN728" s="9">
        <f t="shared" si="577"/>
        <v>1.5</v>
      </c>
      <c r="AO728" s="9">
        <f t="shared" si="578"/>
        <v>-0.25</v>
      </c>
      <c r="AP728" s="9">
        <f t="shared" si="579"/>
        <v>-3.125</v>
      </c>
      <c r="AQ728" s="9">
        <f t="shared" si="580"/>
        <v>-2.875</v>
      </c>
      <c r="AR728" s="9">
        <f t="shared" si="581"/>
        <v>-3.625</v>
      </c>
      <c r="AS728" s="9">
        <f t="shared" si="582"/>
        <v>2</v>
      </c>
      <c r="AT728" s="9">
        <f t="shared" si="583"/>
        <v>2.25</v>
      </c>
      <c r="AU728" s="9">
        <f t="shared" si="584"/>
        <v>2.75</v>
      </c>
      <c r="AV728" s="9">
        <f t="shared" si="585"/>
        <v>2.625</v>
      </c>
      <c r="AW728" s="9">
        <f t="shared" si="586"/>
        <v>2.125</v>
      </c>
      <c r="AX728" s="9">
        <f t="shared" si="587"/>
        <v>0.25</v>
      </c>
      <c r="AY728" s="9">
        <f t="shared" si="588"/>
        <v>-4.125</v>
      </c>
      <c r="AZ728" s="9">
        <f t="shared" si="589"/>
        <v>-5.375</v>
      </c>
      <c r="BA728" s="9">
        <f t="shared" si="590"/>
        <v>-8.125</v>
      </c>
      <c r="BB728" s="9">
        <f t="shared" si="591"/>
        <v>2.625</v>
      </c>
      <c r="BC728" s="9">
        <f t="shared" si="592"/>
        <v>4.875</v>
      </c>
      <c r="BD728" s="9">
        <f t="shared" si="593"/>
        <v>6.375</v>
      </c>
      <c r="BE728" s="9">
        <f t="shared" si="594"/>
        <v>6.75</v>
      </c>
      <c r="BF728" s="9">
        <f t="shared" si="595"/>
        <v>5.25</v>
      </c>
      <c r="BG728" s="9">
        <f t="shared" si="596"/>
        <v>3.375</v>
      </c>
      <c r="BH728" s="9">
        <f t="shared" si="597"/>
        <v>-1.375</v>
      </c>
      <c r="BI728" s="9">
        <f t="shared" si="598"/>
        <v>-2.625</v>
      </c>
      <c r="BJ728" s="9">
        <f t="shared" si="599"/>
        <v>-6.125</v>
      </c>
    </row>
    <row r="729" spans="1:62" x14ac:dyDescent="0.2">
      <c r="A729" s="9">
        <f>data!M730-data!M729</f>
        <v>-0.56700000000000728</v>
      </c>
      <c r="B729" s="9">
        <f>data!C730-data!C729</f>
        <v>8.48</v>
      </c>
      <c r="C729" s="9">
        <f>data!D730-data!D729</f>
        <v>1.37</v>
      </c>
      <c r="D729" s="10">
        <f>data!B730-data!B729</f>
        <v>-4.9999999999999933E-2</v>
      </c>
      <c r="E729" s="9">
        <f>data!E729-data!G729</f>
        <v>2.8624999999999998</v>
      </c>
      <c r="F729" s="9">
        <f>(data!E729-data!F729)-(data!G729-data!H729)</f>
        <v>-2.9500000000000137E-2</v>
      </c>
      <c r="G729" s="9">
        <f t="shared" si="550"/>
        <v>-0.11329999999999973</v>
      </c>
      <c r="H729" s="9">
        <f t="shared" si="551"/>
        <v>-4.1999999999998705E-3</v>
      </c>
      <c r="I729" s="9">
        <f>IF(data!M730&gt; 111.81,1,0)</f>
        <v>1</v>
      </c>
      <c r="J729" s="9">
        <f t="shared" si="552"/>
        <v>0</v>
      </c>
      <c r="K729" s="9">
        <f t="shared" si="553"/>
        <v>-0.56700000000000728</v>
      </c>
      <c r="L729" s="9">
        <f t="shared" si="554"/>
        <v>0</v>
      </c>
      <c r="M729" s="9">
        <f>data!J729</f>
        <v>-24.625</v>
      </c>
      <c r="N729" s="9">
        <f>data!I729</f>
        <v>-45.5</v>
      </c>
      <c r="O729" s="9">
        <f>data!L729</f>
        <v>-50.375</v>
      </c>
      <c r="P729" s="9">
        <f>data!K729</f>
        <v>-39.5</v>
      </c>
      <c r="Q729" s="9">
        <f>data!R729</f>
        <v>-34</v>
      </c>
      <c r="R729" s="9">
        <f t="shared" si="555"/>
        <v>1.125</v>
      </c>
      <c r="S729" s="9">
        <f t="shared" si="556"/>
        <v>-4.5625</v>
      </c>
      <c r="T729" s="9">
        <f t="shared" si="557"/>
        <v>-3.625</v>
      </c>
      <c r="U729" s="9">
        <f t="shared" si="558"/>
        <v>-3.75</v>
      </c>
      <c r="V729" s="9">
        <f t="shared" si="559"/>
        <v>-4</v>
      </c>
      <c r="W729" s="9">
        <f t="shared" si="560"/>
        <v>-2.625</v>
      </c>
      <c r="X729" s="9">
        <f t="shared" si="561"/>
        <v>-3.125</v>
      </c>
      <c r="Y729" s="9">
        <f t="shared" si="562"/>
        <v>-4.625</v>
      </c>
      <c r="Z729" s="9">
        <f t="shared" si="563"/>
        <v>-4.625</v>
      </c>
      <c r="AA729" s="9">
        <f t="shared" si="564"/>
        <v>-6.25E-2</v>
      </c>
      <c r="AB729" s="9">
        <f t="shared" si="565"/>
        <v>-1.25</v>
      </c>
      <c r="AC729" s="9">
        <f t="shared" si="566"/>
        <v>-0.25</v>
      </c>
      <c r="AD729" s="9">
        <f t="shared" si="567"/>
        <v>-0.875</v>
      </c>
      <c r="AE729" s="9">
        <f t="shared" si="568"/>
        <v>-2.25</v>
      </c>
      <c r="AF729" s="9">
        <f t="shared" si="569"/>
        <v>-3.25</v>
      </c>
      <c r="AG729" s="9">
        <f t="shared" si="570"/>
        <v>-2.5</v>
      </c>
      <c r="AH729" s="9">
        <f t="shared" si="571"/>
        <v>-3.375</v>
      </c>
      <c r="AI729" s="9">
        <f t="shared" si="572"/>
        <v>-2.75</v>
      </c>
      <c r="AJ729" s="9">
        <f t="shared" si="573"/>
        <v>-0.1875</v>
      </c>
      <c r="AK729" s="9">
        <f t="shared" si="574"/>
        <v>-6.25E-2</v>
      </c>
      <c r="AL729" s="9">
        <f t="shared" si="575"/>
        <v>-0.375</v>
      </c>
      <c r="AM729" s="9">
        <f t="shared" si="576"/>
        <v>-1</v>
      </c>
      <c r="AN729" s="9">
        <f t="shared" si="577"/>
        <v>-2.75</v>
      </c>
      <c r="AO729" s="9">
        <f t="shared" si="578"/>
        <v>-5.625</v>
      </c>
      <c r="AP729" s="9">
        <f t="shared" si="579"/>
        <v>-5.375</v>
      </c>
      <c r="AQ729" s="9">
        <f t="shared" si="580"/>
        <v>-6.125</v>
      </c>
      <c r="AR729" s="9">
        <f t="shared" si="581"/>
        <v>-6.375</v>
      </c>
      <c r="AS729" s="9">
        <f t="shared" si="582"/>
        <v>0.25</v>
      </c>
      <c r="AT729" s="9">
        <f t="shared" si="583"/>
        <v>0.75</v>
      </c>
      <c r="AU729" s="9">
        <f t="shared" si="584"/>
        <v>0.625</v>
      </c>
      <c r="AV729" s="9">
        <f t="shared" si="585"/>
        <v>0.125</v>
      </c>
      <c r="AW729" s="9">
        <f t="shared" si="586"/>
        <v>-1.75</v>
      </c>
      <c r="AX729" s="9">
        <f t="shared" si="587"/>
        <v>-6.125</v>
      </c>
      <c r="AY729" s="9">
        <f t="shared" si="588"/>
        <v>-7.375</v>
      </c>
      <c r="AZ729" s="9">
        <f t="shared" si="589"/>
        <v>-10.125</v>
      </c>
      <c r="BA729" s="9">
        <f t="shared" si="590"/>
        <v>-10.625</v>
      </c>
      <c r="BB729" s="9">
        <f t="shared" si="591"/>
        <v>2.25</v>
      </c>
      <c r="BC729" s="9">
        <f t="shared" si="592"/>
        <v>3.75</v>
      </c>
      <c r="BD729" s="9">
        <f t="shared" si="593"/>
        <v>4.125</v>
      </c>
      <c r="BE729" s="9">
        <f t="shared" si="594"/>
        <v>2.625</v>
      </c>
      <c r="BF729" s="9">
        <f t="shared" si="595"/>
        <v>0.75</v>
      </c>
      <c r="BG729" s="9">
        <f t="shared" si="596"/>
        <v>-4</v>
      </c>
      <c r="BH729" s="9">
        <f t="shared" si="597"/>
        <v>-5.25</v>
      </c>
      <c r="BI729" s="9">
        <f t="shared" si="598"/>
        <v>-8.75</v>
      </c>
      <c r="BJ729" s="9">
        <f t="shared" si="599"/>
        <v>-9.25</v>
      </c>
    </row>
    <row r="730" spans="1:62" x14ac:dyDescent="0.2">
      <c r="A730" s="9">
        <f>data!M731-data!M730</f>
        <v>-0.49949999999999761</v>
      </c>
      <c r="B730" s="9">
        <f>data!C731-data!C730</f>
        <v>-1.7699999999999996</v>
      </c>
      <c r="C730" s="9">
        <f>data!D731-data!D730</f>
        <v>0.54499999999999993</v>
      </c>
      <c r="D730" s="10">
        <f>data!B731-data!B730</f>
        <v>-7.5000000000000622E-3</v>
      </c>
      <c r="E730" s="9">
        <f>data!E730-data!G730</f>
        <v>2.7492000000000001</v>
      </c>
      <c r="F730" s="9">
        <f>(data!E730-data!F730)-(data!G730-data!H730)</f>
        <v>-3.3700000000000008E-2</v>
      </c>
      <c r="G730" s="9">
        <f t="shared" si="550"/>
        <v>-2.6000000000000245E-2</v>
      </c>
      <c r="H730" s="9">
        <f t="shared" si="551"/>
        <v>9.3800000000000189E-2</v>
      </c>
      <c r="I730" s="9">
        <f>IF(data!M731&gt; 111.81,1,0)</f>
        <v>1</v>
      </c>
      <c r="J730" s="9">
        <f t="shared" si="552"/>
        <v>0</v>
      </c>
      <c r="K730" s="9">
        <f t="shared" si="553"/>
        <v>-0.49949999999999761</v>
      </c>
      <c r="L730" s="9">
        <f t="shared" si="554"/>
        <v>0</v>
      </c>
      <c r="M730" s="9">
        <f>data!J730</f>
        <v>-23.5</v>
      </c>
      <c r="N730" s="9">
        <f>data!I730</f>
        <v>-45.5625</v>
      </c>
      <c r="O730" s="9">
        <f>data!L730</f>
        <v>-50.5625</v>
      </c>
      <c r="P730" s="9">
        <f>data!K730</f>
        <v>-39.25</v>
      </c>
      <c r="Q730" s="9">
        <f>data!R730</f>
        <v>-31.75</v>
      </c>
      <c r="R730" s="9">
        <f t="shared" si="555"/>
        <v>-5.6875</v>
      </c>
      <c r="S730" s="9">
        <f t="shared" si="556"/>
        <v>-4.75</v>
      </c>
      <c r="T730" s="9">
        <f t="shared" si="557"/>
        <v>-4.875</v>
      </c>
      <c r="U730" s="9">
        <f t="shared" si="558"/>
        <v>-5.125</v>
      </c>
      <c r="V730" s="9">
        <f t="shared" si="559"/>
        <v>-3.75</v>
      </c>
      <c r="W730" s="9">
        <f t="shared" si="560"/>
        <v>-4.25</v>
      </c>
      <c r="X730" s="9">
        <f t="shared" si="561"/>
        <v>-5.75</v>
      </c>
      <c r="Y730" s="9">
        <f t="shared" si="562"/>
        <v>-5.75</v>
      </c>
      <c r="Z730" s="9">
        <f t="shared" si="563"/>
        <v>-3.5</v>
      </c>
      <c r="AA730" s="9">
        <f t="shared" si="564"/>
        <v>-1.1875</v>
      </c>
      <c r="AB730" s="9">
        <f t="shared" si="565"/>
        <v>-0.1875</v>
      </c>
      <c r="AC730" s="9">
        <f t="shared" si="566"/>
        <v>-0.8125</v>
      </c>
      <c r="AD730" s="9">
        <f t="shared" si="567"/>
        <v>-2.1875</v>
      </c>
      <c r="AE730" s="9">
        <f t="shared" si="568"/>
        <v>-3.1875</v>
      </c>
      <c r="AF730" s="9">
        <f t="shared" si="569"/>
        <v>-2.4375</v>
      </c>
      <c r="AG730" s="9">
        <f t="shared" si="570"/>
        <v>-3.3125</v>
      </c>
      <c r="AH730" s="9">
        <f t="shared" si="571"/>
        <v>-2.6875</v>
      </c>
      <c r="AI730" s="9">
        <f t="shared" si="572"/>
        <v>-2.0625</v>
      </c>
      <c r="AJ730" s="9">
        <f t="shared" si="573"/>
        <v>0.125</v>
      </c>
      <c r="AK730" s="9">
        <f t="shared" si="574"/>
        <v>-0.1875</v>
      </c>
      <c r="AL730" s="9">
        <f t="shared" si="575"/>
        <v>-0.8125</v>
      </c>
      <c r="AM730" s="9">
        <f t="shared" si="576"/>
        <v>-2.5625</v>
      </c>
      <c r="AN730" s="9">
        <f t="shared" si="577"/>
        <v>-5.4375</v>
      </c>
      <c r="AO730" s="9">
        <f t="shared" si="578"/>
        <v>-5.1875</v>
      </c>
      <c r="AP730" s="9">
        <f t="shared" si="579"/>
        <v>-5.9375</v>
      </c>
      <c r="AQ730" s="9">
        <f t="shared" si="580"/>
        <v>-6.1875</v>
      </c>
      <c r="AR730" s="9">
        <f t="shared" si="581"/>
        <v>-6.6875</v>
      </c>
      <c r="AS730" s="9">
        <f t="shared" si="582"/>
        <v>0.5</v>
      </c>
      <c r="AT730" s="9">
        <f t="shared" si="583"/>
        <v>0.375</v>
      </c>
      <c r="AU730" s="9">
        <f t="shared" si="584"/>
        <v>-0.125</v>
      </c>
      <c r="AV730" s="9">
        <f t="shared" si="585"/>
        <v>-2</v>
      </c>
      <c r="AW730" s="9">
        <f t="shared" si="586"/>
        <v>-6.375</v>
      </c>
      <c r="AX730" s="9">
        <f t="shared" si="587"/>
        <v>-7.625</v>
      </c>
      <c r="AY730" s="9">
        <f t="shared" si="588"/>
        <v>-10.375</v>
      </c>
      <c r="AZ730" s="9">
        <f t="shared" si="589"/>
        <v>-10.875</v>
      </c>
      <c r="BA730" s="9">
        <f t="shared" si="590"/>
        <v>-12.75</v>
      </c>
      <c r="BB730" s="9">
        <f t="shared" si="591"/>
        <v>1.5</v>
      </c>
      <c r="BC730" s="9">
        <f t="shared" si="592"/>
        <v>1.875</v>
      </c>
      <c r="BD730" s="9">
        <f t="shared" si="593"/>
        <v>0.375</v>
      </c>
      <c r="BE730" s="9">
        <f t="shared" si="594"/>
        <v>-1.5</v>
      </c>
      <c r="BF730" s="9">
        <f t="shared" si="595"/>
        <v>-6.25</v>
      </c>
      <c r="BG730" s="9">
        <f t="shared" si="596"/>
        <v>-7.5</v>
      </c>
      <c r="BH730" s="9">
        <f t="shared" si="597"/>
        <v>-11</v>
      </c>
      <c r="BI730" s="9">
        <f t="shared" si="598"/>
        <v>-11.5</v>
      </c>
      <c r="BJ730" s="9">
        <f t="shared" si="599"/>
        <v>-14.125</v>
      </c>
    </row>
    <row r="731" spans="1:62" x14ac:dyDescent="0.2">
      <c r="A731" s="9">
        <f>data!M732-data!M731</f>
        <v>-0.74129999999999541</v>
      </c>
      <c r="B731" s="9">
        <f>data!C732-data!C731</f>
        <v>-6.9600000000000009</v>
      </c>
      <c r="C731" s="9">
        <f>data!D732-data!D731</f>
        <v>0.14749999999999908</v>
      </c>
      <c r="D731" s="10">
        <f>data!B732-data!B731</f>
        <v>-0.19750000000000001</v>
      </c>
      <c r="E731" s="9">
        <f>data!E731-data!G731</f>
        <v>2.7231999999999998</v>
      </c>
      <c r="F731" s="9">
        <f>(data!E731-data!F731)-(data!G731-data!H731)</f>
        <v>6.0100000000000181E-2</v>
      </c>
      <c r="G731" s="9">
        <f t="shared" si="550"/>
        <v>-1.0499999999999954E-2</v>
      </c>
      <c r="H731" s="9">
        <f t="shared" si="551"/>
        <v>-2.5100000000000261E-2</v>
      </c>
      <c r="I731" s="9">
        <f>IF(data!M732&gt; 111.81,1,0)</f>
        <v>1</v>
      </c>
      <c r="J731" s="9">
        <f t="shared" si="552"/>
        <v>0</v>
      </c>
      <c r="K731" s="9">
        <f t="shared" si="553"/>
        <v>-0.74129999999999541</v>
      </c>
      <c r="L731" s="9">
        <f t="shared" si="554"/>
        <v>0</v>
      </c>
      <c r="M731" s="9">
        <f>data!J731</f>
        <v>-29.1875</v>
      </c>
      <c r="N731" s="9">
        <f>data!I731</f>
        <v>-46.75</v>
      </c>
      <c r="O731" s="9">
        <f>data!L731</f>
        <v>-50.4375</v>
      </c>
      <c r="P731" s="9">
        <f>data!K731</f>
        <v>-38.75</v>
      </c>
      <c r="Q731" s="9">
        <f>data!R731</f>
        <v>-30.25</v>
      </c>
      <c r="R731" s="9">
        <f t="shared" si="555"/>
        <v>0.9375</v>
      </c>
      <c r="S731" s="9">
        <f t="shared" si="556"/>
        <v>0.8125</v>
      </c>
      <c r="T731" s="9">
        <f t="shared" si="557"/>
        <v>0.5625</v>
      </c>
      <c r="U731" s="9">
        <f t="shared" si="558"/>
        <v>1.9375</v>
      </c>
      <c r="V731" s="9">
        <f t="shared" si="559"/>
        <v>1.4375</v>
      </c>
      <c r="W731" s="9">
        <f t="shared" si="560"/>
        <v>-6.25E-2</v>
      </c>
      <c r="X731" s="9">
        <f t="shared" si="561"/>
        <v>-6.25E-2</v>
      </c>
      <c r="Y731" s="9">
        <f t="shared" si="562"/>
        <v>2.1875</v>
      </c>
      <c r="Z731" s="9">
        <f t="shared" si="563"/>
        <v>4.4375</v>
      </c>
      <c r="AA731" s="9">
        <f t="shared" si="564"/>
        <v>1</v>
      </c>
      <c r="AB731" s="9">
        <f t="shared" si="565"/>
        <v>0.375</v>
      </c>
      <c r="AC731" s="9">
        <f t="shared" si="566"/>
        <v>-1</v>
      </c>
      <c r="AD731" s="9">
        <f t="shared" si="567"/>
        <v>-2</v>
      </c>
      <c r="AE731" s="9">
        <f t="shared" si="568"/>
        <v>-1.25</v>
      </c>
      <c r="AF731" s="9">
        <f t="shared" si="569"/>
        <v>-2.125</v>
      </c>
      <c r="AG731" s="9">
        <f t="shared" si="570"/>
        <v>-1.5</v>
      </c>
      <c r="AH731" s="9">
        <f t="shared" si="571"/>
        <v>-0.875</v>
      </c>
      <c r="AI731" s="9">
        <f t="shared" si="572"/>
        <v>0.625</v>
      </c>
      <c r="AJ731" s="9">
        <f t="shared" si="573"/>
        <v>-0.3125</v>
      </c>
      <c r="AK731" s="9">
        <f t="shared" si="574"/>
        <v>-0.9375</v>
      </c>
      <c r="AL731" s="9">
        <f t="shared" si="575"/>
        <v>-2.6875</v>
      </c>
      <c r="AM731" s="9">
        <f t="shared" si="576"/>
        <v>-5.5625</v>
      </c>
      <c r="AN731" s="9">
        <f t="shared" si="577"/>
        <v>-5.3125</v>
      </c>
      <c r="AO731" s="9">
        <f t="shared" si="578"/>
        <v>-6.0625</v>
      </c>
      <c r="AP731" s="9">
        <f t="shared" si="579"/>
        <v>-6.3125</v>
      </c>
      <c r="AQ731" s="9">
        <f t="shared" si="580"/>
        <v>-6.8125</v>
      </c>
      <c r="AR731" s="9">
        <f t="shared" si="581"/>
        <v>-5.4375</v>
      </c>
      <c r="AS731" s="9">
        <f t="shared" si="582"/>
        <v>-0.125</v>
      </c>
      <c r="AT731" s="9">
        <f t="shared" si="583"/>
        <v>-0.625</v>
      </c>
      <c r="AU731" s="9">
        <f t="shared" si="584"/>
        <v>-2.5</v>
      </c>
      <c r="AV731" s="9">
        <f t="shared" si="585"/>
        <v>-6.875</v>
      </c>
      <c r="AW731" s="9">
        <f t="shared" si="586"/>
        <v>-8.125</v>
      </c>
      <c r="AX731" s="9">
        <f t="shared" si="587"/>
        <v>-10.875</v>
      </c>
      <c r="AY731" s="9">
        <f t="shared" si="588"/>
        <v>-11.375</v>
      </c>
      <c r="AZ731" s="9">
        <f t="shared" si="589"/>
        <v>-13.25</v>
      </c>
      <c r="BA731" s="9">
        <f t="shared" si="590"/>
        <v>-12</v>
      </c>
      <c r="BB731" s="9">
        <f t="shared" si="591"/>
        <v>0.375</v>
      </c>
      <c r="BC731" s="9">
        <f t="shared" si="592"/>
        <v>-1.125</v>
      </c>
      <c r="BD731" s="9">
        <f t="shared" si="593"/>
        <v>-3</v>
      </c>
      <c r="BE731" s="9">
        <f t="shared" si="594"/>
        <v>-7.75</v>
      </c>
      <c r="BF731" s="9">
        <f t="shared" si="595"/>
        <v>-9</v>
      </c>
      <c r="BG731" s="9">
        <f t="shared" si="596"/>
        <v>-12.5</v>
      </c>
      <c r="BH731" s="9">
        <f t="shared" si="597"/>
        <v>-13</v>
      </c>
      <c r="BI731" s="9">
        <f t="shared" si="598"/>
        <v>-15.625</v>
      </c>
      <c r="BJ731" s="9">
        <f t="shared" si="599"/>
        <v>-15.125</v>
      </c>
    </row>
    <row r="732" spans="1:62" x14ac:dyDescent="0.2">
      <c r="A732" s="9">
        <f>data!M733-data!M732</f>
        <v>-0.94299999999999784</v>
      </c>
      <c r="B732" s="9">
        <f>data!C733-data!C732</f>
        <v>-3.1899999999999977</v>
      </c>
      <c r="C732" s="9">
        <f>data!D733-data!D732</f>
        <v>-0.54749999999999943</v>
      </c>
      <c r="D732" s="10">
        <f>data!B733-data!B732</f>
        <v>0.20000000000000007</v>
      </c>
      <c r="E732" s="9">
        <f>data!E732-data!G732</f>
        <v>2.7126999999999999</v>
      </c>
      <c r="F732" s="9">
        <f>(data!E732-data!F732)-(data!G732-data!H732)</f>
        <v>3.499999999999992E-2</v>
      </c>
      <c r="G732" s="9">
        <f t="shared" si="550"/>
        <v>-2.3000000000000131E-2</v>
      </c>
      <c r="H732" s="9">
        <f t="shared" si="551"/>
        <v>-4.0099999999999997E-2</v>
      </c>
      <c r="I732" s="9">
        <f>IF(data!M733&gt; 111.81,1,0)</f>
        <v>1</v>
      </c>
      <c r="J732" s="9">
        <f t="shared" si="552"/>
        <v>0</v>
      </c>
      <c r="K732" s="9">
        <f t="shared" si="553"/>
        <v>-0.94299999999999784</v>
      </c>
      <c r="L732" s="9">
        <f t="shared" si="554"/>
        <v>0</v>
      </c>
      <c r="M732" s="9">
        <f>data!J732</f>
        <v>-28.25</v>
      </c>
      <c r="N732" s="9">
        <f>data!I732</f>
        <v>-45.75</v>
      </c>
      <c r="O732" s="9">
        <f>data!L732</f>
        <v>-50.75</v>
      </c>
      <c r="P732" s="9">
        <f>data!K732</f>
        <v>-38.875</v>
      </c>
      <c r="Q732" s="9">
        <f>data!R732</f>
        <v>-29.875</v>
      </c>
      <c r="R732" s="9">
        <f t="shared" si="555"/>
        <v>-0.125</v>
      </c>
      <c r="S732" s="9">
        <f t="shared" si="556"/>
        <v>-0.375</v>
      </c>
      <c r="T732" s="9">
        <f t="shared" si="557"/>
        <v>1</v>
      </c>
      <c r="U732" s="9">
        <f t="shared" si="558"/>
        <v>0.5</v>
      </c>
      <c r="V732" s="9">
        <f t="shared" si="559"/>
        <v>-1</v>
      </c>
      <c r="W732" s="9">
        <f t="shared" si="560"/>
        <v>-1</v>
      </c>
      <c r="X732" s="9">
        <f t="shared" si="561"/>
        <v>1.25</v>
      </c>
      <c r="Y732" s="9">
        <f t="shared" si="562"/>
        <v>3.5</v>
      </c>
      <c r="Z732" s="9">
        <f t="shared" si="563"/>
        <v>4.125</v>
      </c>
      <c r="AA732" s="9">
        <f t="shared" si="564"/>
        <v>-0.625</v>
      </c>
      <c r="AB732" s="9">
        <f t="shared" si="565"/>
        <v>-2</v>
      </c>
      <c r="AC732" s="9">
        <f t="shared" si="566"/>
        <v>-3</v>
      </c>
      <c r="AD732" s="9">
        <f t="shared" si="567"/>
        <v>-2.25</v>
      </c>
      <c r="AE732" s="9">
        <f t="shared" si="568"/>
        <v>-3.125</v>
      </c>
      <c r="AF732" s="9">
        <f t="shared" si="569"/>
        <v>-2.5</v>
      </c>
      <c r="AG732" s="9">
        <f t="shared" si="570"/>
        <v>-1.875</v>
      </c>
      <c r="AH732" s="9">
        <f t="shared" si="571"/>
        <v>-0.375</v>
      </c>
      <c r="AI732" s="9">
        <f t="shared" si="572"/>
        <v>1.375</v>
      </c>
      <c r="AJ732" s="9">
        <f t="shared" si="573"/>
        <v>-0.625</v>
      </c>
      <c r="AK732" s="9">
        <f t="shared" si="574"/>
        <v>-2.375</v>
      </c>
      <c r="AL732" s="9">
        <f t="shared" si="575"/>
        <v>-5.25</v>
      </c>
      <c r="AM732" s="9">
        <f t="shared" si="576"/>
        <v>-5</v>
      </c>
      <c r="AN732" s="9">
        <f t="shared" si="577"/>
        <v>-5.75</v>
      </c>
      <c r="AO732" s="9">
        <f t="shared" si="578"/>
        <v>-6</v>
      </c>
      <c r="AP732" s="9">
        <f t="shared" si="579"/>
        <v>-6.5</v>
      </c>
      <c r="AQ732" s="9">
        <f t="shared" si="580"/>
        <v>-5.125</v>
      </c>
      <c r="AR732" s="9">
        <f t="shared" si="581"/>
        <v>-3.5</v>
      </c>
      <c r="AS732" s="9">
        <f t="shared" si="582"/>
        <v>-0.5</v>
      </c>
      <c r="AT732" s="9">
        <f t="shared" si="583"/>
        <v>-2.375</v>
      </c>
      <c r="AU732" s="9">
        <f t="shared" si="584"/>
        <v>-6.75</v>
      </c>
      <c r="AV732" s="9">
        <f t="shared" si="585"/>
        <v>-8</v>
      </c>
      <c r="AW732" s="9">
        <f t="shared" si="586"/>
        <v>-10.75</v>
      </c>
      <c r="AX732" s="9">
        <f t="shared" si="587"/>
        <v>-11.25</v>
      </c>
      <c r="AY732" s="9">
        <f t="shared" si="588"/>
        <v>-13.125</v>
      </c>
      <c r="AZ732" s="9">
        <f t="shared" si="589"/>
        <v>-11.875</v>
      </c>
      <c r="BA732" s="9">
        <f t="shared" si="590"/>
        <v>-9.875</v>
      </c>
      <c r="BB732" s="9">
        <f t="shared" si="591"/>
        <v>-1.5</v>
      </c>
      <c r="BC732" s="9">
        <f t="shared" si="592"/>
        <v>-3.375</v>
      </c>
      <c r="BD732" s="9">
        <f t="shared" si="593"/>
        <v>-8.125</v>
      </c>
      <c r="BE732" s="9">
        <f t="shared" si="594"/>
        <v>-9.375</v>
      </c>
      <c r="BF732" s="9">
        <f t="shared" si="595"/>
        <v>-12.875</v>
      </c>
      <c r="BG732" s="9">
        <f t="shared" si="596"/>
        <v>-13.375</v>
      </c>
      <c r="BH732" s="9">
        <f t="shared" si="597"/>
        <v>-16</v>
      </c>
      <c r="BI732" s="9">
        <f t="shared" si="598"/>
        <v>-15.5</v>
      </c>
      <c r="BJ732" s="9">
        <f t="shared" si="599"/>
        <v>-13.375</v>
      </c>
    </row>
    <row r="733" spans="1:62" x14ac:dyDescent="0.2">
      <c r="A733" s="9">
        <f>data!M734-data!M733</f>
        <v>0.51719999999998834</v>
      </c>
      <c r="B733" s="9">
        <f>data!C734-data!C733</f>
        <v>-0.39000000000000057</v>
      </c>
      <c r="C733" s="9">
        <f>data!D734-data!D733</f>
        <v>-0.57000000000000028</v>
      </c>
      <c r="D733" s="10">
        <f>data!B734-data!B733</f>
        <v>-4.7499999999999987E-2</v>
      </c>
      <c r="E733" s="9">
        <f>data!E733-data!G733</f>
        <v>2.6896999999999998</v>
      </c>
      <c r="F733" s="9">
        <f>(data!E733-data!F733)-(data!G733-data!H733)</f>
        <v>-5.1000000000000767E-3</v>
      </c>
      <c r="G733" s="9">
        <f t="shared" si="550"/>
        <v>8.5500000000000131E-2</v>
      </c>
      <c r="H733" s="9">
        <f t="shared" si="551"/>
        <v>-3.6000000000002697E-3</v>
      </c>
      <c r="I733" s="9">
        <f>IF(data!M734&gt; 111.81,1,0)</f>
        <v>1</v>
      </c>
      <c r="J733" s="9">
        <f t="shared" si="552"/>
        <v>0</v>
      </c>
      <c r="K733" s="9">
        <f t="shared" si="553"/>
        <v>0.51719999999998834</v>
      </c>
      <c r="L733" s="9">
        <f t="shared" si="554"/>
        <v>0</v>
      </c>
      <c r="M733" s="9">
        <f>data!J733</f>
        <v>-28.375</v>
      </c>
      <c r="N733" s="9">
        <f>data!I733</f>
        <v>-46.375</v>
      </c>
      <c r="O733" s="9">
        <f>data!L733</f>
        <v>-51.375</v>
      </c>
      <c r="P733" s="9">
        <f>data!K733</f>
        <v>-39.375</v>
      </c>
      <c r="Q733" s="9">
        <f>data!R733</f>
        <v>-31.375</v>
      </c>
      <c r="R733" s="9">
        <f t="shared" si="555"/>
        <v>-0.25</v>
      </c>
      <c r="S733" s="9">
        <f t="shared" si="556"/>
        <v>1.125</v>
      </c>
      <c r="T733" s="9">
        <f t="shared" si="557"/>
        <v>0.625</v>
      </c>
      <c r="U733" s="9">
        <f t="shared" si="558"/>
        <v>-0.875</v>
      </c>
      <c r="V733" s="9">
        <f t="shared" si="559"/>
        <v>-0.875</v>
      </c>
      <c r="W733" s="9">
        <f t="shared" si="560"/>
        <v>1.375</v>
      </c>
      <c r="X733" s="9">
        <f t="shared" si="561"/>
        <v>3.625</v>
      </c>
      <c r="Y733" s="9">
        <f t="shared" si="562"/>
        <v>4.25</v>
      </c>
      <c r="Z733" s="9">
        <f t="shared" si="563"/>
        <v>5.25</v>
      </c>
      <c r="AA733" s="9">
        <f t="shared" si="564"/>
        <v>-1.375</v>
      </c>
      <c r="AB733" s="9">
        <f t="shared" si="565"/>
        <v>-2.375</v>
      </c>
      <c r="AC733" s="9">
        <f t="shared" si="566"/>
        <v>-1.625</v>
      </c>
      <c r="AD733" s="9">
        <f t="shared" si="567"/>
        <v>-2.5</v>
      </c>
      <c r="AE733" s="9">
        <f t="shared" si="568"/>
        <v>-1.875</v>
      </c>
      <c r="AF733" s="9">
        <f t="shared" si="569"/>
        <v>-1.25</v>
      </c>
      <c r="AG733" s="9">
        <f t="shared" si="570"/>
        <v>0.25</v>
      </c>
      <c r="AH733" s="9">
        <f t="shared" si="571"/>
        <v>2</v>
      </c>
      <c r="AI733" s="9">
        <f t="shared" si="572"/>
        <v>2.625</v>
      </c>
      <c r="AJ733" s="9">
        <f t="shared" si="573"/>
        <v>-1.75</v>
      </c>
      <c r="AK733" s="9">
        <f t="shared" si="574"/>
        <v>-4.625</v>
      </c>
      <c r="AL733" s="9">
        <f t="shared" si="575"/>
        <v>-4.375</v>
      </c>
      <c r="AM733" s="9">
        <f t="shared" si="576"/>
        <v>-5.125</v>
      </c>
      <c r="AN733" s="9">
        <f t="shared" si="577"/>
        <v>-5.375</v>
      </c>
      <c r="AO733" s="9">
        <f t="shared" si="578"/>
        <v>-5.875</v>
      </c>
      <c r="AP733" s="9">
        <f t="shared" si="579"/>
        <v>-4.5</v>
      </c>
      <c r="AQ733" s="9">
        <f t="shared" si="580"/>
        <v>-2.875</v>
      </c>
      <c r="AR733" s="9">
        <f t="shared" si="581"/>
        <v>-2.25</v>
      </c>
      <c r="AS733" s="9">
        <f t="shared" si="582"/>
        <v>-1.875</v>
      </c>
      <c r="AT733" s="9">
        <f t="shared" si="583"/>
        <v>-6.25</v>
      </c>
      <c r="AU733" s="9">
        <f t="shared" si="584"/>
        <v>-7.5</v>
      </c>
      <c r="AV733" s="9">
        <f t="shared" si="585"/>
        <v>-10.25</v>
      </c>
      <c r="AW733" s="9">
        <f t="shared" si="586"/>
        <v>-10.75</v>
      </c>
      <c r="AX733" s="9">
        <f t="shared" si="587"/>
        <v>-12.625</v>
      </c>
      <c r="AY733" s="9">
        <f t="shared" si="588"/>
        <v>-11.375</v>
      </c>
      <c r="AZ733" s="9">
        <f t="shared" si="589"/>
        <v>-9.375</v>
      </c>
      <c r="BA733" s="9">
        <f t="shared" si="590"/>
        <v>-9.125</v>
      </c>
      <c r="BB733" s="9">
        <f t="shared" si="591"/>
        <v>-1.875</v>
      </c>
      <c r="BC733" s="9">
        <f t="shared" si="592"/>
        <v>-6.625</v>
      </c>
      <c r="BD733" s="9">
        <f t="shared" si="593"/>
        <v>-7.875</v>
      </c>
      <c r="BE733" s="9">
        <f t="shared" si="594"/>
        <v>-11.375</v>
      </c>
      <c r="BF733" s="9">
        <f t="shared" si="595"/>
        <v>-11.875</v>
      </c>
      <c r="BG733" s="9">
        <f t="shared" si="596"/>
        <v>-14.5</v>
      </c>
      <c r="BH733" s="9">
        <f t="shared" si="597"/>
        <v>-14</v>
      </c>
      <c r="BI733" s="9">
        <f t="shared" si="598"/>
        <v>-11.875</v>
      </c>
      <c r="BJ733" s="9">
        <f t="shared" si="599"/>
        <v>-11.5</v>
      </c>
    </row>
    <row r="734" spans="1:62" x14ac:dyDescent="0.2">
      <c r="A734" s="9">
        <f>data!M735-data!M734</f>
        <v>-0.53869999999999152</v>
      </c>
      <c r="B734" s="9">
        <f>data!C735-data!C734</f>
        <v>-0.37999999999999901</v>
      </c>
      <c r="C734" s="9">
        <f>data!D735-data!D734</f>
        <v>-0.47999999999999954</v>
      </c>
      <c r="D734" s="10">
        <f>data!B735-data!B734</f>
        <v>2.0000000000000018E-2</v>
      </c>
      <c r="E734" s="9">
        <f>data!E734-data!G734</f>
        <v>2.7751999999999999</v>
      </c>
      <c r="F734" s="9">
        <f>(data!E734-data!F734)-(data!G734-data!H734)</f>
        <v>-8.7000000000003463E-3</v>
      </c>
      <c r="G734" s="9">
        <f t="shared" si="550"/>
        <v>-9.6999999999995978E-3</v>
      </c>
      <c r="H734" s="9">
        <f t="shared" si="551"/>
        <v>-4.0999999999995207E-3</v>
      </c>
      <c r="I734" s="9">
        <f>IF(data!M735&gt; 111.81,1,0)</f>
        <v>1</v>
      </c>
      <c r="J734" s="9">
        <f t="shared" si="552"/>
        <v>0</v>
      </c>
      <c r="K734" s="9">
        <f t="shared" si="553"/>
        <v>-0.53869999999999152</v>
      </c>
      <c r="L734" s="9">
        <f t="shared" si="554"/>
        <v>0</v>
      </c>
      <c r="M734" s="9">
        <f>data!J734</f>
        <v>-28.625</v>
      </c>
      <c r="N734" s="9">
        <f>data!I734</f>
        <v>-47.75</v>
      </c>
      <c r="O734" s="9">
        <f>data!L734</f>
        <v>-53.125</v>
      </c>
      <c r="P734" s="9">
        <f>data!K734</f>
        <v>-41.25</v>
      </c>
      <c r="Q734" s="9">
        <f>data!R734</f>
        <v>-33.25</v>
      </c>
      <c r="R734" s="9">
        <f t="shared" si="555"/>
        <v>1.375</v>
      </c>
      <c r="S734" s="9">
        <f t="shared" si="556"/>
        <v>0.875</v>
      </c>
      <c r="T734" s="9">
        <f t="shared" si="557"/>
        <v>-0.625</v>
      </c>
      <c r="U734" s="9">
        <f t="shared" si="558"/>
        <v>-0.625</v>
      </c>
      <c r="V734" s="9">
        <f t="shared" si="559"/>
        <v>1.625</v>
      </c>
      <c r="W734" s="9">
        <f t="shared" si="560"/>
        <v>3.875</v>
      </c>
      <c r="X734" s="9">
        <f t="shared" si="561"/>
        <v>4.5</v>
      </c>
      <c r="Y734" s="9">
        <f t="shared" si="562"/>
        <v>5.5</v>
      </c>
      <c r="Z734" s="9">
        <f t="shared" si="563"/>
        <v>6.375</v>
      </c>
      <c r="AA734" s="9">
        <f t="shared" si="564"/>
        <v>-1</v>
      </c>
      <c r="AB734" s="9">
        <f t="shared" si="565"/>
        <v>-0.25</v>
      </c>
      <c r="AC734" s="9">
        <f t="shared" si="566"/>
        <v>-1.125</v>
      </c>
      <c r="AD734" s="9">
        <f t="shared" si="567"/>
        <v>-0.5</v>
      </c>
      <c r="AE734" s="9">
        <f t="shared" si="568"/>
        <v>0.125</v>
      </c>
      <c r="AF734" s="9">
        <f t="shared" si="569"/>
        <v>1.625</v>
      </c>
      <c r="AG734" s="9">
        <f t="shared" si="570"/>
        <v>3.375</v>
      </c>
      <c r="AH734" s="9">
        <f t="shared" si="571"/>
        <v>4</v>
      </c>
      <c r="AI734" s="9">
        <f t="shared" si="572"/>
        <v>7.5</v>
      </c>
      <c r="AJ734" s="9">
        <f t="shared" si="573"/>
        <v>-2.875</v>
      </c>
      <c r="AK734" s="9">
        <f t="shared" si="574"/>
        <v>-2.625</v>
      </c>
      <c r="AL734" s="9">
        <f t="shared" si="575"/>
        <v>-3.375</v>
      </c>
      <c r="AM734" s="9">
        <f t="shared" si="576"/>
        <v>-3.625</v>
      </c>
      <c r="AN734" s="9">
        <f t="shared" si="577"/>
        <v>-4.125</v>
      </c>
      <c r="AO734" s="9">
        <f t="shared" si="578"/>
        <v>-2.75</v>
      </c>
      <c r="AP734" s="9">
        <f t="shared" si="579"/>
        <v>-1.125</v>
      </c>
      <c r="AQ734" s="9">
        <f t="shared" si="580"/>
        <v>-0.5</v>
      </c>
      <c r="AR734" s="9">
        <f t="shared" si="581"/>
        <v>3.125</v>
      </c>
      <c r="AS734" s="9">
        <f t="shared" si="582"/>
        <v>-4.375</v>
      </c>
      <c r="AT734" s="9">
        <f t="shared" si="583"/>
        <v>-5.625</v>
      </c>
      <c r="AU734" s="9">
        <f t="shared" si="584"/>
        <v>-8.375</v>
      </c>
      <c r="AV734" s="9">
        <f t="shared" si="585"/>
        <v>-8.875</v>
      </c>
      <c r="AW734" s="9">
        <f t="shared" si="586"/>
        <v>-10.75</v>
      </c>
      <c r="AX734" s="9">
        <f t="shared" si="587"/>
        <v>-9.5</v>
      </c>
      <c r="AY734" s="9">
        <f t="shared" si="588"/>
        <v>-7.5</v>
      </c>
      <c r="AZ734" s="9">
        <f t="shared" si="589"/>
        <v>-7.25</v>
      </c>
      <c r="BA734" s="9">
        <f t="shared" si="590"/>
        <v>-3.25</v>
      </c>
      <c r="BB734" s="9">
        <f t="shared" si="591"/>
        <v>-4.75</v>
      </c>
      <c r="BC734" s="9">
        <f t="shared" si="592"/>
        <v>-6</v>
      </c>
      <c r="BD734" s="9">
        <f t="shared" si="593"/>
        <v>-9.5</v>
      </c>
      <c r="BE734" s="9">
        <f t="shared" si="594"/>
        <v>-10</v>
      </c>
      <c r="BF734" s="9">
        <f t="shared" si="595"/>
        <v>-12.625</v>
      </c>
      <c r="BG734" s="9">
        <f t="shared" si="596"/>
        <v>-12.125</v>
      </c>
      <c r="BH734" s="9">
        <f t="shared" si="597"/>
        <v>-10</v>
      </c>
      <c r="BI734" s="9">
        <f t="shared" si="598"/>
        <v>-9.625</v>
      </c>
      <c r="BJ734" s="9">
        <f t="shared" si="599"/>
        <v>-6</v>
      </c>
    </row>
    <row r="735" spans="1:62" x14ac:dyDescent="0.2">
      <c r="A735" s="9">
        <f>data!M736-data!M735</f>
        <v>-0.26440000000000907</v>
      </c>
      <c r="B735" s="9">
        <f>data!C736-data!C735</f>
        <v>-1.2800000000000011</v>
      </c>
      <c r="C735" s="9">
        <f>data!D736-data!D735</f>
        <v>-0.12999999999999989</v>
      </c>
      <c r="D735" s="10">
        <f>data!B736-data!B735</f>
        <v>8.9999999999999969E-2</v>
      </c>
      <c r="E735" s="9">
        <f>data!E735-data!G735</f>
        <v>2.7655000000000003</v>
      </c>
      <c r="F735" s="9">
        <f>(data!E735-data!F735)-(data!G735-data!H735)</f>
        <v>-1.2799999999999867E-2</v>
      </c>
      <c r="G735" s="9">
        <f t="shared" si="550"/>
        <v>-5.9300000000000352E-2</v>
      </c>
      <c r="H735" s="9">
        <f t="shared" si="551"/>
        <v>3.9099999999999996E-2</v>
      </c>
      <c r="I735" s="9">
        <f>IF(data!M736&gt; 111.81,1,0)</f>
        <v>1</v>
      </c>
      <c r="J735" s="9">
        <f t="shared" si="552"/>
        <v>0</v>
      </c>
      <c r="K735" s="9">
        <f t="shared" si="553"/>
        <v>-0.26440000000000907</v>
      </c>
      <c r="L735" s="9">
        <f t="shared" si="554"/>
        <v>0</v>
      </c>
      <c r="M735" s="9">
        <f>data!J735</f>
        <v>-27.25</v>
      </c>
      <c r="N735" s="9">
        <f>data!I735</f>
        <v>-48.75</v>
      </c>
      <c r="O735" s="9">
        <f>data!L735</f>
        <v>-56</v>
      </c>
      <c r="P735" s="9">
        <f>data!K735</f>
        <v>-45.625</v>
      </c>
      <c r="Q735" s="9">
        <f>data!R735</f>
        <v>-38</v>
      </c>
      <c r="R735" s="9">
        <f t="shared" si="555"/>
        <v>-0.5</v>
      </c>
      <c r="S735" s="9">
        <f t="shared" si="556"/>
        <v>-2</v>
      </c>
      <c r="T735" s="9">
        <f t="shared" si="557"/>
        <v>-2</v>
      </c>
      <c r="U735" s="9">
        <f t="shared" si="558"/>
        <v>0.25</v>
      </c>
      <c r="V735" s="9">
        <f t="shared" si="559"/>
        <v>2.5</v>
      </c>
      <c r="W735" s="9">
        <f t="shared" si="560"/>
        <v>3.125</v>
      </c>
      <c r="X735" s="9">
        <f t="shared" si="561"/>
        <v>4.125</v>
      </c>
      <c r="Y735" s="9">
        <f t="shared" si="562"/>
        <v>5</v>
      </c>
      <c r="Z735" s="9">
        <f t="shared" si="563"/>
        <v>3.8125</v>
      </c>
      <c r="AA735" s="9">
        <f t="shared" si="564"/>
        <v>0.75</v>
      </c>
      <c r="AB735" s="9">
        <f t="shared" si="565"/>
        <v>-0.125</v>
      </c>
      <c r="AC735" s="9">
        <f t="shared" si="566"/>
        <v>0.5</v>
      </c>
      <c r="AD735" s="9">
        <f t="shared" si="567"/>
        <v>1.125</v>
      </c>
      <c r="AE735" s="9">
        <f t="shared" si="568"/>
        <v>2.625</v>
      </c>
      <c r="AF735" s="9">
        <f t="shared" si="569"/>
        <v>4.375</v>
      </c>
      <c r="AG735" s="9">
        <f t="shared" si="570"/>
        <v>5</v>
      </c>
      <c r="AH735" s="9">
        <f t="shared" si="571"/>
        <v>8.5</v>
      </c>
      <c r="AI735" s="9">
        <f t="shared" si="572"/>
        <v>7.25</v>
      </c>
      <c r="AJ735" s="9">
        <f t="shared" si="573"/>
        <v>0.25</v>
      </c>
      <c r="AK735" s="9">
        <f t="shared" si="574"/>
        <v>-0.5</v>
      </c>
      <c r="AL735" s="9">
        <f t="shared" si="575"/>
        <v>-0.75</v>
      </c>
      <c r="AM735" s="9">
        <f t="shared" si="576"/>
        <v>-1.25</v>
      </c>
      <c r="AN735" s="9">
        <f t="shared" si="577"/>
        <v>0.125</v>
      </c>
      <c r="AO735" s="9">
        <f t="shared" si="578"/>
        <v>1.75</v>
      </c>
      <c r="AP735" s="9">
        <f t="shared" si="579"/>
        <v>2.375</v>
      </c>
      <c r="AQ735" s="9">
        <f t="shared" si="580"/>
        <v>6</v>
      </c>
      <c r="AR735" s="9">
        <f t="shared" si="581"/>
        <v>7.8125</v>
      </c>
      <c r="AS735" s="9">
        <f t="shared" si="582"/>
        <v>-1.25</v>
      </c>
      <c r="AT735" s="9">
        <f t="shared" si="583"/>
        <v>-4</v>
      </c>
      <c r="AU735" s="9">
        <f t="shared" si="584"/>
        <v>-4.5</v>
      </c>
      <c r="AV735" s="9">
        <f t="shared" si="585"/>
        <v>-6.375</v>
      </c>
      <c r="AW735" s="9">
        <f t="shared" si="586"/>
        <v>-5.125</v>
      </c>
      <c r="AX735" s="9">
        <f t="shared" si="587"/>
        <v>-3.125</v>
      </c>
      <c r="AY735" s="9">
        <f t="shared" si="588"/>
        <v>-2.875</v>
      </c>
      <c r="AZ735" s="9">
        <f t="shared" si="589"/>
        <v>1.125</v>
      </c>
      <c r="BA735" s="9">
        <f t="shared" si="590"/>
        <v>2.875</v>
      </c>
      <c r="BB735" s="9">
        <f t="shared" si="591"/>
        <v>-1.25</v>
      </c>
      <c r="BC735" s="9">
        <f t="shared" si="592"/>
        <v>-4.75</v>
      </c>
      <c r="BD735" s="9">
        <f t="shared" si="593"/>
        <v>-5.25</v>
      </c>
      <c r="BE735" s="9">
        <f t="shared" si="594"/>
        <v>-7.875</v>
      </c>
      <c r="BF735" s="9">
        <f t="shared" si="595"/>
        <v>-7.375</v>
      </c>
      <c r="BG735" s="9">
        <f t="shared" si="596"/>
        <v>-5.25</v>
      </c>
      <c r="BH735" s="9">
        <f t="shared" si="597"/>
        <v>-4.875</v>
      </c>
      <c r="BI735" s="9">
        <f t="shared" si="598"/>
        <v>-1.25</v>
      </c>
      <c r="BJ735" s="9">
        <f t="shared" si="599"/>
        <v>0.625</v>
      </c>
    </row>
    <row r="736" spans="1:62" x14ac:dyDescent="0.2">
      <c r="A736" s="9">
        <f>data!M737-data!M736</f>
        <v>0.74510000000000787</v>
      </c>
      <c r="B736" s="9">
        <f>data!C737-data!C736</f>
        <v>-0.41999999999999993</v>
      </c>
      <c r="C736" s="9">
        <f>data!D737-data!D736</f>
        <v>-2.7499999999999858E-2</v>
      </c>
      <c r="D736" s="10">
        <f>data!B737-data!B736</f>
        <v>-7.5000000000000622E-3</v>
      </c>
      <c r="E736" s="9">
        <f>data!E736-data!G736</f>
        <v>2.7061999999999999</v>
      </c>
      <c r="F736" s="9">
        <f>(data!E736-data!F736)-(data!G736-data!H736)</f>
        <v>2.6300000000000129E-2</v>
      </c>
      <c r="G736" s="9">
        <f t="shared" si="550"/>
        <v>-3.8300000000000001E-2</v>
      </c>
      <c r="H736" s="9">
        <f t="shared" si="551"/>
        <v>7.6000000000001344E-3</v>
      </c>
      <c r="I736" s="9">
        <f>IF(data!M737&gt; 111.81,1,0)</f>
        <v>1</v>
      </c>
      <c r="J736" s="9">
        <f t="shared" si="552"/>
        <v>0</v>
      </c>
      <c r="K736" s="9">
        <f t="shared" si="553"/>
        <v>0.74510000000000787</v>
      </c>
      <c r="L736" s="9">
        <f t="shared" si="554"/>
        <v>0</v>
      </c>
      <c r="M736" s="9">
        <f>data!J736</f>
        <v>-27.75</v>
      </c>
      <c r="N736" s="9">
        <f>data!I736</f>
        <v>-48</v>
      </c>
      <c r="O736" s="9">
        <f>data!L736</f>
        <v>-55.75</v>
      </c>
      <c r="P736" s="9">
        <f>data!K736</f>
        <v>-46.875</v>
      </c>
      <c r="Q736" s="9">
        <f>data!R736</f>
        <v>-39.25</v>
      </c>
      <c r="R736" s="9">
        <f t="shared" si="555"/>
        <v>-1.5</v>
      </c>
      <c r="S736" s="9">
        <f t="shared" si="556"/>
        <v>-1.5</v>
      </c>
      <c r="T736" s="9">
        <f t="shared" si="557"/>
        <v>0.75</v>
      </c>
      <c r="U736" s="9">
        <f t="shared" si="558"/>
        <v>3</v>
      </c>
      <c r="V736" s="9">
        <f t="shared" si="559"/>
        <v>3.625</v>
      </c>
      <c r="W736" s="9">
        <f t="shared" si="560"/>
        <v>4.625</v>
      </c>
      <c r="X736" s="9">
        <f t="shared" si="561"/>
        <v>5.5</v>
      </c>
      <c r="Y736" s="9">
        <f t="shared" si="562"/>
        <v>4.3125</v>
      </c>
      <c r="Z736" s="9">
        <f t="shared" si="563"/>
        <v>3.75</v>
      </c>
      <c r="AA736" s="9">
        <f t="shared" si="564"/>
        <v>-0.875</v>
      </c>
      <c r="AB736" s="9">
        <f t="shared" si="565"/>
        <v>-0.25</v>
      </c>
      <c r="AC736" s="9">
        <f t="shared" si="566"/>
        <v>0.375</v>
      </c>
      <c r="AD736" s="9">
        <f t="shared" si="567"/>
        <v>1.875</v>
      </c>
      <c r="AE736" s="9">
        <f t="shared" si="568"/>
        <v>3.625</v>
      </c>
      <c r="AF736" s="9">
        <f t="shared" si="569"/>
        <v>4.25</v>
      </c>
      <c r="AG736" s="9">
        <f t="shared" si="570"/>
        <v>7.75</v>
      </c>
      <c r="AH736" s="9">
        <f t="shared" si="571"/>
        <v>6.5</v>
      </c>
      <c r="AI736" s="9">
        <f t="shared" si="572"/>
        <v>4.375</v>
      </c>
      <c r="AJ736" s="9">
        <f t="shared" si="573"/>
        <v>-0.75</v>
      </c>
      <c r="AK736" s="9">
        <f t="shared" si="574"/>
        <v>-1</v>
      </c>
      <c r="AL736" s="9">
        <f t="shared" si="575"/>
        <v>-1.5</v>
      </c>
      <c r="AM736" s="9">
        <f t="shared" si="576"/>
        <v>-0.125</v>
      </c>
      <c r="AN736" s="9">
        <f t="shared" si="577"/>
        <v>1.5</v>
      </c>
      <c r="AO736" s="9">
        <f t="shared" si="578"/>
        <v>2.125</v>
      </c>
      <c r="AP736" s="9">
        <f t="shared" si="579"/>
        <v>5.75</v>
      </c>
      <c r="AQ736" s="9">
        <f t="shared" si="580"/>
        <v>7.5625</v>
      </c>
      <c r="AR736" s="9">
        <f t="shared" si="581"/>
        <v>4</v>
      </c>
      <c r="AS736" s="9">
        <f t="shared" si="582"/>
        <v>-2.75</v>
      </c>
      <c r="AT736" s="9">
        <f t="shared" si="583"/>
        <v>-3.25</v>
      </c>
      <c r="AU736" s="9">
        <f t="shared" si="584"/>
        <v>-5.125</v>
      </c>
      <c r="AV736" s="9">
        <f t="shared" si="585"/>
        <v>-3.875</v>
      </c>
      <c r="AW736" s="9">
        <f t="shared" si="586"/>
        <v>-1.875</v>
      </c>
      <c r="AX736" s="9">
        <f t="shared" si="587"/>
        <v>-1.625</v>
      </c>
      <c r="AY736" s="9">
        <f t="shared" si="588"/>
        <v>2.375</v>
      </c>
      <c r="AZ736" s="9">
        <f t="shared" si="589"/>
        <v>4.125</v>
      </c>
      <c r="BA736" s="9">
        <f t="shared" si="590"/>
        <v>0.75</v>
      </c>
      <c r="BB736" s="9">
        <f t="shared" si="591"/>
        <v>-3.5</v>
      </c>
      <c r="BC736" s="9">
        <f t="shared" si="592"/>
        <v>-4</v>
      </c>
      <c r="BD736" s="9">
        <f t="shared" si="593"/>
        <v>-6.625</v>
      </c>
      <c r="BE736" s="9">
        <f t="shared" si="594"/>
        <v>-6.125</v>
      </c>
      <c r="BF736" s="9">
        <f t="shared" si="595"/>
        <v>-4</v>
      </c>
      <c r="BG736" s="9">
        <f t="shared" si="596"/>
        <v>-3.625</v>
      </c>
      <c r="BH736" s="9">
        <f t="shared" si="597"/>
        <v>0</v>
      </c>
      <c r="BI736" s="9">
        <f t="shared" si="598"/>
        <v>1.875</v>
      </c>
      <c r="BJ736" s="9">
        <f t="shared" si="599"/>
        <v>-1.625</v>
      </c>
    </row>
    <row r="737" spans="1:62" x14ac:dyDescent="0.2">
      <c r="A737" s="9">
        <f>data!M738-data!M737</f>
        <v>0.4924000000000035</v>
      </c>
      <c r="B737" s="9">
        <f>data!C738-data!C737</f>
        <v>-0.8100000000000005</v>
      </c>
      <c r="C737" s="9">
        <f>data!D738-data!D737</f>
        <v>-0.14250000000000007</v>
      </c>
      <c r="D737" s="10">
        <f>data!B738-data!B737</f>
        <v>1.7500000000000071E-2</v>
      </c>
      <c r="E737" s="9">
        <f>data!E737-data!G737</f>
        <v>2.6678999999999999</v>
      </c>
      <c r="F737" s="9">
        <f>(data!E737-data!F737)-(data!G737-data!H737)</f>
        <v>3.3900000000000263E-2</v>
      </c>
      <c r="G737" s="9">
        <f t="shared" si="550"/>
        <v>2.1700000000000053E-2</v>
      </c>
      <c r="H737" s="9">
        <f t="shared" si="551"/>
        <v>-3.2400000000000401E-2</v>
      </c>
      <c r="I737" s="9">
        <f>IF(data!M738&gt; 111.81,1,0)</f>
        <v>1</v>
      </c>
      <c r="J737" s="9">
        <f t="shared" si="552"/>
        <v>0</v>
      </c>
      <c r="K737" s="9">
        <f t="shared" si="553"/>
        <v>0.4924000000000035</v>
      </c>
      <c r="L737" s="9">
        <f t="shared" si="554"/>
        <v>0</v>
      </c>
      <c r="M737" s="9">
        <f>data!J737</f>
        <v>-29.25</v>
      </c>
      <c r="N737" s="9">
        <f>data!I737</f>
        <v>-48.875</v>
      </c>
      <c r="O737" s="9">
        <f>data!L737</f>
        <v>-56.5</v>
      </c>
      <c r="P737" s="9">
        <f>data!K737</f>
        <v>-49.625</v>
      </c>
      <c r="Q737" s="9">
        <f>data!R737</f>
        <v>-42.75</v>
      </c>
      <c r="R737" s="9">
        <f t="shared" si="555"/>
        <v>0</v>
      </c>
      <c r="S737" s="9">
        <f t="shared" si="556"/>
        <v>2.25</v>
      </c>
      <c r="T737" s="9">
        <f t="shared" si="557"/>
        <v>4.5</v>
      </c>
      <c r="U737" s="9">
        <f t="shared" si="558"/>
        <v>5.125</v>
      </c>
      <c r="V737" s="9">
        <f t="shared" si="559"/>
        <v>6.125</v>
      </c>
      <c r="W737" s="9">
        <f t="shared" si="560"/>
        <v>7</v>
      </c>
      <c r="X737" s="9">
        <f t="shared" si="561"/>
        <v>5.8125</v>
      </c>
      <c r="Y737" s="9">
        <f t="shared" si="562"/>
        <v>5.25</v>
      </c>
      <c r="Z737" s="9">
        <f t="shared" si="563"/>
        <v>3.625</v>
      </c>
      <c r="AA737" s="9">
        <f t="shared" si="564"/>
        <v>0.625</v>
      </c>
      <c r="AB737" s="9">
        <f t="shared" si="565"/>
        <v>1.25</v>
      </c>
      <c r="AC737" s="9">
        <f t="shared" si="566"/>
        <v>2.75</v>
      </c>
      <c r="AD737" s="9">
        <f t="shared" si="567"/>
        <v>4.5</v>
      </c>
      <c r="AE737" s="9">
        <f t="shared" si="568"/>
        <v>5.125</v>
      </c>
      <c r="AF737" s="9">
        <f t="shared" si="569"/>
        <v>8.625</v>
      </c>
      <c r="AG737" s="9">
        <f t="shared" si="570"/>
        <v>7.375</v>
      </c>
      <c r="AH737" s="9">
        <f t="shared" si="571"/>
        <v>5.25</v>
      </c>
      <c r="AI737" s="9">
        <f t="shared" si="572"/>
        <v>6.75</v>
      </c>
      <c r="AJ737" s="9">
        <f t="shared" si="573"/>
        <v>-0.25</v>
      </c>
      <c r="AK737" s="9">
        <f t="shared" si="574"/>
        <v>-0.75</v>
      </c>
      <c r="AL737" s="9">
        <f t="shared" si="575"/>
        <v>0.625</v>
      </c>
      <c r="AM737" s="9">
        <f t="shared" si="576"/>
        <v>2.25</v>
      </c>
      <c r="AN737" s="9">
        <f t="shared" si="577"/>
        <v>2.875</v>
      </c>
      <c r="AO737" s="9">
        <f t="shared" si="578"/>
        <v>6.5</v>
      </c>
      <c r="AP737" s="9">
        <f t="shared" si="579"/>
        <v>8.3125</v>
      </c>
      <c r="AQ737" s="9">
        <f t="shared" si="580"/>
        <v>4.75</v>
      </c>
      <c r="AR737" s="9">
        <f t="shared" si="581"/>
        <v>6.25</v>
      </c>
      <c r="AS737" s="9">
        <f t="shared" si="582"/>
        <v>-0.5</v>
      </c>
      <c r="AT737" s="9">
        <f t="shared" si="583"/>
        <v>-2.375</v>
      </c>
      <c r="AU737" s="9">
        <f t="shared" si="584"/>
        <v>-1.125</v>
      </c>
      <c r="AV737" s="9">
        <f t="shared" si="585"/>
        <v>0.875</v>
      </c>
      <c r="AW737" s="9">
        <f t="shared" si="586"/>
        <v>1.125</v>
      </c>
      <c r="AX737" s="9">
        <f t="shared" si="587"/>
        <v>5.125</v>
      </c>
      <c r="AY737" s="9">
        <f t="shared" si="588"/>
        <v>6.875</v>
      </c>
      <c r="AZ737" s="9">
        <f t="shared" si="589"/>
        <v>3.5</v>
      </c>
      <c r="BA737" s="9">
        <f t="shared" si="590"/>
        <v>4.375</v>
      </c>
      <c r="BB737" s="9">
        <f t="shared" si="591"/>
        <v>-0.5</v>
      </c>
      <c r="BC737" s="9">
        <f t="shared" si="592"/>
        <v>-3.125</v>
      </c>
      <c r="BD737" s="9">
        <f t="shared" si="593"/>
        <v>-2.625</v>
      </c>
      <c r="BE737" s="9">
        <f t="shared" si="594"/>
        <v>-0.5</v>
      </c>
      <c r="BF737" s="9">
        <f t="shared" si="595"/>
        <v>-0.125</v>
      </c>
      <c r="BG737" s="9">
        <f t="shared" si="596"/>
        <v>3.5</v>
      </c>
      <c r="BH737" s="9">
        <f t="shared" si="597"/>
        <v>5.375</v>
      </c>
      <c r="BI737" s="9">
        <f t="shared" si="598"/>
        <v>1.875</v>
      </c>
      <c r="BJ737" s="9">
        <f t="shared" si="599"/>
        <v>2.75</v>
      </c>
    </row>
    <row r="738" spans="1:62" x14ac:dyDescent="0.2">
      <c r="A738" s="9">
        <f>data!M739-data!M738</f>
        <v>-0.72070000000000789</v>
      </c>
      <c r="B738" s="9">
        <f>data!C739-data!C738</f>
        <v>-1.4000000000000004</v>
      </c>
      <c r="C738" s="9">
        <f>data!D739-data!D738</f>
        <v>-0.65750000000000064</v>
      </c>
      <c r="D738" s="10">
        <f>data!B739-data!B738</f>
        <v>5.0000000000000044E-3</v>
      </c>
      <c r="E738" s="9">
        <f>data!E738-data!G738</f>
        <v>2.6896</v>
      </c>
      <c r="F738" s="9">
        <f>(data!E738-data!F738)-(data!G738-data!H738)</f>
        <v>1.4999999999998626E-3</v>
      </c>
      <c r="G738" s="9">
        <f t="shared" si="550"/>
        <v>6.2000000000002053E-3</v>
      </c>
      <c r="H738" s="9">
        <f t="shared" si="551"/>
        <v>2.2000000000000214E-2</v>
      </c>
      <c r="I738" s="9">
        <f>IF(data!M739&gt; 111.81,1,0)</f>
        <v>1</v>
      </c>
      <c r="J738" s="9">
        <f t="shared" si="552"/>
        <v>0</v>
      </c>
      <c r="K738" s="9">
        <f t="shared" si="553"/>
        <v>-0.72070000000000789</v>
      </c>
      <c r="L738" s="9">
        <f t="shared" si="554"/>
        <v>0</v>
      </c>
      <c r="M738" s="9">
        <f>data!J738</f>
        <v>-29.25</v>
      </c>
      <c r="N738" s="9">
        <f>data!I738</f>
        <v>-48.25</v>
      </c>
      <c r="O738" s="9">
        <f>data!L738</f>
        <v>-56.75</v>
      </c>
      <c r="P738" s="9">
        <f>data!K738</f>
        <v>-50.125</v>
      </c>
      <c r="Q738" s="9">
        <f>data!R738</f>
        <v>-43.25</v>
      </c>
      <c r="R738" s="9">
        <f t="shared" si="555"/>
        <v>2.25</v>
      </c>
      <c r="S738" s="9">
        <f t="shared" si="556"/>
        <v>4.5</v>
      </c>
      <c r="T738" s="9">
        <f t="shared" si="557"/>
        <v>5.125</v>
      </c>
      <c r="U738" s="9">
        <f t="shared" si="558"/>
        <v>6.125</v>
      </c>
      <c r="V738" s="9">
        <f t="shared" si="559"/>
        <v>7</v>
      </c>
      <c r="W738" s="9">
        <f t="shared" si="560"/>
        <v>5.8125</v>
      </c>
      <c r="X738" s="9">
        <f t="shared" si="561"/>
        <v>5.25</v>
      </c>
      <c r="Y738" s="9">
        <f t="shared" si="562"/>
        <v>3.625</v>
      </c>
      <c r="Z738" s="9">
        <f t="shared" si="563"/>
        <v>2.375</v>
      </c>
      <c r="AA738" s="9">
        <f t="shared" si="564"/>
        <v>0.625</v>
      </c>
      <c r="AB738" s="9">
        <f t="shared" si="565"/>
        <v>2.125</v>
      </c>
      <c r="AC738" s="9">
        <f t="shared" si="566"/>
        <v>3.875</v>
      </c>
      <c r="AD738" s="9">
        <f t="shared" si="567"/>
        <v>4.5</v>
      </c>
      <c r="AE738" s="9">
        <f t="shared" si="568"/>
        <v>8</v>
      </c>
      <c r="AF738" s="9">
        <f t="shared" si="569"/>
        <v>6.75</v>
      </c>
      <c r="AG738" s="9">
        <f t="shared" si="570"/>
        <v>4.625</v>
      </c>
      <c r="AH738" s="9">
        <f t="shared" si="571"/>
        <v>6.125</v>
      </c>
      <c r="AI738" s="9">
        <f t="shared" si="572"/>
        <v>5.5</v>
      </c>
      <c r="AJ738" s="9">
        <f t="shared" si="573"/>
        <v>-0.5</v>
      </c>
      <c r="AK738" s="9">
        <f t="shared" si="574"/>
        <v>0.875</v>
      </c>
      <c r="AL738" s="9">
        <f t="shared" si="575"/>
        <v>2.5</v>
      </c>
      <c r="AM738" s="9">
        <f t="shared" si="576"/>
        <v>3.125</v>
      </c>
      <c r="AN738" s="9">
        <f t="shared" si="577"/>
        <v>6.75</v>
      </c>
      <c r="AO738" s="9">
        <f t="shared" si="578"/>
        <v>8.5625</v>
      </c>
      <c r="AP738" s="9">
        <f t="shared" si="579"/>
        <v>5</v>
      </c>
      <c r="AQ738" s="9">
        <f t="shared" si="580"/>
        <v>6.5</v>
      </c>
      <c r="AR738" s="9">
        <f t="shared" si="581"/>
        <v>5.5</v>
      </c>
      <c r="AS738" s="9">
        <f t="shared" si="582"/>
        <v>-1.875</v>
      </c>
      <c r="AT738" s="9">
        <f t="shared" si="583"/>
        <v>-0.625</v>
      </c>
      <c r="AU738" s="9">
        <f t="shared" si="584"/>
        <v>1.375</v>
      </c>
      <c r="AV738" s="9">
        <f t="shared" si="585"/>
        <v>1.625</v>
      </c>
      <c r="AW738" s="9">
        <f t="shared" si="586"/>
        <v>5.625</v>
      </c>
      <c r="AX738" s="9">
        <f t="shared" si="587"/>
        <v>7.375</v>
      </c>
      <c r="AY738" s="9">
        <f t="shared" si="588"/>
        <v>4</v>
      </c>
      <c r="AZ738" s="9">
        <f t="shared" si="589"/>
        <v>4.875</v>
      </c>
      <c r="BA738" s="9">
        <f t="shared" si="590"/>
        <v>4</v>
      </c>
      <c r="BB738" s="9">
        <f t="shared" si="591"/>
        <v>-2.625</v>
      </c>
      <c r="BC738" s="9">
        <f t="shared" si="592"/>
        <v>-2.125</v>
      </c>
      <c r="BD738" s="9">
        <f t="shared" si="593"/>
        <v>0</v>
      </c>
      <c r="BE738" s="9">
        <f t="shared" si="594"/>
        <v>0.375</v>
      </c>
      <c r="BF738" s="9">
        <f t="shared" si="595"/>
        <v>4</v>
      </c>
      <c r="BG738" s="9">
        <f t="shared" si="596"/>
        <v>5.875</v>
      </c>
      <c r="BH738" s="9">
        <f t="shared" si="597"/>
        <v>2.375</v>
      </c>
      <c r="BI738" s="9">
        <f t="shared" si="598"/>
        <v>3.25</v>
      </c>
      <c r="BJ738" s="9">
        <f t="shared" si="599"/>
        <v>2.25</v>
      </c>
    </row>
    <row r="739" spans="1:62" x14ac:dyDescent="0.2">
      <c r="A739" s="9">
        <f>data!M740-data!M739</f>
        <v>0.2657999999999987</v>
      </c>
      <c r="B739" s="9">
        <f>data!C740-data!C739</f>
        <v>6.0000000000000497E-2</v>
      </c>
      <c r="C739" s="9">
        <f>data!D740-data!D739</f>
        <v>-5.7500000000000107E-2</v>
      </c>
      <c r="D739" s="10">
        <f>data!B740-data!B739</f>
        <v>4.4999999999999929E-2</v>
      </c>
      <c r="E739" s="9">
        <f>data!E739-data!G739</f>
        <v>2.6958000000000002</v>
      </c>
      <c r="F739" s="9">
        <f>(data!E739-data!F739)-(data!G739-data!H739)</f>
        <v>2.3500000000000076E-2</v>
      </c>
      <c r="G739" s="9">
        <f t="shared" si="550"/>
        <v>7.0299999999999585E-2</v>
      </c>
      <c r="H739" s="9">
        <f t="shared" si="551"/>
        <v>4.1999999999999843E-2</v>
      </c>
      <c r="I739" s="9">
        <f>IF(data!M740&gt; 111.81,1,0)</f>
        <v>1</v>
      </c>
      <c r="J739" s="9">
        <f t="shared" si="552"/>
        <v>0</v>
      </c>
      <c r="K739" s="9">
        <f t="shared" si="553"/>
        <v>0.2657999999999987</v>
      </c>
      <c r="L739" s="9">
        <f t="shared" si="554"/>
        <v>0</v>
      </c>
      <c r="M739" s="9">
        <f>data!J739</f>
        <v>-27</v>
      </c>
      <c r="N739" s="9">
        <f>data!I739</f>
        <v>-47.625</v>
      </c>
      <c r="O739" s="9">
        <f>data!L739</f>
        <v>-57.25</v>
      </c>
      <c r="P739" s="9">
        <f>data!K739</f>
        <v>-52</v>
      </c>
      <c r="Q739" s="9">
        <f>data!R739</f>
        <v>-45.875</v>
      </c>
      <c r="R739" s="9">
        <f t="shared" si="555"/>
        <v>2.25</v>
      </c>
      <c r="S739" s="9">
        <f t="shared" si="556"/>
        <v>2.875</v>
      </c>
      <c r="T739" s="9">
        <f t="shared" si="557"/>
        <v>3.875</v>
      </c>
      <c r="U739" s="9">
        <f t="shared" si="558"/>
        <v>4.75</v>
      </c>
      <c r="V739" s="9">
        <f t="shared" si="559"/>
        <v>3.5625</v>
      </c>
      <c r="W739" s="9">
        <f t="shared" si="560"/>
        <v>3</v>
      </c>
      <c r="X739" s="9">
        <f t="shared" si="561"/>
        <v>1.375</v>
      </c>
      <c r="Y739" s="9">
        <f t="shared" si="562"/>
        <v>0.125</v>
      </c>
      <c r="Z739" s="9">
        <f t="shared" si="563"/>
        <v>-0.75</v>
      </c>
      <c r="AA739" s="9">
        <f t="shared" si="564"/>
        <v>1.5</v>
      </c>
      <c r="AB739" s="9">
        <f t="shared" si="565"/>
        <v>3.25</v>
      </c>
      <c r="AC739" s="9">
        <f t="shared" si="566"/>
        <v>3.875</v>
      </c>
      <c r="AD739" s="9">
        <f t="shared" si="567"/>
        <v>7.375</v>
      </c>
      <c r="AE739" s="9">
        <f t="shared" si="568"/>
        <v>6.125</v>
      </c>
      <c r="AF739" s="9">
        <f t="shared" si="569"/>
        <v>4</v>
      </c>
      <c r="AG739" s="9">
        <f t="shared" si="570"/>
        <v>5.5</v>
      </c>
      <c r="AH739" s="9">
        <f t="shared" si="571"/>
        <v>4.875</v>
      </c>
      <c r="AI739" s="9">
        <f t="shared" si="572"/>
        <v>5.25</v>
      </c>
      <c r="AJ739" s="9">
        <f t="shared" si="573"/>
        <v>1.375</v>
      </c>
      <c r="AK739" s="9">
        <f t="shared" si="574"/>
        <v>3</v>
      </c>
      <c r="AL739" s="9">
        <f t="shared" si="575"/>
        <v>3.625</v>
      </c>
      <c r="AM739" s="9">
        <f t="shared" si="576"/>
        <v>7.25</v>
      </c>
      <c r="AN739" s="9">
        <f t="shared" si="577"/>
        <v>9.0625</v>
      </c>
      <c r="AO739" s="9">
        <f t="shared" si="578"/>
        <v>5.5</v>
      </c>
      <c r="AP739" s="9">
        <f t="shared" si="579"/>
        <v>7</v>
      </c>
      <c r="AQ739" s="9">
        <f t="shared" si="580"/>
        <v>6</v>
      </c>
      <c r="AR739" s="9">
        <f t="shared" si="581"/>
        <v>6.125</v>
      </c>
      <c r="AS739" s="9">
        <f t="shared" si="582"/>
        <v>1.25</v>
      </c>
      <c r="AT739" s="9">
        <f t="shared" si="583"/>
        <v>3.25</v>
      </c>
      <c r="AU739" s="9">
        <f t="shared" si="584"/>
        <v>3.5</v>
      </c>
      <c r="AV739" s="9">
        <f t="shared" si="585"/>
        <v>7.5</v>
      </c>
      <c r="AW739" s="9">
        <f t="shared" si="586"/>
        <v>9.25</v>
      </c>
      <c r="AX739" s="9">
        <f t="shared" si="587"/>
        <v>5.875</v>
      </c>
      <c r="AY739" s="9">
        <f t="shared" si="588"/>
        <v>6.75</v>
      </c>
      <c r="AZ739" s="9">
        <f t="shared" si="589"/>
        <v>5.875</v>
      </c>
      <c r="BA739" s="9">
        <f t="shared" si="590"/>
        <v>5.625</v>
      </c>
      <c r="BB739" s="9">
        <f t="shared" si="591"/>
        <v>0.5</v>
      </c>
      <c r="BC739" s="9">
        <f t="shared" si="592"/>
        <v>2.625</v>
      </c>
      <c r="BD739" s="9">
        <f t="shared" si="593"/>
        <v>3</v>
      </c>
      <c r="BE739" s="9">
        <f t="shared" si="594"/>
        <v>6.625</v>
      </c>
      <c r="BF739" s="9">
        <f t="shared" si="595"/>
        <v>8.5</v>
      </c>
      <c r="BG739" s="9">
        <f t="shared" si="596"/>
        <v>5</v>
      </c>
      <c r="BH739" s="9">
        <f t="shared" si="597"/>
        <v>5.875</v>
      </c>
      <c r="BI739" s="9">
        <f t="shared" si="598"/>
        <v>4.875</v>
      </c>
      <c r="BJ739" s="9">
        <f t="shared" si="599"/>
        <v>4.625</v>
      </c>
    </row>
    <row r="740" spans="1:62" x14ac:dyDescent="0.2">
      <c r="A740" s="9">
        <f>data!M741-data!M740</f>
        <v>0.82350000000000989</v>
      </c>
      <c r="B740" s="9">
        <f>data!C741-data!C740</f>
        <v>2.4800000000000004</v>
      </c>
      <c r="C740" s="9">
        <f>data!D741-data!D740</f>
        <v>4.5000000000000817E-2</v>
      </c>
      <c r="D740" s="10">
        <f>data!B741-data!B740</f>
        <v>-3.2499999999999973E-2</v>
      </c>
      <c r="E740" s="9">
        <f>data!E740-data!G740</f>
        <v>2.7660999999999998</v>
      </c>
      <c r="F740" s="9">
        <f>(data!E740-data!F740)-(data!G740-data!H740)</f>
        <v>6.5499999999999919E-2</v>
      </c>
      <c r="G740" s="9">
        <f t="shared" si="550"/>
        <v>-9.8599999999999799E-2</v>
      </c>
      <c r="H740" s="9">
        <f t="shared" si="551"/>
        <v>-9.9999999999999256E-3</v>
      </c>
      <c r="I740" s="9">
        <f>IF(data!M741&gt; 111.81,1,0)</f>
        <v>1</v>
      </c>
      <c r="J740" s="9">
        <f t="shared" si="552"/>
        <v>0</v>
      </c>
      <c r="K740" s="9">
        <f t="shared" si="553"/>
        <v>0.82350000000000989</v>
      </c>
      <c r="L740" s="9">
        <f t="shared" si="554"/>
        <v>0</v>
      </c>
      <c r="M740" s="9">
        <f>data!J740</f>
        <v>-24.75</v>
      </c>
      <c r="N740" s="9">
        <f>data!I740</f>
        <v>-46.125</v>
      </c>
      <c r="O740" s="9">
        <f>data!L740</f>
        <v>-55.875</v>
      </c>
      <c r="P740" s="9">
        <f>data!K740</f>
        <v>-50.75</v>
      </c>
      <c r="Q740" s="9">
        <f>data!R740</f>
        <v>-45.375</v>
      </c>
      <c r="R740" s="9">
        <f t="shared" si="555"/>
        <v>0.625</v>
      </c>
      <c r="S740" s="9">
        <f t="shared" si="556"/>
        <v>1.625</v>
      </c>
      <c r="T740" s="9">
        <f t="shared" si="557"/>
        <v>2.5</v>
      </c>
      <c r="U740" s="9">
        <f t="shared" si="558"/>
        <v>1.3125</v>
      </c>
      <c r="V740" s="9">
        <f t="shared" si="559"/>
        <v>0.75</v>
      </c>
      <c r="W740" s="9">
        <f t="shared" si="560"/>
        <v>-0.875</v>
      </c>
      <c r="X740" s="9">
        <f t="shared" si="561"/>
        <v>-2.125</v>
      </c>
      <c r="Y740" s="9">
        <f t="shared" si="562"/>
        <v>-3</v>
      </c>
      <c r="Z740" s="9">
        <f t="shared" si="563"/>
        <v>-3</v>
      </c>
      <c r="AA740" s="9">
        <f t="shared" si="564"/>
        <v>1.75</v>
      </c>
      <c r="AB740" s="9">
        <f t="shared" si="565"/>
        <v>2.375</v>
      </c>
      <c r="AC740" s="9">
        <f t="shared" si="566"/>
        <v>5.875</v>
      </c>
      <c r="AD740" s="9">
        <f t="shared" si="567"/>
        <v>4.625</v>
      </c>
      <c r="AE740" s="9">
        <f t="shared" si="568"/>
        <v>2.5</v>
      </c>
      <c r="AF740" s="9">
        <f t="shared" si="569"/>
        <v>4</v>
      </c>
      <c r="AG740" s="9">
        <f t="shared" si="570"/>
        <v>3.375</v>
      </c>
      <c r="AH740" s="9">
        <f t="shared" si="571"/>
        <v>3.75</v>
      </c>
      <c r="AI740" s="9">
        <f t="shared" si="572"/>
        <v>3.75</v>
      </c>
      <c r="AJ740" s="9">
        <f t="shared" si="573"/>
        <v>1.625</v>
      </c>
      <c r="AK740" s="9">
        <f t="shared" si="574"/>
        <v>2.25</v>
      </c>
      <c r="AL740" s="9">
        <f t="shared" si="575"/>
        <v>5.875</v>
      </c>
      <c r="AM740" s="9">
        <f t="shared" si="576"/>
        <v>7.6875</v>
      </c>
      <c r="AN740" s="9">
        <f t="shared" si="577"/>
        <v>4.125</v>
      </c>
      <c r="AO740" s="9">
        <f t="shared" si="578"/>
        <v>5.625</v>
      </c>
      <c r="AP740" s="9">
        <f t="shared" si="579"/>
        <v>4.625</v>
      </c>
      <c r="AQ740" s="9">
        <f t="shared" si="580"/>
        <v>4.75</v>
      </c>
      <c r="AR740" s="9">
        <f t="shared" si="581"/>
        <v>4.625</v>
      </c>
      <c r="AS740" s="9">
        <f t="shared" si="582"/>
        <v>2</v>
      </c>
      <c r="AT740" s="9">
        <f t="shared" si="583"/>
        <v>2.25</v>
      </c>
      <c r="AU740" s="9">
        <f t="shared" si="584"/>
        <v>6.25</v>
      </c>
      <c r="AV740" s="9">
        <f t="shared" si="585"/>
        <v>8</v>
      </c>
      <c r="AW740" s="9">
        <f t="shared" si="586"/>
        <v>4.625</v>
      </c>
      <c r="AX740" s="9">
        <f t="shared" si="587"/>
        <v>5.5</v>
      </c>
      <c r="AY740" s="9">
        <f t="shared" si="588"/>
        <v>4.625</v>
      </c>
      <c r="AZ740" s="9">
        <f t="shared" si="589"/>
        <v>4.375</v>
      </c>
      <c r="BA740" s="9">
        <f t="shared" si="590"/>
        <v>4.25</v>
      </c>
      <c r="BB740" s="9">
        <f t="shared" si="591"/>
        <v>2.125</v>
      </c>
      <c r="BC740" s="9">
        <f t="shared" si="592"/>
        <v>2.5</v>
      </c>
      <c r="BD740" s="9">
        <f t="shared" si="593"/>
        <v>6.125</v>
      </c>
      <c r="BE740" s="9">
        <f t="shared" si="594"/>
        <v>8</v>
      </c>
      <c r="BF740" s="9">
        <f t="shared" si="595"/>
        <v>4.5</v>
      </c>
      <c r="BG740" s="9">
        <f t="shared" si="596"/>
        <v>5.375</v>
      </c>
      <c r="BH740" s="9">
        <f t="shared" si="597"/>
        <v>4.375</v>
      </c>
      <c r="BI740" s="9">
        <f t="shared" si="598"/>
        <v>4.125</v>
      </c>
      <c r="BJ740" s="9">
        <f t="shared" si="599"/>
        <v>4</v>
      </c>
    </row>
    <row r="741" spans="1:62" x14ac:dyDescent="0.2">
      <c r="A741" s="9">
        <f>data!M742-data!M741</f>
        <v>-0.77770000000001005</v>
      </c>
      <c r="B741" s="9">
        <f>data!C742-data!C741</f>
        <v>-3.17</v>
      </c>
      <c r="C741" s="9">
        <f>data!D742-data!D741</f>
        <v>-0.44000000000000039</v>
      </c>
      <c r="D741" s="10">
        <f>data!B742-data!B741</f>
        <v>8.4999999999999964E-2</v>
      </c>
      <c r="E741" s="9">
        <f>data!E741-data!G741</f>
        <v>2.6675</v>
      </c>
      <c r="F741" s="9">
        <f>(data!E741-data!F741)-(data!G741-data!H741)</f>
        <v>5.5499999999999994E-2</v>
      </c>
      <c r="G741" s="9">
        <f t="shared" si="550"/>
        <v>-3.9400000000000102E-2</v>
      </c>
      <c r="H741" s="9">
        <f t="shared" si="551"/>
        <v>-2.6200000000000223E-2</v>
      </c>
      <c r="I741" s="9">
        <f>IF(data!M742&gt; 111.81,1,0)</f>
        <v>1</v>
      </c>
      <c r="J741" s="9">
        <f t="shared" si="552"/>
        <v>0</v>
      </c>
      <c r="K741" s="9">
        <f t="shared" si="553"/>
        <v>-0.77770000000001005</v>
      </c>
      <c r="L741" s="9">
        <f t="shared" si="554"/>
        <v>0</v>
      </c>
      <c r="M741" s="9">
        <f>data!J741</f>
        <v>-24.125</v>
      </c>
      <c r="N741" s="9">
        <f>data!I741</f>
        <v>-44.375</v>
      </c>
      <c r="O741" s="9">
        <f>data!L741</f>
        <v>-54.25</v>
      </c>
      <c r="P741" s="9">
        <f>data!K741</f>
        <v>-48.75</v>
      </c>
      <c r="Q741" s="9">
        <f>data!R741</f>
        <v>-43.25</v>
      </c>
      <c r="R741" s="9">
        <f t="shared" si="555"/>
        <v>1</v>
      </c>
      <c r="S741" s="9">
        <f t="shared" si="556"/>
        <v>1.875</v>
      </c>
      <c r="T741" s="9">
        <f t="shared" si="557"/>
        <v>0.6875</v>
      </c>
      <c r="U741" s="9">
        <f t="shared" si="558"/>
        <v>0.125</v>
      </c>
      <c r="V741" s="9">
        <f t="shared" si="559"/>
        <v>-1.5</v>
      </c>
      <c r="W741" s="9">
        <f t="shared" si="560"/>
        <v>-2.75</v>
      </c>
      <c r="X741" s="9">
        <f t="shared" si="561"/>
        <v>-3.625</v>
      </c>
      <c r="Y741" s="9">
        <f t="shared" si="562"/>
        <v>-3.625</v>
      </c>
      <c r="Z741" s="9">
        <f t="shared" si="563"/>
        <v>-3.875</v>
      </c>
      <c r="AA741" s="9">
        <f t="shared" si="564"/>
        <v>0.625</v>
      </c>
      <c r="AB741" s="9">
        <f t="shared" si="565"/>
        <v>4.125</v>
      </c>
      <c r="AC741" s="9">
        <f t="shared" si="566"/>
        <v>2.875</v>
      </c>
      <c r="AD741" s="9">
        <f t="shared" si="567"/>
        <v>0.75</v>
      </c>
      <c r="AE741" s="9">
        <f t="shared" si="568"/>
        <v>2.25</v>
      </c>
      <c r="AF741" s="9">
        <f t="shared" si="569"/>
        <v>1.625</v>
      </c>
      <c r="AG741" s="9">
        <f t="shared" si="570"/>
        <v>2</v>
      </c>
      <c r="AH741" s="9">
        <f t="shared" si="571"/>
        <v>2</v>
      </c>
      <c r="AI741" s="9">
        <f t="shared" si="572"/>
        <v>1.875</v>
      </c>
      <c r="AJ741" s="9">
        <f t="shared" si="573"/>
        <v>0.625</v>
      </c>
      <c r="AK741" s="9">
        <f t="shared" si="574"/>
        <v>4.25</v>
      </c>
      <c r="AL741" s="9">
        <f t="shared" si="575"/>
        <v>6.0625</v>
      </c>
      <c r="AM741" s="9">
        <f t="shared" si="576"/>
        <v>2.5</v>
      </c>
      <c r="AN741" s="9">
        <f t="shared" si="577"/>
        <v>4</v>
      </c>
      <c r="AO741" s="9">
        <f t="shared" si="578"/>
        <v>3</v>
      </c>
      <c r="AP741" s="9">
        <f t="shared" si="579"/>
        <v>3.125</v>
      </c>
      <c r="AQ741" s="9">
        <f t="shared" si="580"/>
        <v>3</v>
      </c>
      <c r="AR741" s="9">
        <f t="shared" si="581"/>
        <v>2.5625</v>
      </c>
      <c r="AS741" s="9">
        <f t="shared" si="582"/>
        <v>0.25</v>
      </c>
      <c r="AT741" s="9">
        <f t="shared" si="583"/>
        <v>4.25</v>
      </c>
      <c r="AU741" s="9">
        <f t="shared" si="584"/>
        <v>6</v>
      </c>
      <c r="AV741" s="9">
        <f t="shared" si="585"/>
        <v>2.625</v>
      </c>
      <c r="AW741" s="9">
        <f t="shared" si="586"/>
        <v>3.5</v>
      </c>
      <c r="AX741" s="9">
        <f t="shared" si="587"/>
        <v>2.625</v>
      </c>
      <c r="AY741" s="9">
        <f t="shared" si="588"/>
        <v>2.375</v>
      </c>
      <c r="AZ741" s="9">
        <f t="shared" si="589"/>
        <v>2.25</v>
      </c>
      <c r="BA741" s="9">
        <f t="shared" si="590"/>
        <v>1.875</v>
      </c>
      <c r="BB741" s="9">
        <f t="shared" si="591"/>
        <v>0.375</v>
      </c>
      <c r="BC741" s="9">
        <f t="shared" si="592"/>
        <v>4</v>
      </c>
      <c r="BD741" s="9">
        <f t="shared" si="593"/>
        <v>5.875</v>
      </c>
      <c r="BE741" s="9">
        <f t="shared" si="594"/>
        <v>2.375</v>
      </c>
      <c r="BF741" s="9">
        <f t="shared" si="595"/>
        <v>3.25</v>
      </c>
      <c r="BG741" s="9">
        <f t="shared" si="596"/>
        <v>2.25</v>
      </c>
      <c r="BH741" s="9">
        <f t="shared" si="597"/>
        <v>2</v>
      </c>
      <c r="BI741" s="9">
        <f t="shared" si="598"/>
        <v>1.875</v>
      </c>
      <c r="BJ741" s="9">
        <f t="shared" si="599"/>
        <v>1.75</v>
      </c>
    </row>
    <row r="742" spans="1:62" x14ac:dyDescent="0.2">
      <c r="A742" s="9">
        <f>data!M743-data!M742</f>
        <v>0.10370000000000346</v>
      </c>
      <c r="B742" s="9">
        <f>data!C743-data!C742</f>
        <v>3.5999999999999996</v>
      </c>
      <c r="C742" s="9">
        <f>data!D743-data!D742</f>
        <v>0.83000000000000007</v>
      </c>
      <c r="D742" s="10">
        <f>data!B743-data!B742</f>
        <v>6.5000000000000058E-2</v>
      </c>
      <c r="E742" s="9">
        <f>data!E742-data!G742</f>
        <v>2.6280999999999999</v>
      </c>
      <c r="F742" s="9">
        <f>(data!E742-data!F742)-(data!G742-data!H742)</f>
        <v>2.9299999999999771E-2</v>
      </c>
      <c r="G742" s="9">
        <f t="shared" si="550"/>
        <v>-0.11409999999999965</v>
      </c>
      <c r="H742" s="9">
        <f t="shared" si="551"/>
        <v>-1.0899999999999924E-2</v>
      </c>
      <c r="I742" s="9">
        <f>IF(data!M743&gt; 111.81,1,0)</f>
        <v>1</v>
      </c>
      <c r="J742" s="9">
        <f t="shared" si="552"/>
        <v>0</v>
      </c>
      <c r="K742" s="9">
        <f t="shared" si="553"/>
        <v>0.10370000000000346</v>
      </c>
      <c r="L742" s="9">
        <f t="shared" si="554"/>
        <v>0</v>
      </c>
      <c r="M742" s="9">
        <f>data!J742</f>
        <v>-23.125</v>
      </c>
      <c r="N742" s="9">
        <f>data!I742</f>
        <v>-43.75</v>
      </c>
      <c r="O742" s="9">
        <f>data!L742</f>
        <v>-53.625</v>
      </c>
      <c r="P742" s="9">
        <f>data!K742</f>
        <v>-48.5</v>
      </c>
      <c r="Q742" s="9">
        <f>data!R742</f>
        <v>-42.875</v>
      </c>
      <c r="R742" s="9">
        <f t="shared" si="555"/>
        <v>0.875</v>
      </c>
      <c r="S742" s="9">
        <f t="shared" si="556"/>
        <v>-0.3125</v>
      </c>
      <c r="T742" s="9">
        <f t="shared" si="557"/>
        <v>-0.875</v>
      </c>
      <c r="U742" s="9">
        <f t="shared" si="558"/>
        <v>-2.5</v>
      </c>
      <c r="V742" s="9">
        <f t="shared" si="559"/>
        <v>-3.75</v>
      </c>
      <c r="W742" s="9">
        <f t="shared" si="560"/>
        <v>-4.625</v>
      </c>
      <c r="X742" s="9">
        <f t="shared" si="561"/>
        <v>-4.625</v>
      </c>
      <c r="Y742" s="9">
        <f t="shared" si="562"/>
        <v>-4.875</v>
      </c>
      <c r="Z742" s="9">
        <f t="shared" si="563"/>
        <v>-6.5</v>
      </c>
      <c r="AA742" s="9">
        <f t="shared" si="564"/>
        <v>3.5</v>
      </c>
      <c r="AB742" s="9">
        <f t="shared" si="565"/>
        <v>2.25</v>
      </c>
      <c r="AC742" s="9">
        <f t="shared" si="566"/>
        <v>0.125</v>
      </c>
      <c r="AD742" s="9">
        <f t="shared" si="567"/>
        <v>1.625</v>
      </c>
      <c r="AE742" s="9">
        <f t="shared" si="568"/>
        <v>1</v>
      </c>
      <c r="AF742" s="9">
        <f t="shared" si="569"/>
        <v>1.375</v>
      </c>
      <c r="AG742" s="9">
        <f t="shared" si="570"/>
        <v>1.375</v>
      </c>
      <c r="AH742" s="9">
        <f t="shared" si="571"/>
        <v>1.25</v>
      </c>
      <c r="AI742" s="9">
        <f t="shared" si="572"/>
        <v>-0.875</v>
      </c>
      <c r="AJ742" s="9">
        <f t="shared" si="573"/>
        <v>3.625</v>
      </c>
      <c r="AK742" s="9">
        <f t="shared" si="574"/>
        <v>5.4375</v>
      </c>
      <c r="AL742" s="9">
        <f t="shared" si="575"/>
        <v>1.875</v>
      </c>
      <c r="AM742" s="9">
        <f t="shared" si="576"/>
        <v>3.375</v>
      </c>
      <c r="AN742" s="9">
        <f t="shared" si="577"/>
        <v>2.375</v>
      </c>
      <c r="AO742" s="9">
        <f t="shared" si="578"/>
        <v>2.5</v>
      </c>
      <c r="AP742" s="9">
        <f t="shared" si="579"/>
        <v>2.375</v>
      </c>
      <c r="AQ742" s="9">
        <f t="shared" si="580"/>
        <v>1.9375</v>
      </c>
      <c r="AR742" s="9">
        <f t="shared" si="581"/>
        <v>-0.25</v>
      </c>
      <c r="AS742" s="9">
        <f t="shared" si="582"/>
        <v>4</v>
      </c>
      <c r="AT742" s="9">
        <f t="shared" si="583"/>
        <v>5.75</v>
      </c>
      <c r="AU742" s="9">
        <f t="shared" si="584"/>
        <v>2.375</v>
      </c>
      <c r="AV742" s="9">
        <f t="shared" si="585"/>
        <v>3.25</v>
      </c>
      <c r="AW742" s="9">
        <f t="shared" si="586"/>
        <v>2.375</v>
      </c>
      <c r="AX742" s="9">
        <f t="shared" si="587"/>
        <v>2.125</v>
      </c>
      <c r="AY742" s="9">
        <f t="shared" si="588"/>
        <v>2</v>
      </c>
      <c r="AZ742" s="9">
        <f t="shared" si="589"/>
        <v>1.625</v>
      </c>
      <c r="BA742" s="9">
        <f t="shared" si="590"/>
        <v>-1.125</v>
      </c>
      <c r="BB742" s="9">
        <f t="shared" si="591"/>
        <v>3.625</v>
      </c>
      <c r="BC742" s="9">
        <f t="shared" si="592"/>
        <v>5.5</v>
      </c>
      <c r="BD742" s="9">
        <f t="shared" si="593"/>
        <v>2</v>
      </c>
      <c r="BE742" s="9">
        <f t="shared" si="594"/>
        <v>2.875</v>
      </c>
      <c r="BF742" s="9">
        <f t="shared" si="595"/>
        <v>1.875</v>
      </c>
      <c r="BG742" s="9">
        <f t="shared" si="596"/>
        <v>1.625</v>
      </c>
      <c r="BH742" s="9">
        <f t="shared" si="597"/>
        <v>1.5</v>
      </c>
      <c r="BI742" s="9">
        <f t="shared" si="598"/>
        <v>1.375</v>
      </c>
      <c r="BJ742" s="9">
        <f t="shared" si="599"/>
        <v>-1.75</v>
      </c>
    </row>
    <row r="743" spans="1:62" x14ac:dyDescent="0.2">
      <c r="A743" s="9">
        <f>data!M744-data!M743</f>
        <v>0.45189999999999486</v>
      </c>
      <c r="B743" s="9">
        <f>data!C744-data!C743</f>
        <v>-2.7699999999999996</v>
      </c>
      <c r="C743" s="9">
        <f>data!D744-data!D743</f>
        <v>-0.1225000000000005</v>
      </c>
      <c r="D743" s="10">
        <f>data!B744-data!B743</f>
        <v>-9.4999999999999973E-2</v>
      </c>
      <c r="E743" s="9">
        <f>data!E743-data!G743</f>
        <v>2.5140000000000002</v>
      </c>
      <c r="F743" s="9">
        <f>(data!E743-data!F743)-(data!G743-data!H743)</f>
        <v>1.8399999999999847E-2</v>
      </c>
      <c r="G743" s="9">
        <f t="shared" si="550"/>
        <v>-1.8000000000000238E-2</v>
      </c>
      <c r="H743" s="9">
        <f t="shared" si="551"/>
        <v>3.7600000000000175E-2</v>
      </c>
      <c r="I743" s="9">
        <f>IF(data!M744&gt; 111.81,1,0)</f>
        <v>1</v>
      </c>
      <c r="J743" s="9">
        <f t="shared" si="552"/>
        <v>0</v>
      </c>
      <c r="K743" s="9">
        <f t="shared" si="553"/>
        <v>0.45189999999999486</v>
      </c>
      <c r="L743" s="9">
        <f t="shared" si="554"/>
        <v>0</v>
      </c>
      <c r="M743" s="9">
        <f>data!J743</f>
        <v>-22.25</v>
      </c>
      <c r="N743" s="9">
        <f>data!I743</f>
        <v>-40.25</v>
      </c>
      <c r="O743" s="9">
        <f>data!L743</f>
        <v>-50</v>
      </c>
      <c r="P743" s="9">
        <f>data!K743</f>
        <v>-44.5</v>
      </c>
      <c r="Q743" s="9">
        <f>data!R743</f>
        <v>-39.25</v>
      </c>
      <c r="R743" s="9">
        <f t="shared" si="555"/>
        <v>-1.1875</v>
      </c>
      <c r="S743" s="9">
        <f t="shared" si="556"/>
        <v>-1.75</v>
      </c>
      <c r="T743" s="9">
        <f t="shared" si="557"/>
        <v>-3.375</v>
      </c>
      <c r="U743" s="9">
        <f t="shared" si="558"/>
        <v>-4.625</v>
      </c>
      <c r="V743" s="9">
        <f t="shared" si="559"/>
        <v>-5.5</v>
      </c>
      <c r="W743" s="9">
        <f t="shared" si="560"/>
        <v>-5.5</v>
      </c>
      <c r="X743" s="9">
        <f t="shared" si="561"/>
        <v>-5.75</v>
      </c>
      <c r="Y743" s="9">
        <f t="shared" si="562"/>
        <v>-7.375</v>
      </c>
      <c r="Z743" s="9">
        <f t="shared" si="563"/>
        <v>-8.375</v>
      </c>
      <c r="AA743" s="9">
        <f t="shared" si="564"/>
        <v>-1.25</v>
      </c>
      <c r="AB743" s="9">
        <f t="shared" si="565"/>
        <v>-3.375</v>
      </c>
      <c r="AC743" s="9">
        <f t="shared" si="566"/>
        <v>-1.875</v>
      </c>
      <c r="AD743" s="9">
        <f t="shared" si="567"/>
        <v>-2.5</v>
      </c>
      <c r="AE743" s="9">
        <f t="shared" si="568"/>
        <v>-2.125</v>
      </c>
      <c r="AF743" s="9">
        <f t="shared" si="569"/>
        <v>-2.125</v>
      </c>
      <c r="AG743" s="9">
        <f t="shared" si="570"/>
        <v>-2.25</v>
      </c>
      <c r="AH743" s="9">
        <f t="shared" si="571"/>
        <v>-4.375</v>
      </c>
      <c r="AI743" s="9">
        <f t="shared" si="572"/>
        <v>-5.375</v>
      </c>
      <c r="AJ743" s="9">
        <f t="shared" si="573"/>
        <v>1.8125</v>
      </c>
      <c r="AK743" s="9">
        <f t="shared" si="574"/>
        <v>-1.75</v>
      </c>
      <c r="AL743" s="9">
        <f t="shared" si="575"/>
        <v>-0.25</v>
      </c>
      <c r="AM743" s="9">
        <f t="shared" si="576"/>
        <v>-1.25</v>
      </c>
      <c r="AN743" s="9">
        <f t="shared" si="577"/>
        <v>-1.125</v>
      </c>
      <c r="AO743" s="9">
        <f t="shared" si="578"/>
        <v>-1.25</v>
      </c>
      <c r="AP743" s="9">
        <f t="shared" si="579"/>
        <v>-1.6875</v>
      </c>
      <c r="AQ743" s="9">
        <f t="shared" si="580"/>
        <v>-3.875</v>
      </c>
      <c r="AR743" s="9">
        <f t="shared" si="581"/>
        <v>-5</v>
      </c>
      <c r="AS743" s="9">
        <f t="shared" si="582"/>
        <v>1.75</v>
      </c>
      <c r="AT743" s="9">
        <f t="shared" si="583"/>
        <v>-1.625</v>
      </c>
      <c r="AU743" s="9">
        <f t="shared" si="584"/>
        <v>-0.75</v>
      </c>
      <c r="AV743" s="9">
        <f t="shared" si="585"/>
        <v>-1.625</v>
      </c>
      <c r="AW743" s="9">
        <f t="shared" si="586"/>
        <v>-1.875</v>
      </c>
      <c r="AX743" s="9">
        <f t="shared" si="587"/>
        <v>-2</v>
      </c>
      <c r="AY743" s="9">
        <f t="shared" si="588"/>
        <v>-2.375</v>
      </c>
      <c r="AZ743" s="9">
        <f t="shared" si="589"/>
        <v>-5.125</v>
      </c>
      <c r="BA743" s="9">
        <f t="shared" si="590"/>
        <v>-6.25</v>
      </c>
      <c r="BB743" s="9">
        <f t="shared" si="591"/>
        <v>1.875</v>
      </c>
      <c r="BC743" s="9">
        <f t="shared" si="592"/>
        <v>-1.625</v>
      </c>
      <c r="BD743" s="9">
        <f t="shared" si="593"/>
        <v>-0.75</v>
      </c>
      <c r="BE743" s="9">
        <f t="shared" si="594"/>
        <v>-1.75</v>
      </c>
      <c r="BF743" s="9">
        <f t="shared" si="595"/>
        <v>-2</v>
      </c>
      <c r="BG743" s="9">
        <f t="shared" si="596"/>
        <v>-2.125</v>
      </c>
      <c r="BH743" s="9">
        <f t="shared" si="597"/>
        <v>-2.25</v>
      </c>
      <c r="BI743" s="9">
        <f t="shared" si="598"/>
        <v>-5.375</v>
      </c>
      <c r="BJ743" s="9">
        <f t="shared" si="599"/>
        <v>-6.25</v>
      </c>
    </row>
    <row r="744" spans="1:62" x14ac:dyDescent="0.2">
      <c r="A744" s="9">
        <f>data!M745-data!M744</f>
        <v>-0.16499999999999204</v>
      </c>
      <c r="B744" s="9">
        <f>data!C745-data!C744</f>
        <v>-0.89000000000000057</v>
      </c>
      <c r="C744" s="9">
        <f>data!D745-data!D744</f>
        <v>-0.82249999999999979</v>
      </c>
      <c r="D744" s="10">
        <f>data!B745-data!B744</f>
        <v>9.9999999999999978E-2</v>
      </c>
      <c r="E744" s="9">
        <f>data!E744-data!G744</f>
        <v>2.496</v>
      </c>
      <c r="F744" s="9">
        <f>(data!E744-data!F744)-(data!G744-data!H744)</f>
        <v>5.6000000000000022E-2</v>
      </c>
      <c r="G744" s="9">
        <f t="shared" si="550"/>
        <v>3.4400000000000208E-2</v>
      </c>
      <c r="H744" s="9">
        <f t="shared" si="551"/>
        <v>-2.1900000000000114E-2</v>
      </c>
      <c r="I744" s="9">
        <f>IF(data!M745&gt; 111.81,1,0)</f>
        <v>1</v>
      </c>
      <c r="J744" s="9">
        <f t="shared" si="552"/>
        <v>0</v>
      </c>
      <c r="K744" s="9">
        <f t="shared" si="553"/>
        <v>-0.16499999999999204</v>
      </c>
      <c r="L744" s="9">
        <f t="shared" si="554"/>
        <v>0</v>
      </c>
      <c r="M744" s="9">
        <f>data!J744</f>
        <v>-23.4375</v>
      </c>
      <c r="N744" s="9">
        <f>data!I744</f>
        <v>-41.5</v>
      </c>
      <c r="O744" s="9">
        <f>data!L744</f>
        <v>-48.1875</v>
      </c>
      <c r="P744" s="9">
        <f>data!K744</f>
        <v>-42.75</v>
      </c>
      <c r="Q744" s="9">
        <f>data!R744</f>
        <v>-37.375</v>
      </c>
      <c r="R744" s="9">
        <f t="shared" si="555"/>
        <v>-0.5625</v>
      </c>
      <c r="S744" s="9">
        <f t="shared" si="556"/>
        <v>-2.1875</v>
      </c>
      <c r="T744" s="9">
        <f t="shared" si="557"/>
        <v>-3.4375</v>
      </c>
      <c r="U744" s="9">
        <f t="shared" si="558"/>
        <v>-4.3125</v>
      </c>
      <c r="V744" s="9">
        <f t="shared" si="559"/>
        <v>-4.3125</v>
      </c>
      <c r="W744" s="9">
        <f t="shared" si="560"/>
        <v>-4.5625</v>
      </c>
      <c r="X744" s="9">
        <f t="shared" si="561"/>
        <v>-6.1875</v>
      </c>
      <c r="Y744" s="9">
        <f t="shared" si="562"/>
        <v>-7.1875</v>
      </c>
      <c r="Z744" s="9">
        <f t="shared" si="563"/>
        <v>-5.9375</v>
      </c>
      <c r="AA744" s="9">
        <f t="shared" si="564"/>
        <v>-2.125</v>
      </c>
      <c r="AB744" s="9">
        <f t="shared" si="565"/>
        <v>-0.625</v>
      </c>
      <c r="AC744" s="9">
        <f t="shared" si="566"/>
        <v>-1.25</v>
      </c>
      <c r="AD744" s="9">
        <f t="shared" si="567"/>
        <v>-0.875</v>
      </c>
      <c r="AE744" s="9">
        <f t="shared" si="568"/>
        <v>-0.875</v>
      </c>
      <c r="AF744" s="9">
        <f t="shared" si="569"/>
        <v>-1</v>
      </c>
      <c r="AG744" s="9">
        <f t="shared" si="570"/>
        <v>-3.125</v>
      </c>
      <c r="AH744" s="9">
        <f t="shared" si="571"/>
        <v>-4.125</v>
      </c>
      <c r="AI744" s="9">
        <f t="shared" si="572"/>
        <v>-3</v>
      </c>
      <c r="AJ744" s="9">
        <f t="shared" si="573"/>
        <v>-3.5625</v>
      </c>
      <c r="AK744" s="9">
        <f t="shared" si="574"/>
        <v>-2.0625</v>
      </c>
      <c r="AL744" s="9">
        <f t="shared" si="575"/>
        <v>-3.0625</v>
      </c>
      <c r="AM744" s="9">
        <f t="shared" si="576"/>
        <v>-2.9375</v>
      </c>
      <c r="AN744" s="9">
        <f t="shared" si="577"/>
        <v>-3.0625</v>
      </c>
      <c r="AO744" s="9">
        <f t="shared" si="578"/>
        <v>-3.5</v>
      </c>
      <c r="AP744" s="9">
        <f t="shared" si="579"/>
        <v>-5.6875</v>
      </c>
      <c r="AQ744" s="9">
        <f t="shared" si="580"/>
        <v>-6.8125</v>
      </c>
      <c r="AR744" s="9">
        <f t="shared" si="581"/>
        <v>-5.3125</v>
      </c>
      <c r="AS744" s="9">
        <f t="shared" si="582"/>
        <v>-3.375</v>
      </c>
      <c r="AT744" s="9">
        <f t="shared" si="583"/>
        <v>-2.5</v>
      </c>
      <c r="AU744" s="9">
        <f t="shared" si="584"/>
        <v>-3.375</v>
      </c>
      <c r="AV744" s="9">
        <f t="shared" si="585"/>
        <v>-3.625</v>
      </c>
      <c r="AW744" s="9">
        <f t="shared" si="586"/>
        <v>-3.75</v>
      </c>
      <c r="AX744" s="9">
        <f t="shared" si="587"/>
        <v>-4.125</v>
      </c>
      <c r="AY744" s="9">
        <f t="shared" si="588"/>
        <v>-6.875</v>
      </c>
      <c r="AZ744" s="9">
        <f t="shared" si="589"/>
        <v>-8</v>
      </c>
      <c r="BA744" s="9">
        <f t="shared" si="590"/>
        <v>-6.75</v>
      </c>
      <c r="BB744" s="9">
        <f t="shared" si="591"/>
        <v>-3.5</v>
      </c>
      <c r="BC744" s="9">
        <f t="shared" si="592"/>
        <v>-2.625</v>
      </c>
      <c r="BD744" s="9">
        <f t="shared" si="593"/>
        <v>-3.625</v>
      </c>
      <c r="BE744" s="9">
        <f t="shared" si="594"/>
        <v>-3.875</v>
      </c>
      <c r="BF744" s="9">
        <f t="shared" si="595"/>
        <v>-4</v>
      </c>
      <c r="BG744" s="9">
        <f t="shared" si="596"/>
        <v>-4.125</v>
      </c>
      <c r="BH744" s="9">
        <f t="shared" si="597"/>
        <v>-7.25</v>
      </c>
      <c r="BI744" s="9">
        <f t="shared" si="598"/>
        <v>-8.125</v>
      </c>
      <c r="BJ744" s="9">
        <f t="shared" si="599"/>
        <v>-7.125</v>
      </c>
    </row>
    <row r="745" spans="1:62" x14ac:dyDescent="0.2">
      <c r="A745" s="9">
        <f>data!M746-data!M745</f>
        <v>-0.6197000000000088</v>
      </c>
      <c r="B745" s="9">
        <f>data!C746-data!C745</f>
        <v>-0.8100000000000005</v>
      </c>
      <c r="C745" s="9">
        <f>data!D746-data!D745</f>
        <v>-0.14749999999999996</v>
      </c>
      <c r="D745" s="10">
        <f>data!B746-data!B745</f>
        <v>3.2499999999999973E-2</v>
      </c>
      <c r="E745" s="9">
        <f>data!E745-data!G745</f>
        <v>2.5304000000000002</v>
      </c>
      <c r="F745" s="9">
        <f>(data!E745-data!F745)-(data!G745-data!H745)</f>
        <v>3.4099999999999908E-2</v>
      </c>
      <c r="G745" s="9">
        <f t="shared" si="550"/>
        <v>9.2699999999999783E-2</v>
      </c>
      <c r="H745" s="9">
        <f t="shared" si="551"/>
        <v>2.8600000000000264E-2</v>
      </c>
      <c r="I745" s="9">
        <f>IF(data!M746&gt; 111.81,1,0)</f>
        <v>1</v>
      </c>
      <c r="J745" s="9">
        <f t="shared" si="552"/>
        <v>0</v>
      </c>
      <c r="K745" s="9">
        <f t="shared" si="553"/>
        <v>-0.6197000000000088</v>
      </c>
      <c r="L745" s="9">
        <f t="shared" si="554"/>
        <v>0</v>
      </c>
      <c r="M745" s="9">
        <f>data!J745</f>
        <v>-24</v>
      </c>
      <c r="N745" s="9">
        <f>data!I745</f>
        <v>-43.625</v>
      </c>
      <c r="O745" s="9">
        <f>data!L745</f>
        <v>-51.75</v>
      </c>
      <c r="P745" s="9">
        <f>data!K745</f>
        <v>-46.125</v>
      </c>
      <c r="Q745" s="9">
        <f>data!R745</f>
        <v>-40.875</v>
      </c>
      <c r="R745" s="9">
        <f t="shared" si="555"/>
        <v>-1.625</v>
      </c>
      <c r="S745" s="9">
        <f t="shared" si="556"/>
        <v>-2.875</v>
      </c>
      <c r="T745" s="9">
        <f t="shared" si="557"/>
        <v>-3.75</v>
      </c>
      <c r="U745" s="9">
        <f t="shared" si="558"/>
        <v>-3.75</v>
      </c>
      <c r="V745" s="9">
        <f t="shared" si="559"/>
        <v>-4</v>
      </c>
      <c r="W745" s="9">
        <f t="shared" si="560"/>
        <v>-5.625</v>
      </c>
      <c r="X745" s="9">
        <f t="shared" si="561"/>
        <v>-6.625</v>
      </c>
      <c r="Y745" s="9">
        <f t="shared" si="562"/>
        <v>-5.375</v>
      </c>
      <c r="Z745" s="9">
        <f t="shared" si="563"/>
        <v>-5.125</v>
      </c>
      <c r="AA745" s="9">
        <f t="shared" si="564"/>
        <v>1.5</v>
      </c>
      <c r="AB745" s="9">
        <f t="shared" si="565"/>
        <v>0.875</v>
      </c>
      <c r="AC745" s="9">
        <f t="shared" si="566"/>
        <v>1.25</v>
      </c>
      <c r="AD745" s="9">
        <f t="shared" si="567"/>
        <v>1.25</v>
      </c>
      <c r="AE745" s="9">
        <f t="shared" si="568"/>
        <v>1.125</v>
      </c>
      <c r="AF745" s="9">
        <f t="shared" si="569"/>
        <v>-1</v>
      </c>
      <c r="AG745" s="9">
        <f t="shared" si="570"/>
        <v>-2</v>
      </c>
      <c r="AH745" s="9">
        <f t="shared" si="571"/>
        <v>-0.875</v>
      </c>
      <c r="AI745" s="9">
        <f t="shared" si="572"/>
        <v>0.375</v>
      </c>
      <c r="AJ745" s="9">
        <f t="shared" si="573"/>
        <v>1.5</v>
      </c>
      <c r="AK745" s="9">
        <f t="shared" si="574"/>
        <v>0.5</v>
      </c>
      <c r="AL745" s="9">
        <f t="shared" si="575"/>
        <v>0.625</v>
      </c>
      <c r="AM745" s="9">
        <f t="shared" si="576"/>
        <v>0.5</v>
      </c>
      <c r="AN745" s="9">
        <f t="shared" si="577"/>
        <v>6.25E-2</v>
      </c>
      <c r="AO745" s="9">
        <f t="shared" si="578"/>
        <v>-2.125</v>
      </c>
      <c r="AP745" s="9">
        <f t="shared" si="579"/>
        <v>-3.25</v>
      </c>
      <c r="AQ745" s="9">
        <f t="shared" si="580"/>
        <v>-1.75</v>
      </c>
      <c r="AR745" s="9">
        <f t="shared" si="581"/>
        <v>-0.5</v>
      </c>
      <c r="AS745" s="9">
        <f t="shared" si="582"/>
        <v>0.875</v>
      </c>
      <c r="AT745" s="9">
        <f t="shared" si="583"/>
        <v>0</v>
      </c>
      <c r="AU745" s="9">
        <f t="shared" si="584"/>
        <v>-0.25</v>
      </c>
      <c r="AV745" s="9">
        <f t="shared" si="585"/>
        <v>-0.375</v>
      </c>
      <c r="AW745" s="9">
        <f t="shared" si="586"/>
        <v>-0.75</v>
      </c>
      <c r="AX745" s="9">
        <f t="shared" si="587"/>
        <v>-3.5</v>
      </c>
      <c r="AY745" s="9">
        <f t="shared" si="588"/>
        <v>-4.625</v>
      </c>
      <c r="AZ745" s="9">
        <f t="shared" si="589"/>
        <v>-3.375</v>
      </c>
      <c r="BA745" s="9">
        <f t="shared" si="590"/>
        <v>-2</v>
      </c>
      <c r="BB745" s="9">
        <f t="shared" si="591"/>
        <v>0.875</v>
      </c>
      <c r="BC745" s="9">
        <f t="shared" si="592"/>
        <v>-0.125</v>
      </c>
      <c r="BD745" s="9">
        <f t="shared" si="593"/>
        <v>-0.375</v>
      </c>
      <c r="BE745" s="9">
        <f t="shared" si="594"/>
        <v>-0.5</v>
      </c>
      <c r="BF745" s="9">
        <f t="shared" si="595"/>
        <v>-0.625</v>
      </c>
      <c r="BG745" s="9">
        <f t="shared" si="596"/>
        <v>-3.75</v>
      </c>
      <c r="BH745" s="9">
        <f t="shared" si="597"/>
        <v>-4.625</v>
      </c>
      <c r="BI745" s="9">
        <f t="shared" si="598"/>
        <v>-3.625</v>
      </c>
      <c r="BJ745" s="9">
        <f t="shared" si="599"/>
        <v>-2.375</v>
      </c>
    </row>
    <row r="746" spans="1:62" x14ac:dyDescent="0.2">
      <c r="A746" s="9">
        <f>data!M747-data!M746</f>
        <v>0.34440000000000737</v>
      </c>
      <c r="B746" s="9">
        <f>data!C747-data!C746</f>
        <v>8.0000000000000071E-2</v>
      </c>
      <c r="C746" s="9">
        <f>data!D747-data!D746</f>
        <v>-0.23749999999999982</v>
      </c>
      <c r="D746" s="10">
        <f>data!B747-data!B746</f>
        <v>4.2499999999999982E-2</v>
      </c>
      <c r="E746" s="9">
        <f>data!E746-data!G746</f>
        <v>2.6231</v>
      </c>
      <c r="F746" s="9">
        <f>(data!E746-data!F746)-(data!G746-data!H746)</f>
        <v>6.2700000000000172E-2</v>
      </c>
      <c r="G746" s="9">
        <f t="shared" si="550"/>
        <v>-2.8499999999999748E-2</v>
      </c>
      <c r="H746" s="9">
        <f t="shared" si="551"/>
        <v>-5.2999999999999436E-3</v>
      </c>
      <c r="I746" s="9">
        <f>IF(data!M747&gt; 111.81,1,0)</f>
        <v>1</v>
      </c>
      <c r="J746" s="9">
        <f t="shared" si="552"/>
        <v>0</v>
      </c>
      <c r="K746" s="9">
        <f t="shared" si="553"/>
        <v>0.34440000000000737</v>
      </c>
      <c r="L746" s="9">
        <f t="shared" si="554"/>
        <v>0</v>
      </c>
      <c r="M746" s="9">
        <f>data!J746</f>
        <v>-25.625</v>
      </c>
      <c r="N746" s="9">
        <f>data!I746</f>
        <v>-42.125</v>
      </c>
      <c r="O746" s="9">
        <f>data!L746</f>
        <v>-50.25</v>
      </c>
      <c r="P746" s="9">
        <f>data!K746</f>
        <v>-45.25</v>
      </c>
      <c r="Q746" s="9">
        <f>data!R746</f>
        <v>-40</v>
      </c>
      <c r="R746" s="9">
        <f t="shared" si="555"/>
        <v>-1.25</v>
      </c>
      <c r="S746" s="9">
        <f t="shared" si="556"/>
        <v>-2.125</v>
      </c>
      <c r="T746" s="9">
        <f t="shared" si="557"/>
        <v>-2.125</v>
      </c>
      <c r="U746" s="9">
        <f t="shared" si="558"/>
        <v>-2.375</v>
      </c>
      <c r="V746" s="9">
        <f t="shared" si="559"/>
        <v>-4</v>
      </c>
      <c r="W746" s="9">
        <f t="shared" si="560"/>
        <v>-5</v>
      </c>
      <c r="X746" s="9">
        <f t="shared" si="561"/>
        <v>-3.75</v>
      </c>
      <c r="Y746" s="9">
        <f t="shared" si="562"/>
        <v>-3.5</v>
      </c>
      <c r="Z746" s="9">
        <f t="shared" si="563"/>
        <v>-4.75</v>
      </c>
      <c r="AA746" s="9">
        <f t="shared" si="564"/>
        <v>-0.625</v>
      </c>
      <c r="AB746" s="9">
        <f t="shared" si="565"/>
        <v>-0.25</v>
      </c>
      <c r="AC746" s="9">
        <f t="shared" si="566"/>
        <v>-0.25</v>
      </c>
      <c r="AD746" s="9">
        <f t="shared" si="567"/>
        <v>-0.375</v>
      </c>
      <c r="AE746" s="9">
        <f t="shared" si="568"/>
        <v>-2.5</v>
      </c>
      <c r="AF746" s="9">
        <f t="shared" si="569"/>
        <v>-3.5</v>
      </c>
      <c r="AG746" s="9">
        <f t="shared" si="570"/>
        <v>-2.375</v>
      </c>
      <c r="AH746" s="9">
        <f t="shared" si="571"/>
        <v>-1.125</v>
      </c>
      <c r="AI746" s="9">
        <f t="shared" si="572"/>
        <v>-2.75</v>
      </c>
      <c r="AJ746" s="9">
        <f t="shared" si="573"/>
        <v>-1</v>
      </c>
      <c r="AK746" s="9">
        <f t="shared" si="574"/>
        <v>-0.875</v>
      </c>
      <c r="AL746" s="9">
        <f t="shared" si="575"/>
        <v>-1</v>
      </c>
      <c r="AM746" s="9">
        <f t="shared" si="576"/>
        <v>-1.4375</v>
      </c>
      <c r="AN746" s="9">
        <f t="shared" si="577"/>
        <v>-3.625</v>
      </c>
      <c r="AO746" s="9">
        <f t="shared" si="578"/>
        <v>-4.75</v>
      </c>
      <c r="AP746" s="9">
        <f t="shared" si="579"/>
        <v>-3.25</v>
      </c>
      <c r="AQ746" s="9">
        <f t="shared" si="580"/>
        <v>-2</v>
      </c>
      <c r="AR746" s="9">
        <f t="shared" si="581"/>
        <v>-4.125</v>
      </c>
      <c r="AS746" s="9">
        <f t="shared" si="582"/>
        <v>-0.875</v>
      </c>
      <c r="AT746" s="9">
        <f t="shared" si="583"/>
        <v>-1.125</v>
      </c>
      <c r="AU746" s="9">
        <f t="shared" si="584"/>
        <v>-1.25</v>
      </c>
      <c r="AV746" s="9">
        <f t="shared" si="585"/>
        <v>-1.625</v>
      </c>
      <c r="AW746" s="9">
        <f t="shared" si="586"/>
        <v>-4.375</v>
      </c>
      <c r="AX746" s="9">
        <f t="shared" si="587"/>
        <v>-5.5</v>
      </c>
      <c r="AY746" s="9">
        <f t="shared" si="588"/>
        <v>-4.25</v>
      </c>
      <c r="AZ746" s="9">
        <f t="shared" si="589"/>
        <v>-2.875</v>
      </c>
      <c r="BA746" s="9">
        <f t="shared" si="590"/>
        <v>-4.875</v>
      </c>
      <c r="BB746" s="9">
        <f t="shared" si="591"/>
        <v>-1</v>
      </c>
      <c r="BC746" s="9">
        <f t="shared" si="592"/>
        <v>-1.25</v>
      </c>
      <c r="BD746" s="9">
        <f t="shared" si="593"/>
        <v>-1.375</v>
      </c>
      <c r="BE746" s="9">
        <f t="shared" si="594"/>
        <v>-1.5</v>
      </c>
      <c r="BF746" s="9">
        <f t="shared" si="595"/>
        <v>-4.625</v>
      </c>
      <c r="BG746" s="9">
        <f t="shared" si="596"/>
        <v>-5.5</v>
      </c>
      <c r="BH746" s="9">
        <f t="shared" si="597"/>
        <v>-4.5</v>
      </c>
      <c r="BI746" s="9">
        <f t="shared" si="598"/>
        <v>-3.25</v>
      </c>
      <c r="BJ746" s="9">
        <f t="shared" si="599"/>
        <v>-5.125</v>
      </c>
    </row>
    <row r="747" spans="1:62" x14ac:dyDescent="0.2">
      <c r="A747" s="9">
        <f>data!M748-data!M747</f>
        <v>0.77880000000000393</v>
      </c>
      <c r="B747" s="9">
        <f>data!C748-data!C747</f>
        <v>0.64000000000000057</v>
      </c>
      <c r="C747" s="9">
        <f>data!D748-data!D747</f>
        <v>0.55250000000000021</v>
      </c>
      <c r="D747" s="10">
        <f>data!B748-data!B747</f>
        <v>-0.19750000000000001</v>
      </c>
      <c r="E747" s="9">
        <f>data!E747-data!G747</f>
        <v>2.5946000000000002</v>
      </c>
      <c r="F747" s="9">
        <f>(data!E747-data!F747)-(data!G747-data!H747)</f>
        <v>5.7400000000000229E-2</v>
      </c>
      <c r="G747" s="9">
        <f t="shared" si="550"/>
        <v>-4.8399999999999999E-2</v>
      </c>
      <c r="H747" s="9">
        <f t="shared" si="551"/>
        <v>5.1700000000000176E-2</v>
      </c>
      <c r="I747" s="9">
        <f>IF(data!M748&gt; 111.81,1,0)</f>
        <v>1</v>
      </c>
      <c r="J747" s="9">
        <f t="shared" si="552"/>
        <v>0</v>
      </c>
      <c r="K747" s="9">
        <f t="shared" si="553"/>
        <v>0.77880000000000393</v>
      </c>
      <c r="L747" s="9">
        <f t="shared" si="554"/>
        <v>0</v>
      </c>
      <c r="M747" s="9">
        <f>data!J747</f>
        <v>-26.875</v>
      </c>
      <c r="N747" s="9">
        <f>data!I747</f>
        <v>-42.75</v>
      </c>
      <c r="O747" s="9">
        <f>data!L747</f>
        <v>-51.25</v>
      </c>
      <c r="P747" s="9">
        <f>data!K747</f>
        <v>-46.125</v>
      </c>
      <c r="Q747" s="9">
        <f>data!R747</f>
        <v>-41</v>
      </c>
      <c r="R747" s="9">
        <f t="shared" si="555"/>
        <v>-0.875</v>
      </c>
      <c r="S747" s="9">
        <f t="shared" si="556"/>
        <v>-0.875</v>
      </c>
      <c r="T747" s="9">
        <f t="shared" si="557"/>
        <v>-1.125</v>
      </c>
      <c r="U747" s="9">
        <f t="shared" si="558"/>
        <v>-2.75</v>
      </c>
      <c r="V747" s="9">
        <f t="shared" si="559"/>
        <v>-3.75</v>
      </c>
      <c r="W747" s="9">
        <f t="shared" si="560"/>
        <v>-2.5</v>
      </c>
      <c r="X747" s="9">
        <f t="shared" si="561"/>
        <v>-2.25</v>
      </c>
      <c r="Y747" s="9">
        <f t="shared" si="562"/>
        <v>-3.5</v>
      </c>
      <c r="Z747" s="9">
        <f t="shared" si="563"/>
        <v>-3.25</v>
      </c>
      <c r="AA747" s="9">
        <f t="shared" si="564"/>
        <v>0.375</v>
      </c>
      <c r="AB747" s="9">
        <f t="shared" si="565"/>
        <v>0.375</v>
      </c>
      <c r="AC747" s="9">
        <f t="shared" si="566"/>
        <v>0.25</v>
      </c>
      <c r="AD747" s="9">
        <f t="shared" si="567"/>
        <v>-1.875</v>
      </c>
      <c r="AE747" s="9">
        <f t="shared" si="568"/>
        <v>-2.875</v>
      </c>
      <c r="AF747" s="9">
        <f t="shared" si="569"/>
        <v>-1.75</v>
      </c>
      <c r="AG747" s="9">
        <f t="shared" si="570"/>
        <v>-0.5</v>
      </c>
      <c r="AH747" s="9">
        <f t="shared" si="571"/>
        <v>-2.125</v>
      </c>
      <c r="AI747" s="9">
        <f t="shared" si="572"/>
        <v>-1.375</v>
      </c>
      <c r="AJ747" s="9">
        <f t="shared" si="573"/>
        <v>0.125</v>
      </c>
      <c r="AK747" s="9">
        <f t="shared" si="574"/>
        <v>0</v>
      </c>
      <c r="AL747" s="9">
        <f t="shared" si="575"/>
        <v>-0.4375</v>
      </c>
      <c r="AM747" s="9">
        <f t="shared" si="576"/>
        <v>-2.625</v>
      </c>
      <c r="AN747" s="9">
        <f t="shared" si="577"/>
        <v>-3.75</v>
      </c>
      <c r="AO747" s="9">
        <f t="shared" si="578"/>
        <v>-2.25</v>
      </c>
      <c r="AP747" s="9">
        <f t="shared" si="579"/>
        <v>-1</v>
      </c>
      <c r="AQ747" s="9">
        <f t="shared" si="580"/>
        <v>-3.125</v>
      </c>
      <c r="AR747" s="9">
        <f t="shared" si="581"/>
        <v>-2.5</v>
      </c>
      <c r="AS747" s="9">
        <f t="shared" si="582"/>
        <v>-0.25</v>
      </c>
      <c r="AT747" s="9">
        <f t="shared" si="583"/>
        <v>-0.375</v>
      </c>
      <c r="AU747" s="9">
        <f t="shared" si="584"/>
        <v>-0.75</v>
      </c>
      <c r="AV747" s="9">
        <f t="shared" si="585"/>
        <v>-3.5</v>
      </c>
      <c r="AW747" s="9">
        <f t="shared" si="586"/>
        <v>-4.625</v>
      </c>
      <c r="AX747" s="9">
        <f t="shared" si="587"/>
        <v>-3.375</v>
      </c>
      <c r="AY747" s="9">
        <f t="shared" si="588"/>
        <v>-2</v>
      </c>
      <c r="AZ747" s="9">
        <f t="shared" si="589"/>
        <v>-4</v>
      </c>
      <c r="BA747" s="9">
        <f t="shared" si="590"/>
        <v>-3.75</v>
      </c>
      <c r="BB747" s="9">
        <f t="shared" si="591"/>
        <v>-0.25</v>
      </c>
      <c r="BC747" s="9">
        <f t="shared" si="592"/>
        <v>-0.375</v>
      </c>
      <c r="BD747" s="9">
        <f t="shared" si="593"/>
        <v>-0.5</v>
      </c>
      <c r="BE747" s="9">
        <f t="shared" si="594"/>
        <v>-3.625</v>
      </c>
      <c r="BF747" s="9">
        <f t="shared" si="595"/>
        <v>-4.5</v>
      </c>
      <c r="BG747" s="9">
        <f t="shared" si="596"/>
        <v>-3.5</v>
      </c>
      <c r="BH747" s="9">
        <f t="shared" si="597"/>
        <v>-2.25</v>
      </c>
      <c r="BI747" s="9">
        <f t="shared" si="598"/>
        <v>-4.125</v>
      </c>
      <c r="BJ747" s="9">
        <f t="shared" si="599"/>
        <v>-4.125</v>
      </c>
    </row>
    <row r="748" spans="1:62" x14ac:dyDescent="0.2">
      <c r="A748" s="9">
        <f>data!M749-data!M748</f>
        <v>-0.2114000000000118</v>
      </c>
      <c r="B748" s="9">
        <f>data!C749-data!C748</f>
        <v>0.13999999999999879</v>
      </c>
      <c r="C748" s="9">
        <f>data!D749-data!D748</f>
        <v>-0.12999999999999989</v>
      </c>
      <c r="D748" s="10">
        <f>data!B749-data!B748</f>
        <v>-5.0000000000000044E-3</v>
      </c>
      <c r="E748" s="9">
        <f>data!E748-data!G748</f>
        <v>2.5462000000000002</v>
      </c>
      <c r="F748" s="9">
        <f>(data!E748-data!F748)-(data!G748-data!H748)</f>
        <v>0.1091000000000004</v>
      </c>
      <c r="G748" s="9">
        <f t="shared" si="550"/>
        <v>2.6799999999999713E-2</v>
      </c>
      <c r="H748" s="9">
        <f t="shared" si="551"/>
        <v>-2.4100000000000676E-2</v>
      </c>
      <c r="I748" s="9">
        <f>IF(data!M749&gt; 111.81,1,0)</f>
        <v>1</v>
      </c>
      <c r="J748" s="9">
        <f t="shared" si="552"/>
        <v>0</v>
      </c>
      <c r="K748" s="9">
        <f t="shared" si="553"/>
        <v>-0.2114000000000118</v>
      </c>
      <c r="L748" s="9">
        <f t="shared" si="554"/>
        <v>0</v>
      </c>
      <c r="M748" s="9">
        <f>data!J748</f>
        <v>-27.75</v>
      </c>
      <c r="N748" s="9">
        <f>data!I748</f>
        <v>-42.375</v>
      </c>
      <c r="O748" s="9">
        <f>data!L748</f>
        <v>-51.125</v>
      </c>
      <c r="P748" s="9">
        <f>data!K748</f>
        <v>-46.375</v>
      </c>
      <c r="Q748" s="9">
        <f>data!R748</f>
        <v>-41.25</v>
      </c>
      <c r="R748" s="9">
        <f t="shared" si="555"/>
        <v>0</v>
      </c>
      <c r="S748" s="9">
        <f t="shared" si="556"/>
        <v>-0.25</v>
      </c>
      <c r="T748" s="9">
        <f t="shared" si="557"/>
        <v>-1.875</v>
      </c>
      <c r="U748" s="9">
        <f t="shared" si="558"/>
        <v>-2.875</v>
      </c>
      <c r="V748" s="9">
        <f t="shared" si="559"/>
        <v>-1.625</v>
      </c>
      <c r="W748" s="9">
        <f t="shared" si="560"/>
        <v>-1.375</v>
      </c>
      <c r="X748" s="9">
        <f t="shared" si="561"/>
        <v>-2.625</v>
      </c>
      <c r="Y748" s="9">
        <f t="shared" si="562"/>
        <v>-2.375</v>
      </c>
      <c r="Z748" s="9">
        <f t="shared" si="563"/>
        <v>-4.1253999999999991</v>
      </c>
      <c r="AA748" s="9">
        <f t="shared" si="564"/>
        <v>0</v>
      </c>
      <c r="AB748" s="9">
        <f t="shared" si="565"/>
        <v>-0.125</v>
      </c>
      <c r="AC748" s="9">
        <f t="shared" si="566"/>
        <v>-2.25</v>
      </c>
      <c r="AD748" s="9">
        <f t="shared" si="567"/>
        <v>-3.25</v>
      </c>
      <c r="AE748" s="9">
        <f t="shared" si="568"/>
        <v>-2.125</v>
      </c>
      <c r="AF748" s="9">
        <f t="shared" si="569"/>
        <v>-0.875</v>
      </c>
      <c r="AG748" s="9">
        <f t="shared" si="570"/>
        <v>-2.5</v>
      </c>
      <c r="AH748" s="9">
        <f t="shared" si="571"/>
        <v>-1.75</v>
      </c>
      <c r="AI748" s="9">
        <f t="shared" si="572"/>
        <v>-0.625</v>
      </c>
      <c r="AJ748" s="9">
        <f t="shared" si="573"/>
        <v>-0.125</v>
      </c>
      <c r="AK748" s="9">
        <f t="shared" si="574"/>
        <v>-0.5625</v>
      </c>
      <c r="AL748" s="9">
        <f t="shared" si="575"/>
        <v>-2.75</v>
      </c>
      <c r="AM748" s="9">
        <f t="shared" si="576"/>
        <v>-3.875</v>
      </c>
      <c r="AN748" s="9">
        <f t="shared" si="577"/>
        <v>-2.375</v>
      </c>
      <c r="AO748" s="9">
        <f t="shared" si="578"/>
        <v>-1.125</v>
      </c>
      <c r="AP748" s="9">
        <f t="shared" si="579"/>
        <v>-3.25</v>
      </c>
      <c r="AQ748" s="9">
        <f t="shared" si="580"/>
        <v>-2.625</v>
      </c>
      <c r="AR748" s="9">
        <f t="shared" si="581"/>
        <v>-1</v>
      </c>
      <c r="AS748" s="9">
        <f t="shared" si="582"/>
        <v>-0.125</v>
      </c>
      <c r="AT748" s="9">
        <f t="shared" si="583"/>
        <v>-0.5</v>
      </c>
      <c r="AU748" s="9">
        <f t="shared" si="584"/>
        <v>-3.25</v>
      </c>
      <c r="AV748" s="9">
        <f t="shared" si="585"/>
        <v>-4.375</v>
      </c>
      <c r="AW748" s="9">
        <f t="shared" si="586"/>
        <v>-3.125</v>
      </c>
      <c r="AX748" s="9">
        <f t="shared" si="587"/>
        <v>-1.75</v>
      </c>
      <c r="AY748" s="9">
        <f t="shared" si="588"/>
        <v>-3.75</v>
      </c>
      <c r="AZ748" s="9">
        <f t="shared" si="589"/>
        <v>-3.5</v>
      </c>
      <c r="BA748" s="9">
        <f t="shared" si="590"/>
        <v>-2.875</v>
      </c>
      <c r="BB748" s="9">
        <f t="shared" si="591"/>
        <v>-0.125</v>
      </c>
      <c r="BC748" s="9">
        <f t="shared" si="592"/>
        <v>-0.25</v>
      </c>
      <c r="BD748" s="9">
        <f t="shared" si="593"/>
        <v>-3.375</v>
      </c>
      <c r="BE748" s="9">
        <f t="shared" si="594"/>
        <v>-4.25</v>
      </c>
      <c r="BF748" s="9">
        <f t="shared" si="595"/>
        <v>-3.25</v>
      </c>
      <c r="BG748" s="9">
        <f t="shared" si="596"/>
        <v>-2</v>
      </c>
      <c r="BH748" s="9">
        <f t="shared" si="597"/>
        <v>-3.875</v>
      </c>
      <c r="BI748" s="9">
        <f t="shared" si="598"/>
        <v>-3.875</v>
      </c>
      <c r="BJ748" s="9">
        <f t="shared" si="599"/>
        <v>-3.5</v>
      </c>
    </row>
    <row r="749" spans="1:62" x14ac:dyDescent="0.2">
      <c r="A749" s="9">
        <f>data!M750-data!M749</f>
        <v>0.2692000000000121</v>
      </c>
      <c r="B749" s="9">
        <f>data!C750-data!C749</f>
        <v>3.17</v>
      </c>
      <c r="C749" s="9">
        <f>data!D750-data!D749</f>
        <v>0.95500000000000007</v>
      </c>
      <c r="D749" s="10">
        <f>data!B750-data!B749</f>
        <v>-0.25749999999999995</v>
      </c>
      <c r="E749" s="9">
        <f>data!E749-data!G749</f>
        <v>2.573</v>
      </c>
      <c r="F749" s="9">
        <f>(data!E749-data!F749)-(data!G749-data!H749)</f>
        <v>8.4999999999999729E-2</v>
      </c>
      <c r="G749" s="9">
        <f t="shared" si="550"/>
        <v>-5.0799999999999734E-2</v>
      </c>
      <c r="H749" s="9">
        <f t="shared" si="551"/>
        <v>8.1000000000005373E-3</v>
      </c>
      <c r="I749" s="9">
        <f>IF(data!M750&gt; 111.81,1,0)</f>
        <v>1</v>
      </c>
      <c r="J749" s="9">
        <f t="shared" si="552"/>
        <v>0</v>
      </c>
      <c r="K749" s="9">
        <f t="shared" si="553"/>
        <v>0.2692000000000121</v>
      </c>
      <c r="L749" s="9">
        <f t="shared" si="554"/>
        <v>0</v>
      </c>
      <c r="M749" s="9">
        <f>data!J749</f>
        <v>-27.75</v>
      </c>
      <c r="N749" s="9">
        <f>data!I749</f>
        <v>-42.375</v>
      </c>
      <c r="O749" s="9">
        <f>data!L749</f>
        <v>-51.25</v>
      </c>
      <c r="P749" s="9">
        <f>data!K749</f>
        <v>-46.5</v>
      </c>
      <c r="Q749" s="9">
        <f>data!R749</f>
        <v>-41.375</v>
      </c>
      <c r="R749" s="9">
        <f t="shared" si="555"/>
        <v>-0.25</v>
      </c>
      <c r="S749" s="9">
        <f t="shared" si="556"/>
        <v>-1.875</v>
      </c>
      <c r="T749" s="9">
        <f t="shared" si="557"/>
        <v>-2.875</v>
      </c>
      <c r="U749" s="9">
        <f t="shared" si="558"/>
        <v>-1.625</v>
      </c>
      <c r="V749" s="9">
        <f t="shared" si="559"/>
        <v>-1.375</v>
      </c>
      <c r="W749" s="9">
        <f t="shared" si="560"/>
        <v>-2.625</v>
      </c>
      <c r="X749" s="9">
        <f t="shared" si="561"/>
        <v>-2.375</v>
      </c>
      <c r="Y749" s="9">
        <f t="shared" si="562"/>
        <v>-4.1253999999999991</v>
      </c>
      <c r="Z749" s="9">
        <f t="shared" si="563"/>
        <v>-6.75</v>
      </c>
      <c r="AA749" s="9">
        <f t="shared" si="564"/>
        <v>-0.125</v>
      </c>
      <c r="AB749" s="9">
        <f t="shared" si="565"/>
        <v>-2.25</v>
      </c>
      <c r="AC749" s="9">
        <f t="shared" si="566"/>
        <v>-3.25</v>
      </c>
      <c r="AD749" s="9">
        <f t="shared" si="567"/>
        <v>-2.125</v>
      </c>
      <c r="AE749" s="9">
        <f t="shared" si="568"/>
        <v>-0.875</v>
      </c>
      <c r="AF749" s="9">
        <f t="shared" si="569"/>
        <v>-2.5</v>
      </c>
      <c r="AG749" s="9">
        <f t="shared" si="570"/>
        <v>-1.75</v>
      </c>
      <c r="AH749" s="9">
        <f t="shared" si="571"/>
        <v>-0.625</v>
      </c>
      <c r="AI749" s="9">
        <f t="shared" si="572"/>
        <v>-2.5</v>
      </c>
      <c r="AJ749" s="9">
        <f t="shared" si="573"/>
        <v>-0.4375</v>
      </c>
      <c r="AK749" s="9">
        <f t="shared" si="574"/>
        <v>-2.625</v>
      </c>
      <c r="AL749" s="9">
        <f t="shared" si="575"/>
        <v>-3.75</v>
      </c>
      <c r="AM749" s="9">
        <f t="shared" si="576"/>
        <v>-2.25</v>
      </c>
      <c r="AN749" s="9">
        <f t="shared" si="577"/>
        <v>-1</v>
      </c>
      <c r="AO749" s="9">
        <f t="shared" si="578"/>
        <v>-3.125</v>
      </c>
      <c r="AP749" s="9">
        <f t="shared" si="579"/>
        <v>-2.5</v>
      </c>
      <c r="AQ749" s="9">
        <f t="shared" si="580"/>
        <v>-0.875</v>
      </c>
      <c r="AR749" s="9">
        <f t="shared" si="581"/>
        <v>-2.875</v>
      </c>
      <c r="AS749" s="9">
        <f t="shared" si="582"/>
        <v>-0.375</v>
      </c>
      <c r="AT749" s="9">
        <f t="shared" si="583"/>
        <v>-3.125</v>
      </c>
      <c r="AU749" s="9">
        <f t="shared" si="584"/>
        <v>-4.25</v>
      </c>
      <c r="AV749" s="9">
        <f t="shared" si="585"/>
        <v>-3</v>
      </c>
      <c r="AW749" s="9">
        <f t="shared" si="586"/>
        <v>-1.625</v>
      </c>
      <c r="AX749" s="9">
        <f t="shared" si="587"/>
        <v>-3.625</v>
      </c>
      <c r="AY749" s="9">
        <f t="shared" si="588"/>
        <v>-3.375</v>
      </c>
      <c r="AZ749" s="9">
        <f t="shared" si="589"/>
        <v>-2.75</v>
      </c>
      <c r="BA749" s="9">
        <f t="shared" si="590"/>
        <v>-4.5</v>
      </c>
      <c r="BB749" s="9">
        <f t="shared" si="591"/>
        <v>-0.125</v>
      </c>
      <c r="BC749" s="9">
        <f t="shared" si="592"/>
        <v>-3.25</v>
      </c>
      <c r="BD749" s="9">
        <f t="shared" si="593"/>
        <v>-4.125</v>
      </c>
      <c r="BE749" s="9">
        <f t="shared" si="594"/>
        <v>-3.125</v>
      </c>
      <c r="BF749" s="9">
        <f t="shared" si="595"/>
        <v>-1.875</v>
      </c>
      <c r="BG749" s="9">
        <f t="shared" si="596"/>
        <v>-3.75</v>
      </c>
      <c r="BH749" s="9">
        <f t="shared" si="597"/>
        <v>-3.75</v>
      </c>
      <c r="BI749" s="9">
        <f t="shared" si="598"/>
        <v>-3.375</v>
      </c>
      <c r="BJ749" s="9">
        <f t="shared" si="599"/>
        <v>-4.875</v>
      </c>
    </row>
    <row r="750" spans="1:62" x14ac:dyDescent="0.2">
      <c r="A750" s="9">
        <f>data!M751-data!M750</f>
        <v>0.91539999999999111</v>
      </c>
      <c r="B750" s="9">
        <f>data!C751-data!C750</f>
        <v>-7.9999999999998295E-2</v>
      </c>
      <c r="C750" s="9">
        <f>data!D751-data!D750</f>
        <v>-1.7500000000000071E-2</v>
      </c>
      <c r="D750" s="10">
        <f>data!B751-data!B750</f>
        <v>-0.13000000000000012</v>
      </c>
      <c r="E750" s="9">
        <f>data!E750-data!G750</f>
        <v>2.5222000000000002</v>
      </c>
      <c r="F750" s="9">
        <f>(data!E750-data!F750)-(data!G750-data!H750)</f>
        <v>9.3100000000000266E-2</v>
      </c>
      <c r="G750" s="9">
        <f t="shared" si="550"/>
        <v>-7.2300000000000253E-2</v>
      </c>
      <c r="H750" s="9">
        <f t="shared" si="551"/>
        <v>-5.3000000000006375E-3</v>
      </c>
      <c r="I750" s="9">
        <f>IF(data!M751&gt; 111.81,1,0)</f>
        <v>1</v>
      </c>
      <c r="J750" s="9">
        <f t="shared" si="552"/>
        <v>0</v>
      </c>
      <c r="K750" s="9">
        <f t="shared" si="553"/>
        <v>0.91539999999999111</v>
      </c>
      <c r="L750" s="9">
        <f t="shared" si="554"/>
        <v>0</v>
      </c>
      <c r="M750" s="9">
        <f>data!J750</f>
        <v>-28</v>
      </c>
      <c r="N750" s="9">
        <f>data!I750</f>
        <v>-42.5</v>
      </c>
      <c r="O750" s="9">
        <f>data!L750</f>
        <v>-51.6875</v>
      </c>
      <c r="P750" s="9">
        <f>data!K750</f>
        <v>-46.875</v>
      </c>
      <c r="Q750" s="9">
        <f>data!R750</f>
        <v>-41.5</v>
      </c>
      <c r="R750" s="9">
        <f t="shared" si="555"/>
        <v>-1.625</v>
      </c>
      <c r="S750" s="9">
        <f t="shared" si="556"/>
        <v>-2.625</v>
      </c>
      <c r="T750" s="9">
        <f t="shared" si="557"/>
        <v>-1.375</v>
      </c>
      <c r="U750" s="9">
        <f t="shared" si="558"/>
        <v>-1.125</v>
      </c>
      <c r="V750" s="9">
        <f t="shared" si="559"/>
        <v>-2.375</v>
      </c>
      <c r="W750" s="9">
        <f t="shared" si="560"/>
        <v>-2.125</v>
      </c>
      <c r="X750" s="9">
        <f t="shared" si="561"/>
        <v>-3.8753999999999991</v>
      </c>
      <c r="Y750" s="9">
        <f t="shared" si="562"/>
        <v>-6.5</v>
      </c>
      <c r="Z750" s="9">
        <f t="shared" si="563"/>
        <v>-8</v>
      </c>
      <c r="AA750" s="9">
        <f t="shared" si="564"/>
        <v>-2.125</v>
      </c>
      <c r="AB750" s="9">
        <f t="shared" si="565"/>
        <v>-3.125</v>
      </c>
      <c r="AC750" s="9">
        <f t="shared" si="566"/>
        <v>-2</v>
      </c>
      <c r="AD750" s="9">
        <f t="shared" si="567"/>
        <v>-0.75</v>
      </c>
      <c r="AE750" s="9">
        <f t="shared" si="568"/>
        <v>-2.375</v>
      </c>
      <c r="AF750" s="9">
        <f t="shared" si="569"/>
        <v>-1.625</v>
      </c>
      <c r="AG750" s="9">
        <f t="shared" si="570"/>
        <v>-0.5</v>
      </c>
      <c r="AH750" s="9">
        <f t="shared" si="571"/>
        <v>-2.375</v>
      </c>
      <c r="AI750" s="9">
        <f t="shared" si="572"/>
        <v>-2.5</v>
      </c>
      <c r="AJ750" s="9">
        <f t="shared" si="573"/>
        <v>-2.1875</v>
      </c>
      <c r="AK750" s="9">
        <f t="shared" si="574"/>
        <v>-3.3125</v>
      </c>
      <c r="AL750" s="9">
        <f t="shared" si="575"/>
        <v>-1.8125</v>
      </c>
      <c r="AM750" s="9">
        <f t="shared" si="576"/>
        <v>-0.5625</v>
      </c>
      <c r="AN750" s="9">
        <f t="shared" si="577"/>
        <v>-2.6875</v>
      </c>
      <c r="AO750" s="9">
        <f t="shared" si="578"/>
        <v>-2.0625</v>
      </c>
      <c r="AP750" s="9">
        <f t="shared" si="579"/>
        <v>-0.4375</v>
      </c>
      <c r="AQ750" s="9">
        <f t="shared" si="580"/>
        <v>-2.4375</v>
      </c>
      <c r="AR750" s="9">
        <f t="shared" si="581"/>
        <v>-2.0625</v>
      </c>
      <c r="AS750" s="9">
        <f t="shared" si="582"/>
        <v>-2.75</v>
      </c>
      <c r="AT750" s="9">
        <f t="shared" si="583"/>
        <v>-3.875</v>
      </c>
      <c r="AU750" s="9">
        <f t="shared" si="584"/>
        <v>-2.625</v>
      </c>
      <c r="AV750" s="9">
        <f t="shared" si="585"/>
        <v>-1.25</v>
      </c>
      <c r="AW750" s="9">
        <f t="shared" si="586"/>
        <v>-3.25</v>
      </c>
      <c r="AX750" s="9">
        <f t="shared" si="587"/>
        <v>-3</v>
      </c>
      <c r="AY750" s="9">
        <f t="shared" si="588"/>
        <v>-2.375</v>
      </c>
      <c r="AZ750" s="9">
        <f t="shared" si="589"/>
        <v>-4.125</v>
      </c>
      <c r="BA750" s="9">
        <f t="shared" si="590"/>
        <v>-3.125</v>
      </c>
      <c r="BB750" s="9">
        <f t="shared" si="591"/>
        <v>-3.125</v>
      </c>
      <c r="BC750" s="9">
        <f t="shared" si="592"/>
        <v>-4</v>
      </c>
      <c r="BD750" s="9">
        <f t="shared" si="593"/>
        <v>-3</v>
      </c>
      <c r="BE750" s="9">
        <f t="shared" si="594"/>
        <v>-1.75</v>
      </c>
      <c r="BF750" s="9">
        <f t="shared" si="595"/>
        <v>-3.625</v>
      </c>
      <c r="BG750" s="9">
        <f t="shared" si="596"/>
        <v>-3.625</v>
      </c>
      <c r="BH750" s="9">
        <f t="shared" si="597"/>
        <v>-3.25</v>
      </c>
      <c r="BI750" s="9">
        <f t="shared" si="598"/>
        <v>-4.75</v>
      </c>
      <c r="BJ750" s="9">
        <f t="shared" si="599"/>
        <v>-4</v>
      </c>
    </row>
    <row r="751" spans="1:62" x14ac:dyDescent="0.2">
      <c r="A751" s="9">
        <f>data!M752-data!M751</f>
        <v>-0.36719999999999686</v>
      </c>
      <c r="B751" s="9">
        <f>data!C752-data!C751</f>
        <v>-0.11000000000000121</v>
      </c>
      <c r="C751" s="9">
        <f>data!D752-data!D751</f>
        <v>5.9999999999999609E-2</v>
      </c>
      <c r="D751" s="10">
        <f>data!B752-data!B751</f>
        <v>0.14750000000000019</v>
      </c>
      <c r="E751" s="9">
        <f>data!E751-data!G751</f>
        <v>2.4499</v>
      </c>
      <c r="F751" s="9">
        <f>(data!E751-data!F751)-(data!G751-data!H751)</f>
        <v>8.7799999999999628E-2</v>
      </c>
      <c r="G751" s="9">
        <f t="shared" si="550"/>
        <v>-5.1700000000000301E-2</v>
      </c>
      <c r="H751" s="9">
        <f t="shared" si="551"/>
        <v>-1.3699999999999726E-2</v>
      </c>
      <c r="I751" s="9">
        <f>IF(data!M752&gt; 111.81,1,0)</f>
        <v>1</v>
      </c>
      <c r="J751" s="9">
        <f t="shared" si="552"/>
        <v>0</v>
      </c>
      <c r="K751" s="9">
        <f t="shared" si="553"/>
        <v>-0.36719999999999686</v>
      </c>
      <c r="L751" s="9">
        <f t="shared" si="554"/>
        <v>0</v>
      </c>
      <c r="M751" s="9">
        <f>data!J751</f>
        <v>-29.625</v>
      </c>
      <c r="N751" s="9">
        <f>data!I751</f>
        <v>-44.625</v>
      </c>
      <c r="O751" s="9">
        <f>data!L751</f>
        <v>-53.875</v>
      </c>
      <c r="P751" s="9">
        <f>data!K751</f>
        <v>-49.625</v>
      </c>
      <c r="Q751" s="9">
        <f>data!R751</f>
        <v>-44.625</v>
      </c>
      <c r="R751" s="9">
        <f t="shared" si="555"/>
        <v>-1</v>
      </c>
      <c r="S751" s="9">
        <f t="shared" si="556"/>
        <v>0.25</v>
      </c>
      <c r="T751" s="9">
        <f t="shared" si="557"/>
        <v>0.5</v>
      </c>
      <c r="U751" s="9">
        <f t="shared" si="558"/>
        <v>-0.75</v>
      </c>
      <c r="V751" s="9">
        <f t="shared" si="559"/>
        <v>-0.5</v>
      </c>
      <c r="W751" s="9">
        <f t="shared" si="560"/>
        <v>-2.2503999999999991</v>
      </c>
      <c r="X751" s="9">
        <f t="shared" si="561"/>
        <v>-4.875</v>
      </c>
      <c r="Y751" s="9">
        <f t="shared" si="562"/>
        <v>-6.375</v>
      </c>
      <c r="Z751" s="9">
        <f t="shared" si="563"/>
        <v>-5.875</v>
      </c>
      <c r="AA751" s="9">
        <f t="shared" si="564"/>
        <v>-1</v>
      </c>
      <c r="AB751" s="9">
        <f t="shared" si="565"/>
        <v>0.125</v>
      </c>
      <c r="AC751" s="9">
        <f t="shared" si="566"/>
        <v>1.375</v>
      </c>
      <c r="AD751" s="9">
        <f t="shared" si="567"/>
        <v>-0.25</v>
      </c>
      <c r="AE751" s="9">
        <f t="shared" si="568"/>
        <v>0.5</v>
      </c>
      <c r="AF751" s="9">
        <f t="shared" si="569"/>
        <v>1.625</v>
      </c>
      <c r="AG751" s="9">
        <f t="shared" si="570"/>
        <v>-0.25</v>
      </c>
      <c r="AH751" s="9">
        <f t="shared" si="571"/>
        <v>-0.375</v>
      </c>
      <c r="AI751" s="9">
        <f t="shared" si="572"/>
        <v>0.625</v>
      </c>
      <c r="AJ751" s="9">
        <f t="shared" si="573"/>
        <v>-1.125</v>
      </c>
      <c r="AK751" s="9">
        <f t="shared" si="574"/>
        <v>0.375</v>
      </c>
      <c r="AL751" s="9">
        <f t="shared" si="575"/>
        <v>1.625</v>
      </c>
      <c r="AM751" s="9">
        <f t="shared" si="576"/>
        <v>-0.5</v>
      </c>
      <c r="AN751" s="9">
        <f t="shared" si="577"/>
        <v>0.125</v>
      </c>
      <c r="AO751" s="9">
        <f t="shared" si="578"/>
        <v>1.75</v>
      </c>
      <c r="AP751" s="9">
        <f t="shared" si="579"/>
        <v>-0.25</v>
      </c>
      <c r="AQ751" s="9">
        <f t="shared" si="580"/>
        <v>0.125</v>
      </c>
      <c r="AR751" s="9">
        <f t="shared" si="581"/>
        <v>0.625</v>
      </c>
      <c r="AS751" s="9">
        <f t="shared" si="582"/>
        <v>-1.125</v>
      </c>
      <c r="AT751" s="9">
        <f t="shared" si="583"/>
        <v>0.125</v>
      </c>
      <c r="AU751" s="9">
        <f t="shared" si="584"/>
        <v>1.5</v>
      </c>
      <c r="AV751" s="9">
        <f t="shared" si="585"/>
        <v>-0.5</v>
      </c>
      <c r="AW751" s="9">
        <f t="shared" si="586"/>
        <v>-0.25</v>
      </c>
      <c r="AX751" s="9">
        <f t="shared" si="587"/>
        <v>0.375</v>
      </c>
      <c r="AY751" s="9">
        <f t="shared" si="588"/>
        <v>-1.375</v>
      </c>
      <c r="AZ751" s="9">
        <f t="shared" si="589"/>
        <v>-0.375</v>
      </c>
      <c r="BA751" s="9">
        <f t="shared" si="590"/>
        <v>-0.125</v>
      </c>
      <c r="BB751" s="9">
        <f t="shared" si="591"/>
        <v>-0.875</v>
      </c>
      <c r="BC751" s="9">
        <f t="shared" si="592"/>
        <v>0.125</v>
      </c>
      <c r="BD751" s="9">
        <f t="shared" si="593"/>
        <v>1.375</v>
      </c>
      <c r="BE751" s="9">
        <f t="shared" si="594"/>
        <v>-0.5</v>
      </c>
      <c r="BF751" s="9">
        <f t="shared" si="595"/>
        <v>-0.5</v>
      </c>
      <c r="BG751" s="9">
        <f t="shared" si="596"/>
        <v>-0.125</v>
      </c>
      <c r="BH751" s="9">
        <f t="shared" si="597"/>
        <v>-1.625</v>
      </c>
      <c r="BI751" s="9">
        <f t="shared" si="598"/>
        <v>-0.875</v>
      </c>
      <c r="BJ751" s="9">
        <f t="shared" si="599"/>
        <v>-1</v>
      </c>
    </row>
    <row r="752" spans="1:62" x14ac:dyDescent="0.2">
      <c r="A752" s="9">
        <f>data!M753-data!M752</f>
        <v>0.64700000000000557</v>
      </c>
      <c r="B752" s="9">
        <f>data!C753-data!C752</f>
        <v>2.8600000000000012</v>
      </c>
      <c r="C752" s="9">
        <f>data!D753-data!D752</f>
        <v>0.20999999999999996</v>
      </c>
      <c r="D752" s="10">
        <f>data!B753-data!B752</f>
        <v>0.1974999999999999</v>
      </c>
      <c r="E752" s="9">
        <f>data!E752-data!G752</f>
        <v>2.3981999999999997</v>
      </c>
      <c r="F752" s="9">
        <f>(data!E752-data!F752)-(data!G752-data!H752)</f>
        <v>7.4099999999999902E-2</v>
      </c>
      <c r="G752" s="9">
        <f t="shared" si="550"/>
        <v>-0.17359999999999953</v>
      </c>
      <c r="H752" s="9">
        <f t="shared" si="551"/>
        <v>5.0400000000000236E-2</v>
      </c>
      <c r="I752" s="9">
        <f>IF(data!M753&gt; 111.81,1,0)</f>
        <v>1</v>
      </c>
      <c r="J752" s="9">
        <f t="shared" si="552"/>
        <v>0</v>
      </c>
      <c r="K752" s="9">
        <f t="shared" si="553"/>
        <v>0.64700000000000557</v>
      </c>
      <c r="L752" s="9">
        <f t="shared" si="554"/>
        <v>0</v>
      </c>
      <c r="M752" s="9">
        <f>data!J752</f>
        <v>-30.625</v>
      </c>
      <c r="N752" s="9">
        <f>data!I752</f>
        <v>-45.625</v>
      </c>
      <c r="O752" s="9">
        <f>data!L752</f>
        <v>-55</v>
      </c>
      <c r="P752" s="9">
        <f>data!K752</f>
        <v>-50.75</v>
      </c>
      <c r="Q752" s="9">
        <f>data!R752</f>
        <v>-45.5</v>
      </c>
      <c r="R752" s="9">
        <f t="shared" si="555"/>
        <v>1.25</v>
      </c>
      <c r="S752" s="9">
        <f t="shared" si="556"/>
        <v>1.5</v>
      </c>
      <c r="T752" s="9">
        <f t="shared" si="557"/>
        <v>0.25</v>
      </c>
      <c r="U752" s="9">
        <f t="shared" si="558"/>
        <v>0.5</v>
      </c>
      <c r="V752" s="9">
        <f t="shared" si="559"/>
        <v>-1.2503999999999991</v>
      </c>
      <c r="W752" s="9">
        <f t="shared" si="560"/>
        <v>-3.875</v>
      </c>
      <c r="X752" s="9">
        <f t="shared" si="561"/>
        <v>-5.375</v>
      </c>
      <c r="Y752" s="9">
        <f t="shared" si="562"/>
        <v>-4.875</v>
      </c>
      <c r="Z752" s="9">
        <f t="shared" si="563"/>
        <v>-8.125</v>
      </c>
      <c r="AA752" s="9">
        <f t="shared" si="564"/>
        <v>1.125</v>
      </c>
      <c r="AB752" s="9">
        <f t="shared" si="565"/>
        <v>2.375</v>
      </c>
      <c r="AC752" s="9">
        <f t="shared" si="566"/>
        <v>0.75</v>
      </c>
      <c r="AD752" s="9">
        <f t="shared" si="567"/>
        <v>1.5</v>
      </c>
      <c r="AE752" s="9">
        <f t="shared" si="568"/>
        <v>2.625</v>
      </c>
      <c r="AF752" s="9">
        <f t="shared" si="569"/>
        <v>0.75</v>
      </c>
      <c r="AG752" s="9">
        <f t="shared" si="570"/>
        <v>0.625</v>
      </c>
      <c r="AH752" s="9">
        <f t="shared" si="571"/>
        <v>1.625</v>
      </c>
      <c r="AI752" s="9">
        <f t="shared" si="572"/>
        <v>-3.5</v>
      </c>
      <c r="AJ752" s="9">
        <f t="shared" si="573"/>
        <v>1.5</v>
      </c>
      <c r="AK752" s="9">
        <f t="shared" si="574"/>
        <v>2.75</v>
      </c>
      <c r="AL752" s="9">
        <f t="shared" si="575"/>
        <v>0.625</v>
      </c>
      <c r="AM752" s="9">
        <f t="shared" si="576"/>
        <v>1.25</v>
      </c>
      <c r="AN752" s="9">
        <f t="shared" si="577"/>
        <v>2.875</v>
      </c>
      <c r="AO752" s="9">
        <f t="shared" si="578"/>
        <v>0.875</v>
      </c>
      <c r="AP752" s="9">
        <f t="shared" si="579"/>
        <v>1.25</v>
      </c>
      <c r="AQ752" s="9">
        <f t="shared" si="580"/>
        <v>1.75</v>
      </c>
      <c r="AR752" s="9">
        <f t="shared" si="581"/>
        <v>-4</v>
      </c>
      <c r="AS752" s="9">
        <f t="shared" si="582"/>
        <v>1.25</v>
      </c>
      <c r="AT752" s="9">
        <f t="shared" si="583"/>
        <v>2.625</v>
      </c>
      <c r="AU752" s="9">
        <f t="shared" si="584"/>
        <v>0.625</v>
      </c>
      <c r="AV752" s="9">
        <f t="shared" si="585"/>
        <v>0.875</v>
      </c>
      <c r="AW752" s="9">
        <f t="shared" si="586"/>
        <v>1.5</v>
      </c>
      <c r="AX752" s="9">
        <f t="shared" si="587"/>
        <v>-0.25</v>
      </c>
      <c r="AY752" s="9">
        <f t="shared" si="588"/>
        <v>0.75</v>
      </c>
      <c r="AZ752" s="9">
        <f t="shared" si="589"/>
        <v>1</v>
      </c>
      <c r="BA752" s="9">
        <f t="shared" si="590"/>
        <v>-4.625</v>
      </c>
      <c r="BB752" s="9">
        <f t="shared" si="591"/>
        <v>1</v>
      </c>
      <c r="BC752" s="9">
        <f t="shared" si="592"/>
        <v>2.25</v>
      </c>
      <c r="BD752" s="9">
        <f t="shared" si="593"/>
        <v>0.375</v>
      </c>
      <c r="BE752" s="9">
        <f t="shared" si="594"/>
        <v>0.375</v>
      </c>
      <c r="BF752" s="9">
        <f t="shared" si="595"/>
        <v>0.75</v>
      </c>
      <c r="BG752" s="9">
        <f t="shared" si="596"/>
        <v>-0.75</v>
      </c>
      <c r="BH752" s="9">
        <f t="shared" si="597"/>
        <v>0</v>
      </c>
      <c r="BI752" s="9">
        <f t="shared" si="598"/>
        <v>-0.125</v>
      </c>
      <c r="BJ752" s="9">
        <f t="shared" si="599"/>
        <v>-5.125</v>
      </c>
    </row>
    <row r="753" spans="1:62" x14ac:dyDescent="0.2">
      <c r="A753" s="9">
        <f>data!M754-data!M753</f>
        <v>-0.98930000000000007</v>
      </c>
      <c r="B753" s="9">
        <f>data!C754-data!C753</f>
        <v>-2.41</v>
      </c>
      <c r="C753" s="9">
        <f>data!D754-data!D753</f>
        <v>-8.4999999999999964E-2</v>
      </c>
      <c r="D753" s="10">
        <f>data!B754-data!B753</f>
        <v>0.1825</v>
      </c>
      <c r="E753" s="9">
        <f>data!E753-data!G753</f>
        <v>2.2246000000000001</v>
      </c>
      <c r="F753" s="9">
        <f>(data!E753-data!F753)-(data!G753-data!H753)</f>
        <v>0.12450000000000014</v>
      </c>
      <c r="G753" s="9">
        <f t="shared" si="550"/>
        <v>-1.8699999999999939E-2</v>
      </c>
      <c r="H753" s="9">
        <f t="shared" si="551"/>
        <v>3.000000000000011E-2</v>
      </c>
      <c r="I753" s="9">
        <f>IF(data!M754&gt; 111.81,1,0)</f>
        <v>1</v>
      </c>
      <c r="J753" s="9">
        <f t="shared" si="552"/>
        <v>0</v>
      </c>
      <c r="K753" s="9">
        <f t="shared" si="553"/>
        <v>-0.98930000000000007</v>
      </c>
      <c r="L753" s="9">
        <f t="shared" si="554"/>
        <v>0</v>
      </c>
      <c r="M753" s="9">
        <f>data!J753</f>
        <v>-29.375</v>
      </c>
      <c r="N753" s="9">
        <f>data!I753</f>
        <v>-44.5</v>
      </c>
      <c r="O753" s="9">
        <f>data!L753</f>
        <v>-53.5</v>
      </c>
      <c r="P753" s="9">
        <f>data!K753</f>
        <v>-49.5</v>
      </c>
      <c r="Q753" s="9">
        <f>data!R753</f>
        <v>-44.5</v>
      </c>
      <c r="R753" s="9">
        <f t="shared" si="555"/>
        <v>0.25</v>
      </c>
      <c r="S753" s="9">
        <f t="shared" si="556"/>
        <v>-1</v>
      </c>
      <c r="T753" s="9">
        <f t="shared" si="557"/>
        <v>-0.75</v>
      </c>
      <c r="U753" s="9">
        <f t="shared" si="558"/>
        <v>-2.5003999999999991</v>
      </c>
      <c r="V753" s="9">
        <f t="shared" si="559"/>
        <v>-5.125</v>
      </c>
      <c r="W753" s="9">
        <f t="shared" si="560"/>
        <v>-6.625</v>
      </c>
      <c r="X753" s="9">
        <f t="shared" si="561"/>
        <v>-6.125</v>
      </c>
      <c r="Y753" s="9">
        <f t="shared" si="562"/>
        <v>-9.375</v>
      </c>
      <c r="Z753" s="9">
        <f t="shared" si="563"/>
        <v>-8.125</v>
      </c>
      <c r="AA753" s="9">
        <f t="shared" si="564"/>
        <v>1.25</v>
      </c>
      <c r="AB753" s="9">
        <f t="shared" si="565"/>
        <v>-0.375</v>
      </c>
      <c r="AC753" s="9">
        <f t="shared" si="566"/>
        <v>0.375</v>
      </c>
      <c r="AD753" s="9">
        <f t="shared" si="567"/>
        <v>1.5</v>
      </c>
      <c r="AE753" s="9">
        <f t="shared" si="568"/>
        <v>-0.375</v>
      </c>
      <c r="AF753" s="9">
        <f t="shared" si="569"/>
        <v>-0.5</v>
      </c>
      <c r="AG753" s="9">
        <f t="shared" si="570"/>
        <v>0.5</v>
      </c>
      <c r="AH753" s="9">
        <f t="shared" si="571"/>
        <v>-4.625</v>
      </c>
      <c r="AI753" s="9">
        <f t="shared" si="572"/>
        <v>-5.875</v>
      </c>
      <c r="AJ753" s="9">
        <f t="shared" si="573"/>
        <v>1.25</v>
      </c>
      <c r="AK753" s="9">
        <f t="shared" si="574"/>
        <v>-0.875</v>
      </c>
      <c r="AL753" s="9">
        <f t="shared" si="575"/>
        <v>-0.25</v>
      </c>
      <c r="AM753" s="9">
        <f t="shared" si="576"/>
        <v>1.375</v>
      </c>
      <c r="AN753" s="9">
        <f t="shared" si="577"/>
        <v>-0.625</v>
      </c>
      <c r="AO753" s="9">
        <f t="shared" si="578"/>
        <v>-0.25</v>
      </c>
      <c r="AP753" s="9">
        <f t="shared" si="579"/>
        <v>0.25</v>
      </c>
      <c r="AQ753" s="9">
        <f t="shared" si="580"/>
        <v>-5.5</v>
      </c>
      <c r="AR753" s="9">
        <f t="shared" si="581"/>
        <v>-6</v>
      </c>
      <c r="AS753" s="9">
        <f t="shared" si="582"/>
        <v>1.375</v>
      </c>
      <c r="AT753" s="9">
        <f t="shared" si="583"/>
        <v>-0.625</v>
      </c>
      <c r="AU753" s="9">
        <f t="shared" si="584"/>
        <v>-0.375</v>
      </c>
      <c r="AV753" s="9">
        <f t="shared" si="585"/>
        <v>0.25</v>
      </c>
      <c r="AW753" s="9">
        <f t="shared" si="586"/>
        <v>-1.5</v>
      </c>
      <c r="AX753" s="9">
        <f t="shared" si="587"/>
        <v>-0.5</v>
      </c>
      <c r="AY753" s="9">
        <f t="shared" si="588"/>
        <v>-0.25</v>
      </c>
      <c r="AZ753" s="9">
        <f t="shared" si="589"/>
        <v>-5.875</v>
      </c>
      <c r="BA753" s="9">
        <f t="shared" si="590"/>
        <v>-7.125</v>
      </c>
      <c r="BB753" s="9">
        <f t="shared" si="591"/>
        <v>1.25</v>
      </c>
      <c r="BC753" s="9">
        <f t="shared" si="592"/>
        <v>-0.625</v>
      </c>
      <c r="BD753" s="9">
        <f t="shared" si="593"/>
        <v>-0.625</v>
      </c>
      <c r="BE753" s="9">
        <f t="shared" si="594"/>
        <v>-0.25</v>
      </c>
      <c r="BF753" s="9">
        <f t="shared" si="595"/>
        <v>-1.75</v>
      </c>
      <c r="BG753" s="9">
        <f t="shared" si="596"/>
        <v>-1</v>
      </c>
      <c r="BH753" s="9">
        <f t="shared" si="597"/>
        <v>-1.125</v>
      </c>
      <c r="BI753" s="9">
        <f t="shared" si="598"/>
        <v>-6.125</v>
      </c>
      <c r="BJ753" s="9">
        <f t="shared" si="599"/>
        <v>-7.375</v>
      </c>
    </row>
    <row r="754" spans="1:62" x14ac:dyDescent="0.2">
      <c r="A754" s="9">
        <f>data!M755-data!M754</f>
        <v>0.16729999999999734</v>
      </c>
      <c r="B754" s="9">
        <f>data!C755-data!C754</f>
        <v>-1.0200000000000014</v>
      </c>
      <c r="C754" s="9">
        <f>data!D755-data!D754</f>
        <v>-0.26999999999999957</v>
      </c>
      <c r="D754" s="10">
        <f>data!B755-data!B754</f>
        <v>-9.4999999999999973E-2</v>
      </c>
      <c r="E754" s="9">
        <f>data!E754-data!G754</f>
        <v>2.2059000000000002</v>
      </c>
      <c r="F754" s="9">
        <f>(data!E754-data!F754)-(data!G754-data!H754)</f>
        <v>0.15450000000000025</v>
      </c>
      <c r="G754" s="9">
        <f t="shared" si="550"/>
        <v>8.49999999999973E-3</v>
      </c>
      <c r="H754" s="9">
        <f t="shared" si="551"/>
        <v>1.1399999999999771E-2</v>
      </c>
      <c r="I754" s="9">
        <f>IF(data!M755&gt; 111.81,1,0)</f>
        <v>1</v>
      </c>
      <c r="J754" s="9">
        <f t="shared" si="552"/>
        <v>0</v>
      </c>
      <c r="K754" s="9">
        <f t="shared" si="553"/>
        <v>0.16729999999999734</v>
      </c>
      <c r="L754" s="9">
        <f t="shared" si="554"/>
        <v>0</v>
      </c>
      <c r="M754" s="9">
        <f>data!J754</f>
        <v>-29.125</v>
      </c>
      <c r="N754" s="9">
        <f>data!I754</f>
        <v>-43.25</v>
      </c>
      <c r="O754" s="9">
        <f>data!L754</f>
        <v>-52.25</v>
      </c>
      <c r="P754" s="9">
        <f>data!K754</f>
        <v>-48.125</v>
      </c>
      <c r="Q754" s="9">
        <f>data!R754</f>
        <v>-43.25</v>
      </c>
      <c r="R754" s="9">
        <f t="shared" si="555"/>
        <v>-1.25</v>
      </c>
      <c r="S754" s="9">
        <f t="shared" si="556"/>
        <v>-1</v>
      </c>
      <c r="T754" s="9">
        <f t="shared" si="557"/>
        <v>-2.7503999999999991</v>
      </c>
      <c r="U754" s="9">
        <f t="shared" si="558"/>
        <v>-5.375</v>
      </c>
      <c r="V754" s="9">
        <f t="shared" si="559"/>
        <v>-6.875</v>
      </c>
      <c r="W754" s="9">
        <f t="shared" si="560"/>
        <v>-6.375</v>
      </c>
      <c r="X754" s="9">
        <f t="shared" si="561"/>
        <v>-9.625</v>
      </c>
      <c r="Y754" s="9">
        <f t="shared" si="562"/>
        <v>-8.375</v>
      </c>
      <c r="Z754" s="9">
        <f t="shared" si="563"/>
        <v>-7.25</v>
      </c>
      <c r="AA754" s="9">
        <f t="shared" si="564"/>
        <v>-1.625</v>
      </c>
      <c r="AB754" s="9">
        <f t="shared" si="565"/>
        <v>-0.875</v>
      </c>
      <c r="AC754" s="9">
        <f t="shared" si="566"/>
        <v>0.25</v>
      </c>
      <c r="AD754" s="9">
        <f t="shared" si="567"/>
        <v>-1.625</v>
      </c>
      <c r="AE754" s="9">
        <f t="shared" si="568"/>
        <v>-1.75</v>
      </c>
      <c r="AF754" s="9">
        <f t="shared" si="569"/>
        <v>-0.75</v>
      </c>
      <c r="AG754" s="9">
        <f t="shared" si="570"/>
        <v>-5.875</v>
      </c>
      <c r="AH754" s="9">
        <f t="shared" si="571"/>
        <v>-7.125</v>
      </c>
      <c r="AI754" s="9">
        <f t="shared" si="572"/>
        <v>-7.3125</v>
      </c>
      <c r="AJ754" s="9">
        <f t="shared" si="573"/>
        <v>-2.125</v>
      </c>
      <c r="AK754" s="9">
        <f t="shared" si="574"/>
        <v>-1.5</v>
      </c>
      <c r="AL754" s="9">
        <f t="shared" si="575"/>
        <v>0.125</v>
      </c>
      <c r="AM754" s="9">
        <f t="shared" si="576"/>
        <v>-1.875</v>
      </c>
      <c r="AN754" s="9">
        <f t="shared" si="577"/>
        <v>-1.5</v>
      </c>
      <c r="AO754" s="9">
        <f t="shared" si="578"/>
        <v>-1</v>
      </c>
      <c r="AP754" s="9">
        <f t="shared" si="579"/>
        <v>-6.75</v>
      </c>
      <c r="AQ754" s="9">
        <f t="shared" si="580"/>
        <v>-7.25</v>
      </c>
      <c r="AR754" s="9">
        <f t="shared" si="581"/>
        <v>-7.125</v>
      </c>
      <c r="AS754" s="9">
        <f t="shared" si="582"/>
        <v>-2</v>
      </c>
      <c r="AT754" s="9">
        <f t="shared" si="583"/>
        <v>-1.75</v>
      </c>
      <c r="AU754" s="9">
        <f t="shared" si="584"/>
        <v>-1.125</v>
      </c>
      <c r="AV754" s="9">
        <f t="shared" si="585"/>
        <v>-2.875</v>
      </c>
      <c r="AW754" s="9">
        <f t="shared" si="586"/>
        <v>-1.875</v>
      </c>
      <c r="AX754" s="9">
        <f t="shared" si="587"/>
        <v>-1.625</v>
      </c>
      <c r="AY754" s="9">
        <f t="shared" si="588"/>
        <v>-7.25</v>
      </c>
      <c r="AZ754" s="9">
        <f t="shared" si="589"/>
        <v>-8.5</v>
      </c>
      <c r="BA754" s="9">
        <f t="shared" si="590"/>
        <v>-8.375</v>
      </c>
      <c r="BB754" s="9">
        <f t="shared" si="591"/>
        <v>-1.875</v>
      </c>
      <c r="BC754" s="9">
        <f t="shared" si="592"/>
        <v>-1.875</v>
      </c>
      <c r="BD754" s="9">
        <f t="shared" si="593"/>
        <v>-1.5</v>
      </c>
      <c r="BE754" s="9">
        <f t="shared" si="594"/>
        <v>-3</v>
      </c>
      <c r="BF754" s="9">
        <f t="shared" si="595"/>
        <v>-2.25</v>
      </c>
      <c r="BG754" s="9">
        <f t="shared" si="596"/>
        <v>-2.375</v>
      </c>
      <c r="BH754" s="9">
        <f t="shared" si="597"/>
        <v>-7.375</v>
      </c>
      <c r="BI754" s="9">
        <f t="shared" si="598"/>
        <v>-8.625</v>
      </c>
      <c r="BJ754" s="9">
        <f t="shared" si="599"/>
        <v>-8.5</v>
      </c>
    </row>
    <row r="755" spans="1:62" x14ac:dyDescent="0.2">
      <c r="A755" s="9">
        <f>data!M756-data!M755</f>
        <v>-1.0681000000000012</v>
      </c>
      <c r="B755" s="9">
        <f>data!C756-data!C755</f>
        <v>0.12000000000000099</v>
      </c>
      <c r="C755" s="9">
        <f>data!D756-data!D755</f>
        <v>0.11499999999999932</v>
      </c>
      <c r="D755" s="10">
        <f>data!B756-data!B755</f>
        <v>1.749999999999996E-2</v>
      </c>
      <c r="E755" s="9">
        <f>data!E755-data!G755</f>
        <v>2.2143999999999999</v>
      </c>
      <c r="F755" s="9">
        <f>(data!E755-data!F755)-(data!G755-data!H755)</f>
        <v>0.16590000000000002</v>
      </c>
      <c r="G755" s="9">
        <f t="shared" si="550"/>
        <v>1.5999999999998238E-3</v>
      </c>
      <c r="H755" s="9">
        <f t="shared" si="551"/>
        <v>4.6299999999999786E-2</v>
      </c>
      <c r="I755" s="9">
        <f>IF(data!M756&gt; 111.81,1,0)</f>
        <v>1</v>
      </c>
      <c r="J755" s="9">
        <f t="shared" si="552"/>
        <v>0</v>
      </c>
      <c r="K755" s="9">
        <f t="shared" si="553"/>
        <v>-1.0681000000000012</v>
      </c>
      <c r="L755" s="9">
        <f t="shared" si="554"/>
        <v>0</v>
      </c>
      <c r="M755" s="9">
        <f>data!J755</f>
        <v>-30.375</v>
      </c>
      <c r="N755" s="9">
        <f>data!I755</f>
        <v>-44.875</v>
      </c>
      <c r="O755" s="9">
        <f>data!L755</f>
        <v>-54.375</v>
      </c>
      <c r="P755" s="9">
        <f>data!K755</f>
        <v>-50.125</v>
      </c>
      <c r="Q755" s="9">
        <f>data!R755</f>
        <v>-45.125</v>
      </c>
      <c r="R755" s="9">
        <f t="shared" si="555"/>
        <v>0.25</v>
      </c>
      <c r="S755" s="9">
        <f t="shared" si="556"/>
        <v>-1.5003999999999991</v>
      </c>
      <c r="T755" s="9">
        <f t="shared" si="557"/>
        <v>-4.125</v>
      </c>
      <c r="U755" s="9">
        <f t="shared" si="558"/>
        <v>-5.625</v>
      </c>
      <c r="V755" s="9">
        <f t="shared" si="559"/>
        <v>-5.125</v>
      </c>
      <c r="W755" s="9">
        <f t="shared" si="560"/>
        <v>-8.375</v>
      </c>
      <c r="X755" s="9">
        <f t="shared" si="561"/>
        <v>-7.125</v>
      </c>
      <c r="Y755" s="9">
        <f t="shared" si="562"/>
        <v>-6</v>
      </c>
      <c r="Z755" s="9">
        <f t="shared" si="563"/>
        <v>-5</v>
      </c>
      <c r="AA755" s="9">
        <f t="shared" si="564"/>
        <v>0.75</v>
      </c>
      <c r="AB755" s="9">
        <f t="shared" si="565"/>
        <v>1.875</v>
      </c>
      <c r="AC755" s="9">
        <f t="shared" si="566"/>
        <v>0</v>
      </c>
      <c r="AD755" s="9">
        <f t="shared" si="567"/>
        <v>-0.125</v>
      </c>
      <c r="AE755" s="9">
        <f t="shared" si="568"/>
        <v>0.875</v>
      </c>
      <c r="AF755" s="9">
        <f t="shared" si="569"/>
        <v>-4.25</v>
      </c>
      <c r="AG755" s="9">
        <f t="shared" si="570"/>
        <v>-5.5</v>
      </c>
      <c r="AH755" s="9">
        <f t="shared" si="571"/>
        <v>-5.6875</v>
      </c>
      <c r="AI755" s="9">
        <f t="shared" si="572"/>
        <v>-5.25</v>
      </c>
      <c r="AJ755" s="9">
        <f t="shared" si="573"/>
        <v>0.625</v>
      </c>
      <c r="AK755" s="9">
        <f t="shared" si="574"/>
        <v>2.25</v>
      </c>
      <c r="AL755" s="9">
        <f t="shared" si="575"/>
        <v>0.25</v>
      </c>
      <c r="AM755" s="9">
        <f t="shared" si="576"/>
        <v>0.625</v>
      </c>
      <c r="AN755" s="9">
        <f t="shared" si="577"/>
        <v>1.125</v>
      </c>
      <c r="AO755" s="9">
        <f t="shared" si="578"/>
        <v>-4.625</v>
      </c>
      <c r="AP755" s="9">
        <f t="shared" si="579"/>
        <v>-5.125</v>
      </c>
      <c r="AQ755" s="9">
        <f t="shared" si="580"/>
        <v>-5</v>
      </c>
      <c r="AR755" s="9">
        <f t="shared" si="581"/>
        <v>-4.625</v>
      </c>
      <c r="AS755" s="9">
        <f t="shared" si="582"/>
        <v>0.25</v>
      </c>
      <c r="AT755" s="9">
        <f t="shared" si="583"/>
        <v>0.875</v>
      </c>
      <c r="AU755" s="9">
        <f t="shared" si="584"/>
        <v>-0.875</v>
      </c>
      <c r="AV755" s="9">
        <f t="shared" si="585"/>
        <v>0.125</v>
      </c>
      <c r="AW755" s="9">
        <f t="shared" si="586"/>
        <v>0.375</v>
      </c>
      <c r="AX755" s="9">
        <f t="shared" si="587"/>
        <v>-5.25</v>
      </c>
      <c r="AY755" s="9">
        <f t="shared" si="588"/>
        <v>-6.5</v>
      </c>
      <c r="AZ755" s="9">
        <f t="shared" si="589"/>
        <v>-6.375</v>
      </c>
      <c r="BA755" s="9">
        <f t="shared" si="590"/>
        <v>-7.125</v>
      </c>
      <c r="BB755" s="9">
        <f t="shared" si="591"/>
        <v>0</v>
      </c>
      <c r="BC755" s="9">
        <f t="shared" si="592"/>
        <v>0.375</v>
      </c>
      <c r="BD755" s="9">
        <f t="shared" si="593"/>
        <v>-1.125</v>
      </c>
      <c r="BE755" s="9">
        <f t="shared" si="594"/>
        <v>-0.375</v>
      </c>
      <c r="BF755" s="9">
        <f t="shared" si="595"/>
        <v>-0.5</v>
      </c>
      <c r="BG755" s="9">
        <f t="shared" si="596"/>
        <v>-5.5</v>
      </c>
      <c r="BH755" s="9">
        <f t="shared" si="597"/>
        <v>-6.75</v>
      </c>
      <c r="BI755" s="9">
        <f t="shared" si="598"/>
        <v>-6.625</v>
      </c>
      <c r="BJ755" s="9">
        <f t="shared" si="599"/>
        <v>-8.625</v>
      </c>
    </row>
    <row r="756" spans="1:62" x14ac:dyDescent="0.2">
      <c r="A756" s="9">
        <f>data!M757-data!M756</f>
        <v>-0.25440000000000396</v>
      </c>
      <c r="B756" s="9">
        <f>data!C757-data!C756</f>
        <v>-0.32000000000000028</v>
      </c>
      <c r="C756" s="9">
        <f>data!D757-data!D756</f>
        <v>3.7500000000000533E-2</v>
      </c>
      <c r="D756" s="10">
        <f>data!B757-data!B756</f>
        <v>4.7499999999999987E-2</v>
      </c>
      <c r="E756" s="9">
        <f>data!E756-data!G756</f>
        <v>2.2159999999999997</v>
      </c>
      <c r="F756" s="9">
        <f>(data!E756-data!F756)-(data!G756-data!H756)</f>
        <v>0.21219999999999981</v>
      </c>
      <c r="G756" s="9">
        <f t="shared" si="550"/>
        <v>-4.6899999999999498E-2</v>
      </c>
      <c r="H756" s="9">
        <f t="shared" si="551"/>
        <v>-2.1999999999999603E-2</v>
      </c>
      <c r="I756" s="9">
        <f>IF(data!M757&gt; 111.81,1,0)</f>
        <v>1</v>
      </c>
      <c r="J756" s="9">
        <f t="shared" si="552"/>
        <v>0</v>
      </c>
      <c r="K756" s="9">
        <f t="shared" si="553"/>
        <v>-0.25440000000000396</v>
      </c>
      <c r="L756" s="9">
        <f t="shared" si="554"/>
        <v>0</v>
      </c>
      <c r="M756" s="9">
        <f>data!J756</f>
        <v>-30.125</v>
      </c>
      <c r="N756" s="9">
        <f>data!I756</f>
        <v>-44.125</v>
      </c>
      <c r="O756" s="9">
        <f>data!L756</f>
        <v>-53.75</v>
      </c>
      <c r="P756" s="9">
        <f>data!K756</f>
        <v>-49.875</v>
      </c>
      <c r="Q756" s="9">
        <f>data!R756</f>
        <v>-45.125</v>
      </c>
      <c r="R756" s="9">
        <f t="shared" si="555"/>
        <v>-1.7503999999999991</v>
      </c>
      <c r="S756" s="9">
        <f t="shared" si="556"/>
        <v>-4.375</v>
      </c>
      <c r="T756" s="9">
        <f t="shared" si="557"/>
        <v>-5.875</v>
      </c>
      <c r="U756" s="9">
        <f t="shared" si="558"/>
        <v>-5.375</v>
      </c>
      <c r="V756" s="9">
        <f t="shared" si="559"/>
        <v>-8.625</v>
      </c>
      <c r="W756" s="9">
        <f t="shared" si="560"/>
        <v>-7.375</v>
      </c>
      <c r="X756" s="9">
        <f t="shared" si="561"/>
        <v>-6.25</v>
      </c>
      <c r="Y756" s="9">
        <f t="shared" si="562"/>
        <v>-5.25</v>
      </c>
      <c r="Z756" s="9">
        <f t="shared" si="563"/>
        <v>-5.875</v>
      </c>
      <c r="AA756" s="9">
        <f t="shared" si="564"/>
        <v>1.125</v>
      </c>
      <c r="AB756" s="9">
        <f t="shared" si="565"/>
        <v>-0.75</v>
      </c>
      <c r="AC756" s="9">
        <f t="shared" si="566"/>
        <v>-0.875</v>
      </c>
      <c r="AD756" s="9">
        <f t="shared" si="567"/>
        <v>0.125</v>
      </c>
      <c r="AE756" s="9">
        <f t="shared" si="568"/>
        <v>-5</v>
      </c>
      <c r="AF756" s="9">
        <f t="shared" si="569"/>
        <v>-6.25</v>
      </c>
      <c r="AG756" s="9">
        <f t="shared" si="570"/>
        <v>-6.4375</v>
      </c>
      <c r="AH756" s="9">
        <f t="shared" si="571"/>
        <v>-6</v>
      </c>
      <c r="AI756" s="9">
        <f t="shared" si="572"/>
        <v>-5.75</v>
      </c>
      <c r="AJ756" s="9">
        <f t="shared" si="573"/>
        <v>1.625</v>
      </c>
      <c r="AK756" s="9">
        <f t="shared" si="574"/>
        <v>-0.375</v>
      </c>
      <c r="AL756" s="9">
        <f t="shared" si="575"/>
        <v>0</v>
      </c>
      <c r="AM756" s="9">
        <f t="shared" si="576"/>
        <v>0.5</v>
      </c>
      <c r="AN756" s="9">
        <f t="shared" si="577"/>
        <v>-5.25</v>
      </c>
      <c r="AO756" s="9">
        <f t="shared" si="578"/>
        <v>-5.75</v>
      </c>
      <c r="AP756" s="9">
        <f t="shared" si="579"/>
        <v>-5.625</v>
      </c>
      <c r="AQ756" s="9">
        <f t="shared" si="580"/>
        <v>-5.25</v>
      </c>
      <c r="AR756" s="9">
        <f t="shared" si="581"/>
        <v>-4.875</v>
      </c>
      <c r="AS756" s="9">
        <f t="shared" si="582"/>
        <v>0.625</v>
      </c>
      <c r="AT756" s="9">
        <f t="shared" si="583"/>
        <v>-1.125</v>
      </c>
      <c r="AU756" s="9">
        <f t="shared" si="584"/>
        <v>-0.125</v>
      </c>
      <c r="AV756" s="9">
        <f t="shared" si="585"/>
        <v>0.125</v>
      </c>
      <c r="AW756" s="9">
        <f t="shared" si="586"/>
        <v>-5.5</v>
      </c>
      <c r="AX756" s="9">
        <f t="shared" si="587"/>
        <v>-6.75</v>
      </c>
      <c r="AY756" s="9">
        <f t="shared" si="588"/>
        <v>-6.625</v>
      </c>
      <c r="AZ756" s="9">
        <f t="shared" si="589"/>
        <v>-7.375</v>
      </c>
      <c r="BA756" s="9">
        <f t="shared" si="590"/>
        <v>-6.75</v>
      </c>
      <c r="BB756" s="9">
        <f t="shared" si="591"/>
        <v>0.375</v>
      </c>
      <c r="BC756" s="9">
        <f t="shared" si="592"/>
        <v>-1.125</v>
      </c>
      <c r="BD756" s="9">
        <f t="shared" si="593"/>
        <v>-0.375</v>
      </c>
      <c r="BE756" s="9">
        <f t="shared" si="594"/>
        <v>-0.5</v>
      </c>
      <c r="BF756" s="9">
        <f t="shared" si="595"/>
        <v>-5.5</v>
      </c>
      <c r="BG756" s="9">
        <f t="shared" si="596"/>
        <v>-6.75</v>
      </c>
      <c r="BH756" s="9">
        <f t="shared" si="597"/>
        <v>-6.625</v>
      </c>
      <c r="BI756" s="9">
        <f t="shared" si="598"/>
        <v>-8.625</v>
      </c>
      <c r="BJ756" s="9">
        <f t="shared" si="599"/>
        <v>-8</v>
      </c>
    </row>
    <row r="757" spans="1:62" x14ac:dyDescent="0.2">
      <c r="A757" s="9">
        <f>data!M758-data!M757</f>
        <v>0.53090000000000259</v>
      </c>
      <c r="B757" s="9">
        <f>data!C758-data!C757</f>
        <v>-1.8000000000000007</v>
      </c>
      <c r="C757" s="9">
        <f>data!D758-data!D757</f>
        <v>-0.79750000000000032</v>
      </c>
      <c r="D757" s="10">
        <f>data!B758-data!B757</f>
        <v>5.5000000000000049E-2</v>
      </c>
      <c r="E757" s="9">
        <f>data!E757-data!G757</f>
        <v>2.1691000000000003</v>
      </c>
      <c r="F757" s="9">
        <f>(data!E757-data!F757)-(data!G757-data!H757)</f>
        <v>0.1902000000000002</v>
      </c>
      <c r="G757" s="9">
        <f t="shared" si="550"/>
        <v>2.7699999999999392E-2</v>
      </c>
      <c r="H757" s="9">
        <f t="shared" si="551"/>
        <v>-6.9700000000000317E-2</v>
      </c>
      <c r="I757" s="9">
        <f>IF(data!M758&gt; 111.81,1,0)</f>
        <v>1</v>
      </c>
      <c r="J757" s="9">
        <f t="shared" si="552"/>
        <v>0</v>
      </c>
      <c r="K757" s="9">
        <f t="shared" si="553"/>
        <v>0.53090000000000259</v>
      </c>
      <c r="L757" s="9">
        <f t="shared" si="554"/>
        <v>0</v>
      </c>
      <c r="M757" s="9">
        <f>data!J757</f>
        <v>-31.875399999999999</v>
      </c>
      <c r="N757" s="9">
        <f>data!I757</f>
        <v>-43</v>
      </c>
      <c r="O757" s="9">
        <f>data!L757</f>
        <v>-52.125</v>
      </c>
      <c r="P757" s="9">
        <f>data!K757</f>
        <v>-49.25</v>
      </c>
      <c r="Q757" s="9">
        <f>data!R757</f>
        <v>-44.75</v>
      </c>
      <c r="R757" s="9">
        <f t="shared" si="555"/>
        <v>-2.6246000000000009</v>
      </c>
      <c r="S757" s="9">
        <f t="shared" si="556"/>
        <v>-4.1246000000000009</v>
      </c>
      <c r="T757" s="9">
        <f t="shared" si="557"/>
        <v>-3.6246000000000009</v>
      </c>
      <c r="U757" s="9">
        <f t="shared" si="558"/>
        <v>-6.8746000000000009</v>
      </c>
      <c r="V757" s="9">
        <f t="shared" si="559"/>
        <v>-5.6246000000000009</v>
      </c>
      <c r="W757" s="9">
        <f t="shared" si="560"/>
        <v>-4.4996000000000009</v>
      </c>
      <c r="X757" s="9">
        <f t="shared" si="561"/>
        <v>-3.4996000000000009</v>
      </c>
      <c r="Y757" s="9">
        <f t="shared" si="562"/>
        <v>-4.1246000000000009</v>
      </c>
      <c r="Z757" s="9">
        <f t="shared" si="563"/>
        <v>-5.3746000000000009</v>
      </c>
      <c r="AA757" s="9">
        <f t="shared" si="564"/>
        <v>-1.875</v>
      </c>
      <c r="AB757" s="9">
        <f t="shared" si="565"/>
        <v>-2</v>
      </c>
      <c r="AC757" s="9">
        <f t="shared" si="566"/>
        <v>-1</v>
      </c>
      <c r="AD757" s="9">
        <f t="shared" si="567"/>
        <v>-6.125</v>
      </c>
      <c r="AE757" s="9">
        <f t="shared" si="568"/>
        <v>-7.375</v>
      </c>
      <c r="AF757" s="9">
        <f t="shared" si="569"/>
        <v>-7.5625</v>
      </c>
      <c r="AG757" s="9">
        <f t="shared" si="570"/>
        <v>-7.125</v>
      </c>
      <c r="AH757" s="9">
        <f t="shared" si="571"/>
        <v>-6.875</v>
      </c>
      <c r="AI757" s="9">
        <f t="shared" si="572"/>
        <v>-5.75</v>
      </c>
      <c r="AJ757" s="9">
        <f t="shared" si="573"/>
        <v>-2</v>
      </c>
      <c r="AK757" s="9">
        <f t="shared" si="574"/>
        <v>-1.625</v>
      </c>
      <c r="AL757" s="9">
        <f t="shared" si="575"/>
        <v>-1.125</v>
      </c>
      <c r="AM757" s="9">
        <f t="shared" si="576"/>
        <v>-6.875</v>
      </c>
      <c r="AN757" s="9">
        <f t="shared" si="577"/>
        <v>-7.375</v>
      </c>
      <c r="AO757" s="9">
        <f t="shared" si="578"/>
        <v>-7.25</v>
      </c>
      <c r="AP757" s="9">
        <f t="shared" si="579"/>
        <v>-6.875</v>
      </c>
      <c r="AQ757" s="9">
        <f t="shared" si="580"/>
        <v>-6.5</v>
      </c>
      <c r="AR757" s="9">
        <f t="shared" si="581"/>
        <v>-5</v>
      </c>
      <c r="AS757" s="9">
        <f t="shared" si="582"/>
        <v>-1.75</v>
      </c>
      <c r="AT757" s="9">
        <f t="shared" si="583"/>
        <v>-0.75</v>
      </c>
      <c r="AU757" s="9">
        <f t="shared" si="584"/>
        <v>-0.5</v>
      </c>
      <c r="AV757" s="9">
        <f t="shared" si="585"/>
        <v>-6.125</v>
      </c>
      <c r="AW757" s="9">
        <f t="shared" si="586"/>
        <v>-7.375</v>
      </c>
      <c r="AX757" s="9">
        <f t="shared" si="587"/>
        <v>-7.25</v>
      </c>
      <c r="AY757" s="9">
        <f t="shared" si="588"/>
        <v>-8</v>
      </c>
      <c r="AZ757" s="9">
        <f t="shared" si="589"/>
        <v>-7.375</v>
      </c>
      <c r="BA757" s="9">
        <f t="shared" si="590"/>
        <v>-6.25</v>
      </c>
      <c r="BB757" s="9">
        <f t="shared" si="591"/>
        <v>-1.5</v>
      </c>
      <c r="BC757" s="9">
        <f t="shared" si="592"/>
        <v>-0.75</v>
      </c>
      <c r="BD757" s="9">
        <f t="shared" si="593"/>
        <v>-0.875</v>
      </c>
      <c r="BE757" s="9">
        <f t="shared" si="594"/>
        <v>-5.875</v>
      </c>
      <c r="BF757" s="9">
        <f t="shared" si="595"/>
        <v>-7.125</v>
      </c>
      <c r="BG757" s="9">
        <f t="shared" si="596"/>
        <v>-7</v>
      </c>
      <c r="BH757" s="9">
        <f t="shared" si="597"/>
        <v>-9</v>
      </c>
      <c r="BI757" s="9">
        <f t="shared" si="598"/>
        <v>-8.375</v>
      </c>
      <c r="BJ757" s="9">
        <f t="shared" si="599"/>
        <v>-7.375</v>
      </c>
    </row>
    <row r="758" spans="1:62" x14ac:dyDescent="0.2">
      <c r="A758" s="9">
        <f>data!M759-data!M758</f>
        <v>-0.34470000000000312</v>
      </c>
      <c r="B758" s="9">
        <f>data!C759-data!C758</f>
        <v>-0.88999999999999879</v>
      </c>
      <c r="C758" s="9">
        <f>data!D759-data!D758</f>
        <v>9.9999999999997868E-3</v>
      </c>
      <c r="D758" s="10">
        <f>data!B759-data!B758</f>
        <v>0.15500000000000003</v>
      </c>
      <c r="E758" s="9">
        <f>data!E758-data!G758</f>
        <v>2.1967999999999996</v>
      </c>
      <c r="F758" s="9">
        <f>(data!E758-data!F758)-(data!G758-data!H758)</f>
        <v>0.12049999999999988</v>
      </c>
      <c r="G758" s="9">
        <f t="shared" si="550"/>
        <v>4.6100000000000474E-2</v>
      </c>
      <c r="H758" s="9">
        <f t="shared" si="551"/>
        <v>8.9300000000000268E-2</v>
      </c>
      <c r="I758" s="9">
        <f>IF(data!M759&gt; 111.81,1,0)</f>
        <v>1</v>
      </c>
      <c r="J758" s="9">
        <f t="shared" si="552"/>
        <v>0</v>
      </c>
      <c r="K758" s="9">
        <f t="shared" si="553"/>
        <v>-0.34470000000000312</v>
      </c>
      <c r="L758" s="9">
        <f t="shared" si="554"/>
        <v>0</v>
      </c>
      <c r="M758" s="9">
        <f>data!J758</f>
        <v>-34.5</v>
      </c>
      <c r="N758" s="9">
        <f>data!I758</f>
        <v>-44.875</v>
      </c>
      <c r="O758" s="9">
        <f>data!L758</f>
        <v>-54.125</v>
      </c>
      <c r="P758" s="9">
        <f>data!K758</f>
        <v>-51</v>
      </c>
      <c r="Q758" s="9">
        <f>data!R758</f>
        <v>-46.25</v>
      </c>
      <c r="R758" s="9">
        <f t="shared" si="555"/>
        <v>-1.5</v>
      </c>
      <c r="S758" s="9">
        <f t="shared" si="556"/>
        <v>-1</v>
      </c>
      <c r="T758" s="9">
        <f t="shared" si="557"/>
        <v>-4.25</v>
      </c>
      <c r="U758" s="9">
        <f t="shared" si="558"/>
        <v>-3</v>
      </c>
      <c r="V758" s="9">
        <f t="shared" si="559"/>
        <v>-1.875</v>
      </c>
      <c r="W758" s="9">
        <f t="shared" si="560"/>
        <v>-0.875</v>
      </c>
      <c r="X758" s="9">
        <f t="shared" si="561"/>
        <v>-1.5</v>
      </c>
      <c r="Y758" s="9">
        <f t="shared" si="562"/>
        <v>-2.75</v>
      </c>
      <c r="Z758" s="9">
        <f t="shared" si="563"/>
        <v>-2.25</v>
      </c>
      <c r="AA758" s="9">
        <f t="shared" si="564"/>
        <v>-0.125</v>
      </c>
      <c r="AB758" s="9">
        <f t="shared" si="565"/>
        <v>0.875</v>
      </c>
      <c r="AC758" s="9">
        <f t="shared" si="566"/>
        <v>-4.25</v>
      </c>
      <c r="AD758" s="9">
        <f t="shared" si="567"/>
        <v>-5.5</v>
      </c>
      <c r="AE758" s="9">
        <f t="shared" si="568"/>
        <v>-5.6875</v>
      </c>
      <c r="AF758" s="9">
        <f t="shared" si="569"/>
        <v>-5.25</v>
      </c>
      <c r="AG758" s="9">
        <f t="shared" si="570"/>
        <v>-5</v>
      </c>
      <c r="AH758" s="9">
        <f t="shared" si="571"/>
        <v>-3.875</v>
      </c>
      <c r="AI758" s="9">
        <f t="shared" si="572"/>
        <v>-3.75</v>
      </c>
      <c r="AJ758" s="9">
        <f t="shared" si="573"/>
        <v>0.375</v>
      </c>
      <c r="AK758" s="9">
        <f t="shared" si="574"/>
        <v>0.875</v>
      </c>
      <c r="AL758" s="9">
        <f t="shared" si="575"/>
        <v>-4.875</v>
      </c>
      <c r="AM758" s="9">
        <f t="shared" si="576"/>
        <v>-5.375</v>
      </c>
      <c r="AN758" s="9">
        <f t="shared" si="577"/>
        <v>-5.25</v>
      </c>
      <c r="AO758" s="9">
        <f t="shared" si="578"/>
        <v>-4.875</v>
      </c>
      <c r="AP758" s="9">
        <f t="shared" si="579"/>
        <v>-4.5</v>
      </c>
      <c r="AQ758" s="9">
        <f t="shared" si="580"/>
        <v>-3</v>
      </c>
      <c r="AR758" s="9">
        <f t="shared" si="581"/>
        <v>-2</v>
      </c>
      <c r="AS758" s="9">
        <f t="shared" si="582"/>
        <v>1</v>
      </c>
      <c r="AT758" s="9">
        <f t="shared" si="583"/>
        <v>1.25</v>
      </c>
      <c r="AU758" s="9">
        <f t="shared" si="584"/>
        <v>-4.375</v>
      </c>
      <c r="AV758" s="9">
        <f t="shared" si="585"/>
        <v>-5.625</v>
      </c>
      <c r="AW758" s="9">
        <f t="shared" si="586"/>
        <v>-5.5</v>
      </c>
      <c r="AX758" s="9">
        <f t="shared" si="587"/>
        <v>-6.25</v>
      </c>
      <c r="AY758" s="9">
        <f t="shared" si="588"/>
        <v>-5.625</v>
      </c>
      <c r="AZ758" s="9">
        <f t="shared" si="589"/>
        <v>-4.5</v>
      </c>
      <c r="BA758" s="9">
        <f t="shared" si="590"/>
        <v>-3.5</v>
      </c>
      <c r="BB758" s="9">
        <f t="shared" si="591"/>
        <v>0.75</v>
      </c>
      <c r="BC758" s="9">
        <f t="shared" si="592"/>
        <v>0.625</v>
      </c>
      <c r="BD758" s="9">
        <f t="shared" si="593"/>
        <v>-4.375</v>
      </c>
      <c r="BE758" s="9">
        <f t="shared" si="594"/>
        <v>-5.625</v>
      </c>
      <c r="BF758" s="9">
        <f t="shared" si="595"/>
        <v>-5.5</v>
      </c>
      <c r="BG758" s="9">
        <f t="shared" si="596"/>
        <v>-7.5</v>
      </c>
      <c r="BH758" s="9">
        <f t="shared" si="597"/>
        <v>-6.875</v>
      </c>
      <c r="BI758" s="9">
        <f t="shared" si="598"/>
        <v>-5.875</v>
      </c>
      <c r="BJ758" s="9">
        <f t="shared" si="599"/>
        <v>-4.875</v>
      </c>
    </row>
    <row r="759" spans="1:62" x14ac:dyDescent="0.2">
      <c r="A759" s="9">
        <f>data!M760-data!M759</f>
        <v>0.10060000000000002</v>
      </c>
      <c r="B759" s="9">
        <f>data!C760-data!C759</f>
        <v>2.0599999999999987</v>
      </c>
      <c r="C759" s="9">
        <f>data!D760-data!D759</f>
        <v>0.48500000000000032</v>
      </c>
      <c r="D759" s="10">
        <f>data!B760-data!B759</f>
        <v>5.7499999999999996E-2</v>
      </c>
      <c r="E759" s="9">
        <f>data!E759-data!G759</f>
        <v>2.2429000000000001</v>
      </c>
      <c r="F759" s="9">
        <f>(data!E759-data!F759)-(data!G759-data!H759)</f>
        <v>0.20980000000000015</v>
      </c>
      <c r="G759" s="9">
        <f t="shared" si="550"/>
        <v>-4.9700000000000077E-2</v>
      </c>
      <c r="H759" s="9">
        <f t="shared" si="551"/>
        <v>-3.9900000000000019E-2</v>
      </c>
      <c r="I759" s="9">
        <f>IF(data!M760&gt; 111.81,1,0)</f>
        <v>1</v>
      </c>
      <c r="J759" s="9">
        <f t="shared" si="552"/>
        <v>0</v>
      </c>
      <c r="K759" s="9">
        <f t="shared" si="553"/>
        <v>0.10060000000000002</v>
      </c>
      <c r="L759" s="9">
        <f t="shared" si="554"/>
        <v>0</v>
      </c>
      <c r="M759" s="9">
        <f>data!J759</f>
        <v>-36</v>
      </c>
      <c r="N759" s="9">
        <f>data!I759</f>
        <v>-45</v>
      </c>
      <c r="O759" s="9">
        <f>data!L759</f>
        <v>-53.75</v>
      </c>
      <c r="P759" s="9">
        <f>data!K759</f>
        <v>-50</v>
      </c>
      <c r="Q759" s="9">
        <f>data!R759</f>
        <v>-45.5</v>
      </c>
      <c r="R759" s="9">
        <f t="shared" si="555"/>
        <v>0.5</v>
      </c>
      <c r="S759" s="9">
        <f t="shared" si="556"/>
        <v>-2.75</v>
      </c>
      <c r="T759" s="9">
        <f t="shared" si="557"/>
        <v>-1.5</v>
      </c>
      <c r="U759" s="9">
        <f t="shared" si="558"/>
        <v>-0.375</v>
      </c>
      <c r="V759" s="9">
        <f t="shared" si="559"/>
        <v>0.625</v>
      </c>
      <c r="W759" s="9">
        <f t="shared" si="560"/>
        <v>0</v>
      </c>
      <c r="X759" s="9">
        <f t="shared" si="561"/>
        <v>-1.25</v>
      </c>
      <c r="Y759" s="9">
        <f t="shared" si="562"/>
        <v>-0.75</v>
      </c>
      <c r="Z759" s="9">
        <f t="shared" si="563"/>
        <v>0.25</v>
      </c>
      <c r="AA759" s="9">
        <f t="shared" si="564"/>
        <v>1</v>
      </c>
      <c r="AB759" s="9">
        <f t="shared" si="565"/>
        <v>-4.125</v>
      </c>
      <c r="AC759" s="9">
        <f t="shared" si="566"/>
        <v>-5.375</v>
      </c>
      <c r="AD759" s="9">
        <f t="shared" si="567"/>
        <v>-5.5625</v>
      </c>
      <c r="AE759" s="9">
        <f t="shared" si="568"/>
        <v>-5.125</v>
      </c>
      <c r="AF759" s="9">
        <f t="shared" si="569"/>
        <v>-4.875</v>
      </c>
      <c r="AG759" s="9">
        <f t="shared" si="570"/>
        <v>-3.75</v>
      </c>
      <c r="AH759" s="9">
        <f t="shared" si="571"/>
        <v>-3.625</v>
      </c>
      <c r="AI759" s="9">
        <f t="shared" si="572"/>
        <v>-2.625</v>
      </c>
      <c r="AJ759" s="9">
        <f t="shared" si="573"/>
        <v>0.5</v>
      </c>
      <c r="AK759" s="9">
        <f t="shared" si="574"/>
        <v>-5.25</v>
      </c>
      <c r="AL759" s="9">
        <f t="shared" si="575"/>
        <v>-5.75</v>
      </c>
      <c r="AM759" s="9">
        <f t="shared" si="576"/>
        <v>-5.625</v>
      </c>
      <c r="AN759" s="9">
        <f t="shared" si="577"/>
        <v>-5.25</v>
      </c>
      <c r="AO759" s="9">
        <f t="shared" si="578"/>
        <v>-4.875</v>
      </c>
      <c r="AP759" s="9">
        <f t="shared" si="579"/>
        <v>-3.375</v>
      </c>
      <c r="AQ759" s="9">
        <f t="shared" si="580"/>
        <v>-2.375</v>
      </c>
      <c r="AR759" s="9">
        <f t="shared" si="581"/>
        <v>0.3125</v>
      </c>
      <c r="AS759" s="9">
        <f t="shared" si="582"/>
        <v>0.25</v>
      </c>
      <c r="AT759" s="9">
        <f t="shared" si="583"/>
        <v>-5.375</v>
      </c>
      <c r="AU759" s="9">
        <f t="shared" si="584"/>
        <v>-6.625</v>
      </c>
      <c r="AV759" s="9">
        <f t="shared" si="585"/>
        <v>-6.5</v>
      </c>
      <c r="AW759" s="9">
        <f t="shared" si="586"/>
        <v>-7.25</v>
      </c>
      <c r="AX759" s="9">
        <f t="shared" si="587"/>
        <v>-6.625</v>
      </c>
      <c r="AY759" s="9">
        <f t="shared" si="588"/>
        <v>-5.5</v>
      </c>
      <c r="AZ759" s="9">
        <f t="shared" si="589"/>
        <v>-4.5</v>
      </c>
      <c r="BA759" s="9">
        <f t="shared" si="590"/>
        <v>-3</v>
      </c>
      <c r="BB759" s="9">
        <f t="shared" si="591"/>
        <v>-0.125</v>
      </c>
      <c r="BC759" s="9">
        <f t="shared" si="592"/>
        <v>-5.125</v>
      </c>
      <c r="BD759" s="9">
        <f t="shared" si="593"/>
        <v>-6.375</v>
      </c>
      <c r="BE759" s="9">
        <f t="shared" si="594"/>
        <v>-6.25</v>
      </c>
      <c r="BF759" s="9">
        <f t="shared" si="595"/>
        <v>-8.25</v>
      </c>
      <c r="BG759" s="9">
        <f t="shared" si="596"/>
        <v>-7.625</v>
      </c>
      <c r="BH759" s="9">
        <f t="shared" si="597"/>
        <v>-6.625</v>
      </c>
      <c r="BI759" s="9">
        <f t="shared" si="598"/>
        <v>-5.625</v>
      </c>
      <c r="BJ759" s="9">
        <f t="shared" si="599"/>
        <v>-4.375</v>
      </c>
    </row>
    <row r="760" spans="1:62" x14ac:dyDescent="0.2">
      <c r="A760" s="9">
        <f>data!M761-data!M760</f>
        <v>0.6752000000000038</v>
      </c>
      <c r="B760" s="9">
        <f>data!C761-data!C760</f>
        <v>-2.2899999999999991</v>
      </c>
      <c r="C760" s="9">
        <f>data!D761-data!D760</f>
        <v>-0.53000000000000025</v>
      </c>
      <c r="D760" s="10">
        <f>data!B761-data!B760</f>
        <v>-2.5000000000000022E-3</v>
      </c>
      <c r="E760" s="9">
        <f>data!E760-data!G760</f>
        <v>2.1932</v>
      </c>
      <c r="F760" s="9">
        <f>(data!E760-data!F760)-(data!G760-data!H760)</f>
        <v>0.16990000000000013</v>
      </c>
      <c r="G760" s="9">
        <f t="shared" si="550"/>
        <v>3.1099999999999905E-2</v>
      </c>
      <c r="H760" s="9">
        <f t="shared" si="551"/>
        <v>-1.2500000000000205E-2</v>
      </c>
      <c r="I760" s="9">
        <f>IF(data!M761&gt; 111.81,1,0)</f>
        <v>1</v>
      </c>
      <c r="J760" s="9">
        <f t="shared" si="552"/>
        <v>0</v>
      </c>
      <c r="K760" s="9">
        <f t="shared" si="553"/>
        <v>0.6752000000000038</v>
      </c>
      <c r="L760" s="9">
        <f t="shared" si="554"/>
        <v>0</v>
      </c>
      <c r="M760" s="9">
        <f>data!J760</f>
        <v>-35.5</v>
      </c>
      <c r="N760" s="9">
        <f>data!I760</f>
        <v>-44</v>
      </c>
      <c r="O760" s="9">
        <f>data!L760</f>
        <v>-53.25</v>
      </c>
      <c r="P760" s="9">
        <f>data!K760</f>
        <v>-49.75</v>
      </c>
      <c r="Q760" s="9">
        <f>data!R760</f>
        <v>-45.625</v>
      </c>
      <c r="R760" s="9">
        <f t="shared" si="555"/>
        <v>-3.25</v>
      </c>
      <c r="S760" s="9">
        <f t="shared" si="556"/>
        <v>-2</v>
      </c>
      <c r="T760" s="9">
        <f t="shared" si="557"/>
        <v>-0.875</v>
      </c>
      <c r="U760" s="9">
        <f t="shared" si="558"/>
        <v>0.125</v>
      </c>
      <c r="V760" s="9">
        <f t="shared" si="559"/>
        <v>-0.5</v>
      </c>
      <c r="W760" s="9">
        <f t="shared" si="560"/>
        <v>-1.75</v>
      </c>
      <c r="X760" s="9">
        <f t="shared" si="561"/>
        <v>-1.25</v>
      </c>
      <c r="Y760" s="9">
        <f t="shared" si="562"/>
        <v>-0.25</v>
      </c>
      <c r="Z760" s="9">
        <f t="shared" si="563"/>
        <v>1.75</v>
      </c>
      <c r="AA760" s="9">
        <f t="shared" si="564"/>
        <v>-5.125</v>
      </c>
      <c r="AB760" s="9">
        <f t="shared" si="565"/>
        <v>-6.375</v>
      </c>
      <c r="AC760" s="9">
        <f t="shared" si="566"/>
        <v>-6.5625</v>
      </c>
      <c r="AD760" s="9">
        <f t="shared" si="567"/>
        <v>-6.125</v>
      </c>
      <c r="AE760" s="9">
        <f t="shared" si="568"/>
        <v>-5.875</v>
      </c>
      <c r="AF760" s="9">
        <f t="shared" si="569"/>
        <v>-4.75</v>
      </c>
      <c r="AG760" s="9">
        <f t="shared" si="570"/>
        <v>-4.625</v>
      </c>
      <c r="AH760" s="9">
        <f t="shared" si="571"/>
        <v>-3.625</v>
      </c>
      <c r="AI760" s="9">
        <f t="shared" si="572"/>
        <v>-2.5625</v>
      </c>
      <c r="AJ760" s="9">
        <f t="shared" si="573"/>
        <v>-5.75</v>
      </c>
      <c r="AK760" s="9">
        <f t="shared" si="574"/>
        <v>-6.25</v>
      </c>
      <c r="AL760" s="9">
        <f t="shared" si="575"/>
        <v>-6.125</v>
      </c>
      <c r="AM760" s="9">
        <f t="shared" si="576"/>
        <v>-5.75</v>
      </c>
      <c r="AN760" s="9">
        <f t="shared" si="577"/>
        <v>-5.375</v>
      </c>
      <c r="AO760" s="9">
        <f t="shared" si="578"/>
        <v>-3.875</v>
      </c>
      <c r="AP760" s="9">
        <f t="shared" si="579"/>
        <v>-2.875</v>
      </c>
      <c r="AQ760" s="9">
        <f t="shared" si="580"/>
        <v>-0.1875</v>
      </c>
      <c r="AR760" s="9">
        <f t="shared" si="581"/>
        <v>0.625</v>
      </c>
      <c r="AS760" s="9">
        <f t="shared" si="582"/>
        <v>-5.625</v>
      </c>
      <c r="AT760" s="9">
        <f t="shared" si="583"/>
        <v>-6.875</v>
      </c>
      <c r="AU760" s="9">
        <f t="shared" si="584"/>
        <v>-6.75</v>
      </c>
      <c r="AV760" s="9">
        <f t="shared" si="585"/>
        <v>-7.5</v>
      </c>
      <c r="AW760" s="9">
        <f t="shared" si="586"/>
        <v>-6.875</v>
      </c>
      <c r="AX760" s="9">
        <f t="shared" si="587"/>
        <v>-5.75</v>
      </c>
      <c r="AY760" s="9">
        <f t="shared" si="588"/>
        <v>-4.75</v>
      </c>
      <c r="AZ760" s="9">
        <f t="shared" si="589"/>
        <v>-3.25</v>
      </c>
      <c r="BA760" s="9">
        <f t="shared" si="590"/>
        <v>-2.75</v>
      </c>
      <c r="BB760" s="9">
        <f t="shared" si="591"/>
        <v>-5</v>
      </c>
      <c r="BC760" s="9">
        <f t="shared" si="592"/>
        <v>-6.25</v>
      </c>
      <c r="BD760" s="9">
        <f t="shared" si="593"/>
        <v>-6.125</v>
      </c>
      <c r="BE760" s="9">
        <f t="shared" si="594"/>
        <v>-8.125</v>
      </c>
      <c r="BF760" s="9">
        <f t="shared" si="595"/>
        <v>-7.5</v>
      </c>
      <c r="BG760" s="9">
        <f t="shared" si="596"/>
        <v>-6.5</v>
      </c>
      <c r="BH760" s="9">
        <f t="shared" si="597"/>
        <v>-5.5</v>
      </c>
      <c r="BI760" s="9">
        <f t="shared" si="598"/>
        <v>-4.25</v>
      </c>
      <c r="BJ760" s="9">
        <f t="shared" si="599"/>
        <v>-3.375</v>
      </c>
    </row>
    <row r="761" spans="1:62" x14ac:dyDescent="0.2">
      <c r="A761" s="9">
        <f>data!M762-data!M761</f>
        <v>0.64199999999999591</v>
      </c>
      <c r="B761" s="9">
        <f>data!C762-data!C761</f>
        <v>5.4499999999999993</v>
      </c>
      <c r="C761" s="9">
        <f>data!D762-data!D761</f>
        <v>1.4500000000000002</v>
      </c>
      <c r="D761" s="10">
        <f>data!B762-data!B761</f>
        <v>-0.38000000000000006</v>
      </c>
      <c r="E761" s="9">
        <f>data!E761-data!G761</f>
        <v>2.2242999999999999</v>
      </c>
      <c r="F761" s="9">
        <f>(data!E761-data!F761)-(data!G761-data!H761)</f>
        <v>0.15739999999999993</v>
      </c>
      <c r="G761" s="9">
        <f t="shared" si="550"/>
        <v>-0.20909999999999984</v>
      </c>
      <c r="H761" s="9">
        <f t="shared" si="551"/>
        <v>-6.2999999999999945E-2</v>
      </c>
      <c r="I761" s="9">
        <f>IF(data!M762&gt; 111.81,1,0)</f>
        <v>1</v>
      </c>
      <c r="J761" s="9">
        <f t="shared" si="552"/>
        <v>0</v>
      </c>
      <c r="K761" s="9">
        <f t="shared" si="553"/>
        <v>0.64199999999999591</v>
      </c>
      <c r="L761" s="9">
        <f t="shared" si="554"/>
        <v>0</v>
      </c>
      <c r="M761" s="9">
        <f>data!J761</f>
        <v>-38.75</v>
      </c>
      <c r="N761" s="9">
        <f>data!I761</f>
        <v>-49.125</v>
      </c>
      <c r="O761" s="9">
        <f>data!L761</f>
        <v>-59</v>
      </c>
      <c r="P761" s="9">
        <f>data!K761</f>
        <v>-55.375</v>
      </c>
      <c r="Q761" s="9">
        <f>data!R761</f>
        <v>-50.625</v>
      </c>
      <c r="R761" s="9">
        <f t="shared" si="555"/>
        <v>1.25</v>
      </c>
      <c r="S761" s="9">
        <f t="shared" si="556"/>
        <v>2.375</v>
      </c>
      <c r="T761" s="9">
        <f t="shared" si="557"/>
        <v>3.375</v>
      </c>
      <c r="U761" s="9">
        <f t="shared" si="558"/>
        <v>2.75</v>
      </c>
      <c r="V761" s="9">
        <f t="shared" si="559"/>
        <v>1.5</v>
      </c>
      <c r="W761" s="9">
        <f t="shared" si="560"/>
        <v>2</v>
      </c>
      <c r="X761" s="9">
        <f t="shared" si="561"/>
        <v>3</v>
      </c>
      <c r="Y761" s="9">
        <f t="shared" si="562"/>
        <v>5</v>
      </c>
      <c r="Z761" s="9">
        <f t="shared" si="563"/>
        <v>5.625</v>
      </c>
      <c r="AA761" s="9">
        <f t="shared" si="564"/>
        <v>-1.25</v>
      </c>
      <c r="AB761" s="9">
        <f t="shared" si="565"/>
        <v>-1.4375</v>
      </c>
      <c r="AC761" s="9">
        <f t="shared" si="566"/>
        <v>-1</v>
      </c>
      <c r="AD761" s="9">
        <f t="shared" si="567"/>
        <v>-0.75</v>
      </c>
      <c r="AE761" s="9">
        <f t="shared" si="568"/>
        <v>0.375</v>
      </c>
      <c r="AF761" s="9">
        <f t="shared" si="569"/>
        <v>0.5</v>
      </c>
      <c r="AG761" s="9">
        <f t="shared" si="570"/>
        <v>1.5</v>
      </c>
      <c r="AH761" s="9">
        <f t="shared" si="571"/>
        <v>2.5625</v>
      </c>
      <c r="AI761" s="9">
        <f t="shared" si="572"/>
        <v>4.75</v>
      </c>
      <c r="AJ761" s="9">
        <f t="shared" si="573"/>
        <v>-0.5</v>
      </c>
      <c r="AK761" s="9">
        <f t="shared" si="574"/>
        <v>-0.375</v>
      </c>
      <c r="AL761" s="9">
        <f t="shared" si="575"/>
        <v>0</v>
      </c>
      <c r="AM761" s="9">
        <f t="shared" si="576"/>
        <v>0.375</v>
      </c>
      <c r="AN761" s="9">
        <f t="shared" si="577"/>
        <v>1.875</v>
      </c>
      <c r="AO761" s="9">
        <f t="shared" si="578"/>
        <v>2.875</v>
      </c>
      <c r="AP761" s="9">
        <f t="shared" si="579"/>
        <v>5.5625</v>
      </c>
      <c r="AQ761" s="9">
        <f t="shared" si="580"/>
        <v>6.375</v>
      </c>
      <c r="AR761" s="9">
        <f t="shared" si="581"/>
        <v>8</v>
      </c>
      <c r="AS761" s="9">
        <f t="shared" si="582"/>
        <v>-1.25</v>
      </c>
      <c r="AT761" s="9">
        <f t="shared" si="583"/>
        <v>-1.125</v>
      </c>
      <c r="AU761" s="9">
        <f t="shared" si="584"/>
        <v>-1.875</v>
      </c>
      <c r="AV761" s="9">
        <f t="shared" si="585"/>
        <v>-1.25</v>
      </c>
      <c r="AW761" s="9">
        <f t="shared" si="586"/>
        <v>-0.125</v>
      </c>
      <c r="AX761" s="9">
        <f t="shared" si="587"/>
        <v>0.875</v>
      </c>
      <c r="AY761" s="9">
        <f t="shared" si="588"/>
        <v>2.375</v>
      </c>
      <c r="AZ761" s="9">
        <f t="shared" si="589"/>
        <v>2.875</v>
      </c>
      <c r="BA761" s="9">
        <f t="shared" si="590"/>
        <v>4.375</v>
      </c>
      <c r="BB761" s="9">
        <f t="shared" si="591"/>
        <v>-1.25</v>
      </c>
      <c r="BC761" s="9">
        <f t="shared" si="592"/>
        <v>-1.125</v>
      </c>
      <c r="BD761" s="9">
        <f t="shared" si="593"/>
        <v>-3.125</v>
      </c>
      <c r="BE761" s="9">
        <f t="shared" si="594"/>
        <v>-2.5</v>
      </c>
      <c r="BF761" s="9">
        <f t="shared" si="595"/>
        <v>-1.5</v>
      </c>
      <c r="BG761" s="9">
        <f t="shared" si="596"/>
        <v>-0.5</v>
      </c>
      <c r="BH761" s="9">
        <f t="shared" si="597"/>
        <v>0.75</v>
      </c>
      <c r="BI761" s="9">
        <f t="shared" si="598"/>
        <v>1.625</v>
      </c>
      <c r="BJ761" s="9">
        <f t="shared" si="599"/>
        <v>3</v>
      </c>
    </row>
    <row r="762" spans="1:62" x14ac:dyDescent="0.2">
      <c r="A762" s="9">
        <f>data!M763-data!M762</f>
        <v>0.2558000000000078</v>
      </c>
      <c r="B762" s="9">
        <f>data!C763-data!C762</f>
        <v>0.35999999999999943</v>
      </c>
      <c r="C762" s="9">
        <f>data!D763-data!D762</f>
        <v>0.85000000000000053</v>
      </c>
      <c r="D762" s="10">
        <f>data!B763-data!B762</f>
        <v>-0.14249999999999985</v>
      </c>
      <c r="E762" s="9">
        <f>data!E762-data!G762</f>
        <v>2.0152000000000001</v>
      </c>
      <c r="F762" s="9">
        <f>(data!E762-data!F762)-(data!G762-data!H762)</f>
        <v>9.4399999999999984E-2</v>
      </c>
      <c r="G762" s="9">
        <f t="shared" si="550"/>
        <v>-4.850000000000021E-2</v>
      </c>
      <c r="H762" s="9">
        <f t="shared" si="551"/>
        <v>-4.7300000000000147E-2</v>
      </c>
      <c r="I762" s="9">
        <f>IF(data!M763&gt; 111.81,1,0)</f>
        <v>1</v>
      </c>
      <c r="J762" s="9">
        <f t="shared" si="552"/>
        <v>0</v>
      </c>
      <c r="K762" s="9">
        <f t="shared" si="553"/>
        <v>0.2558000000000078</v>
      </c>
      <c r="L762" s="9">
        <f t="shared" si="554"/>
        <v>0</v>
      </c>
      <c r="M762" s="9">
        <f>data!J762</f>
        <v>-37.5</v>
      </c>
      <c r="N762" s="9">
        <f>data!I762</f>
        <v>-50.375</v>
      </c>
      <c r="O762" s="9">
        <f>data!L762</f>
        <v>-59.5</v>
      </c>
      <c r="P762" s="9">
        <f>data!K762</f>
        <v>-56.625</v>
      </c>
      <c r="Q762" s="9">
        <f>data!R762</f>
        <v>-51.875</v>
      </c>
      <c r="R762" s="9">
        <f t="shared" si="555"/>
        <v>1.125</v>
      </c>
      <c r="S762" s="9">
        <f t="shared" si="556"/>
        <v>2.125</v>
      </c>
      <c r="T762" s="9">
        <f t="shared" si="557"/>
        <v>1.5</v>
      </c>
      <c r="U762" s="9">
        <f t="shared" si="558"/>
        <v>0.25</v>
      </c>
      <c r="V762" s="9">
        <f t="shared" si="559"/>
        <v>0.75</v>
      </c>
      <c r="W762" s="9">
        <f t="shared" si="560"/>
        <v>1.75</v>
      </c>
      <c r="X762" s="9">
        <f t="shared" si="561"/>
        <v>3.75</v>
      </c>
      <c r="Y762" s="9">
        <f t="shared" si="562"/>
        <v>4.375</v>
      </c>
      <c r="Z762" s="9">
        <f t="shared" si="563"/>
        <v>3.9375</v>
      </c>
      <c r="AA762" s="9">
        <f t="shared" si="564"/>
        <v>-0.1875</v>
      </c>
      <c r="AB762" s="9">
        <f t="shared" si="565"/>
        <v>0.25</v>
      </c>
      <c r="AC762" s="9">
        <f t="shared" si="566"/>
        <v>0.5</v>
      </c>
      <c r="AD762" s="9">
        <f t="shared" si="567"/>
        <v>1.625</v>
      </c>
      <c r="AE762" s="9">
        <f t="shared" si="568"/>
        <v>1.75</v>
      </c>
      <c r="AF762" s="9">
        <f t="shared" si="569"/>
        <v>2.75</v>
      </c>
      <c r="AG762" s="9">
        <f t="shared" si="570"/>
        <v>3.8125</v>
      </c>
      <c r="AH762" s="9">
        <f t="shared" si="571"/>
        <v>6</v>
      </c>
      <c r="AI762" s="9">
        <f t="shared" si="572"/>
        <v>4.625</v>
      </c>
      <c r="AJ762" s="9">
        <f t="shared" si="573"/>
        <v>0.125</v>
      </c>
      <c r="AK762" s="9">
        <f t="shared" si="574"/>
        <v>0.5</v>
      </c>
      <c r="AL762" s="9">
        <f t="shared" si="575"/>
        <v>0.875</v>
      </c>
      <c r="AM762" s="9">
        <f t="shared" si="576"/>
        <v>2.375</v>
      </c>
      <c r="AN762" s="9">
        <f t="shared" si="577"/>
        <v>3.375</v>
      </c>
      <c r="AO762" s="9">
        <f t="shared" si="578"/>
        <v>6.0625</v>
      </c>
      <c r="AP762" s="9">
        <f t="shared" si="579"/>
        <v>6.875</v>
      </c>
      <c r="AQ762" s="9">
        <f t="shared" si="580"/>
        <v>8.5</v>
      </c>
      <c r="AR762" s="9">
        <f t="shared" si="581"/>
        <v>6.75</v>
      </c>
      <c r="AS762" s="9">
        <f t="shared" si="582"/>
        <v>0.125</v>
      </c>
      <c r="AT762" s="9">
        <f t="shared" si="583"/>
        <v>-0.625</v>
      </c>
      <c r="AU762" s="9">
        <f t="shared" si="584"/>
        <v>0</v>
      </c>
      <c r="AV762" s="9">
        <f t="shared" si="585"/>
        <v>1.125</v>
      </c>
      <c r="AW762" s="9">
        <f t="shared" si="586"/>
        <v>2.125</v>
      </c>
      <c r="AX762" s="9">
        <f t="shared" si="587"/>
        <v>3.625</v>
      </c>
      <c r="AY762" s="9">
        <f t="shared" si="588"/>
        <v>4.125</v>
      </c>
      <c r="AZ762" s="9">
        <f t="shared" si="589"/>
        <v>5.625</v>
      </c>
      <c r="BA762" s="9">
        <f t="shared" si="590"/>
        <v>3.875</v>
      </c>
      <c r="BB762" s="9">
        <f t="shared" si="591"/>
        <v>0.125</v>
      </c>
      <c r="BC762" s="9">
        <f t="shared" si="592"/>
        <v>-1.875</v>
      </c>
      <c r="BD762" s="9">
        <f t="shared" si="593"/>
        <v>-1.25</v>
      </c>
      <c r="BE762" s="9">
        <f t="shared" si="594"/>
        <v>-0.25</v>
      </c>
      <c r="BF762" s="9">
        <f t="shared" si="595"/>
        <v>0.75</v>
      </c>
      <c r="BG762" s="9">
        <f t="shared" si="596"/>
        <v>2</v>
      </c>
      <c r="BH762" s="9">
        <f t="shared" si="597"/>
        <v>2.875</v>
      </c>
      <c r="BI762" s="9">
        <f t="shared" si="598"/>
        <v>4.25</v>
      </c>
      <c r="BJ762" s="9">
        <f t="shared" si="599"/>
        <v>2.75</v>
      </c>
    </row>
    <row r="763" spans="1:62" x14ac:dyDescent="0.2">
      <c r="A763" s="9">
        <f>data!M764-data!M763</f>
        <v>0.63639999999999475</v>
      </c>
      <c r="B763" s="9">
        <f>data!C764-data!C763</f>
        <v>0.5</v>
      </c>
      <c r="C763" s="9">
        <f>data!D764-data!D763</f>
        <v>-9.5000000000000639E-2</v>
      </c>
      <c r="D763" s="10">
        <f>data!B764-data!B763</f>
        <v>-0.13250000000000006</v>
      </c>
      <c r="E763" s="9">
        <f>data!E763-data!G763</f>
        <v>1.9666999999999999</v>
      </c>
      <c r="F763" s="9">
        <f>(data!E763-data!F763)-(data!G763-data!H763)</f>
        <v>4.7099999999999836E-2</v>
      </c>
      <c r="G763" s="9">
        <f t="shared" si="550"/>
        <v>-0.17789999999999973</v>
      </c>
      <c r="H763" s="9">
        <f t="shared" si="551"/>
        <v>-1.3599999999999751E-2</v>
      </c>
      <c r="I763" s="9">
        <f>IF(data!M764&gt; 111.81,1,0)</f>
        <v>1</v>
      </c>
      <c r="J763" s="9">
        <f t="shared" si="552"/>
        <v>0</v>
      </c>
      <c r="K763" s="9">
        <f t="shared" si="553"/>
        <v>0.63639999999999475</v>
      </c>
      <c r="L763" s="9">
        <f t="shared" si="554"/>
        <v>0</v>
      </c>
      <c r="M763" s="9">
        <f>data!J763</f>
        <v>-36.375</v>
      </c>
      <c r="N763" s="9">
        <f>data!I763</f>
        <v>-50.5625</v>
      </c>
      <c r="O763" s="9">
        <f>data!L763</f>
        <v>-59.375</v>
      </c>
      <c r="P763" s="9">
        <f>data!K763</f>
        <v>-56.5</v>
      </c>
      <c r="Q763" s="9">
        <f>data!R763</f>
        <v>-51.75</v>
      </c>
      <c r="R763" s="9">
        <f t="shared" si="555"/>
        <v>1</v>
      </c>
      <c r="S763" s="9">
        <f t="shared" si="556"/>
        <v>0.375</v>
      </c>
      <c r="T763" s="9">
        <f t="shared" si="557"/>
        <v>-0.875</v>
      </c>
      <c r="U763" s="9">
        <f t="shared" si="558"/>
        <v>-0.375</v>
      </c>
      <c r="V763" s="9">
        <f t="shared" si="559"/>
        <v>0.625</v>
      </c>
      <c r="W763" s="9">
        <f t="shared" si="560"/>
        <v>2.625</v>
      </c>
      <c r="X763" s="9">
        <f t="shared" si="561"/>
        <v>3.25</v>
      </c>
      <c r="Y763" s="9">
        <f t="shared" si="562"/>
        <v>2.8125</v>
      </c>
      <c r="Z763" s="9">
        <f t="shared" si="563"/>
        <v>4.0625</v>
      </c>
      <c r="AA763" s="9">
        <f t="shared" si="564"/>
        <v>0.4375</v>
      </c>
      <c r="AB763" s="9">
        <f t="shared" si="565"/>
        <v>0.6875</v>
      </c>
      <c r="AC763" s="9">
        <f t="shared" si="566"/>
        <v>1.8125</v>
      </c>
      <c r="AD763" s="9">
        <f t="shared" si="567"/>
        <v>1.9375</v>
      </c>
      <c r="AE763" s="9">
        <f t="shared" si="568"/>
        <v>2.9375</v>
      </c>
      <c r="AF763" s="9">
        <f t="shared" si="569"/>
        <v>4</v>
      </c>
      <c r="AG763" s="9">
        <f t="shared" si="570"/>
        <v>6.1875</v>
      </c>
      <c r="AH763" s="9">
        <f t="shared" si="571"/>
        <v>4.8125</v>
      </c>
      <c r="AI763" s="9">
        <f t="shared" si="572"/>
        <v>4.8125</v>
      </c>
      <c r="AJ763" s="9">
        <f t="shared" si="573"/>
        <v>0.375</v>
      </c>
      <c r="AK763" s="9">
        <f t="shared" si="574"/>
        <v>0.75</v>
      </c>
      <c r="AL763" s="9">
        <f t="shared" si="575"/>
        <v>2.25</v>
      </c>
      <c r="AM763" s="9">
        <f t="shared" si="576"/>
        <v>3.25</v>
      </c>
      <c r="AN763" s="9">
        <f t="shared" si="577"/>
        <v>5.9375</v>
      </c>
      <c r="AO763" s="9">
        <f t="shared" si="578"/>
        <v>6.75</v>
      </c>
      <c r="AP763" s="9">
        <f t="shared" si="579"/>
        <v>8.375</v>
      </c>
      <c r="AQ763" s="9">
        <f t="shared" si="580"/>
        <v>6.625</v>
      </c>
      <c r="AR763" s="9">
        <f t="shared" si="581"/>
        <v>6.9375</v>
      </c>
      <c r="AS763" s="9">
        <f t="shared" si="582"/>
        <v>-0.75</v>
      </c>
      <c r="AT763" s="9">
        <f t="shared" si="583"/>
        <v>-0.125</v>
      </c>
      <c r="AU763" s="9">
        <f t="shared" si="584"/>
        <v>1</v>
      </c>
      <c r="AV763" s="9">
        <f t="shared" si="585"/>
        <v>2</v>
      </c>
      <c r="AW763" s="9">
        <f t="shared" si="586"/>
        <v>3.5</v>
      </c>
      <c r="AX763" s="9">
        <f t="shared" si="587"/>
        <v>4</v>
      </c>
      <c r="AY763" s="9">
        <f t="shared" si="588"/>
        <v>5.5</v>
      </c>
      <c r="AZ763" s="9">
        <f t="shared" si="589"/>
        <v>3.75</v>
      </c>
      <c r="BA763" s="9">
        <f t="shared" si="590"/>
        <v>4</v>
      </c>
      <c r="BB763" s="9">
        <f t="shared" si="591"/>
        <v>-2</v>
      </c>
      <c r="BC763" s="9">
        <f t="shared" si="592"/>
        <v>-1.375</v>
      </c>
      <c r="BD763" s="9">
        <f t="shared" si="593"/>
        <v>-0.375</v>
      </c>
      <c r="BE763" s="9">
        <f t="shared" si="594"/>
        <v>0.625</v>
      </c>
      <c r="BF763" s="9">
        <f t="shared" si="595"/>
        <v>1.875</v>
      </c>
      <c r="BG763" s="9">
        <f t="shared" si="596"/>
        <v>2.75</v>
      </c>
      <c r="BH763" s="9">
        <f t="shared" si="597"/>
        <v>4.125</v>
      </c>
      <c r="BI763" s="9">
        <f t="shared" si="598"/>
        <v>2.625</v>
      </c>
      <c r="BJ763" s="9">
        <f t="shared" si="599"/>
        <v>2.875</v>
      </c>
    </row>
    <row r="764" spans="1:62" x14ac:dyDescent="0.2">
      <c r="A764" s="9">
        <f>data!M765-data!M764</f>
        <v>0.2231000000000023</v>
      </c>
      <c r="B764" s="9">
        <f>data!C765-data!C764</f>
        <v>1.4000000000000021</v>
      </c>
      <c r="C764" s="9">
        <f>data!D765-data!D764</f>
        <v>0.12000000000000099</v>
      </c>
      <c r="D764" s="10">
        <f>data!B765-data!B764</f>
        <v>0.16999999999999993</v>
      </c>
      <c r="E764" s="9">
        <f>data!E764-data!G764</f>
        <v>1.7888000000000002</v>
      </c>
      <c r="F764" s="9">
        <f>(data!E764-data!F764)-(data!G764-data!H764)</f>
        <v>3.3500000000000085E-2</v>
      </c>
      <c r="G764" s="9">
        <f t="shared" si="550"/>
        <v>-1.5700000000000269E-2</v>
      </c>
      <c r="H764" s="9">
        <f t="shared" si="551"/>
        <v>-9.2600000000000071E-2</v>
      </c>
      <c r="I764" s="9">
        <f>IF(data!M765&gt; 111.81,1,0)</f>
        <v>1</v>
      </c>
      <c r="J764" s="9">
        <f t="shared" si="552"/>
        <v>0</v>
      </c>
      <c r="K764" s="9">
        <f t="shared" si="553"/>
        <v>0.2231000000000023</v>
      </c>
      <c r="L764" s="9">
        <f t="shared" si="554"/>
        <v>0</v>
      </c>
      <c r="M764" s="9">
        <f>data!J764</f>
        <v>-35.375</v>
      </c>
      <c r="N764" s="9">
        <f>data!I764</f>
        <v>-50.125</v>
      </c>
      <c r="O764" s="9">
        <f>data!L764</f>
        <v>-59</v>
      </c>
      <c r="P764" s="9">
        <f>data!K764</f>
        <v>-57.25</v>
      </c>
      <c r="Q764" s="9">
        <f>data!R764</f>
        <v>-53.75</v>
      </c>
      <c r="R764" s="9">
        <f t="shared" si="555"/>
        <v>-0.625</v>
      </c>
      <c r="S764" s="9">
        <f t="shared" si="556"/>
        <v>-1.875</v>
      </c>
      <c r="T764" s="9">
        <f t="shared" si="557"/>
        <v>-1.375</v>
      </c>
      <c r="U764" s="9">
        <f t="shared" si="558"/>
        <v>-0.375</v>
      </c>
      <c r="V764" s="9">
        <f t="shared" si="559"/>
        <v>1.625</v>
      </c>
      <c r="W764" s="9">
        <f t="shared" si="560"/>
        <v>2.25</v>
      </c>
      <c r="X764" s="9">
        <f t="shared" si="561"/>
        <v>1.8125</v>
      </c>
      <c r="Y764" s="9">
        <f t="shared" si="562"/>
        <v>3.0625</v>
      </c>
      <c r="Z764" s="9">
        <f t="shared" si="563"/>
        <v>3.375</v>
      </c>
      <c r="AA764" s="9">
        <f t="shared" si="564"/>
        <v>0.25</v>
      </c>
      <c r="AB764" s="9">
        <f t="shared" si="565"/>
        <v>1.375</v>
      </c>
      <c r="AC764" s="9">
        <f t="shared" si="566"/>
        <v>1.5</v>
      </c>
      <c r="AD764" s="9">
        <f t="shared" si="567"/>
        <v>2.5</v>
      </c>
      <c r="AE764" s="9">
        <f t="shared" si="568"/>
        <v>3.5625</v>
      </c>
      <c r="AF764" s="9">
        <f t="shared" si="569"/>
        <v>5.75</v>
      </c>
      <c r="AG764" s="9">
        <f t="shared" si="570"/>
        <v>4.375</v>
      </c>
      <c r="AH764" s="9">
        <f t="shared" si="571"/>
        <v>4.375</v>
      </c>
      <c r="AI764" s="9">
        <f t="shared" si="572"/>
        <v>4</v>
      </c>
      <c r="AJ764" s="9">
        <f t="shared" si="573"/>
        <v>0.375</v>
      </c>
      <c r="AK764" s="9">
        <f t="shared" si="574"/>
        <v>1.875</v>
      </c>
      <c r="AL764" s="9">
        <f t="shared" si="575"/>
        <v>2.875</v>
      </c>
      <c r="AM764" s="9">
        <f t="shared" si="576"/>
        <v>5.5625</v>
      </c>
      <c r="AN764" s="9">
        <f t="shared" si="577"/>
        <v>6.375</v>
      </c>
      <c r="AO764" s="9">
        <f t="shared" si="578"/>
        <v>8</v>
      </c>
      <c r="AP764" s="9">
        <f t="shared" si="579"/>
        <v>6.25</v>
      </c>
      <c r="AQ764" s="9">
        <f t="shared" si="580"/>
        <v>6.5625</v>
      </c>
      <c r="AR764" s="9">
        <f t="shared" si="581"/>
        <v>5.375</v>
      </c>
      <c r="AS764" s="9">
        <f t="shared" si="582"/>
        <v>0.625</v>
      </c>
      <c r="AT764" s="9">
        <f t="shared" si="583"/>
        <v>1.75</v>
      </c>
      <c r="AU764" s="9">
        <f t="shared" si="584"/>
        <v>2.75</v>
      </c>
      <c r="AV764" s="9">
        <f t="shared" si="585"/>
        <v>4.25</v>
      </c>
      <c r="AW764" s="9">
        <f t="shared" si="586"/>
        <v>4.75</v>
      </c>
      <c r="AX764" s="9">
        <f t="shared" si="587"/>
        <v>6.25</v>
      </c>
      <c r="AY764" s="9">
        <f t="shared" si="588"/>
        <v>4.5</v>
      </c>
      <c r="AZ764" s="9">
        <f t="shared" si="589"/>
        <v>4.75</v>
      </c>
      <c r="BA764" s="9">
        <f t="shared" si="590"/>
        <v>3.5</v>
      </c>
      <c r="BB764" s="9">
        <f t="shared" si="591"/>
        <v>0.625</v>
      </c>
      <c r="BC764" s="9">
        <f t="shared" si="592"/>
        <v>1.625</v>
      </c>
      <c r="BD764" s="9">
        <f t="shared" si="593"/>
        <v>2.625</v>
      </c>
      <c r="BE764" s="9">
        <f t="shared" si="594"/>
        <v>3.875</v>
      </c>
      <c r="BF764" s="9">
        <f t="shared" si="595"/>
        <v>4.75</v>
      </c>
      <c r="BG764" s="9">
        <f t="shared" si="596"/>
        <v>6.125</v>
      </c>
      <c r="BH764" s="9">
        <f t="shared" si="597"/>
        <v>4.625</v>
      </c>
      <c r="BI764" s="9">
        <f t="shared" si="598"/>
        <v>4.875</v>
      </c>
      <c r="BJ764" s="9">
        <f t="shared" si="599"/>
        <v>3.375</v>
      </c>
    </row>
    <row r="765" spans="1:62" x14ac:dyDescent="0.2">
      <c r="A765" s="9">
        <f>data!M766-data!M765</f>
        <v>0.85729999999999507</v>
      </c>
      <c r="B765" s="9">
        <f>data!C766-data!C765</f>
        <v>-0.89000000000000057</v>
      </c>
      <c r="C765" s="9">
        <f>data!D766-data!D765</f>
        <v>-0.19250000000000078</v>
      </c>
      <c r="D765" s="10">
        <f>data!B766-data!B765</f>
        <v>-0.10250000000000004</v>
      </c>
      <c r="E765" s="9">
        <f>data!E765-data!G765</f>
        <v>1.7730999999999999</v>
      </c>
      <c r="F765" s="9">
        <f>(data!E765-data!F765)-(data!G765-data!H765)</f>
        <v>-5.9099999999999986E-2</v>
      </c>
      <c r="G765" s="9">
        <f t="shared" si="550"/>
        <v>-9.9999999999988987E-4</v>
      </c>
      <c r="H765" s="9">
        <f t="shared" si="551"/>
        <v>1.9199999999999995E-2</v>
      </c>
      <c r="I765" s="9">
        <f>IF(data!M766&gt; 111.81,1,0)</f>
        <v>1</v>
      </c>
      <c r="J765" s="9">
        <f t="shared" si="552"/>
        <v>0</v>
      </c>
      <c r="K765" s="9">
        <f t="shared" si="553"/>
        <v>0.85729999999999507</v>
      </c>
      <c r="L765" s="9">
        <f t="shared" si="554"/>
        <v>0</v>
      </c>
      <c r="M765" s="9">
        <f>data!J765</f>
        <v>-36</v>
      </c>
      <c r="N765" s="9">
        <f>data!I765</f>
        <v>-49.875</v>
      </c>
      <c r="O765" s="9">
        <f>data!L765</f>
        <v>-58.625</v>
      </c>
      <c r="P765" s="9">
        <f>data!K765</f>
        <v>-56.625</v>
      </c>
      <c r="Q765" s="9">
        <f>data!R765</f>
        <v>-53.125</v>
      </c>
      <c r="R765" s="9">
        <f t="shared" si="555"/>
        <v>-1.25</v>
      </c>
      <c r="S765" s="9">
        <f t="shared" si="556"/>
        <v>-0.75</v>
      </c>
      <c r="T765" s="9">
        <f t="shared" si="557"/>
        <v>0.25</v>
      </c>
      <c r="U765" s="9">
        <f t="shared" si="558"/>
        <v>2.25</v>
      </c>
      <c r="V765" s="9">
        <f t="shared" si="559"/>
        <v>2.875</v>
      </c>
      <c r="W765" s="9">
        <f t="shared" si="560"/>
        <v>2.4375</v>
      </c>
      <c r="X765" s="9">
        <f t="shared" si="561"/>
        <v>3.6875</v>
      </c>
      <c r="Y765" s="9">
        <f t="shared" si="562"/>
        <v>4</v>
      </c>
      <c r="Z765" s="9">
        <f t="shared" si="563"/>
        <v>6.625</v>
      </c>
      <c r="AA765" s="9">
        <f t="shared" si="564"/>
        <v>1.125</v>
      </c>
      <c r="AB765" s="9">
        <f t="shared" si="565"/>
        <v>1.25</v>
      </c>
      <c r="AC765" s="9">
        <f t="shared" si="566"/>
        <v>2.25</v>
      </c>
      <c r="AD765" s="9">
        <f t="shared" si="567"/>
        <v>3.3125</v>
      </c>
      <c r="AE765" s="9">
        <f t="shared" si="568"/>
        <v>5.5</v>
      </c>
      <c r="AF765" s="9">
        <f t="shared" si="569"/>
        <v>4.125</v>
      </c>
      <c r="AG765" s="9">
        <f t="shared" si="570"/>
        <v>4.125</v>
      </c>
      <c r="AH765" s="9">
        <f t="shared" si="571"/>
        <v>3.75</v>
      </c>
      <c r="AI765" s="9">
        <f t="shared" si="572"/>
        <v>5.25</v>
      </c>
      <c r="AJ765" s="9">
        <f t="shared" si="573"/>
        <v>1.5</v>
      </c>
      <c r="AK765" s="9">
        <f t="shared" si="574"/>
        <v>2.5</v>
      </c>
      <c r="AL765" s="9">
        <f t="shared" si="575"/>
        <v>5.1875</v>
      </c>
      <c r="AM765" s="9">
        <f t="shared" si="576"/>
        <v>6</v>
      </c>
      <c r="AN765" s="9">
        <f t="shared" si="577"/>
        <v>7.625</v>
      </c>
      <c r="AO765" s="9">
        <f t="shared" si="578"/>
        <v>5.875</v>
      </c>
      <c r="AP765" s="9">
        <f t="shared" si="579"/>
        <v>6.1875</v>
      </c>
      <c r="AQ765" s="9">
        <f t="shared" si="580"/>
        <v>5</v>
      </c>
      <c r="AR765" s="9">
        <f t="shared" si="581"/>
        <v>6.375</v>
      </c>
      <c r="AS765" s="9">
        <f t="shared" si="582"/>
        <v>1.125</v>
      </c>
      <c r="AT765" s="9">
        <f t="shared" si="583"/>
        <v>2.125</v>
      </c>
      <c r="AU765" s="9">
        <f t="shared" si="584"/>
        <v>3.625</v>
      </c>
      <c r="AV765" s="9">
        <f t="shared" si="585"/>
        <v>4.125</v>
      </c>
      <c r="AW765" s="9">
        <f t="shared" si="586"/>
        <v>5.625</v>
      </c>
      <c r="AX765" s="9">
        <f t="shared" si="587"/>
        <v>3.875</v>
      </c>
      <c r="AY765" s="9">
        <f t="shared" si="588"/>
        <v>4.125</v>
      </c>
      <c r="AZ765" s="9">
        <f t="shared" si="589"/>
        <v>2.875</v>
      </c>
      <c r="BA765" s="9">
        <f t="shared" si="590"/>
        <v>3.625</v>
      </c>
      <c r="BB765" s="9">
        <f t="shared" si="591"/>
        <v>1</v>
      </c>
      <c r="BC765" s="9">
        <f t="shared" si="592"/>
        <v>2</v>
      </c>
      <c r="BD765" s="9">
        <f t="shared" si="593"/>
        <v>3.25</v>
      </c>
      <c r="BE765" s="9">
        <f t="shared" si="594"/>
        <v>4.125</v>
      </c>
      <c r="BF765" s="9">
        <f t="shared" si="595"/>
        <v>5.5</v>
      </c>
      <c r="BG765" s="9">
        <f t="shared" si="596"/>
        <v>4</v>
      </c>
      <c r="BH765" s="9">
        <f t="shared" si="597"/>
        <v>4.25</v>
      </c>
      <c r="BI765" s="9">
        <f t="shared" si="598"/>
        <v>2.75</v>
      </c>
      <c r="BJ765" s="9">
        <f t="shared" si="599"/>
        <v>3.5</v>
      </c>
    </row>
    <row r="766" spans="1:62" x14ac:dyDescent="0.2">
      <c r="A766" s="9">
        <f>data!M767-data!M766</f>
        <v>-1.0294999999999987</v>
      </c>
      <c r="B766" s="9">
        <f>data!C767-data!C766</f>
        <v>-3.9800000000000004</v>
      </c>
      <c r="C766" s="9">
        <f>data!D767-data!D766</f>
        <v>-1.0350000000000001</v>
      </c>
      <c r="D766" s="10">
        <f>data!B767-data!B766</f>
        <v>0.19500000000000006</v>
      </c>
      <c r="E766" s="9">
        <f>data!E766-data!G766</f>
        <v>1.7721</v>
      </c>
      <c r="F766" s="9">
        <f>(data!E766-data!F766)-(data!G766-data!H766)</f>
        <v>-3.9899999999999991E-2</v>
      </c>
      <c r="G766" s="9">
        <f t="shared" si="550"/>
        <v>3.5099999999999909E-2</v>
      </c>
      <c r="H766" s="9">
        <f t="shared" si="551"/>
        <v>3.9000000000000146E-3</v>
      </c>
      <c r="I766" s="9">
        <f>IF(data!M767&gt; 111.81,1,0)</f>
        <v>1</v>
      </c>
      <c r="J766" s="9">
        <f t="shared" si="552"/>
        <v>0</v>
      </c>
      <c r="K766" s="9">
        <f t="shared" si="553"/>
        <v>-1.0294999999999987</v>
      </c>
      <c r="L766" s="9">
        <f t="shared" si="554"/>
        <v>0</v>
      </c>
      <c r="M766" s="9">
        <f>data!J766</f>
        <v>-37.25</v>
      </c>
      <c r="N766" s="9">
        <f>data!I766</f>
        <v>-48.75</v>
      </c>
      <c r="O766" s="9">
        <f>data!L766</f>
        <v>-57.125</v>
      </c>
      <c r="P766" s="9">
        <f>data!K766</f>
        <v>-55.5</v>
      </c>
      <c r="Q766" s="9">
        <f>data!R766</f>
        <v>-52.125</v>
      </c>
      <c r="R766" s="9">
        <f t="shared" si="555"/>
        <v>0.5</v>
      </c>
      <c r="S766" s="9">
        <f t="shared" si="556"/>
        <v>1.5</v>
      </c>
      <c r="T766" s="9">
        <f t="shared" si="557"/>
        <v>3.5</v>
      </c>
      <c r="U766" s="9">
        <f t="shared" si="558"/>
        <v>4.125</v>
      </c>
      <c r="V766" s="9">
        <f t="shared" si="559"/>
        <v>3.6875</v>
      </c>
      <c r="W766" s="9">
        <f t="shared" si="560"/>
        <v>4.9375</v>
      </c>
      <c r="X766" s="9">
        <f t="shared" si="561"/>
        <v>5.25</v>
      </c>
      <c r="Y766" s="9">
        <f t="shared" si="562"/>
        <v>7.875</v>
      </c>
      <c r="Z766" s="9">
        <f t="shared" si="563"/>
        <v>6.625</v>
      </c>
      <c r="AA766" s="9">
        <f t="shared" si="564"/>
        <v>0.125</v>
      </c>
      <c r="AB766" s="9">
        <f t="shared" si="565"/>
        <v>1.125</v>
      </c>
      <c r="AC766" s="9">
        <f t="shared" si="566"/>
        <v>2.1875</v>
      </c>
      <c r="AD766" s="9">
        <f t="shared" si="567"/>
        <v>4.375</v>
      </c>
      <c r="AE766" s="9">
        <f t="shared" si="568"/>
        <v>3</v>
      </c>
      <c r="AF766" s="9">
        <f t="shared" si="569"/>
        <v>3</v>
      </c>
      <c r="AG766" s="9">
        <f t="shared" si="570"/>
        <v>2.625</v>
      </c>
      <c r="AH766" s="9">
        <f t="shared" si="571"/>
        <v>4.125</v>
      </c>
      <c r="AI766" s="9">
        <f t="shared" si="572"/>
        <v>4.0625</v>
      </c>
      <c r="AJ766" s="9">
        <f t="shared" si="573"/>
        <v>1</v>
      </c>
      <c r="AK766" s="9">
        <f t="shared" si="574"/>
        <v>3.6875</v>
      </c>
      <c r="AL766" s="9">
        <f t="shared" si="575"/>
        <v>4.5</v>
      </c>
      <c r="AM766" s="9">
        <f t="shared" si="576"/>
        <v>6.125</v>
      </c>
      <c r="AN766" s="9">
        <f t="shared" si="577"/>
        <v>4.375</v>
      </c>
      <c r="AO766" s="9">
        <f t="shared" si="578"/>
        <v>4.6875</v>
      </c>
      <c r="AP766" s="9">
        <f t="shared" si="579"/>
        <v>3.5</v>
      </c>
      <c r="AQ766" s="9">
        <f t="shared" si="580"/>
        <v>4.875</v>
      </c>
      <c r="AR766" s="9">
        <f t="shared" si="581"/>
        <v>4.375</v>
      </c>
      <c r="AS766" s="9">
        <f t="shared" si="582"/>
        <v>1</v>
      </c>
      <c r="AT766" s="9">
        <f t="shared" si="583"/>
        <v>2.5</v>
      </c>
      <c r="AU766" s="9">
        <f t="shared" si="584"/>
        <v>3</v>
      </c>
      <c r="AV766" s="9">
        <f t="shared" si="585"/>
        <v>4.5</v>
      </c>
      <c r="AW766" s="9">
        <f t="shared" si="586"/>
        <v>2.75</v>
      </c>
      <c r="AX766" s="9">
        <f t="shared" si="587"/>
        <v>3</v>
      </c>
      <c r="AY766" s="9">
        <f t="shared" si="588"/>
        <v>1.75</v>
      </c>
      <c r="AZ766" s="9">
        <f t="shared" si="589"/>
        <v>2.5</v>
      </c>
      <c r="BA766" s="9">
        <f t="shared" si="590"/>
        <v>1.5</v>
      </c>
      <c r="BB766" s="9">
        <f t="shared" si="591"/>
        <v>1</v>
      </c>
      <c r="BC766" s="9">
        <f t="shared" si="592"/>
        <v>2.25</v>
      </c>
      <c r="BD766" s="9">
        <f t="shared" si="593"/>
        <v>3.125</v>
      </c>
      <c r="BE766" s="9">
        <f t="shared" si="594"/>
        <v>4.5</v>
      </c>
      <c r="BF766" s="9">
        <f t="shared" si="595"/>
        <v>3</v>
      </c>
      <c r="BG766" s="9">
        <f t="shared" si="596"/>
        <v>3.25</v>
      </c>
      <c r="BH766" s="9">
        <f t="shared" si="597"/>
        <v>1.75</v>
      </c>
      <c r="BI766" s="9">
        <f t="shared" si="598"/>
        <v>2.5</v>
      </c>
      <c r="BJ766" s="9">
        <f t="shared" si="599"/>
        <v>1.125</v>
      </c>
    </row>
    <row r="767" spans="1:62" x14ac:dyDescent="0.2">
      <c r="A767" s="9">
        <f>data!M768-data!M767</f>
        <v>-0.36149999999999238</v>
      </c>
      <c r="B767" s="9">
        <f>data!C768-data!C767</f>
        <v>-1.2599999999999998</v>
      </c>
      <c r="C767" s="9">
        <f>data!D768-data!D767</f>
        <v>-0.40500000000000025</v>
      </c>
      <c r="D767" s="10">
        <f>data!B768-data!B767</f>
        <v>9.7500000000000031E-2</v>
      </c>
      <c r="E767" s="9">
        <f>data!E767-data!G767</f>
        <v>1.8071999999999999</v>
      </c>
      <c r="F767" s="9">
        <f>(data!E767-data!F767)-(data!G767-data!H767)</f>
        <v>-3.5999999999999976E-2</v>
      </c>
      <c r="G767" s="9">
        <f t="shared" si="550"/>
        <v>0.24960000000000004</v>
      </c>
      <c r="H767" s="9">
        <f t="shared" si="551"/>
        <v>4.3899999999999856E-2</v>
      </c>
      <c r="I767" s="9">
        <f>IF(data!M768&gt; 111.81,1,0)</f>
        <v>1</v>
      </c>
      <c r="J767" s="9">
        <f t="shared" si="552"/>
        <v>0</v>
      </c>
      <c r="K767" s="9">
        <f t="shared" si="553"/>
        <v>-0.36149999999999238</v>
      </c>
      <c r="L767" s="9">
        <f t="shared" si="554"/>
        <v>0</v>
      </c>
      <c r="M767" s="9">
        <f>data!J767</f>
        <v>-36.75</v>
      </c>
      <c r="N767" s="9">
        <f>data!I767</f>
        <v>-48.625</v>
      </c>
      <c r="O767" s="9">
        <f>data!L767</f>
        <v>-56.125</v>
      </c>
      <c r="P767" s="9">
        <f>data!K767</f>
        <v>-54.5</v>
      </c>
      <c r="Q767" s="9">
        <f>data!R767</f>
        <v>-51.125</v>
      </c>
      <c r="R767" s="9">
        <f t="shared" si="555"/>
        <v>1</v>
      </c>
      <c r="S767" s="9">
        <f t="shared" si="556"/>
        <v>3</v>
      </c>
      <c r="T767" s="9">
        <f t="shared" si="557"/>
        <v>3.625</v>
      </c>
      <c r="U767" s="9">
        <f t="shared" si="558"/>
        <v>3.1875</v>
      </c>
      <c r="V767" s="9">
        <f t="shared" si="559"/>
        <v>4.4375</v>
      </c>
      <c r="W767" s="9">
        <f t="shared" si="560"/>
        <v>4.75</v>
      </c>
      <c r="X767" s="9">
        <f t="shared" si="561"/>
        <v>7.375</v>
      </c>
      <c r="Y767" s="9">
        <f t="shared" si="562"/>
        <v>6.125</v>
      </c>
      <c r="Z767" s="9">
        <f t="shared" si="563"/>
        <v>6.625</v>
      </c>
      <c r="AA767" s="9">
        <f t="shared" si="564"/>
        <v>1</v>
      </c>
      <c r="AB767" s="9">
        <f t="shared" si="565"/>
        <v>2.0625</v>
      </c>
      <c r="AC767" s="9">
        <f t="shared" si="566"/>
        <v>4.25</v>
      </c>
      <c r="AD767" s="9">
        <f t="shared" si="567"/>
        <v>2.875</v>
      </c>
      <c r="AE767" s="9">
        <f t="shared" si="568"/>
        <v>2.875</v>
      </c>
      <c r="AF767" s="9">
        <f t="shared" si="569"/>
        <v>2.5</v>
      </c>
      <c r="AG767" s="9">
        <f t="shared" si="570"/>
        <v>4</v>
      </c>
      <c r="AH767" s="9">
        <f t="shared" si="571"/>
        <v>3.9375</v>
      </c>
      <c r="AI767" s="9">
        <f t="shared" si="572"/>
        <v>4.125</v>
      </c>
      <c r="AJ767" s="9">
        <f t="shared" si="573"/>
        <v>2.6875</v>
      </c>
      <c r="AK767" s="9">
        <f t="shared" si="574"/>
        <v>3.5</v>
      </c>
      <c r="AL767" s="9">
        <f t="shared" si="575"/>
        <v>5.125</v>
      </c>
      <c r="AM767" s="9">
        <f t="shared" si="576"/>
        <v>3.375</v>
      </c>
      <c r="AN767" s="9">
        <f t="shared" si="577"/>
        <v>3.6875</v>
      </c>
      <c r="AO767" s="9">
        <f t="shared" si="578"/>
        <v>2.5</v>
      </c>
      <c r="AP767" s="9">
        <f t="shared" si="579"/>
        <v>3.875</v>
      </c>
      <c r="AQ767" s="9">
        <f t="shared" si="580"/>
        <v>3.375</v>
      </c>
      <c r="AR767" s="9">
        <f t="shared" si="581"/>
        <v>2.875</v>
      </c>
      <c r="AS767" s="9">
        <f t="shared" si="582"/>
        <v>1.5</v>
      </c>
      <c r="AT767" s="9">
        <f t="shared" si="583"/>
        <v>2</v>
      </c>
      <c r="AU767" s="9">
        <f t="shared" si="584"/>
        <v>3.5</v>
      </c>
      <c r="AV767" s="9">
        <f t="shared" si="585"/>
        <v>1.75</v>
      </c>
      <c r="AW767" s="9">
        <f t="shared" si="586"/>
        <v>2</v>
      </c>
      <c r="AX767" s="9">
        <f t="shared" si="587"/>
        <v>0.75</v>
      </c>
      <c r="AY767" s="9">
        <f t="shared" si="588"/>
        <v>1.5</v>
      </c>
      <c r="AZ767" s="9">
        <f t="shared" si="589"/>
        <v>0.5</v>
      </c>
      <c r="BA767" s="9">
        <f t="shared" si="590"/>
        <v>-0.375</v>
      </c>
      <c r="BB767" s="9">
        <f t="shared" si="591"/>
        <v>1.25</v>
      </c>
      <c r="BC767" s="9">
        <f t="shared" si="592"/>
        <v>2.125</v>
      </c>
      <c r="BD767" s="9">
        <f t="shared" si="593"/>
        <v>3.5</v>
      </c>
      <c r="BE767" s="9">
        <f t="shared" si="594"/>
        <v>2</v>
      </c>
      <c r="BF767" s="9">
        <f t="shared" si="595"/>
        <v>2.25</v>
      </c>
      <c r="BG767" s="9">
        <f t="shared" si="596"/>
        <v>0.75</v>
      </c>
      <c r="BH767" s="9">
        <f t="shared" si="597"/>
        <v>1.5</v>
      </c>
      <c r="BI767" s="9">
        <f t="shared" si="598"/>
        <v>0.125</v>
      </c>
      <c r="BJ767" s="9">
        <f t="shared" si="599"/>
        <v>-0.75</v>
      </c>
    </row>
    <row r="768" spans="1:62" x14ac:dyDescent="0.2">
      <c r="A768" s="9">
        <f>data!M769-data!M768</f>
        <v>0.41449999999998965</v>
      </c>
      <c r="B768" s="9">
        <f>data!C769-data!C768</f>
        <v>1.58</v>
      </c>
      <c r="C768" s="9">
        <f>data!D769-data!D768</f>
        <v>-0.13499999999999979</v>
      </c>
      <c r="D768" s="10">
        <f>data!B769-data!B768</f>
        <v>-0.12</v>
      </c>
      <c r="E768" s="9">
        <f>data!E768-data!G768</f>
        <v>2.0568</v>
      </c>
      <c r="F768" s="9">
        <f>(data!E768-data!F768)-(data!G768-data!H768)</f>
        <v>7.8999999999998793E-3</v>
      </c>
      <c r="G768" s="9">
        <f t="shared" si="550"/>
        <v>-0.12129999999999996</v>
      </c>
      <c r="H768" s="9">
        <f t="shared" si="551"/>
        <v>-5.8399999999999896E-2</v>
      </c>
      <c r="I768" s="9">
        <f>IF(data!M769&gt; 111.81,1,0)</f>
        <v>1</v>
      </c>
      <c r="J768" s="9">
        <f t="shared" si="552"/>
        <v>0</v>
      </c>
      <c r="K768" s="9">
        <f t="shared" si="553"/>
        <v>0.41449999999998965</v>
      </c>
      <c r="L768" s="9">
        <f t="shared" si="554"/>
        <v>0</v>
      </c>
      <c r="M768" s="9">
        <f>data!J768</f>
        <v>-35.75</v>
      </c>
      <c r="N768" s="9">
        <f>data!I768</f>
        <v>-47.625</v>
      </c>
      <c r="O768" s="9">
        <f>data!L768</f>
        <v>-53.4375</v>
      </c>
      <c r="P768" s="9">
        <f>data!K768</f>
        <v>-53</v>
      </c>
      <c r="Q768" s="9">
        <f>data!R768</f>
        <v>-49.875</v>
      </c>
      <c r="R768" s="9">
        <f t="shared" si="555"/>
        <v>2</v>
      </c>
      <c r="S768" s="9">
        <f t="shared" si="556"/>
        <v>2.625</v>
      </c>
      <c r="T768" s="9">
        <f t="shared" si="557"/>
        <v>2.1875</v>
      </c>
      <c r="U768" s="9">
        <f t="shared" si="558"/>
        <v>3.4375</v>
      </c>
      <c r="V768" s="9">
        <f t="shared" si="559"/>
        <v>3.75</v>
      </c>
      <c r="W768" s="9">
        <f t="shared" si="560"/>
        <v>6.375</v>
      </c>
      <c r="X768" s="9">
        <f t="shared" si="561"/>
        <v>5.125</v>
      </c>
      <c r="Y768" s="9">
        <f t="shared" si="562"/>
        <v>5.625</v>
      </c>
      <c r="Z768" s="9">
        <f t="shared" si="563"/>
        <v>5.625</v>
      </c>
      <c r="AA768" s="9">
        <f t="shared" si="564"/>
        <v>1.0625</v>
      </c>
      <c r="AB768" s="9">
        <f t="shared" si="565"/>
        <v>3.25</v>
      </c>
      <c r="AC768" s="9">
        <f t="shared" si="566"/>
        <v>1.875</v>
      </c>
      <c r="AD768" s="9">
        <f t="shared" si="567"/>
        <v>1.875</v>
      </c>
      <c r="AE768" s="9">
        <f t="shared" si="568"/>
        <v>1.5</v>
      </c>
      <c r="AF768" s="9">
        <f t="shared" si="569"/>
        <v>3</v>
      </c>
      <c r="AG768" s="9">
        <f t="shared" si="570"/>
        <v>2.9375</v>
      </c>
      <c r="AH768" s="9">
        <f t="shared" si="571"/>
        <v>3.125</v>
      </c>
      <c r="AI768" s="9">
        <f t="shared" si="572"/>
        <v>4.5</v>
      </c>
      <c r="AJ768" s="9">
        <f t="shared" si="573"/>
        <v>0.8125</v>
      </c>
      <c r="AK768" s="9">
        <f t="shared" si="574"/>
        <v>2.4375</v>
      </c>
      <c r="AL768" s="9">
        <f t="shared" si="575"/>
        <v>0.6875</v>
      </c>
      <c r="AM768" s="9">
        <f t="shared" si="576"/>
        <v>1</v>
      </c>
      <c r="AN768" s="9">
        <f t="shared" si="577"/>
        <v>-0.1875</v>
      </c>
      <c r="AO768" s="9">
        <f t="shared" si="578"/>
        <v>1.1875</v>
      </c>
      <c r="AP768" s="9">
        <f t="shared" si="579"/>
        <v>0.6875</v>
      </c>
      <c r="AQ768" s="9">
        <f t="shared" si="580"/>
        <v>0.1875</v>
      </c>
      <c r="AR768" s="9">
        <f t="shared" si="581"/>
        <v>1.3125</v>
      </c>
      <c r="AS768" s="9">
        <f t="shared" si="582"/>
        <v>0.5</v>
      </c>
      <c r="AT768" s="9">
        <f t="shared" si="583"/>
        <v>2</v>
      </c>
      <c r="AU768" s="9">
        <f t="shared" si="584"/>
        <v>0.25</v>
      </c>
      <c r="AV768" s="9">
        <f t="shared" si="585"/>
        <v>0.5</v>
      </c>
      <c r="AW768" s="9">
        <f t="shared" si="586"/>
        <v>-0.75</v>
      </c>
      <c r="AX768" s="9">
        <f t="shared" si="587"/>
        <v>0</v>
      </c>
      <c r="AY768" s="9">
        <f t="shared" si="588"/>
        <v>-1</v>
      </c>
      <c r="AZ768" s="9">
        <f t="shared" si="589"/>
        <v>-1.875</v>
      </c>
      <c r="BA768" s="9">
        <f t="shared" si="590"/>
        <v>-1.375</v>
      </c>
      <c r="BB768" s="9">
        <f t="shared" si="591"/>
        <v>0.875</v>
      </c>
      <c r="BC768" s="9">
        <f t="shared" si="592"/>
        <v>2.25</v>
      </c>
      <c r="BD768" s="9">
        <f t="shared" si="593"/>
        <v>0.75</v>
      </c>
      <c r="BE768" s="9">
        <f t="shared" si="594"/>
        <v>1</v>
      </c>
      <c r="BF768" s="9">
        <f t="shared" si="595"/>
        <v>-0.5</v>
      </c>
      <c r="BG768" s="9">
        <f t="shared" si="596"/>
        <v>0.25</v>
      </c>
      <c r="BH768" s="9">
        <f t="shared" si="597"/>
        <v>-1.125</v>
      </c>
      <c r="BI768" s="9">
        <f t="shared" si="598"/>
        <v>-2</v>
      </c>
      <c r="BJ768" s="9">
        <f t="shared" si="599"/>
        <v>-2.375</v>
      </c>
    </row>
    <row r="769" spans="1:62" x14ac:dyDescent="0.2">
      <c r="A769" s="9">
        <f>data!M770-data!M769</f>
        <v>0.54110000000000014</v>
      </c>
      <c r="B769" s="9">
        <f>data!C770-data!C769</f>
        <v>1.8999999999999986</v>
      </c>
      <c r="C769" s="9">
        <f>data!D770-data!D769</f>
        <v>0.27249999999999996</v>
      </c>
      <c r="D769" s="10">
        <f>data!B770-data!B769</f>
        <v>2.4999999999999911E-2</v>
      </c>
      <c r="E769" s="9">
        <f>data!E769-data!G769</f>
        <v>1.9355</v>
      </c>
      <c r="F769" s="9">
        <f>(data!E769-data!F769)-(data!G769-data!H769)</f>
        <v>-5.0500000000000017E-2</v>
      </c>
      <c r="G769" s="9">
        <f t="shared" si="550"/>
        <v>-1.3400000000000079E-2</v>
      </c>
      <c r="H769" s="9">
        <f t="shared" si="551"/>
        <v>1.6099999999999975E-2</v>
      </c>
      <c r="I769" s="9">
        <f>IF(data!M770&gt; 111.81,1,0)</f>
        <v>1</v>
      </c>
      <c r="J769" s="9">
        <f t="shared" si="552"/>
        <v>0</v>
      </c>
      <c r="K769" s="9">
        <f t="shared" si="553"/>
        <v>0.54110000000000014</v>
      </c>
      <c r="L769" s="9">
        <f t="shared" si="554"/>
        <v>0</v>
      </c>
      <c r="M769" s="9">
        <f>data!J769</f>
        <v>-33.75</v>
      </c>
      <c r="N769" s="9">
        <f>data!I769</f>
        <v>-46.5625</v>
      </c>
      <c r="O769" s="9">
        <f>data!L769</f>
        <v>-52.625</v>
      </c>
      <c r="P769" s="9">
        <f>data!K769</f>
        <v>-52.5</v>
      </c>
      <c r="Q769" s="9">
        <f>data!R769</f>
        <v>-49</v>
      </c>
      <c r="R769" s="9">
        <f t="shared" si="555"/>
        <v>0.625</v>
      </c>
      <c r="S769" s="9">
        <f t="shared" si="556"/>
        <v>0.1875</v>
      </c>
      <c r="T769" s="9">
        <f t="shared" si="557"/>
        <v>1.4375</v>
      </c>
      <c r="U769" s="9">
        <f t="shared" si="558"/>
        <v>1.75</v>
      </c>
      <c r="V769" s="9">
        <f t="shared" si="559"/>
        <v>4.375</v>
      </c>
      <c r="W769" s="9">
        <f t="shared" si="560"/>
        <v>3.125</v>
      </c>
      <c r="X769" s="9">
        <f t="shared" si="561"/>
        <v>3.625</v>
      </c>
      <c r="Y769" s="9">
        <f t="shared" si="562"/>
        <v>3.625</v>
      </c>
      <c r="Z769" s="9">
        <f t="shared" si="563"/>
        <v>4.4375</v>
      </c>
      <c r="AA769" s="9">
        <f t="shared" si="564"/>
        <v>2.1875</v>
      </c>
      <c r="AB769" s="9">
        <f t="shared" si="565"/>
        <v>0.8125</v>
      </c>
      <c r="AC769" s="9">
        <f t="shared" si="566"/>
        <v>0.8125</v>
      </c>
      <c r="AD769" s="9">
        <f t="shared" si="567"/>
        <v>0.4375</v>
      </c>
      <c r="AE769" s="9">
        <f t="shared" si="568"/>
        <v>1.9375</v>
      </c>
      <c r="AF769" s="9">
        <f t="shared" si="569"/>
        <v>1.875</v>
      </c>
      <c r="AG769" s="9">
        <f t="shared" si="570"/>
        <v>2.0625</v>
      </c>
      <c r="AH769" s="9">
        <f t="shared" si="571"/>
        <v>3.4375</v>
      </c>
      <c r="AI769" s="9">
        <f t="shared" si="572"/>
        <v>4.6875</v>
      </c>
      <c r="AJ769" s="9">
        <f t="shared" si="573"/>
        <v>1.625</v>
      </c>
      <c r="AK769" s="9">
        <f t="shared" si="574"/>
        <v>-0.125</v>
      </c>
      <c r="AL769" s="9">
        <f t="shared" si="575"/>
        <v>0.1875</v>
      </c>
      <c r="AM769" s="9">
        <f t="shared" si="576"/>
        <v>-1</v>
      </c>
      <c r="AN769" s="9">
        <f t="shared" si="577"/>
        <v>0.375</v>
      </c>
      <c r="AO769" s="9">
        <f t="shared" si="578"/>
        <v>-0.125</v>
      </c>
      <c r="AP769" s="9">
        <f t="shared" si="579"/>
        <v>-0.625</v>
      </c>
      <c r="AQ769" s="9">
        <f t="shared" si="580"/>
        <v>0.5</v>
      </c>
      <c r="AR769" s="9">
        <f t="shared" si="581"/>
        <v>2.625</v>
      </c>
      <c r="AS769" s="9">
        <f t="shared" si="582"/>
        <v>1.5</v>
      </c>
      <c r="AT769" s="9">
        <f t="shared" si="583"/>
        <v>-0.25</v>
      </c>
      <c r="AU769" s="9">
        <f t="shared" si="584"/>
        <v>0</v>
      </c>
      <c r="AV769" s="9">
        <f t="shared" si="585"/>
        <v>-1.25</v>
      </c>
      <c r="AW769" s="9">
        <f t="shared" si="586"/>
        <v>-0.5</v>
      </c>
      <c r="AX769" s="9">
        <f t="shared" si="587"/>
        <v>-1.5</v>
      </c>
      <c r="AY769" s="9">
        <f t="shared" si="588"/>
        <v>-2.375</v>
      </c>
      <c r="AZ769" s="9">
        <f t="shared" si="589"/>
        <v>-1.875</v>
      </c>
      <c r="BA769" s="9">
        <f t="shared" si="590"/>
        <v>1.375</v>
      </c>
      <c r="BB769" s="9">
        <f t="shared" si="591"/>
        <v>1.375</v>
      </c>
      <c r="BC769" s="9">
        <f t="shared" si="592"/>
        <v>-0.125</v>
      </c>
      <c r="BD769" s="9">
        <f t="shared" si="593"/>
        <v>0.125</v>
      </c>
      <c r="BE769" s="9">
        <f t="shared" si="594"/>
        <v>-1.375</v>
      </c>
      <c r="BF769" s="9">
        <f t="shared" si="595"/>
        <v>-0.625</v>
      </c>
      <c r="BG769" s="9">
        <f t="shared" si="596"/>
        <v>-2</v>
      </c>
      <c r="BH769" s="9">
        <f t="shared" si="597"/>
        <v>-2.875</v>
      </c>
      <c r="BI769" s="9">
        <f t="shared" si="598"/>
        <v>-3.25</v>
      </c>
      <c r="BJ769" s="9">
        <f t="shared" si="599"/>
        <v>0</v>
      </c>
    </row>
    <row r="770" spans="1:62" x14ac:dyDescent="0.2">
      <c r="A770" s="9">
        <f>data!M771-data!M770</f>
        <v>-0.1939999999999884</v>
      </c>
      <c r="B770" s="9">
        <f>data!C771-data!C770</f>
        <v>-0.17999999999999972</v>
      </c>
      <c r="C770" s="9">
        <f>data!D771-data!D770</f>
        <v>7.0000000000000284E-2</v>
      </c>
      <c r="D770" s="10">
        <f>data!B771-data!B770</f>
        <v>1.7500000000000071E-2</v>
      </c>
      <c r="E770" s="9">
        <f>data!E770-data!G770</f>
        <v>1.9220999999999999</v>
      </c>
      <c r="F770" s="9">
        <f>(data!E770-data!F770)-(data!G770-data!H770)</f>
        <v>-3.4400000000000042E-2</v>
      </c>
      <c r="G770" s="9">
        <f t="shared" si="550"/>
        <v>-0.17510000000000003</v>
      </c>
      <c r="H770" s="9">
        <f t="shared" si="551"/>
        <v>4.0799999999999975E-2</v>
      </c>
      <c r="I770" s="9">
        <f>IF(data!M771&gt; 111.81,1,0)</f>
        <v>1</v>
      </c>
      <c r="J770" s="9">
        <f t="shared" si="552"/>
        <v>0</v>
      </c>
      <c r="K770" s="9">
        <f t="shared" si="553"/>
        <v>-0.1939999999999884</v>
      </c>
      <c r="L770" s="9">
        <f t="shared" si="554"/>
        <v>0</v>
      </c>
      <c r="M770" s="9">
        <f>data!J770</f>
        <v>-33.125</v>
      </c>
      <c r="N770" s="9">
        <f>data!I770</f>
        <v>-44.375</v>
      </c>
      <c r="O770" s="9">
        <f>data!L770</f>
        <v>-51</v>
      </c>
      <c r="P770" s="9">
        <f>data!K770</f>
        <v>-51</v>
      </c>
      <c r="Q770" s="9">
        <f>data!R770</f>
        <v>-47.625</v>
      </c>
      <c r="R770" s="9">
        <f t="shared" si="555"/>
        <v>-0.4375</v>
      </c>
      <c r="S770" s="9">
        <f t="shared" si="556"/>
        <v>0.8125</v>
      </c>
      <c r="T770" s="9">
        <f t="shared" si="557"/>
        <v>1.125</v>
      </c>
      <c r="U770" s="9">
        <f t="shared" si="558"/>
        <v>3.75</v>
      </c>
      <c r="V770" s="9">
        <f t="shared" si="559"/>
        <v>2.5</v>
      </c>
      <c r="W770" s="9">
        <f t="shared" si="560"/>
        <v>3</v>
      </c>
      <c r="X770" s="9">
        <f t="shared" si="561"/>
        <v>3</v>
      </c>
      <c r="Y770" s="9">
        <f t="shared" si="562"/>
        <v>3.8125</v>
      </c>
      <c r="Z770" s="9">
        <f t="shared" si="563"/>
        <v>2.75</v>
      </c>
      <c r="AA770" s="9">
        <f t="shared" si="564"/>
        <v>-1.375</v>
      </c>
      <c r="AB770" s="9">
        <f t="shared" si="565"/>
        <v>-1.375</v>
      </c>
      <c r="AC770" s="9">
        <f t="shared" si="566"/>
        <v>-1.75</v>
      </c>
      <c r="AD770" s="9">
        <f t="shared" si="567"/>
        <v>-0.25</v>
      </c>
      <c r="AE770" s="9">
        <f t="shared" si="568"/>
        <v>-0.3125</v>
      </c>
      <c r="AF770" s="9">
        <f t="shared" si="569"/>
        <v>-0.125</v>
      </c>
      <c r="AG770" s="9">
        <f t="shared" si="570"/>
        <v>1.25</v>
      </c>
      <c r="AH770" s="9">
        <f t="shared" si="571"/>
        <v>2.5</v>
      </c>
      <c r="AI770" s="9">
        <f t="shared" si="572"/>
        <v>3</v>
      </c>
      <c r="AJ770" s="9">
        <f t="shared" si="573"/>
        <v>-1.75</v>
      </c>
      <c r="AK770" s="9">
        <f t="shared" si="574"/>
        <v>-1.4375</v>
      </c>
      <c r="AL770" s="9">
        <f t="shared" si="575"/>
        <v>-2.625</v>
      </c>
      <c r="AM770" s="9">
        <f t="shared" si="576"/>
        <v>-1.25</v>
      </c>
      <c r="AN770" s="9">
        <f t="shared" si="577"/>
        <v>-1.75</v>
      </c>
      <c r="AO770" s="9">
        <f t="shared" si="578"/>
        <v>-2.25</v>
      </c>
      <c r="AP770" s="9">
        <f t="shared" si="579"/>
        <v>-1.125</v>
      </c>
      <c r="AQ770" s="9">
        <f t="shared" si="580"/>
        <v>1</v>
      </c>
      <c r="AR770" s="9">
        <f t="shared" si="581"/>
        <v>2</v>
      </c>
      <c r="AS770" s="9">
        <f t="shared" si="582"/>
        <v>-1.75</v>
      </c>
      <c r="AT770" s="9">
        <f t="shared" si="583"/>
        <v>-1.5</v>
      </c>
      <c r="AU770" s="9">
        <f t="shared" si="584"/>
        <v>-2.75</v>
      </c>
      <c r="AV770" s="9">
        <f t="shared" si="585"/>
        <v>-2</v>
      </c>
      <c r="AW770" s="9">
        <f t="shared" si="586"/>
        <v>-3</v>
      </c>
      <c r="AX770" s="9">
        <f t="shared" si="587"/>
        <v>-3.875</v>
      </c>
      <c r="AY770" s="9">
        <f t="shared" si="588"/>
        <v>-3.375</v>
      </c>
      <c r="AZ770" s="9">
        <f t="shared" si="589"/>
        <v>-0.125</v>
      </c>
      <c r="BA770" s="9">
        <f t="shared" si="590"/>
        <v>1</v>
      </c>
      <c r="BB770" s="9">
        <f t="shared" si="591"/>
        <v>-1.5</v>
      </c>
      <c r="BC770" s="9">
        <f t="shared" si="592"/>
        <v>-1.25</v>
      </c>
      <c r="BD770" s="9">
        <f t="shared" si="593"/>
        <v>-2.75</v>
      </c>
      <c r="BE770" s="9">
        <f t="shared" si="594"/>
        <v>-2</v>
      </c>
      <c r="BF770" s="9">
        <f t="shared" si="595"/>
        <v>-3.375</v>
      </c>
      <c r="BG770" s="9">
        <f t="shared" si="596"/>
        <v>-4.25</v>
      </c>
      <c r="BH770" s="9">
        <f t="shared" si="597"/>
        <v>-4.625</v>
      </c>
      <c r="BI770" s="9">
        <f t="shared" si="598"/>
        <v>-1.375</v>
      </c>
      <c r="BJ770" s="9">
        <f t="shared" si="599"/>
        <v>0.375</v>
      </c>
    </row>
    <row r="771" spans="1:62" x14ac:dyDescent="0.2">
      <c r="A771" s="9">
        <f>data!M772-data!M771</f>
        <v>-0.70490000000000919</v>
      </c>
      <c r="B771" s="9">
        <f>data!C772-data!C771</f>
        <v>-1.4599999999999991</v>
      </c>
      <c r="C771" s="9">
        <f>data!D772-data!D771</f>
        <v>-0.32000000000000028</v>
      </c>
      <c r="D771" s="10">
        <f>data!B772-data!B771</f>
        <v>1.5000000000000013E-2</v>
      </c>
      <c r="E771" s="9">
        <f>data!E771-data!G771</f>
        <v>1.7469999999999999</v>
      </c>
      <c r="F771" s="9">
        <f>(data!E771-data!F771)-(data!G771-data!H771)</f>
        <v>6.3999999999999335E-3</v>
      </c>
      <c r="G771" s="9">
        <f t="shared" ref="G771:G834" si="600">E772-E771</f>
        <v>0.16800000000000015</v>
      </c>
      <c r="H771" s="9">
        <f t="shared" ref="H771:H834" si="601">F772-F771</f>
        <v>1.8200000000000244E-2</v>
      </c>
      <c r="I771" s="9">
        <f>IF(data!M772&gt; 111.81,1,0)</f>
        <v>1</v>
      </c>
      <c r="J771" s="9">
        <f t="shared" ref="J771:J834" si="602">1-I771</f>
        <v>0</v>
      </c>
      <c r="K771" s="9">
        <f t="shared" ref="K771:K834" si="603">A771*I771</f>
        <v>-0.70490000000000919</v>
      </c>
      <c r="L771" s="9">
        <f t="shared" ref="L771:L834" si="604">A771*J771</f>
        <v>0</v>
      </c>
      <c r="M771" s="9">
        <f>data!J771</f>
        <v>-33.5625</v>
      </c>
      <c r="N771" s="9">
        <f>data!I771</f>
        <v>-45.75</v>
      </c>
      <c r="O771" s="9">
        <f>data!L771</f>
        <v>-52.75</v>
      </c>
      <c r="P771" s="9">
        <f>data!K771</f>
        <v>-52.75</v>
      </c>
      <c r="Q771" s="9">
        <f>data!R771</f>
        <v>-49.125</v>
      </c>
      <c r="R771" s="9">
        <f t="shared" ref="R771:R834" si="605">M772-M771</f>
        <v>1.25</v>
      </c>
      <c r="S771" s="9">
        <f t="shared" ref="S771:S834" si="606">M773-M771</f>
        <v>1.5625</v>
      </c>
      <c r="T771" s="9">
        <f t="shared" ref="T771:T834" si="607">M774-M771</f>
        <v>4.1875</v>
      </c>
      <c r="U771" s="9">
        <f t="shared" ref="U771:U834" si="608">M775-M771</f>
        <v>2.9375</v>
      </c>
      <c r="V771" s="9">
        <f t="shared" ref="V771:V834" si="609">M776-M771</f>
        <v>3.4375</v>
      </c>
      <c r="W771" s="9">
        <f t="shared" ref="W771:W834" si="610">M777-M771</f>
        <v>3.4375</v>
      </c>
      <c r="X771" s="9">
        <f t="shared" ref="X771:X834" si="611">M778-M771</f>
        <v>4.25</v>
      </c>
      <c r="Y771" s="9">
        <f t="shared" ref="Y771:Y834" si="612">M779-M771</f>
        <v>3.1875</v>
      </c>
      <c r="Z771" s="9">
        <f t="shared" ref="Z771:Z834" si="613">M780-M771</f>
        <v>4.5625</v>
      </c>
      <c r="AA771" s="9">
        <f t="shared" ref="AA771:AA834" si="614">N772-N771</f>
        <v>0</v>
      </c>
      <c r="AB771" s="9">
        <f t="shared" ref="AB771:AB834" si="615">N773-N771</f>
        <v>-0.375</v>
      </c>
      <c r="AC771" s="9">
        <f t="shared" ref="AC771:AC834" si="616">N774-N771</f>
        <v>1.125</v>
      </c>
      <c r="AD771" s="9">
        <f t="shared" ref="AD771:AD834" si="617">N775-N771</f>
        <v>1.0625</v>
      </c>
      <c r="AE771" s="9">
        <f t="shared" ref="AE771:AE834" si="618">N776-N771</f>
        <v>1.25</v>
      </c>
      <c r="AF771" s="9">
        <f t="shared" ref="AF771:AF834" si="619">N777-N771</f>
        <v>2.625</v>
      </c>
      <c r="AG771" s="9">
        <f t="shared" ref="AG771:AG834" si="620">N778-N771</f>
        <v>3.875</v>
      </c>
      <c r="AH771" s="9">
        <f t="shared" ref="AH771:AH834" si="621">N779-N771</f>
        <v>4.375</v>
      </c>
      <c r="AI771" s="9">
        <f t="shared" ref="AI771:AI834" si="622">N780-N771</f>
        <v>4.125</v>
      </c>
      <c r="AJ771" s="9">
        <f t="shared" ref="AJ771:AJ834" si="623">O772-O771</f>
        <v>0.3125</v>
      </c>
      <c r="AK771" s="9">
        <f t="shared" ref="AK771:AK834" si="624">O773-O771</f>
        <v>-0.875</v>
      </c>
      <c r="AL771" s="9">
        <f t="shared" ref="AL771:AL834" si="625">O774-O771</f>
        <v>0.5</v>
      </c>
      <c r="AM771" s="9">
        <f t="shared" ref="AM771:AM834" si="626">O775-O771</f>
        <v>0</v>
      </c>
      <c r="AN771" s="9">
        <f t="shared" ref="AN771:AN834" si="627">O776-O771</f>
        <v>-0.5</v>
      </c>
      <c r="AO771" s="9">
        <f t="shared" ref="AO771:AO834" si="628">O777-O771</f>
        <v>0.625</v>
      </c>
      <c r="AP771" s="9">
        <f t="shared" ref="AP771:AP834" si="629">O778-O771</f>
        <v>2.75</v>
      </c>
      <c r="AQ771" s="9">
        <f t="shared" ref="AQ771:AQ834" si="630">O779-O771</f>
        <v>3.75</v>
      </c>
      <c r="AR771" s="9">
        <f t="shared" ref="AR771:AR834" si="631">O780-O771</f>
        <v>4.8125</v>
      </c>
      <c r="AS771" s="9">
        <f t="shared" ref="AS771:AS834" si="632">P772 - P771</f>
        <v>0.25</v>
      </c>
      <c r="AT771" s="9">
        <f t="shared" ref="AT771:AT834" si="633">P773 - P771</f>
        <v>-1</v>
      </c>
      <c r="AU771" s="9">
        <f t="shared" ref="AU771:AU834" si="634">P774 - P771</f>
        <v>-0.25</v>
      </c>
      <c r="AV771" s="9">
        <f t="shared" ref="AV771:AV834" si="635">P775 - P771</f>
        <v>-1.25</v>
      </c>
      <c r="AW771" s="9">
        <f t="shared" ref="AW771:AW834" si="636">P776 - P771</f>
        <v>-2.125</v>
      </c>
      <c r="AX771" s="9">
        <f t="shared" ref="AX771:AX834" si="637">P777 - P771</f>
        <v>-1.625</v>
      </c>
      <c r="AY771" s="9">
        <f t="shared" ref="AY771:AY834" si="638">P778 - P771</f>
        <v>1.625</v>
      </c>
      <c r="AZ771" s="9">
        <f t="shared" ref="AZ771:AZ834" si="639">P779 - P771</f>
        <v>2.75</v>
      </c>
      <c r="BA771" s="9">
        <f t="shared" ref="BA771:BA834" si="640">P780 - P771</f>
        <v>3.9375</v>
      </c>
      <c r="BB771" s="9">
        <f t="shared" ref="BB771:BB834" si="641">Q772 - Q771</f>
        <v>0.25</v>
      </c>
      <c r="BC771" s="9">
        <f t="shared" ref="BC771:BC834" si="642">Q773 - Q771</f>
        <v>-1.25</v>
      </c>
      <c r="BD771" s="9">
        <f t="shared" ref="BD771:BD834" si="643">Q774 - Q771</f>
        <v>-0.5</v>
      </c>
      <c r="BE771" s="9">
        <f t="shared" ref="BE771:BE834" si="644">Q775 - Q771</f>
        <v>-1.875</v>
      </c>
      <c r="BF771" s="9">
        <f t="shared" ref="BF771:BF834" si="645">Q776 - Q771</f>
        <v>-2.75</v>
      </c>
      <c r="BG771" s="9">
        <f t="shared" ref="BG771:BG834" si="646">Q777 - Q771</f>
        <v>-3.125</v>
      </c>
      <c r="BH771" s="9">
        <f t="shared" ref="BH771:BH834" si="647">Q778 - Q771</f>
        <v>0.125</v>
      </c>
      <c r="BI771" s="9">
        <f t="shared" ref="BI771:BI834" si="648">Q779 - Q771</f>
        <v>1.875</v>
      </c>
      <c r="BJ771" s="9">
        <f t="shared" ref="BJ771:BJ834" si="649">Q780 - Q771</f>
        <v>2.5</v>
      </c>
    </row>
    <row r="772" spans="1:62" x14ac:dyDescent="0.2">
      <c r="A772" s="9">
        <f>data!M773-data!M772</f>
        <v>-0.68979999999999109</v>
      </c>
      <c r="B772" s="9">
        <f>data!C773-data!C772</f>
        <v>-1.33</v>
      </c>
      <c r="C772" s="9">
        <f>data!D773-data!D772</f>
        <v>-0.45999999999999996</v>
      </c>
      <c r="D772" s="10">
        <f>data!B773-data!B772</f>
        <v>0.10249999999999992</v>
      </c>
      <c r="E772" s="9">
        <f>data!E772-data!G772</f>
        <v>1.915</v>
      </c>
      <c r="F772" s="9">
        <f>(data!E772-data!F772)-(data!G772-data!H772)</f>
        <v>2.4600000000000177E-2</v>
      </c>
      <c r="G772" s="9">
        <f t="shared" si="600"/>
        <v>-1.8399999999999972E-2</v>
      </c>
      <c r="H772" s="9">
        <f t="shared" si="601"/>
        <v>5.7399999999999757E-2</v>
      </c>
      <c r="I772" s="9">
        <f>IF(data!M773&gt; 111.81,1,0)</f>
        <v>1</v>
      </c>
      <c r="J772" s="9">
        <f t="shared" si="602"/>
        <v>0</v>
      </c>
      <c r="K772" s="9">
        <f t="shared" si="603"/>
        <v>-0.68979999999999109</v>
      </c>
      <c r="L772" s="9">
        <f t="shared" si="604"/>
        <v>0</v>
      </c>
      <c r="M772" s="9">
        <f>data!J772</f>
        <v>-32.3125</v>
      </c>
      <c r="N772" s="9">
        <f>data!I772</f>
        <v>-45.75</v>
      </c>
      <c r="O772" s="9">
        <f>data!L772</f>
        <v>-52.4375</v>
      </c>
      <c r="P772" s="9">
        <f>data!K772</f>
        <v>-52.5</v>
      </c>
      <c r="Q772" s="9">
        <f>data!R772</f>
        <v>-48.875</v>
      </c>
      <c r="R772" s="9">
        <f t="shared" si="605"/>
        <v>0.3125</v>
      </c>
      <c r="S772" s="9">
        <f t="shared" si="606"/>
        <v>2.9375</v>
      </c>
      <c r="T772" s="9">
        <f t="shared" si="607"/>
        <v>1.6875</v>
      </c>
      <c r="U772" s="9">
        <f t="shared" si="608"/>
        <v>2.1875</v>
      </c>
      <c r="V772" s="9">
        <f t="shared" si="609"/>
        <v>2.1875</v>
      </c>
      <c r="W772" s="9">
        <f t="shared" si="610"/>
        <v>3</v>
      </c>
      <c r="X772" s="9">
        <f t="shared" si="611"/>
        <v>1.9375</v>
      </c>
      <c r="Y772" s="9">
        <f t="shared" si="612"/>
        <v>3.3125</v>
      </c>
      <c r="Z772" s="9">
        <f t="shared" si="613"/>
        <v>4.0625</v>
      </c>
      <c r="AA772" s="9">
        <f t="shared" si="614"/>
        <v>-0.375</v>
      </c>
      <c r="AB772" s="9">
        <f t="shared" si="615"/>
        <v>1.125</v>
      </c>
      <c r="AC772" s="9">
        <f t="shared" si="616"/>
        <v>1.0625</v>
      </c>
      <c r="AD772" s="9">
        <f t="shared" si="617"/>
        <v>1.25</v>
      </c>
      <c r="AE772" s="9">
        <f t="shared" si="618"/>
        <v>2.625</v>
      </c>
      <c r="AF772" s="9">
        <f t="shared" si="619"/>
        <v>3.875</v>
      </c>
      <c r="AG772" s="9">
        <f t="shared" si="620"/>
        <v>4.375</v>
      </c>
      <c r="AH772" s="9">
        <f t="shared" si="621"/>
        <v>4.125</v>
      </c>
      <c r="AI772" s="9">
        <f t="shared" si="622"/>
        <v>3.875</v>
      </c>
      <c r="AJ772" s="9">
        <f t="shared" si="623"/>
        <v>-1.1875</v>
      </c>
      <c r="AK772" s="9">
        <f t="shared" si="624"/>
        <v>0.1875</v>
      </c>
      <c r="AL772" s="9">
        <f t="shared" si="625"/>
        <v>-0.3125</v>
      </c>
      <c r="AM772" s="9">
        <f t="shared" si="626"/>
        <v>-0.8125</v>
      </c>
      <c r="AN772" s="9">
        <f t="shared" si="627"/>
        <v>0.3125</v>
      </c>
      <c r="AO772" s="9">
        <f t="shared" si="628"/>
        <v>2.4375</v>
      </c>
      <c r="AP772" s="9">
        <f t="shared" si="629"/>
        <v>3.4375</v>
      </c>
      <c r="AQ772" s="9">
        <f t="shared" si="630"/>
        <v>4.5</v>
      </c>
      <c r="AR772" s="9">
        <f t="shared" si="631"/>
        <v>4.0625</v>
      </c>
      <c r="AS772" s="9">
        <f t="shared" si="632"/>
        <v>-1.25</v>
      </c>
      <c r="AT772" s="9">
        <f t="shared" si="633"/>
        <v>-0.5</v>
      </c>
      <c r="AU772" s="9">
        <f t="shared" si="634"/>
        <v>-1.5</v>
      </c>
      <c r="AV772" s="9">
        <f t="shared" si="635"/>
        <v>-2.375</v>
      </c>
      <c r="AW772" s="9">
        <f t="shared" si="636"/>
        <v>-1.875</v>
      </c>
      <c r="AX772" s="9">
        <f t="shared" si="637"/>
        <v>1.375</v>
      </c>
      <c r="AY772" s="9">
        <f t="shared" si="638"/>
        <v>2.5</v>
      </c>
      <c r="AZ772" s="9">
        <f t="shared" si="639"/>
        <v>3.6875</v>
      </c>
      <c r="BA772" s="9">
        <f t="shared" si="640"/>
        <v>3.375</v>
      </c>
      <c r="BB772" s="9">
        <f t="shared" si="641"/>
        <v>-1.5</v>
      </c>
      <c r="BC772" s="9">
        <f t="shared" si="642"/>
        <v>-0.75</v>
      </c>
      <c r="BD772" s="9">
        <f t="shared" si="643"/>
        <v>-2.125</v>
      </c>
      <c r="BE772" s="9">
        <f t="shared" si="644"/>
        <v>-3</v>
      </c>
      <c r="BF772" s="9">
        <f t="shared" si="645"/>
        <v>-3.375</v>
      </c>
      <c r="BG772" s="9">
        <f t="shared" si="646"/>
        <v>-0.125</v>
      </c>
      <c r="BH772" s="9">
        <f t="shared" si="647"/>
        <v>1.625</v>
      </c>
      <c r="BI772" s="9">
        <f t="shared" si="648"/>
        <v>2.25</v>
      </c>
      <c r="BJ772" s="9">
        <f t="shared" si="649"/>
        <v>2.125</v>
      </c>
    </row>
    <row r="773" spans="1:62" x14ac:dyDescent="0.2">
      <c r="A773" s="9">
        <f>data!M774-data!M773</f>
        <v>-5.710000000000548E-2</v>
      </c>
      <c r="B773" s="9">
        <f>data!C774-data!C773</f>
        <v>-1.5999999999999996</v>
      </c>
      <c r="C773" s="9">
        <f>data!D774-data!D773</f>
        <v>-0.29000000000000004</v>
      </c>
      <c r="D773" s="10">
        <f>data!B774-data!B773</f>
        <v>3.7500000000000089E-2</v>
      </c>
      <c r="E773" s="9">
        <f>data!E773-data!G773</f>
        <v>1.8966000000000001</v>
      </c>
      <c r="F773" s="9">
        <f>(data!E773-data!F773)-(data!G773-data!H773)</f>
        <v>8.1999999999999934E-2</v>
      </c>
      <c r="G773" s="9">
        <f t="shared" si="600"/>
        <v>4.269999999999996E-2</v>
      </c>
      <c r="H773" s="9">
        <f t="shared" si="601"/>
        <v>2.7000000000001467E-3</v>
      </c>
      <c r="I773" s="9">
        <f>IF(data!M774&gt; 111.81,1,0)</f>
        <v>1</v>
      </c>
      <c r="J773" s="9">
        <f t="shared" si="602"/>
        <v>0</v>
      </c>
      <c r="K773" s="9">
        <f t="shared" si="603"/>
        <v>-5.710000000000548E-2</v>
      </c>
      <c r="L773" s="9">
        <f t="shared" si="604"/>
        <v>0</v>
      </c>
      <c r="M773" s="9">
        <f>data!J773</f>
        <v>-32</v>
      </c>
      <c r="N773" s="9">
        <f>data!I773</f>
        <v>-46.125</v>
      </c>
      <c r="O773" s="9">
        <f>data!L773</f>
        <v>-53.625</v>
      </c>
      <c r="P773" s="9">
        <f>data!K773</f>
        <v>-53.75</v>
      </c>
      <c r="Q773" s="9">
        <f>data!R773</f>
        <v>-50.375</v>
      </c>
      <c r="R773" s="9">
        <f t="shared" si="605"/>
        <v>2.625</v>
      </c>
      <c r="S773" s="9">
        <f t="shared" si="606"/>
        <v>1.375</v>
      </c>
      <c r="T773" s="9">
        <f t="shared" si="607"/>
        <v>1.875</v>
      </c>
      <c r="U773" s="9">
        <f t="shared" si="608"/>
        <v>1.875</v>
      </c>
      <c r="V773" s="9">
        <f t="shared" si="609"/>
        <v>2.6875</v>
      </c>
      <c r="W773" s="9">
        <f t="shared" si="610"/>
        <v>1.625</v>
      </c>
      <c r="X773" s="9">
        <f t="shared" si="611"/>
        <v>3</v>
      </c>
      <c r="Y773" s="9">
        <f t="shared" si="612"/>
        <v>3.75</v>
      </c>
      <c r="Z773" s="9">
        <f t="shared" si="613"/>
        <v>8.5</v>
      </c>
      <c r="AA773" s="9">
        <f t="shared" si="614"/>
        <v>1.5</v>
      </c>
      <c r="AB773" s="9">
        <f t="shared" si="615"/>
        <v>1.4375</v>
      </c>
      <c r="AC773" s="9">
        <f t="shared" si="616"/>
        <v>1.625</v>
      </c>
      <c r="AD773" s="9">
        <f t="shared" si="617"/>
        <v>3</v>
      </c>
      <c r="AE773" s="9">
        <f t="shared" si="618"/>
        <v>4.25</v>
      </c>
      <c r="AF773" s="9">
        <f t="shared" si="619"/>
        <v>4.75</v>
      </c>
      <c r="AG773" s="9">
        <f t="shared" si="620"/>
        <v>4.5</v>
      </c>
      <c r="AH773" s="9">
        <f t="shared" si="621"/>
        <v>4.25</v>
      </c>
      <c r="AI773" s="9">
        <f t="shared" si="622"/>
        <v>8</v>
      </c>
      <c r="AJ773" s="9">
        <f t="shared" si="623"/>
        <v>1.375</v>
      </c>
      <c r="AK773" s="9">
        <f t="shared" si="624"/>
        <v>0.875</v>
      </c>
      <c r="AL773" s="9">
        <f t="shared" si="625"/>
        <v>0.375</v>
      </c>
      <c r="AM773" s="9">
        <f t="shared" si="626"/>
        <v>1.5</v>
      </c>
      <c r="AN773" s="9">
        <f t="shared" si="627"/>
        <v>3.625</v>
      </c>
      <c r="AO773" s="9">
        <f t="shared" si="628"/>
        <v>4.625</v>
      </c>
      <c r="AP773" s="9">
        <f t="shared" si="629"/>
        <v>5.6875</v>
      </c>
      <c r="AQ773" s="9">
        <f t="shared" si="630"/>
        <v>5.25</v>
      </c>
      <c r="AR773" s="9">
        <f t="shared" si="631"/>
        <v>9.125</v>
      </c>
      <c r="AS773" s="9">
        <f t="shared" si="632"/>
        <v>0.75</v>
      </c>
      <c r="AT773" s="9">
        <f t="shared" si="633"/>
        <v>-0.25</v>
      </c>
      <c r="AU773" s="9">
        <f t="shared" si="634"/>
        <v>-1.125</v>
      </c>
      <c r="AV773" s="9">
        <f t="shared" si="635"/>
        <v>-0.625</v>
      </c>
      <c r="AW773" s="9">
        <f t="shared" si="636"/>
        <v>2.625</v>
      </c>
      <c r="AX773" s="9">
        <f t="shared" si="637"/>
        <v>3.75</v>
      </c>
      <c r="AY773" s="9">
        <f t="shared" si="638"/>
        <v>4.9375</v>
      </c>
      <c r="AZ773" s="9">
        <f t="shared" si="639"/>
        <v>4.625</v>
      </c>
      <c r="BA773" s="9">
        <f t="shared" si="640"/>
        <v>9</v>
      </c>
      <c r="BB773" s="9">
        <f t="shared" si="641"/>
        <v>0.75</v>
      </c>
      <c r="BC773" s="9">
        <f t="shared" si="642"/>
        <v>-0.625</v>
      </c>
      <c r="BD773" s="9">
        <f t="shared" si="643"/>
        <v>-1.5</v>
      </c>
      <c r="BE773" s="9">
        <f t="shared" si="644"/>
        <v>-1.875</v>
      </c>
      <c r="BF773" s="9">
        <f t="shared" si="645"/>
        <v>1.375</v>
      </c>
      <c r="BG773" s="9">
        <f t="shared" si="646"/>
        <v>3.125</v>
      </c>
      <c r="BH773" s="9">
        <f t="shared" si="647"/>
        <v>3.75</v>
      </c>
      <c r="BI773" s="9">
        <f t="shared" si="648"/>
        <v>3.625</v>
      </c>
      <c r="BJ773" s="9">
        <f t="shared" si="649"/>
        <v>8.125</v>
      </c>
    </row>
    <row r="774" spans="1:62" x14ac:dyDescent="0.2">
      <c r="A774" s="9">
        <f>data!M775-data!M774</f>
        <v>-0.34640000000000271</v>
      </c>
      <c r="B774" s="9">
        <f>data!C775-data!C774</f>
        <v>-0.34999999999999964</v>
      </c>
      <c r="C774" s="9">
        <f>data!D775-data!D774</f>
        <v>0.23000000000000043</v>
      </c>
      <c r="D774" s="10">
        <f>data!B775-data!B774</f>
        <v>9.2499999999999916E-2</v>
      </c>
      <c r="E774" s="9">
        <f>data!E774-data!G774</f>
        <v>1.9393</v>
      </c>
      <c r="F774" s="9">
        <f>(data!E774-data!F774)-(data!G774-data!H774)</f>
        <v>8.4700000000000081E-2</v>
      </c>
      <c r="G774" s="9">
        <f t="shared" si="600"/>
        <v>-4.4000000000000039E-2</v>
      </c>
      <c r="H774" s="9">
        <f t="shared" si="601"/>
        <v>-1.1400000000000216E-2</v>
      </c>
      <c r="I774" s="9">
        <f>IF(data!M775&gt; 111.81,1,0)</f>
        <v>1</v>
      </c>
      <c r="J774" s="9">
        <f t="shared" si="602"/>
        <v>0</v>
      </c>
      <c r="K774" s="9">
        <f t="shared" si="603"/>
        <v>-0.34640000000000271</v>
      </c>
      <c r="L774" s="9">
        <f t="shared" si="604"/>
        <v>0</v>
      </c>
      <c r="M774" s="9">
        <f>data!J774</f>
        <v>-29.375</v>
      </c>
      <c r="N774" s="9">
        <f>data!I774</f>
        <v>-44.625</v>
      </c>
      <c r="O774" s="9">
        <f>data!L774</f>
        <v>-52.25</v>
      </c>
      <c r="P774" s="9">
        <f>data!K774</f>
        <v>-53</v>
      </c>
      <c r="Q774" s="9">
        <f>data!R774</f>
        <v>-49.625</v>
      </c>
      <c r="R774" s="9">
        <f t="shared" si="605"/>
        <v>-1.25</v>
      </c>
      <c r="S774" s="9">
        <f t="shared" si="606"/>
        <v>-0.75</v>
      </c>
      <c r="T774" s="9">
        <f t="shared" si="607"/>
        <v>-0.75</v>
      </c>
      <c r="U774" s="9">
        <f t="shared" si="608"/>
        <v>6.25E-2</v>
      </c>
      <c r="V774" s="9">
        <f t="shared" si="609"/>
        <v>-1</v>
      </c>
      <c r="W774" s="9">
        <f t="shared" si="610"/>
        <v>0.375</v>
      </c>
      <c r="X774" s="9">
        <f t="shared" si="611"/>
        <v>1.125</v>
      </c>
      <c r="Y774" s="9">
        <f t="shared" si="612"/>
        <v>5.875</v>
      </c>
      <c r="Z774" s="9">
        <f t="shared" si="613"/>
        <v>5</v>
      </c>
      <c r="AA774" s="9">
        <f t="shared" si="614"/>
        <v>-6.25E-2</v>
      </c>
      <c r="AB774" s="9">
        <f t="shared" si="615"/>
        <v>0.125</v>
      </c>
      <c r="AC774" s="9">
        <f t="shared" si="616"/>
        <v>1.5</v>
      </c>
      <c r="AD774" s="9">
        <f t="shared" si="617"/>
        <v>2.75</v>
      </c>
      <c r="AE774" s="9">
        <f t="shared" si="618"/>
        <v>3.25</v>
      </c>
      <c r="AF774" s="9">
        <f t="shared" si="619"/>
        <v>3</v>
      </c>
      <c r="AG774" s="9">
        <f t="shared" si="620"/>
        <v>2.75</v>
      </c>
      <c r="AH774" s="9">
        <f t="shared" si="621"/>
        <v>6.5</v>
      </c>
      <c r="AI774" s="9">
        <f t="shared" si="622"/>
        <v>6.125</v>
      </c>
      <c r="AJ774" s="9">
        <f t="shared" si="623"/>
        <v>-0.5</v>
      </c>
      <c r="AK774" s="9">
        <f t="shared" si="624"/>
        <v>-1</v>
      </c>
      <c r="AL774" s="9">
        <f t="shared" si="625"/>
        <v>0.125</v>
      </c>
      <c r="AM774" s="9">
        <f t="shared" si="626"/>
        <v>2.25</v>
      </c>
      <c r="AN774" s="9">
        <f t="shared" si="627"/>
        <v>3.25</v>
      </c>
      <c r="AO774" s="9">
        <f t="shared" si="628"/>
        <v>4.3125</v>
      </c>
      <c r="AP774" s="9">
        <f t="shared" si="629"/>
        <v>3.875</v>
      </c>
      <c r="AQ774" s="9">
        <f t="shared" si="630"/>
        <v>7.75</v>
      </c>
      <c r="AR774" s="9">
        <f t="shared" si="631"/>
        <v>7.3125</v>
      </c>
      <c r="AS774" s="9">
        <f t="shared" si="632"/>
        <v>-1</v>
      </c>
      <c r="AT774" s="9">
        <f t="shared" si="633"/>
        <v>-1.875</v>
      </c>
      <c r="AU774" s="9">
        <f t="shared" si="634"/>
        <v>-1.375</v>
      </c>
      <c r="AV774" s="9">
        <f t="shared" si="635"/>
        <v>1.875</v>
      </c>
      <c r="AW774" s="9">
        <f t="shared" si="636"/>
        <v>3</v>
      </c>
      <c r="AX774" s="9">
        <f t="shared" si="637"/>
        <v>4.1875</v>
      </c>
      <c r="AY774" s="9">
        <f t="shared" si="638"/>
        <v>3.875</v>
      </c>
      <c r="AZ774" s="9">
        <f t="shared" si="639"/>
        <v>8.25</v>
      </c>
      <c r="BA774" s="9">
        <f t="shared" si="640"/>
        <v>8.5625</v>
      </c>
      <c r="BB774" s="9">
        <f t="shared" si="641"/>
        <v>-1.375</v>
      </c>
      <c r="BC774" s="9">
        <f t="shared" si="642"/>
        <v>-2.25</v>
      </c>
      <c r="BD774" s="9">
        <f t="shared" si="643"/>
        <v>-2.625</v>
      </c>
      <c r="BE774" s="9">
        <f t="shared" si="644"/>
        <v>0.625</v>
      </c>
      <c r="BF774" s="9">
        <f t="shared" si="645"/>
        <v>2.375</v>
      </c>
      <c r="BG774" s="9">
        <f t="shared" si="646"/>
        <v>3</v>
      </c>
      <c r="BH774" s="9">
        <f t="shared" si="647"/>
        <v>2.875</v>
      </c>
      <c r="BI774" s="9">
        <f t="shared" si="648"/>
        <v>7.375</v>
      </c>
      <c r="BJ774" s="9">
        <f t="shared" si="649"/>
        <v>7.8125</v>
      </c>
    </row>
    <row r="775" spans="1:62" x14ac:dyDescent="0.2">
      <c r="A775" s="9">
        <f>data!M776-data!M775</f>
        <v>0.6115999999999957</v>
      </c>
      <c r="B775" s="9">
        <f>data!C776-data!C775</f>
        <v>-0.23000000000000043</v>
      </c>
      <c r="C775" s="9">
        <f>data!D776-data!D775</f>
        <v>-2.0000000000000462E-2</v>
      </c>
      <c r="D775" s="10">
        <f>data!B776-data!B775</f>
        <v>6.0000000000000053E-2</v>
      </c>
      <c r="E775" s="9">
        <f>data!E775-data!G775</f>
        <v>1.8953</v>
      </c>
      <c r="F775" s="9">
        <f>(data!E775-data!F775)-(data!G775-data!H775)</f>
        <v>7.3299999999999865E-2</v>
      </c>
      <c r="G775" s="9">
        <f t="shared" si="600"/>
        <v>0.10739999999999994</v>
      </c>
      <c r="H775" s="9">
        <f t="shared" si="601"/>
        <v>8.1200000000000216E-2</v>
      </c>
      <c r="I775" s="9">
        <f>IF(data!M776&gt; 111.81,1,0)</f>
        <v>1</v>
      </c>
      <c r="J775" s="9">
        <f t="shared" si="602"/>
        <v>0</v>
      </c>
      <c r="K775" s="9">
        <f t="shared" si="603"/>
        <v>0.6115999999999957</v>
      </c>
      <c r="L775" s="9">
        <f t="shared" si="604"/>
        <v>0</v>
      </c>
      <c r="M775" s="9">
        <f>data!J775</f>
        <v>-30.625</v>
      </c>
      <c r="N775" s="9">
        <f>data!I775</f>
        <v>-44.6875</v>
      </c>
      <c r="O775" s="9">
        <f>data!L775</f>
        <v>-52.75</v>
      </c>
      <c r="P775" s="9">
        <f>data!K775</f>
        <v>-54</v>
      </c>
      <c r="Q775" s="9">
        <f>data!R775</f>
        <v>-51</v>
      </c>
      <c r="R775" s="9">
        <f t="shared" si="605"/>
        <v>0.5</v>
      </c>
      <c r="S775" s="9">
        <f t="shared" si="606"/>
        <v>0.5</v>
      </c>
      <c r="T775" s="9">
        <f t="shared" si="607"/>
        <v>1.3125</v>
      </c>
      <c r="U775" s="9">
        <f t="shared" si="608"/>
        <v>0.25</v>
      </c>
      <c r="V775" s="9">
        <f t="shared" si="609"/>
        <v>1.625</v>
      </c>
      <c r="W775" s="9">
        <f t="shared" si="610"/>
        <v>2.375</v>
      </c>
      <c r="X775" s="9">
        <f t="shared" si="611"/>
        <v>7.125</v>
      </c>
      <c r="Y775" s="9">
        <f t="shared" si="612"/>
        <v>6.25</v>
      </c>
      <c r="Z775" s="9">
        <f t="shared" si="613"/>
        <v>5</v>
      </c>
      <c r="AA775" s="9">
        <f t="shared" si="614"/>
        <v>0.1875</v>
      </c>
      <c r="AB775" s="9">
        <f t="shared" si="615"/>
        <v>1.5625</v>
      </c>
      <c r="AC775" s="9">
        <f t="shared" si="616"/>
        <v>2.8125</v>
      </c>
      <c r="AD775" s="9">
        <f t="shared" si="617"/>
        <v>3.3125</v>
      </c>
      <c r="AE775" s="9">
        <f t="shared" si="618"/>
        <v>3.0625</v>
      </c>
      <c r="AF775" s="9">
        <f t="shared" si="619"/>
        <v>2.8125</v>
      </c>
      <c r="AG775" s="9">
        <f t="shared" si="620"/>
        <v>6.5625</v>
      </c>
      <c r="AH775" s="9">
        <f t="shared" si="621"/>
        <v>6.1875</v>
      </c>
      <c r="AI775" s="9">
        <f t="shared" si="622"/>
        <v>5.3125</v>
      </c>
      <c r="AJ775" s="9">
        <f t="shared" si="623"/>
        <v>-0.5</v>
      </c>
      <c r="AK775" s="9">
        <f t="shared" si="624"/>
        <v>0.625</v>
      </c>
      <c r="AL775" s="9">
        <f t="shared" si="625"/>
        <v>2.75</v>
      </c>
      <c r="AM775" s="9">
        <f t="shared" si="626"/>
        <v>3.75</v>
      </c>
      <c r="AN775" s="9">
        <f t="shared" si="627"/>
        <v>4.8125</v>
      </c>
      <c r="AO775" s="9">
        <f t="shared" si="628"/>
        <v>4.375</v>
      </c>
      <c r="AP775" s="9">
        <f t="shared" si="629"/>
        <v>8.25</v>
      </c>
      <c r="AQ775" s="9">
        <f t="shared" si="630"/>
        <v>7.8125</v>
      </c>
      <c r="AR775" s="9">
        <f t="shared" si="631"/>
        <v>7.25</v>
      </c>
      <c r="AS775" s="9">
        <f t="shared" si="632"/>
        <v>-0.875</v>
      </c>
      <c r="AT775" s="9">
        <f t="shared" si="633"/>
        <v>-0.375</v>
      </c>
      <c r="AU775" s="9">
        <f t="shared" si="634"/>
        <v>2.875</v>
      </c>
      <c r="AV775" s="9">
        <f t="shared" si="635"/>
        <v>4</v>
      </c>
      <c r="AW775" s="9">
        <f t="shared" si="636"/>
        <v>5.1875</v>
      </c>
      <c r="AX775" s="9">
        <f t="shared" si="637"/>
        <v>4.875</v>
      </c>
      <c r="AY775" s="9">
        <f t="shared" si="638"/>
        <v>9.25</v>
      </c>
      <c r="AZ775" s="9">
        <f t="shared" si="639"/>
        <v>9.5625</v>
      </c>
      <c r="BA775" s="9">
        <f t="shared" si="640"/>
        <v>8.875</v>
      </c>
      <c r="BB775" s="9">
        <f t="shared" si="641"/>
        <v>-0.875</v>
      </c>
      <c r="BC775" s="9">
        <f t="shared" si="642"/>
        <v>-1.25</v>
      </c>
      <c r="BD775" s="9">
        <f t="shared" si="643"/>
        <v>2</v>
      </c>
      <c r="BE775" s="9">
        <f t="shared" si="644"/>
        <v>3.75</v>
      </c>
      <c r="BF775" s="9">
        <f t="shared" si="645"/>
        <v>4.375</v>
      </c>
      <c r="BG775" s="9">
        <f t="shared" si="646"/>
        <v>4.25</v>
      </c>
      <c r="BH775" s="9">
        <f t="shared" si="647"/>
        <v>8.75</v>
      </c>
      <c r="BI775" s="9">
        <f t="shared" si="648"/>
        <v>9.1875</v>
      </c>
      <c r="BJ775" s="9">
        <f t="shared" si="649"/>
        <v>8.5</v>
      </c>
    </row>
    <row r="776" spans="1:62" x14ac:dyDescent="0.2">
      <c r="A776" s="9">
        <f>data!M777-data!M776</f>
        <v>9.6900000000005093E-2</v>
      </c>
      <c r="B776" s="9">
        <f>data!C777-data!C776</f>
        <v>-1.9999999999999574E-2</v>
      </c>
      <c r="C776" s="9">
        <f>data!D777-data!D776</f>
        <v>3.5000000000000142E-2</v>
      </c>
      <c r="D776" s="10">
        <f>data!B777-data!B776</f>
        <v>2.4999999999999467E-3</v>
      </c>
      <c r="E776" s="9">
        <f>data!E776-data!G776</f>
        <v>2.0026999999999999</v>
      </c>
      <c r="F776" s="9">
        <f>(data!E776-data!F776)-(data!G776-data!H776)</f>
        <v>0.15450000000000008</v>
      </c>
      <c r="G776" s="9">
        <f t="shared" si="600"/>
        <v>-9.3899999999999872E-2</v>
      </c>
      <c r="H776" s="9">
        <f t="shared" si="601"/>
        <v>-5.6800000000000198E-2</v>
      </c>
      <c r="I776" s="9">
        <f>IF(data!M777&gt; 111.81,1,0)</f>
        <v>1</v>
      </c>
      <c r="J776" s="9">
        <f t="shared" si="602"/>
        <v>0</v>
      </c>
      <c r="K776" s="9">
        <f t="shared" si="603"/>
        <v>9.6900000000005093E-2</v>
      </c>
      <c r="L776" s="9">
        <f t="shared" si="604"/>
        <v>0</v>
      </c>
      <c r="M776" s="9">
        <f>data!J776</f>
        <v>-30.125</v>
      </c>
      <c r="N776" s="9">
        <f>data!I776</f>
        <v>-44.5</v>
      </c>
      <c r="O776" s="9">
        <f>data!L776</f>
        <v>-53.25</v>
      </c>
      <c r="P776" s="9">
        <f>data!K776</f>
        <v>-54.875</v>
      </c>
      <c r="Q776" s="9">
        <f>data!R776</f>
        <v>-51.875</v>
      </c>
      <c r="R776" s="9">
        <f t="shared" si="605"/>
        <v>0</v>
      </c>
      <c r="S776" s="9">
        <f t="shared" si="606"/>
        <v>0.8125</v>
      </c>
      <c r="T776" s="9">
        <f t="shared" si="607"/>
        <v>-0.25</v>
      </c>
      <c r="U776" s="9">
        <f t="shared" si="608"/>
        <v>1.125</v>
      </c>
      <c r="V776" s="9">
        <f t="shared" si="609"/>
        <v>1.875</v>
      </c>
      <c r="W776" s="9">
        <f t="shared" si="610"/>
        <v>6.625</v>
      </c>
      <c r="X776" s="9">
        <f t="shared" si="611"/>
        <v>5.75</v>
      </c>
      <c r="Y776" s="9">
        <f t="shared" si="612"/>
        <v>4.5</v>
      </c>
      <c r="Z776" s="9">
        <f t="shared" si="613"/>
        <v>4.125</v>
      </c>
      <c r="AA776" s="9">
        <f t="shared" si="614"/>
        <v>1.375</v>
      </c>
      <c r="AB776" s="9">
        <f t="shared" si="615"/>
        <v>2.625</v>
      </c>
      <c r="AC776" s="9">
        <f t="shared" si="616"/>
        <v>3.125</v>
      </c>
      <c r="AD776" s="9">
        <f t="shared" si="617"/>
        <v>2.875</v>
      </c>
      <c r="AE776" s="9">
        <f t="shared" si="618"/>
        <v>2.625</v>
      </c>
      <c r="AF776" s="9">
        <f t="shared" si="619"/>
        <v>6.375</v>
      </c>
      <c r="AG776" s="9">
        <f t="shared" si="620"/>
        <v>6</v>
      </c>
      <c r="AH776" s="9">
        <f t="shared" si="621"/>
        <v>5.125</v>
      </c>
      <c r="AI776" s="9">
        <f t="shared" si="622"/>
        <v>4</v>
      </c>
      <c r="AJ776" s="9">
        <f t="shared" si="623"/>
        <v>1.125</v>
      </c>
      <c r="AK776" s="9">
        <f t="shared" si="624"/>
        <v>3.25</v>
      </c>
      <c r="AL776" s="9">
        <f t="shared" si="625"/>
        <v>4.25</v>
      </c>
      <c r="AM776" s="9">
        <f t="shared" si="626"/>
        <v>5.3125</v>
      </c>
      <c r="AN776" s="9">
        <f t="shared" si="627"/>
        <v>4.875</v>
      </c>
      <c r="AO776" s="9">
        <f t="shared" si="628"/>
        <v>8.75</v>
      </c>
      <c r="AP776" s="9">
        <f t="shared" si="629"/>
        <v>8.3125</v>
      </c>
      <c r="AQ776" s="9">
        <f t="shared" si="630"/>
        <v>7.75</v>
      </c>
      <c r="AR776" s="9">
        <f t="shared" si="631"/>
        <v>4.25</v>
      </c>
      <c r="AS776" s="9">
        <f t="shared" si="632"/>
        <v>0.5</v>
      </c>
      <c r="AT776" s="9">
        <f t="shared" si="633"/>
        <v>3.75</v>
      </c>
      <c r="AU776" s="9">
        <f t="shared" si="634"/>
        <v>4.875</v>
      </c>
      <c r="AV776" s="9">
        <f t="shared" si="635"/>
        <v>6.0625</v>
      </c>
      <c r="AW776" s="9">
        <f t="shared" si="636"/>
        <v>5.75</v>
      </c>
      <c r="AX776" s="9">
        <f t="shared" si="637"/>
        <v>10.125</v>
      </c>
      <c r="AY776" s="9">
        <f t="shared" si="638"/>
        <v>10.4375</v>
      </c>
      <c r="AZ776" s="9">
        <f t="shared" si="639"/>
        <v>9.75</v>
      </c>
      <c r="BA776" s="9">
        <f t="shared" si="640"/>
        <v>4.75</v>
      </c>
      <c r="BB776" s="9">
        <f t="shared" si="641"/>
        <v>-0.375</v>
      </c>
      <c r="BC776" s="9">
        <f t="shared" si="642"/>
        <v>2.875</v>
      </c>
      <c r="BD776" s="9">
        <f t="shared" si="643"/>
        <v>4.625</v>
      </c>
      <c r="BE776" s="9">
        <f t="shared" si="644"/>
        <v>5.25</v>
      </c>
      <c r="BF776" s="9">
        <f t="shared" si="645"/>
        <v>5.125</v>
      </c>
      <c r="BG776" s="9">
        <f t="shared" si="646"/>
        <v>9.625</v>
      </c>
      <c r="BH776" s="9">
        <f t="shared" si="647"/>
        <v>10.0625</v>
      </c>
      <c r="BI776" s="9">
        <f t="shared" si="648"/>
        <v>9.375</v>
      </c>
      <c r="BJ776" s="9">
        <f t="shared" si="649"/>
        <v>4.125</v>
      </c>
    </row>
    <row r="777" spans="1:62" x14ac:dyDescent="0.2">
      <c r="A777" s="9">
        <f>data!M778-data!M777</f>
        <v>0.47390000000000043</v>
      </c>
      <c r="B777" s="9">
        <f>data!C778-data!C777</f>
        <v>0.28999999999999915</v>
      </c>
      <c r="C777" s="9">
        <f>data!D778-data!D777</f>
        <v>-0.12999999999999989</v>
      </c>
      <c r="D777" s="10">
        <f>data!B778-data!B777</f>
        <v>-4.9999999999999933E-2</v>
      </c>
      <c r="E777" s="9">
        <f>data!E777-data!G777</f>
        <v>1.9088000000000001</v>
      </c>
      <c r="F777" s="9">
        <f>(data!E777-data!F777)-(data!G777-data!H777)</f>
        <v>9.7699999999999884E-2</v>
      </c>
      <c r="G777" s="9">
        <f t="shared" si="600"/>
        <v>-5.4200000000000026E-2</v>
      </c>
      <c r="H777" s="9">
        <f t="shared" si="601"/>
        <v>-5.9799999999999853E-2</v>
      </c>
      <c r="I777" s="9">
        <f>IF(data!M778&gt; 111.81,1,0)</f>
        <v>1</v>
      </c>
      <c r="J777" s="9">
        <f t="shared" si="602"/>
        <v>0</v>
      </c>
      <c r="K777" s="9">
        <f t="shared" si="603"/>
        <v>0.47390000000000043</v>
      </c>
      <c r="L777" s="9">
        <f t="shared" si="604"/>
        <v>0</v>
      </c>
      <c r="M777" s="9">
        <f>data!J777</f>
        <v>-30.125</v>
      </c>
      <c r="N777" s="9">
        <f>data!I777</f>
        <v>-43.125</v>
      </c>
      <c r="O777" s="9">
        <f>data!L777</f>
        <v>-52.125</v>
      </c>
      <c r="P777" s="9">
        <f>data!K777</f>
        <v>-54.375</v>
      </c>
      <c r="Q777" s="9">
        <f>data!R777</f>
        <v>-52.25</v>
      </c>
      <c r="R777" s="9">
        <f t="shared" si="605"/>
        <v>0.8125</v>
      </c>
      <c r="S777" s="9">
        <f t="shared" si="606"/>
        <v>-0.25</v>
      </c>
      <c r="T777" s="9">
        <f t="shared" si="607"/>
        <v>1.125</v>
      </c>
      <c r="U777" s="9">
        <f t="shared" si="608"/>
        <v>1.875</v>
      </c>
      <c r="V777" s="9">
        <f t="shared" si="609"/>
        <v>6.625</v>
      </c>
      <c r="W777" s="9">
        <f t="shared" si="610"/>
        <v>5.75</v>
      </c>
      <c r="X777" s="9">
        <f t="shared" si="611"/>
        <v>4.5</v>
      </c>
      <c r="Y777" s="9">
        <f t="shared" si="612"/>
        <v>4.125</v>
      </c>
      <c r="Z777" s="9">
        <f t="shared" si="613"/>
        <v>6.375</v>
      </c>
      <c r="AA777" s="9">
        <f t="shared" si="614"/>
        <v>1.25</v>
      </c>
      <c r="AB777" s="9">
        <f t="shared" si="615"/>
        <v>1.75</v>
      </c>
      <c r="AC777" s="9">
        <f t="shared" si="616"/>
        <v>1.5</v>
      </c>
      <c r="AD777" s="9">
        <f t="shared" si="617"/>
        <v>1.25</v>
      </c>
      <c r="AE777" s="9">
        <f t="shared" si="618"/>
        <v>5</v>
      </c>
      <c r="AF777" s="9">
        <f t="shared" si="619"/>
        <v>4.625</v>
      </c>
      <c r="AG777" s="9">
        <f t="shared" si="620"/>
        <v>3.75</v>
      </c>
      <c r="AH777" s="9">
        <f t="shared" si="621"/>
        <v>2.625</v>
      </c>
      <c r="AI777" s="9">
        <f t="shared" si="622"/>
        <v>3.5</v>
      </c>
      <c r="AJ777" s="9">
        <f t="shared" si="623"/>
        <v>2.125</v>
      </c>
      <c r="AK777" s="9">
        <f t="shared" si="624"/>
        <v>3.125</v>
      </c>
      <c r="AL777" s="9">
        <f t="shared" si="625"/>
        <v>4.1875</v>
      </c>
      <c r="AM777" s="9">
        <f t="shared" si="626"/>
        <v>3.75</v>
      </c>
      <c r="AN777" s="9">
        <f t="shared" si="627"/>
        <v>7.625</v>
      </c>
      <c r="AO777" s="9">
        <f t="shared" si="628"/>
        <v>7.1875</v>
      </c>
      <c r="AP777" s="9">
        <f t="shared" si="629"/>
        <v>6.625</v>
      </c>
      <c r="AQ777" s="9">
        <f t="shared" si="630"/>
        <v>3.125</v>
      </c>
      <c r="AR777" s="9">
        <f t="shared" si="631"/>
        <v>2.375</v>
      </c>
      <c r="AS777" s="9">
        <f t="shared" si="632"/>
        <v>3.25</v>
      </c>
      <c r="AT777" s="9">
        <f t="shared" si="633"/>
        <v>4.375</v>
      </c>
      <c r="AU777" s="9">
        <f t="shared" si="634"/>
        <v>5.5625</v>
      </c>
      <c r="AV777" s="9">
        <f t="shared" si="635"/>
        <v>5.25</v>
      </c>
      <c r="AW777" s="9">
        <f t="shared" si="636"/>
        <v>9.625</v>
      </c>
      <c r="AX777" s="9">
        <f t="shared" si="637"/>
        <v>9.9375</v>
      </c>
      <c r="AY777" s="9">
        <f t="shared" si="638"/>
        <v>9.25</v>
      </c>
      <c r="AZ777" s="9">
        <f t="shared" si="639"/>
        <v>4.25</v>
      </c>
      <c r="BA777" s="9">
        <f t="shared" si="640"/>
        <v>2.75</v>
      </c>
      <c r="BB777" s="9">
        <f t="shared" si="641"/>
        <v>3.25</v>
      </c>
      <c r="BC777" s="9">
        <f t="shared" si="642"/>
        <v>5</v>
      </c>
      <c r="BD777" s="9">
        <f t="shared" si="643"/>
        <v>5.625</v>
      </c>
      <c r="BE777" s="9">
        <f t="shared" si="644"/>
        <v>5.5</v>
      </c>
      <c r="BF777" s="9">
        <f t="shared" si="645"/>
        <v>10</v>
      </c>
      <c r="BG777" s="9">
        <f t="shared" si="646"/>
        <v>10.4375</v>
      </c>
      <c r="BH777" s="9">
        <f t="shared" si="647"/>
        <v>9.75</v>
      </c>
      <c r="BI777" s="9">
        <f t="shared" si="648"/>
        <v>4.5</v>
      </c>
      <c r="BJ777" s="9">
        <f t="shared" si="649"/>
        <v>2.625</v>
      </c>
    </row>
    <row r="778" spans="1:62" x14ac:dyDescent="0.2">
      <c r="A778" s="9">
        <f>data!M779-data!M778</f>
        <v>0.20699999999999363</v>
      </c>
      <c r="B778" s="9">
        <f>data!C779-data!C778</f>
        <v>0.27999999999999936</v>
      </c>
      <c r="C778" s="9">
        <f>data!D779-data!D778</f>
        <v>-0.52000000000000046</v>
      </c>
      <c r="D778" s="10">
        <f>data!B779-data!B778</f>
        <v>4.9999999999999933E-2</v>
      </c>
      <c r="E778" s="9">
        <f>data!E778-data!G778</f>
        <v>1.8546</v>
      </c>
      <c r="F778" s="9">
        <f>(data!E778-data!F778)-(data!G778-data!H778)</f>
        <v>3.7900000000000031E-2</v>
      </c>
      <c r="G778" s="9">
        <f t="shared" si="600"/>
        <v>3.2000000000000917E-3</v>
      </c>
      <c r="H778" s="9">
        <f t="shared" si="601"/>
        <v>3.0999999999999917E-2</v>
      </c>
      <c r="I778" s="9">
        <f>IF(data!M779&gt; 111.81,1,0)</f>
        <v>1</v>
      </c>
      <c r="J778" s="9">
        <f t="shared" si="602"/>
        <v>0</v>
      </c>
      <c r="K778" s="9">
        <f t="shared" si="603"/>
        <v>0.20699999999999363</v>
      </c>
      <c r="L778" s="9">
        <f t="shared" si="604"/>
        <v>0</v>
      </c>
      <c r="M778" s="9">
        <f>data!J778</f>
        <v>-29.3125</v>
      </c>
      <c r="N778" s="9">
        <f>data!I778</f>
        <v>-41.875</v>
      </c>
      <c r="O778" s="9">
        <f>data!L778</f>
        <v>-50</v>
      </c>
      <c r="P778" s="9">
        <f>data!K778</f>
        <v>-51.125</v>
      </c>
      <c r="Q778" s="9">
        <f>data!R778</f>
        <v>-49</v>
      </c>
      <c r="R778" s="9">
        <f t="shared" si="605"/>
        <v>-1.0625</v>
      </c>
      <c r="S778" s="9">
        <f t="shared" si="606"/>
        <v>0.3125</v>
      </c>
      <c r="T778" s="9">
        <f t="shared" si="607"/>
        <v>1.0625</v>
      </c>
      <c r="U778" s="9">
        <f t="shared" si="608"/>
        <v>5.8125</v>
      </c>
      <c r="V778" s="9">
        <f t="shared" si="609"/>
        <v>4.9375</v>
      </c>
      <c r="W778" s="9">
        <f t="shared" si="610"/>
        <v>3.6875</v>
      </c>
      <c r="X778" s="9">
        <f t="shared" si="611"/>
        <v>3.3125</v>
      </c>
      <c r="Y778" s="9">
        <f t="shared" si="612"/>
        <v>5.5625</v>
      </c>
      <c r="Z778" s="9">
        <f t="shared" si="613"/>
        <v>4.1875</v>
      </c>
      <c r="AA778" s="9">
        <f t="shared" si="614"/>
        <v>0.5</v>
      </c>
      <c r="AB778" s="9">
        <f t="shared" si="615"/>
        <v>0.25</v>
      </c>
      <c r="AC778" s="9">
        <f t="shared" si="616"/>
        <v>0</v>
      </c>
      <c r="AD778" s="9">
        <f t="shared" si="617"/>
        <v>3.75</v>
      </c>
      <c r="AE778" s="9">
        <f t="shared" si="618"/>
        <v>3.375</v>
      </c>
      <c r="AF778" s="9">
        <f t="shared" si="619"/>
        <v>2.5</v>
      </c>
      <c r="AG778" s="9">
        <f t="shared" si="620"/>
        <v>1.375</v>
      </c>
      <c r="AH778" s="9">
        <f t="shared" si="621"/>
        <v>2.25</v>
      </c>
      <c r="AI778" s="9">
        <f t="shared" si="622"/>
        <v>1.5</v>
      </c>
      <c r="AJ778" s="9">
        <f t="shared" si="623"/>
        <v>1</v>
      </c>
      <c r="AK778" s="9">
        <f t="shared" si="624"/>
        <v>2.0625</v>
      </c>
      <c r="AL778" s="9">
        <f t="shared" si="625"/>
        <v>1.625</v>
      </c>
      <c r="AM778" s="9">
        <f t="shared" si="626"/>
        <v>5.5</v>
      </c>
      <c r="AN778" s="9">
        <f t="shared" si="627"/>
        <v>5.0625</v>
      </c>
      <c r="AO778" s="9">
        <f t="shared" si="628"/>
        <v>4.5</v>
      </c>
      <c r="AP778" s="9">
        <f t="shared" si="629"/>
        <v>1</v>
      </c>
      <c r="AQ778" s="9">
        <f t="shared" si="630"/>
        <v>0.25</v>
      </c>
      <c r="AR778" s="9">
        <f t="shared" si="631"/>
        <v>-0.125</v>
      </c>
      <c r="AS778" s="9">
        <f t="shared" si="632"/>
        <v>1.125</v>
      </c>
      <c r="AT778" s="9">
        <f t="shared" si="633"/>
        <v>2.3125</v>
      </c>
      <c r="AU778" s="9">
        <f t="shared" si="634"/>
        <v>2</v>
      </c>
      <c r="AV778" s="9">
        <f t="shared" si="635"/>
        <v>6.375</v>
      </c>
      <c r="AW778" s="9">
        <f t="shared" si="636"/>
        <v>6.6875</v>
      </c>
      <c r="AX778" s="9">
        <f t="shared" si="637"/>
        <v>6</v>
      </c>
      <c r="AY778" s="9">
        <f t="shared" si="638"/>
        <v>1</v>
      </c>
      <c r="AZ778" s="9">
        <f t="shared" si="639"/>
        <v>-0.5</v>
      </c>
      <c r="BA778" s="9">
        <f t="shared" si="640"/>
        <v>-2.5</v>
      </c>
      <c r="BB778" s="9">
        <f t="shared" si="641"/>
        <v>1.75</v>
      </c>
      <c r="BC778" s="9">
        <f t="shared" si="642"/>
        <v>2.375</v>
      </c>
      <c r="BD778" s="9">
        <f t="shared" si="643"/>
        <v>2.25</v>
      </c>
      <c r="BE778" s="9">
        <f t="shared" si="644"/>
        <v>6.75</v>
      </c>
      <c r="BF778" s="9">
        <f t="shared" si="645"/>
        <v>7.1875</v>
      </c>
      <c r="BG778" s="9">
        <f t="shared" si="646"/>
        <v>6.5</v>
      </c>
      <c r="BH778" s="9">
        <f t="shared" si="647"/>
        <v>1.25</v>
      </c>
      <c r="BI778" s="9">
        <f t="shared" si="648"/>
        <v>-0.625</v>
      </c>
      <c r="BJ778" s="9">
        <f t="shared" si="649"/>
        <v>-3.5</v>
      </c>
    </row>
    <row r="779" spans="1:62" x14ac:dyDescent="0.2">
      <c r="A779" s="9">
        <f>data!M780-data!M779</f>
        <v>-0.5823999999999927</v>
      </c>
      <c r="B779" s="9">
        <f>data!C780-data!C779</f>
        <v>1</v>
      </c>
      <c r="C779" s="9">
        <f>data!D780-data!D779</f>
        <v>0.42750000000000021</v>
      </c>
      <c r="D779" s="10">
        <f>data!B780-data!B779</f>
        <v>-4.9999999999999933E-2</v>
      </c>
      <c r="E779" s="9">
        <f>data!E779-data!G779</f>
        <v>1.8578000000000001</v>
      </c>
      <c r="F779" s="9">
        <f>(data!E779-data!F779)-(data!G779-data!H779)</f>
        <v>6.8899999999999947E-2</v>
      </c>
      <c r="G779" s="9">
        <f t="shared" si="600"/>
        <v>-7.5000000000000622E-3</v>
      </c>
      <c r="H779" s="9">
        <f t="shared" si="601"/>
        <v>2.4500000000000119E-2</v>
      </c>
      <c r="I779" s="9">
        <f>IF(data!M780&gt; 111.81,1,0)</f>
        <v>1</v>
      </c>
      <c r="J779" s="9">
        <f t="shared" si="602"/>
        <v>0</v>
      </c>
      <c r="K779" s="9">
        <f t="shared" si="603"/>
        <v>-0.5823999999999927</v>
      </c>
      <c r="L779" s="9">
        <f t="shared" si="604"/>
        <v>0</v>
      </c>
      <c r="M779" s="9">
        <f>data!J779</f>
        <v>-30.375</v>
      </c>
      <c r="N779" s="9">
        <f>data!I779</f>
        <v>-41.375</v>
      </c>
      <c r="O779" s="9">
        <f>data!L779</f>
        <v>-49</v>
      </c>
      <c r="P779" s="9">
        <f>data!K779</f>
        <v>-50</v>
      </c>
      <c r="Q779" s="9">
        <f>data!R779</f>
        <v>-47.25</v>
      </c>
      <c r="R779" s="9">
        <f t="shared" si="605"/>
        <v>1.375</v>
      </c>
      <c r="S779" s="9">
        <f t="shared" si="606"/>
        <v>2.125</v>
      </c>
      <c r="T779" s="9">
        <f t="shared" si="607"/>
        <v>6.875</v>
      </c>
      <c r="U779" s="9">
        <f t="shared" si="608"/>
        <v>6</v>
      </c>
      <c r="V779" s="9">
        <f t="shared" si="609"/>
        <v>4.75</v>
      </c>
      <c r="W779" s="9">
        <f t="shared" si="610"/>
        <v>4.375</v>
      </c>
      <c r="X779" s="9">
        <f t="shared" si="611"/>
        <v>6.625</v>
      </c>
      <c r="Y779" s="9">
        <f t="shared" si="612"/>
        <v>5.25</v>
      </c>
      <c r="Z779" s="9">
        <f t="shared" si="613"/>
        <v>5.125</v>
      </c>
      <c r="AA779" s="9">
        <f t="shared" si="614"/>
        <v>-0.25</v>
      </c>
      <c r="AB779" s="9">
        <f t="shared" si="615"/>
        <v>-0.5</v>
      </c>
      <c r="AC779" s="9">
        <f t="shared" si="616"/>
        <v>3.25</v>
      </c>
      <c r="AD779" s="9">
        <f t="shared" si="617"/>
        <v>2.875</v>
      </c>
      <c r="AE779" s="9">
        <f t="shared" si="618"/>
        <v>2</v>
      </c>
      <c r="AF779" s="9">
        <f t="shared" si="619"/>
        <v>0.875</v>
      </c>
      <c r="AG779" s="9">
        <f t="shared" si="620"/>
        <v>1.75</v>
      </c>
      <c r="AH779" s="9">
        <f t="shared" si="621"/>
        <v>1</v>
      </c>
      <c r="AI779" s="9">
        <f t="shared" si="622"/>
        <v>1.625</v>
      </c>
      <c r="AJ779" s="9">
        <f t="shared" si="623"/>
        <v>1.0625</v>
      </c>
      <c r="AK779" s="9">
        <f t="shared" si="624"/>
        <v>0.625</v>
      </c>
      <c r="AL779" s="9">
        <f t="shared" si="625"/>
        <v>4.5</v>
      </c>
      <c r="AM779" s="9">
        <f t="shared" si="626"/>
        <v>4.0625</v>
      </c>
      <c r="AN779" s="9">
        <f t="shared" si="627"/>
        <v>3.5</v>
      </c>
      <c r="AO779" s="9">
        <f t="shared" si="628"/>
        <v>0</v>
      </c>
      <c r="AP779" s="9">
        <f t="shared" si="629"/>
        <v>-0.75</v>
      </c>
      <c r="AQ779" s="9">
        <f t="shared" si="630"/>
        <v>-1.125</v>
      </c>
      <c r="AR779" s="9">
        <f t="shared" si="631"/>
        <v>0.625</v>
      </c>
      <c r="AS779" s="9">
        <f t="shared" si="632"/>
        <v>1.1875</v>
      </c>
      <c r="AT779" s="9">
        <f t="shared" si="633"/>
        <v>0.875</v>
      </c>
      <c r="AU779" s="9">
        <f t="shared" si="634"/>
        <v>5.25</v>
      </c>
      <c r="AV779" s="9">
        <f t="shared" si="635"/>
        <v>5.5625</v>
      </c>
      <c r="AW779" s="9">
        <f t="shared" si="636"/>
        <v>4.875</v>
      </c>
      <c r="AX779" s="9">
        <f t="shared" si="637"/>
        <v>-0.125</v>
      </c>
      <c r="AY779" s="9">
        <f t="shared" si="638"/>
        <v>-1.625</v>
      </c>
      <c r="AZ779" s="9">
        <f t="shared" si="639"/>
        <v>-3.625</v>
      </c>
      <c r="BA779" s="9">
        <f t="shared" si="640"/>
        <v>-1.875</v>
      </c>
      <c r="BB779" s="9">
        <f t="shared" si="641"/>
        <v>0.625</v>
      </c>
      <c r="BC779" s="9">
        <f t="shared" si="642"/>
        <v>0.5</v>
      </c>
      <c r="BD779" s="9">
        <f t="shared" si="643"/>
        <v>5</v>
      </c>
      <c r="BE779" s="9">
        <f t="shared" si="644"/>
        <v>5.4375</v>
      </c>
      <c r="BF779" s="9">
        <f t="shared" si="645"/>
        <v>4.75</v>
      </c>
      <c r="BG779" s="9">
        <f t="shared" si="646"/>
        <v>-0.5</v>
      </c>
      <c r="BH779" s="9">
        <f t="shared" si="647"/>
        <v>-2.375</v>
      </c>
      <c r="BI779" s="9">
        <f t="shared" si="648"/>
        <v>-5.25</v>
      </c>
      <c r="BJ779" s="9">
        <f t="shared" si="649"/>
        <v>-3.25</v>
      </c>
    </row>
    <row r="780" spans="1:62" x14ac:dyDescent="0.2">
      <c r="A780" s="9">
        <f>data!M781-data!M780</f>
        <v>-0.84180000000000632</v>
      </c>
      <c r="B780" s="9">
        <f>data!C781-data!C780</f>
        <v>-0.98999999999999844</v>
      </c>
      <c r="C780" s="9">
        <f>data!D781-data!D780</f>
        <v>-0.18250000000000011</v>
      </c>
      <c r="D780" s="10">
        <f>data!B781-data!B780</f>
        <v>-2.750000000000008E-2</v>
      </c>
      <c r="E780" s="9">
        <f>data!E780-data!G780</f>
        <v>1.8503000000000001</v>
      </c>
      <c r="F780" s="9">
        <f>(data!E780-data!F780)-(data!G780-data!H780)</f>
        <v>9.3400000000000066E-2</v>
      </c>
      <c r="G780" s="9">
        <f t="shared" si="600"/>
        <v>-1.7000000000000348E-3</v>
      </c>
      <c r="H780" s="9">
        <f t="shared" si="601"/>
        <v>1.7500000000000016E-2</v>
      </c>
      <c r="I780" s="9">
        <f>IF(data!M781&gt; 111.81,1,0)</f>
        <v>1</v>
      </c>
      <c r="J780" s="9">
        <f t="shared" si="602"/>
        <v>0</v>
      </c>
      <c r="K780" s="9">
        <f t="shared" si="603"/>
        <v>-0.84180000000000632</v>
      </c>
      <c r="L780" s="9">
        <f t="shared" si="604"/>
        <v>0</v>
      </c>
      <c r="M780" s="9">
        <f>data!J780</f>
        <v>-29</v>
      </c>
      <c r="N780" s="9">
        <f>data!I780</f>
        <v>-41.625</v>
      </c>
      <c r="O780" s="9">
        <f>data!L780</f>
        <v>-47.9375</v>
      </c>
      <c r="P780" s="9">
        <f>data!K780</f>
        <v>-48.8125</v>
      </c>
      <c r="Q780" s="9">
        <f>data!R780</f>
        <v>-46.625</v>
      </c>
      <c r="R780" s="9">
        <f t="shared" si="605"/>
        <v>0.75</v>
      </c>
      <c r="S780" s="9">
        <f t="shared" si="606"/>
        <v>5.5</v>
      </c>
      <c r="T780" s="9">
        <f t="shared" si="607"/>
        <v>4.625</v>
      </c>
      <c r="U780" s="9">
        <f t="shared" si="608"/>
        <v>3.375</v>
      </c>
      <c r="V780" s="9">
        <f t="shared" si="609"/>
        <v>3</v>
      </c>
      <c r="W780" s="9">
        <f t="shared" si="610"/>
        <v>5.25</v>
      </c>
      <c r="X780" s="9">
        <f t="shared" si="611"/>
        <v>3.875</v>
      </c>
      <c r="Y780" s="9">
        <f t="shared" si="612"/>
        <v>3.75</v>
      </c>
      <c r="Z780" s="9">
        <f t="shared" si="613"/>
        <v>4</v>
      </c>
      <c r="AA780" s="9">
        <f t="shared" si="614"/>
        <v>-0.25</v>
      </c>
      <c r="AB780" s="9">
        <f t="shared" si="615"/>
        <v>3.5</v>
      </c>
      <c r="AC780" s="9">
        <f t="shared" si="616"/>
        <v>3.125</v>
      </c>
      <c r="AD780" s="9">
        <f t="shared" si="617"/>
        <v>2.25</v>
      </c>
      <c r="AE780" s="9">
        <f t="shared" si="618"/>
        <v>1.125</v>
      </c>
      <c r="AF780" s="9">
        <f t="shared" si="619"/>
        <v>2</v>
      </c>
      <c r="AG780" s="9">
        <f t="shared" si="620"/>
        <v>1.25</v>
      </c>
      <c r="AH780" s="9">
        <f t="shared" si="621"/>
        <v>1.875</v>
      </c>
      <c r="AI780" s="9">
        <f t="shared" si="622"/>
        <v>2.25</v>
      </c>
      <c r="AJ780" s="9">
        <f t="shared" si="623"/>
        <v>-0.4375</v>
      </c>
      <c r="AK780" s="9">
        <f t="shared" si="624"/>
        <v>3.4375</v>
      </c>
      <c r="AL780" s="9">
        <f t="shared" si="625"/>
        <v>3</v>
      </c>
      <c r="AM780" s="9">
        <f t="shared" si="626"/>
        <v>2.4375</v>
      </c>
      <c r="AN780" s="9">
        <f t="shared" si="627"/>
        <v>-1.0625</v>
      </c>
      <c r="AO780" s="9">
        <f t="shared" si="628"/>
        <v>-1.8125</v>
      </c>
      <c r="AP780" s="9">
        <f t="shared" si="629"/>
        <v>-2.1875</v>
      </c>
      <c r="AQ780" s="9">
        <f t="shared" si="630"/>
        <v>-0.4375</v>
      </c>
      <c r="AR780" s="9">
        <f t="shared" si="631"/>
        <v>-0.1875</v>
      </c>
      <c r="AS780" s="9">
        <f t="shared" si="632"/>
        <v>-0.3125</v>
      </c>
      <c r="AT780" s="9">
        <f t="shared" si="633"/>
        <v>4.0625</v>
      </c>
      <c r="AU780" s="9">
        <f t="shared" si="634"/>
        <v>4.375</v>
      </c>
      <c r="AV780" s="9">
        <f t="shared" si="635"/>
        <v>3.6875</v>
      </c>
      <c r="AW780" s="9">
        <f t="shared" si="636"/>
        <v>-1.3125</v>
      </c>
      <c r="AX780" s="9">
        <f t="shared" si="637"/>
        <v>-2.8125</v>
      </c>
      <c r="AY780" s="9">
        <f t="shared" si="638"/>
        <v>-4.8125</v>
      </c>
      <c r="AZ780" s="9">
        <f t="shared" si="639"/>
        <v>-3.0625</v>
      </c>
      <c r="BA780" s="9">
        <f t="shared" si="640"/>
        <v>-2.1875</v>
      </c>
      <c r="BB780" s="9">
        <f t="shared" si="641"/>
        <v>-0.125</v>
      </c>
      <c r="BC780" s="9">
        <f t="shared" si="642"/>
        <v>4.375</v>
      </c>
      <c r="BD780" s="9">
        <f t="shared" si="643"/>
        <v>4.8125</v>
      </c>
      <c r="BE780" s="9">
        <f t="shared" si="644"/>
        <v>4.125</v>
      </c>
      <c r="BF780" s="9">
        <f t="shared" si="645"/>
        <v>-1.125</v>
      </c>
      <c r="BG780" s="9">
        <f t="shared" si="646"/>
        <v>-3</v>
      </c>
      <c r="BH780" s="9">
        <f t="shared" si="647"/>
        <v>-5.875</v>
      </c>
      <c r="BI780" s="9">
        <f t="shared" si="648"/>
        <v>-3.875</v>
      </c>
      <c r="BJ780" s="9">
        <f t="shared" si="649"/>
        <v>-3.125</v>
      </c>
    </row>
    <row r="781" spans="1:62" x14ac:dyDescent="0.2">
      <c r="A781" s="9">
        <f>data!M782-data!M781</f>
        <v>6.2800000000009959E-2</v>
      </c>
      <c r="B781" s="9">
        <f>data!C782-data!C781</f>
        <v>-0.12000000000000099</v>
      </c>
      <c r="C781" s="9">
        <f>data!D782-data!D781</f>
        <v>-0.3824999999999994</v>
      </c>
      <c r="D781" s="10">
        <f>data!B782-data!B781</f>
        <v>2.750000000000008E-2</v>
      </c>
      <c r="E781" s="9">
        <f>data!E781-data!G781</f>
        <v>1.8486</v>
      </c>
      <c r="F781" s="9">
        <f>(data!E781-data!F781)-(data!G781-data!H781)</f>
        <v>0.11090000000000008</v>
      </c>
      <c r="G781" s="9">
        <f t="shared" si="600"/>
        <v>6.150000000000011E-2</v>
      </c>
      <c r="H781" s="9">
        <f t="shared" si="601"/>
        <v>6.6799999999999998E-2</v>
      </c>
      <c r="I781" s="9">
        <f>IF(data!M782&gt; 111.81,1,0)</f>
        <v>1</v>
      </c>
      <c r="J781" s="9">
        <f t="shared" si="602"/>
        <v>0</v>
      </c>
      <c r="K781" s="9">
        <f t="shared" si="603"/>
        <v>6.2800000000009959E-2</v>
      </c>
      <c r="L781" s="9">
        <f t="shared" si="604"/>
        <v>0</v>
      </c>
      <c r="M781" s="9">
        <f>data!J781</f>
        <v>-28.25</v>
      </c>
      <c r="N781" s="9">
        <f>data!I781</f>
        <v>-41.875</v>
      </c>
      <c r="O781" s="9">
        <f>data!L781</f>
        <v>-48.375</v>
      </c>
      <c r="P781" s="9">
        <f>data!K781</f>
        <v>-49.125</v>
      </c>
      <c r="Q781" s="9">
        <f>data!R781</f>
        <v>-46.75</v>
      </c>
      <c r="R781" s="9">
        <f t="shared" si="605"/>
        <v>4.75</v>
      </c>
      <c r="S781" s="9">
        <f t="shared" si="606"/>
        <v>3.875</v>
      </c>
      <c r="T781" s="9">
        <f t="shared" si="607"/>
        <v>2.625</v>
      </c>
      <c r="U781" s="9">
        <f t="shared" si="608"/>
        <v>2.25</v>
      </c>
      <c r="V781" s="9">
        <f t="shared" si="609"/>
        <v>4.5</v>
      </c>
      <c r="W781" s="9">
        <f t="shared" si="610"/>
        <v>3.125</v>
      </c>
      <c r="X781" s="9">
        <f t="shared" si="611"/>
        <v>3</v>
      </c>
      <c r="Y781" s="9">
        <f t="shared" si="612"/>
        <v>3.25</v>
      </c>
      <c r="Z781" s="9">
        <f t="shared" si="613"/>
        <v>2</v>
      </c>
      <c r="AA781" s="9">
        <f t="shared" si="614"/>
        <v>3.75</v>
      </c>
      <c r="AB781" s="9">
        <f t="shared" si="615"/>
        <v>3.375</v>
      </c>
      <c r="AC781" s="9">
        <f t="shared" si="616"/>
        <v>2.5</v>
      </c>
      <c r="AD781" s="9">
        <f t="shared" si="617"/>
        <v>1.375</v>
      </c>
      <c r="AE781" s="9">
        <f t="shared" si="618"/>
        <v>2.25</v>
      </c>
      <c r="AF781" s="9">
        <f t="shared" si="619"/>
        <v>1.5</v>
      </c>
      <c r="AG781" s="9">
        <f t="shared" si="620"/>
        <v>2.125</v>
      </c>
      <c r="AH781" s="9">
        <f t="shared" si="621"/>
        <v>2.5</v>
      </c>
      <c r="AI781" s="9">
        <f t="shared" si="622"/>
        <v>2.375</v>
      </c>
      <c r="AJ781" s="9">
        <f t="shared" si="623"/>
        <v>3.875</v>
      </c>
      <c r="AK781" s="9">
        <f t="shared" si="624"/>
        <v>3.4375</v>
      </c>
      <c r="AL781" s="9">
        <f t="shared" si="625"/>
        <v>2.875</v>
      </c>
      <c r="AM781" s="9">
        <f t="shared" si="626"/>
        <v>-0.625</v>
      </c>
      <c r="AN781" s="9">
        <f t="shared" si="627"/>
        <v>-1.375</v>
      </c>
      <c r="AO781" s="9">
        <f t="shared" si="628"/>
        <v>-1.75</v>
      </c>
      <c r="AP781" s="9">
        <f t="shared" si="629"/>
        <v>0</v>
      </c>
      <c r="AQ781" s="9">
        <f t="shared" si="630"/>
        <v>0.25</v>
      </c>
      <c r="AR781" s="9">
        <f t="shared" si="631"/>
        <v>0.375</v>
      </c>
      <c r="AS781" s="9">
        <f t="shared" si="632"/>
        <v>4.375</v>
      </c>
      <c r="AT781" s="9">
        <f t="shared" si="633"/>
        <v>4.6875</v>
      </c>
      <c r="AU781" s="9">
        <f t="shared" si="634"/>
        <v>4</v>
      </c>
      <c r="AV781" s="9">
        <f t="shared" si="635"/>
        <v>-1</v>
      </c>
      <c r="AW781" s="9">
        <f t="shared" si="636"/>
        <v>-2.5</v>
      </c>
      <c r="AX781" s="9">
        <f t="shared" si="637"/>
        <v>-4.5</v>
      </c>
      <c r="AY781" s="9">
        <f t="shared" si="638"/>
        <v>-2.75</v>
      </c>
      <c r="AZ781" s="9">
        <f t="shared" si="639"/>
        <v>-1.875</v>
      </c>
      <c r="BA781" s="9">
        <f t="shared" si="640"/>
        <v>-1</v>
      </c>
      <c r="BB781" s="9">
        <f t="shared" si="641"/>
        <v>4.5</v>
      </c>
      <c r="BC781" s="9">
        <f t="shared" si="642"/>
        <v>4.9375</v>
      </c>
      <c r="BD781" s="9">
        <f t="shared" si="643"/>
        <v>4.25</v>
      </c>
      <c r="BE781" s="9">
        <f t="shared" si="644"/>
        <v>-1</v>
      </c>
      <c r="BF781" s="9">
        <f t="shared" si="645"/>
        <v>-2.875</v>
      </c>
      <c r="BG781" s="9">
        <f t="shared" si="646"/>
        <v>-5.75</v>
      </c>
      <c r="BH781" s="9">
        <f t="shared" si="647"/>
        <v>-3.75</v>
      </c>
      <c r="BI781" s="9">
        <f t="shared" si="648"/>
        <v>-3</v>
      </c>
      <c r="BJ781" s="9">
        <f t="shared" si="649"/>
        <v>-2.4375</v>
      </c>
    </row>
    <row r="782" spans="1:62" x14ac:dyDescent="0.2">
      <c r="A782" s="9">
        <f>data!M783-data!M782</f>
        <v>-0.5397000000000105</v>
      </c>
      <c r="B782" s="9">
        <f>data!C783-data!C782</f>
        <v>0.91999999999999993</v>
      </c>
      <c r="C782" s="9">
        <f>data!D783-data!D782</f>
        <v>0.12249999999999961</v>
      </c>
      <c r="D782" s="10">
        <f>data!B783-data!B782</f>
        <v>0</v>
      </c>
      <c r="E782" s="9">
        <f>data!E782-data!G782</f>
        <v>1.9101000000000001</v>
      </c>
      <c r="F782" s="9">
        <f>(data!E782-data!F782)-(data!G782-data!H782)</f>
        <v>0.17770000000000008</v>
      </c>
      <c r="G782" s="9">
        <f t="shared" si="600"/>
        <v>-2.5900000000000256E-2</v>
      </c>
      <c r="H782" s="9">
        <f t="shared" si="601"/>
        <v>-2.7000000000000357E-3</v>
      </c>
      <c r="I782" s="9">
        <f>IF(data!M783&gt; 111.81,1,0)</f>
        <v>1</v>
      </c>
      <c r="J782" s="9">
        <f t="shared" si="602"/>
        <v>0</v>
      </c>
      <c r="K782" s="9">
        <f t="shared" si="603"/>
        <v>-0.5397000000000105</v>
      </c>
      <c r="L782" s="9">
        <f t="shared" si="604"/>
        <v>0</v>
      </c>
      <c r="M782" s="9">
        <f>data!J782</f>
        <v>-23.5</v>
      </c>
      <c r="N782" s="9">
        <f>data!I782</f>
        <v>-38.125</v>
      </c>
      <c r="O782" s="9">
        <f>data!L782</f>
        <v>-44.5</v>
      </c>
      <c r="P782" s="9">
        <f>data!K782</f>
        <v>-44.75</v>
      </c>
      <c r="Q782" s="9">
        <f>data!R782</f>
        <v>-42.25</v>
      </c>
      <c r="R782" s="9">
        <f t="shared" si="605"/>
        <v>-0.875</v>
      </c>
      <c r="S782" s="9">
        <f t="shared" si="606"/>
        <v>-2.125</v>
      </c>
      <c r="T782" s="9">
        <f t="shared" si="607"/>
        <v>-2.5</v>
      </c>
      <c r="U782" s="9">
        <f t="shared" si="608"/>
        <v>-0.25</v>
      </c>
      <c r="V782" s="9">
        <f t="shared" si="609"/>
        <v>-1.625</v>
      </c>
      <c r="W782" s="9">
        <f t="shared" si="610"/>
        <v>-1.75</v>
      </c>
      <c r="X782" s="9">
        <f t="shared" si="611"/>
        <v>-1.5</v>
      </c>
      <c r="Y782" s="9">
        <f t="shared" si="612"/>
        <v>-2.75</v>
      </c>
      <c r="Z782" s="9">
        <f t="shared" si="613"/>
        <v>-5.25</v>
      </c>
      <c r="AA782" s="9">
        <f t="shared" si="614"/>
        <v>-0.375</v>
      </c>
      <c r="AB782" s="9">
        <f t="shared" si="615"/>
        <v>-1.25</v>
      </c>
      <c r="AC782" s="9">
        <f t="shared" si="616"/>
        <v>-2.375</v>
      </c>
      <c r="AD782" s="9">
        <f t="shared" si="617"/>
        <v>-1.5</v>
      </c>
      <c r="AE782" s="9">
        <f t="shared" si="618"/>
        <v>-2.25</v>
      </c>
      <c r="AF782" s="9">
        <f t="shared" si="619"/>
        <v>-1.625</v>
      </c>
      <c r="AG782" s="9">
        <f t="shared" si="620"/>
        <v>-1.25</v>
      </c>
      <c r="AH782" s="9">
        <f t="shared" si="621"/>
        <v>-1.375</v>
      </c>
      <c r="AI782" s="9">
        <f t="shared" si="622"/>
        <v>-2.625</v>
      </c>
      <c r="AJ782" s="9">
        <f t="shared" si="623"/>
        <v>-0.4375</v>
      </c>
      <c r="AK782" s="9">
        <f t="shared" si="624"/>
        <v>-1</v>
      </c>
      <c r="AL782" s="9">
        <f t="shared" si="625"/>
        <v>-4.5</v>
      </c>
      <c r="AM782" s="9">
        <f t="shared" si="626"/>
        <v>-5.25</v>
      </c>
      <c r="AN782" s="9">
        <f t="shared" si="627"/>
        <v>-5.625</v>
      </c>
      <c r="AO782" s="9">
        <f t="shared" si="628"/>
        <v>-3.875</v>
      </c>
      <c r="AP782" s="9">
        <f t="shared" si="629"/>
        <v>-3.625</v>
      </c>
      <c r="AQ782" s="9">
        <f t="shared" si="630"/>
        <v>-3.5</v>
      </c>
      <c r="AR782" s="9">
        <f t="shared" si="631"/>
        <v>-4.875</v>
      </c>
      <c r="AS782" s="9">
        <f t="shared" si="632"/>
        <v>0.3125</v>
      </c>
      <c r="AT782" s="9">
        <f t="shared" si="633"/>
        <v>-0.375</v>
      </c>
      <c r="AU782" s="9">
        <f t="shared" si="634"/>
        <v>-5.375</v>
      </c>
      <c r="AV782" s="9">
        <f t="shared" si="635"/>
        <v>-6.875</v>
      </c>
      <c r="AW782" s="9">
        <f t="shared" si="636"/>
        <v>-8.875</v>
      </c>
      <c r="AX782" s="9">
        <f t="shared" si="637"/>
        <v>-7.125</v>
      </c>
      <c r="AY782" s="9">
        <f t="shared" si="638"/>
        <v>-6.25</v>
      </c>
      <c r="AZ782" s="9">
        <f t="shared" si="639"/>
        <v>-5.375</v>
      </c>
      <c r="BA782" s="9">
        <f t="shared" si="640"/>
        <v>-7.25</v>
      </c>
      <c r="BB782" s="9">
        <f t="shared" si="641"/>
        <v>0.4375</v>
      </c>
      <c r="BC782" s="9">
        <f t="shared" si="642"/>
        <v>-0.25</v>
      </c>
      <c r="BD782" s="9">
        <f t="shared" si="643"/>
        <v>-5.5</v>
      </c>
      <c r="BE782" s="9">
        <f t="shared" si="644"/>
        <v>-7.375</v>
      </c>
      <c r="BF782" s="9">
        <f t="shared" si="645"/>
        <v>-10.25</v>
      </c>
      <c r="BG782" s="9">
        <f t="shared" si="646"/>
        <v>-8.25</v>
      </c>
      <c r="BH782" s="9">
        <f t="shared" si="647"/>
        <v>-7.5</v>
      </c>
      <c r="BI782" s="9">
        <f t="shared" si="648"/>
        <v>-6.9375</v>
      </c>
      <c r="BJ782" s="9">
        <f t="shared" si="649"/>
        <v>-9.625</v>
      </c>
    </row>
    <row r="783" spans="1:62" x14ac:dyDescent="0.2">
      <c r="A783" s="9">
        <f>data!M784-data!M783</f>
        <v>-0.23449999999999704</v>
      </c>
      <c r="B783" s="9">
        <f>data!C784-data!C783</f>
        <v>0.58999999999999986</v>
      </c>
      <c r="C783" s="9">
        <f>data!D784-data!D783</f>
        <v>0.59499999999999975</v>
      </c>
      <c r="D783" s="10">
        <f>data!B784-data!B783</f>
        <v>-2.750000000000008E-2</v>
      </c>
      <c r="E783" s="9">
        <f>data!E783-data!G783</f>
        <v>1.8841999999999999</v>
      </c>
      <c r="F783" s="9">
        <f>(data!E783-data!F783)-(data!G783-data!H783)</f>
        <v>0.17500000000000004</v>
      </c>
      <c r="G783" s="9">
        <f t="shared" si="600"/>
        <v>-7.6099999999999834E-2</v>
      </c>
      <c r="H783" s="9">
        <f t="shared" si="601"/>
        <v>-2.5499999999999967E-2</v>
      </c>
      <c r="I783" s="9">
        <f>IF(data!M784&gt; 111.81,1,0)</f>
        <v>1</v>
      </c>
      <c r="J783" s="9">
        <f t="shared" si="602"/>
        <v>0</v>
      </c>
      <c r="K783" s="9">
        <f t="shared" si="603"/>
        <v>-0.23449999999999704</v>
      </c>
      <c r="L783" s="9">
        <f t="shared" si="604"/>
        <v>0</v>
      </c>
      <c r="M783" s="9">
        <f>data!J783</f>
        <v>-24.375</v>
      </c>
      <c r="N783" s="9">
        <f>data!I783</f>
        <v>-38.5</v>
      </c>
      <c r="O783" s="9">
        <f>data!L783</f>
        <v>-44.9375</v>
      </c>
      <c r="P783" s="9">
        <f>data!K783</f>
        <v>-44.4375</v>
      </c>
      <c r="Q783" s="9">
        <f>data!R783</f>
        <v>-41.8125</v>
      </c>
      <c r="R783" s="9">
        <f t="shared" si="605"/>
        <v>-1.25</v>
      </c>
      <c r="S783" s="9">
        <f t="shared" si="606"/>
        <v>-1.625</v>
      </c>
      <c r="T783" s="9">
        <f t="shared" si="607"/>
        <v>0.625</v>
      </c>
      <c r="U783" s="9">
        <f t="shared" si="608"/>
        <v>-0.75</v>
      </c>
      <c r="V783" s="9">
        <f t="shared" si="609"/>
        <v>-0.875</v>
      </c>
      <c r="W783" s="9">
        <f t="shared" si="610"/>
        <v>-0.625</v>
      </c>
      <c r="X783" s="9">
        <f t="shared" si="611"/>
        <v>-1.875</v>
      </c>
      <c r="Y783" s="9">
        <f t="shared" si="612"/>
        <v>-4.375</v>
      </c>
      <c r="Z783" s="9">
        <f t="shared" si="613"/>
        <v>-10.125</v>
      </c>
      <c r="AA783" s="9">
        <f t="shared" si="614"/>
        <v>-0.875</v>
      </c>
      <c r="AB783" s="9">
        <f t="shared" si="615"/>
        <v>-2</v>
      </c>
      <c r="AC783" s="9">
        <f t="shared" si="616"/>
        <v>-1.125</v>
      </c>
      <c r="AD783" s="9">
        <f t="shared" si="617"/>
        <v>-1.875</v>
      </c>
      <c r="AE783" s="9">
        <f t="shared" si="618"/>
        <v>-1.25</v>
      </c>
      <c r="AF783" s="9">
        <f t="shared" si="619"/>
        <v>-0.875</v>
      </c>
      <c r="AG783" s="9">
        <f t="shared" si="620"/>
        <v>-1</v>
      </c>
      <c r="AH783" s="9">
        <f t="shared" si="621"/>
        <v>-2.25</v>
      </c>
      <c r="AI783" s="9">
        <f t="shared" si="622"/>
        <v>-8</v>
      </c>
      <c r="AJ783" s="9">
        <f t="shared" si="623"/>
        <v>-0.5625</v>
      </c>
      <c r="AK783" s="9">
        <f t="shared" si="624"/>
        <v>-4.0625</v>
      </c>
      <c r="AL783" s="9">
        <f t="shared" si="625"/>
        <v>-4.8125</v>
      </c>
      <c r="AM783" s="9">
        <f t="shared" si="626"/>
        <v>-5.1875</v>
      </c>
      <c r="AN783" s="9">
        <f t="shared" si="627"/>
        <v>-3.4375</v>
      </c>
      <c r="AO783" s="9">
        <f t="shared" si="628"/>
        <v>-3.1875</v>
      </c>
      <c r="AP783" s="9">
        <f t="shared" si="629"/>
        <v>-3.0625</v>
      </c>
      <c r="AQ783" s="9">
        <f t="shared" si="630"/>
        <v>-4.4375</v>
      </c>
      <c r="AR783" s="9">
        <f t="shared" si="631"/>
        <v>-9.6875</v>
      </c>
      <c r="AS783" s="9">
        <f t="shared" si="632"/>
        <v>-0.6875</v>
      </c>
      <c r="AT783" s="9">
        <f t="shared" si="633"/>
        <v>-5.6875</v>
      </c>
      <c r="AU783" s="9">
        <f t="shared" si="634"/>
        <v>-7.1875</v>
      </c>
      <c r="AV783" s="9">
        <f t="shared" si="635"/>
        <v>-9.1875</v>
      </c>
      <c r="AW783" s="9">
        <f t="shared" si="636"/>
        <v>-7.4375</v>
      </c>
      <c r="AX783" s="9">
        <f t="shared" si="637"/>
        <v>-6.5625</v>
      </c>
      <c r="AY783" s="9">
        <f t="shared" si="638"/>
        <v>-5.6875</v>
      </c>
      <c r="AZ783" s="9">
        <f t="shared" si="639"/>
        <v>-7.5625</v>
      </c>
      <c r="BA783" s="9">
        <f t="shared" si="640"/>
        <v>-12.0625</v>
      </c>
      <c r="BB783" s="9">
        <f t="shared" si="641"/>
        <v>-0.6875</v>
      </c>
      <c r="BC783" s="9">
        <f t="shared" si="642"/>
        <v>-5.9375</v>
      </c>
      <c r="BD783" s="9">
        <f t="shared" si="643"/>
        <v>-7.8125</v>
      </c>
      <c r="BE783" s="9">
        <f t="shared" si="644"/>
        <v>-10.6875</v>
      </c>
      <c r="BF783" s="9">
        <f t="shared" si="645"/>
        <v>-8.6875</v>
      </c>
      <c r="BG783" s="9">
        <f t="shared" si="646"/>
        <v>-7.9375</v>
      </c>
      <c r="BH783" s="9">
        <f t="shared" si="647"/>
        <v>-7.375</v>
      </c>
      <c r="BI783" s="9">
        <f t="shared" si="648"/>
        <v>-10.0625</v>
      </c>
      <c r="BJ783" s="9">
        <f t="shared" si="649"/>
        <v>-13.6875</v>
      </c>
    </row>
    <row r="784" spans="1:62" x14ac:dyDescent="0.2">
      <c r="A784" s="9">
        <f>data!M785-data!M784</f>
        <v>8.089999999999975E-2</v>
      </c>
      <c r="B784" s="9">
        <f>data!C785-data!C784</f>
        <v>-1.4599999999999991</v>
      </c>
      <c r="C784" s="9">
        <f>data!D785-data!D784</f>
        <v>-0.58000000000000007</v>
      </c>
      <c r="D784" s="10">
        <f>data!B785-data!B784</f>
        <v>4.0000000000000036E-2</v>
      </c>
      <c r="E784" s="9">
        <f>data!E784-data!G784</f>
        <v>1.8081</v>
      </c>
      <c r="F784" s="9">
        <f>(data!E784-data!F784)-(data!G784-data!H784)</f>
        <v>0.14950000000000008</v>
      </c>
      <c r="G784" s="9">
        <f t="shared" si="600"/>
        <v>1.6499999999999959E-2</v>
      </c>
      <c r="H784" s="9">
        <f t="shared" si="601"/>
        <v>-3.6099999999999993E-2</v>
      </c>
      <c r="I784" s="9">
        <f>IF(data!M785&gt; 111.81,1,0)</f>
        <v>1</v>
      </c>
      <c r="J784" s="9">
        <f t="shared" si="602"/>
        <v>0</v>
      </c>
      <c r="K784" s="9">
        <f t="shared" si="603"/>
        <v>8.089999999999975E-2</v>
      </c>
      <c r="L784" s="9">
        <f t="shared" si="604"/>
        <v>0</v>
      </c>
      <c r="M784" s="9">
        <f>data!J784</f>
        <v>-25.625</v>
      </c>
      <c r="N784" s="9">
        <f>data!I784</f>
        <v>-39.375</v>
      </c>
      <c r="O784" s="9">
        <f>data!L784</f>
        <v>-45.5</v>
      </c>
      <c r="P784" s="9">
        <f>data!K784</f>
        <v>-45.125</v>
      </c>
      <c r="Q784" s="9">
        <f>data!R784</f>
        <v>-42.5</v>
      </c>
      <c r="R784" s="9">
        <f t="shared" si="605"/>
        <v>-0.375</v>
      </c>
      <c r="S784" s="9">
        <f t="shared" si="606"/>
        <v>1.875</v>
      </c>
      <c r="T784" s="9">
        <f t="shared" si="607"/>
        <v>0.5</v>
      </c>
      <c r="U784" s="9">
        <f t="shared" si="608"/>
        <v>0.375</v>
      </c>
      <c r="V784" s="9">
        <f t="shared" si="609"/>
        <v>0.625</v>
      </c>
      <c r="W784" s="9">
        <f t="shared" si="610"/>
        <v>-0.625</v>
      </c>
      <c r="X784" s="9">
        <f t="shared" si="611"/>
        <v>-3.125</v>
      </c>
      <c r="Y784" s="9">
        <f t="shared" si="612"/>
        <v>-8.875</v>
      </c>
      <c r="Z784" s="9">
        <f t="shared" si="613"/>
        <v>-17.125</v>
      </c>
      <c r="AA784" s="9">
        <f t="shared" si="614"/>
        <v>-1.125</v>
      </c>
      <c r="AB784" s="9">
        <f t="shared" si="615"/>
        <v>-0.25</v>
      </c>
      <c r="AC784" s="9">
        <f t="shared" si="616"/>
        <v>-1</v>
      </c>
      <c r="AD784" s="9">
        <f t="shared" si="617"/>
        <v>-0.375</v>
      </c>
      <c r="AE784" s="9">
        <f t="shared" si="618"/>
        <v>0</v>
      </c>
      <c r="AF784" s="9">
        <f t="shared" si="619"/>
        <v>-0.125</v>
      </c>
      <c r="AG784" s="9">
        <f t="shared" si="620"/>
        <v>-1.375</v>
      </c>
      <c r="AH784" s="9">
        <f t="shared" si="621"/>
        <v>-7.125</v>
      </c>
      <c r="AI784" s="9">
        <f t="shared" si="622"/>
        <v>-14.375</v>
      </c>
      <c r="AJ784" s="9">
        <f t="shared" si="623"/>
        <v>-3.5</v>
      </c>
      <c r="AK784" s="9">
        <f t="shared" si="624"/>
        <v>-4.25</v>
      </c>
      <c r="AL784" s="9">
        <f t="shared" si="625"/>
        <v>-4.625</v>
      </c>
      <c r="AM784" s="9">
        <f t="shared" si="626"/>
        <v>-2.875</v>
      </c>
      <c r="AN784" s="9">
        <f t="shared" si="627"/>
        <v>-2.625</v>
      </c>
      <c r="AO784" s="9">
        <f t="shared" si="628"/>
        <v>-2.5</v>
      </c>
      <c r="AP784" s="9">
        <f t="shared" si="629"/>
        <v>-3.875</v>
      </c>
      <c r="AQ784" s="9">
        <f t="shared" si="630"/>
        <v>-9.125</v>
      </c>
      <c r="AR784" s="9">
        <f t="shared" si="631"/>
        <v>-14.5</v>
      </c>
      <c r="AS784" s="9">
        <f t="shared" si="632"/>
        <v>-5</v>
      </c>
      <c r="AT784" s="9">
        <f t="shared" si="633"/>
        <v>-6.5</v>
      </c>
      <c r="AU784" s="9">
        <f t="shared" si="634"/>
        <v>-8.5</v>
      </c>
      <c r="AV784" s="9">
        <f t="shared" si="635"/>
        <v>-6.75</v>
      </c>
      <c r="AW784" s="9">
        <f t="shared" si="636"/>
        <v>-5.875</v>
      </c>
      <c r="AX784" s="9">
        <f t="shared" si="637"/>
        <v>-5</v>
      </c>
      <c r="AY784" s="9">
        <f t="shared" si="638"/>
        <v>-6.875</v>
      </c>
      <c r="AZ784" s="9">
        <f t="shared" si="639"/>
        <v>-11.375</v>
      </c>
      <c r="BA784" s="9">
        <f t="shared" si="640"/>
        <v>-13.6875</v>
      </c>
      <c r="BB784" s="9">
        <f t="shared" si="641"/>
        <v>-5.25</v>
      </c>
      <c r="BC784" s="9">
        <f t="shared" si="642"/>
        <v>-7.125</v>
      </c>
      <c r="BD784" s="9">
        <f t="shared" si="643"/>
        <v>-10</v>
      </c>
      <c r="BE784" s="9">
        <f t="shared" si="644"/>
        <v>-8</v>
      </c>
      <c r="BF784" s="9">
        <f t="shared" si="645"/>
        <v>-7.25</v>
      </c>
      <c r="BG784" s="9">
        <f t="shared" si="646"/>
        <v>-6.6875</v>
      </c>
      <c r="BH784" s="9">
        <f t="shared" si="647"/>
        <v>-9.375</v>
      </c>
      <c r="BI784" s="9">
        <f t="shared" si="648"/>
        <v>-13</v>
      </c>
      <c r="BJ784" s="9">
        <f t="shared" si="649"/>
        <v>-14.6875</v>
      </c>
    </row>
    <row r="785" spans="1:62" x14ac:dyDescent="0.2">
      <c r="A785" s="9">
        <f>data!M786-data!M785</f>
        <v>-2.899999999996794E-3</v>
      </c>
      <c r="B785" s="9">
        <f>data!C786-data!C785</f>
        <v>-0.46000000000000085</v>
      </c>
      <c r="C785" s="9">
        <f>data!D786-data!D785</f>
        <v>-0.3199999999999994</v>
      </c>
      <c r="D785" s="10">
        <f>data!B786-data!B785</f>
        <v>0.11000000000000004</v>
      </c>
      <c r="E785" s="9">
        <f>data!E785-data!G785</f>
        <v>1.8246</v>
      </c>
      <c r="F785" s="9">
        <f>(data!E785-data!F785)-(data!G785-data!H785)</f>
        <v>0.11340000000000008</v>
      </c>
      <c r="G785" s="9">
        <f t="shared" si="600"/>
        <v>-1.0000000000021103E-4</v>
      </c>
      <c r="H785" s="9">
        <f t="shared" si="601"/>
        <v>1.5899999999999886E-2</v>
      </c>
      <c r="I785" s="9">
        <f>IF(data!M786&gt; 111.81,1,0)</f>
        <v>1</v>
      </c>
      <c r="J785" s="9">
        <f t="shared" si="602"/>
        <v>0</v>
      </c>
      <c r="K785" s="9">
        <f t="shared" si="603"/>
        <v>-2.899999999996794E-3</v>
      </c>
      <c r="L785" s="9">
        <f t="shared" si="604"/>
        <v>0</v>
      </c>
      <c r="M785" s="9">
        <f>data!J785</f>
        <v>-26</v>
      </c>
      <c r="N785" s="9">
        <f>data!I785</f>
        <v>-40.5</v>
      </c>
      <c r="O785" s="9">
        <f>data!L785</f>
        <v>-49</v>
      </c>
      <c r="P785" s="9">
        <f>data!K785</f>
        <v>-50.125</v>
      </c>
      <c r="Q785" s="9">
        <f>data!R785</f>
        <v>-47.75</v>
      </c>
      <c r="R785" s="9">
        <f t="shared" si="605"/>
        <v>2.25</v>
      </c>
      <c r="S785" s="9">
        <f t="shared" si="606"/>
        <v>0.875</v>
      </c>
      <c r="T785" s="9">
        <f t="shared" si="607"/>
        <v>0.75</v>
      </c>
      <c r="U785" s="9">
        <f t="shared" si="608"/>
        <v>1</v>
      </c>
      <c r="V785" s="9">
        <f t="shared" si="609"/>
        <v>-0.25</v>
      </c>
      <c r="W785" s="9">
        <f t="shared" si="610"/>
        <v>-2.75</v>
      </c>
      <c r="X785" s="9">
        <f t="shared" si="611"/>
        <v>-8.5</v>
      </c>
      <c r="Y785" s="9">
        <f t="shared" si="612"/>
        <v>-16.75</v>
      </c>
      <c r="Z785" s="9">
        <f t="shared" si="613"/>
        <v>-36.875</v>
      </c>
      <c r="AA785" s="9">
        <f t="shared" si="614"/>
        <v>0.875</v>
      </c>
      <c r="AB785" s="9">
        <f t="shared" si="615"/>
        <v>0.125</v>
      </c>
      <c r="AC785" s="9">
        <f t="shared" si="616"/>
        <v>0.75</v>
      </c>
      <c r="AD785" s="9">
        <f t="shared" si="617"/>
        <v>1.125</v>
      </c>
      <c r="AE785" s="9">
        <f t="shared" si="618"/>
        <v>1</v>
      </c>
      <c r="AF785" s="9">
        <f t="shared" si="619"/>
        <v>-0.25</v>
      </c>
      <c r="AG785" s="9">
        <f t="shared" si="620"/>
        <v>-6</v>
      </c>
      <c r="AH785" s="9">
        <f t="shared" si="621"/>
        <v>-13.25</v>
      </c>
      <c r="AI785" s="9">
        <f t="shared" si="622"/>
        <v>-31.875</v>
      </c>
      <c r="AJ785" s="9">
        <f t="shared" si="623"/>
        <v>-0.75</v>
      </c>
      <c r="AK785" s="9">
        <f t="shared" si="624"/>
        <v>-1.125</v>
      </c>
      <c r="AL785" s="9">
        <f t="shared" si="625"/>
        <v>0.625</v>
      </c>
      <c r="AM785" s="9">
        <f t="shared" si="626"/>
        <v>0.875</v>
      </c>
      <c r="AN785" s="9">
        <f t="shared" si="627"/>
        <v>1</v>
      </c>
      <c r="AO785" s="9">
        <f t="shared" si="628"/>
        <v>-0.375</v>
      </c>
      <c r="AP785" s="9">
        <f t="shared" si="629"/>
        <v>-5.625</v>
      </c>
      <c r="AQ785" s="9">
        <f t="shared" si="630"/>
        <v>-11</v>
      </c>
      <c r="AR785" s="9">
        <f t="shared" si="631"/>
        <v>-28.3125</v>
      </c>
      <c r="AS785" s="9">
        <f t="shared" si="632"/>
        <v>-1.5</v>
      </c>
      <c r="AT785" s="9">
        <f t="shared" si="633"/>
        <v>-3.5</v>
      </c>
      <c r="AU785" s="9">
        <f t="shared" si="634"/>
        <v>-1.75</v>
      </c>
      <c r="AV785" s="9">
        <f t="shared" si="635"/>
        <v>-0.875</v>
      </c>
      <c r="AW785" s="9">
        <f t="shared" si="636"/>
        <v>0</v>
      </c>
      <c r="AX785" s="9">
        <f t="shared" si="637"/>
        <v>-1.875</v>
      </c>
      <c r="AY785" s="9">
        <f t="shared" si="638"/>
        <v>-6.375</v>
      </c>
      <c r="AZ785" s="9">
        <f t="shared" si="639"/>
        <v>-8.6875</v>
      </c>
      <c r="BA785" s="9">
        <f t="shared" si="640"/>
        <v>-24.75</v>
      </c>
      <c r="BB785" s="9">
        <f t="shared" si="641"/>
        <v>-1.875</v>
      </c>
      <c r="BC785" s="9">
        <f t="shared" si="642"/>
        <v>-4.75</v>
      </c>
      <c r="BD785" s="9">
        <f t="shared" si="643"/>
        <v>-2.75</v>
      </c>
      <c r="BE785" s="9">
        <f t="shared" si="644"/>
        <v>-2</v>
      </c>
      <c r="BF785" s="9">
        <f t="shared" si="645"/>
        <v>-1.4375</v>
      </c>
      <c r="BG785" s="9">
        <f t="shared" si="646"/>
        <v>-4.125</v>
      </c>
      <c r="BH785" s="9">
        <f t="shared" si="647"/>
        <v>-7.75</v>
      </c>
      <c r="BI785" s="9">
        <f t="shared" si="648"/>
        <v>-9.4375</v>
      </c>
      <c r="BJ785" s="9">
        <f t="shared" si="649"/>
        <v>-22.125</v>
      </c>
    </row>
    <row r="786" spans="1:62" x14ac:dyDescent="0.2">
      <c r="A786" s="9">
        <f>data!M787-data!M786</f>
        <v>0.49030000000000484</v>
      </c>
      <c r="B786" s="9">
        <f>data!C787-data!C786</f>
        <v>2.4600000000000009</v>
      </c>
      <c r="C786" s="9">
        <f>data!D787-data!D786</f>
        <v>0.35499999999999954</v>
      </c>
      <c r="D786" s="10">
        <f>data!B787-data!B786</f>
        <v>-0.11500000000000005</v>
      </c>
      <c r="E786" s="9">
        <f>data!E786-data!G786</f>
        <v>1.8244999999999998</v>
      </c>
      <c r="F786" s="9">
        <f>(data!E786-data!F786)-(data!G786-data!H786)</f>
        <v>0.12929999999999997</v>
      </c>
      <c r="G786" s="9">
        <f t="shared" si="600"/>
        <v>-0.11359999999999992</v>
      </c>
      <c r="H786" s="9">
        <f t="shared" si="601"/>
        <v>-4.5099999999999946E-2</v>
      </c>
      <c r="I786" s="9">
        <f>IF(data!M787&gt; 111.81,1,0)</f>
        <v>1</v>
      </c>
      <c r="J786" s="9">
        <f t="shared" si="602"/>
        <v>0</v>
      </c>
      <c r="K786" s="9">
        <f t="shared" si="603"/>
        <v>0.49030000000000484</v>
      </c>
      <c r="L786" s="9">
        <f t="shared" si="604"/>
        <v>0</v>
      </c>
      <c r="M786" s="9">
        <f>data!J786</f>
        <v>-23.75</v>
      </c>
      <c r="N786" s="9">
        <f>data!I786</f>
        <v>-39.625</v>
      </c>
      <c r="O786" s="9">
        <f>data!L786</f>
        <v>-49.75</v>
      </c>
      <c r="P786" s="9">
        <f>data!K786</f>
        <v>-51.625</v>
      </c>
      <c r="Q786" s="9">
        <f>data!R786</f>
        <v>-49.625</v>
      </c>
      <c r="R786" s="9">
        <f t="shared" si="605"/>
        <v>-1.375</v>
      </c>
      <c r="S786" s="9">
        <f t="shared" si="606"/>
        <v>-1.5</v>
      </c>
      <c r="T786" s="9">
        <f t="shared" si="607"/>
        <v>-1.25</v>
      </c>
      <c r="U786" s="9">
        <f t="shared" si="608"/>
        <v>-2.5</v>
      </c>
      <c r="V786" s="9">
        <f t="shared" si="609"/>
        <v>-5</v>
      </c>
      <c r="W786" s="9">
        <f t="shared" si="610"/>
        <v>-10.75</v>
      </c>
      <c r="X786" s="9">
        <f t="shared" si="611"/>
        <v>-19</v>
      </c>
      <c r="Y786" s="9">
        <f t="shared" si="612"/>
        <v>-39.125</v>
      </c>
      <c r="Z786" s="9">
        <f t="shared" si="613"/>
        <v>-30.125</v>
      </c>
      <c r="AA786" s="9">
        <f t="shared" si="614"/>
        <v>-0.75</v>
      </c>
      <c r="AB786" s="9">
        <f t="shared" si="615"/>
        <v>-0.125</v>
      </c>
      <c r="AC786" s="9">
        <f t="shared" si="616"/>
        <v>0.25</v>
      </c>
      <c r="AD786" s="9">
        <f t="shared" si="617"/>
        <v>0.125</v>
      </c>
      <c r="AE786" s="9">
        <f t="shared" si="618"/>
        <v>-1.125</v>
      </c>
      <c r="AF786" s="9">
        <f t="shared" si="619"/>
        <v>-6.875</v>
      </c>
      <c r="AG786" s="9">
        <f t="shared" si="620"/>
        <v>-14.125</v>
      </c>
      <c r="AH786" s="9">
        <f t="shared" si="621"/>
        <v>-32.75</v>
      </c>
      <c r="AI786" s="9">
        <f t="shared" si="622"/>
        <v>-8.5</v>
      </c>
      <c r="AJ786" s="9">
        <f t="shared" si="623"/>
        <v>-0.375</v>
      </c>
      <c r="AK786" s="9">
        <f t="shared" si="624"/>
        <v>1.375</v>
      </c>
      <c r="AL786" s="9">
        <f t="shared" si="625"/>
        <v>1.625</v>
      </c>
      <c r="AM786" s="9">
        <f t="shared" si="626"/>
        <v>1.75</v>
      </c>
      <c r="AN786" s="9">
        <f t="shared" si="627"/>
        <v>0.375</v>
      </c>
      <c r="AO786" s="9">
        <f t="shared" si="628"/>
        <v>-4.875</v>
      </c>
      <c r="AP786" s="9">
        <f t="shared" si="629"/>
        <v>-10.25</v>
      </c>
      <c r="AQ786" s="9">
        <f t="shared" si="630"/>
        <v>-27.5625</v>
      </c>
      <c r="AR786" s="9">
        <f t="shared" si="631"/>
        <v>2.75</v>
      </c>
      <c r="AS786" s="9">
        <f t="shared" si="632"/>
        <v>-2</v>
      </c>
      <c r="AT786" s="9">
        <f t="shared" si="633"/>
        <v>-0.25</v>
      </c>
      <c r="AU786" s="9">
        <f t="shared" si="634"/>
        <v>0.625</v>
      </c>
      <c r="AV786" s="9">
        <f t="shared" si="635"/>
        <v>1.5</v>
      </c>
      <c r="AW786" s="9">
        <f t="shared" si="636"/>
        <v>-0.375</v>
      </c>
      <c r="AX786" s="9">
        <f t="shared" si="637"/>
        <v>-4.875</v>
      </c>
      <c r="AY786" s="9">
        <f t="shared" si="638"/>
        <v>-7.1875</v>
      </c>
      <c r="AZ786" s="9">
        <f t="shared" si="639"/>
        <v>-23.25</v>
      </c>
      <c r="BA786" s="9">
        <f t="shared" si="640"/>
        <v>4.375</v>
      </c>
      <c r="BB786" s="9">
        <f t="shared" si="641"/>
        <v>-2.875</v>
      </c>
      <c r="BC786" s="9">
        <f t="shared" si="642"/>
        <v>-0.875</v>
      </c>
      <c r="BD786" s="9">
        <f t="shared" si="643"/>
        <v>-0.125</v>
      </c>
      <c r="BE786" s="9">
        <f t="shared" si="644"/>
        <v>0.4375</v>
      </c>
      <c r="BF786" s="9">
        <f t="shared" si="645"/>
        <v>-2.25</v>
      </c>
      <c r="BG786" s="9">
        <f t="shared" si="646"/>
        <v>-5.875</v>
      </c>
      <c r="BH786" s="9">
        <f t="shared" si="647"/>
        <v>-7.5625</v>
      </c>
      <c r="BI786" s="9">
        <f t="shared" si="648"/>
        <v>-20.25</v>
      </c>
      <c r="BJ786" s="9">
        <f t="shared" si="649"/>
        <v>2.625</v>
      </c>
    </row>
    <row r="787" spans="1:62" x14ac:dyDescent="0.2">
      <c r="A787" s="9">
        <f>data!M788-data!M787</f>
        <v>0.17969999999999686</v>
      </c>
      <c r="B787" s="9">
        <f>data!C788-data!C787</f>
        <v>4.2799999999999994</v>
      </c>
      <c r="C787" s="9">
        <f>data!D788-data!D787</f>
        <v>0.62000000000000011</v>
      </c>
      <c r="D787" s="10">
        <f>data!B788-data!B787</f>
        <v>-0.34499999999999997</v>
      </c>
      <c r="E787" s="9">
        <f>data!E787-data!G787</f>
        <v>1.7108999999999999</v>
      </c>
      <c r="F787" s="9">
        <f>(data!E787-data!F787)-(data!G787-data!H787)</f>
        <v>8.4200000000000025E-2</v>
      </c>
      <c r="G787" s="9">
        <f t="shared" si="600"/>
        <v>-0.13209999999999988</v>
      </c>
      <c r="H787" s="9">
        <f t="shared" si="601"/>
        <v>2.5399999999999964E-2</v>
      </c>
      <c r="I787" s="9">
        <f>IF(data!M788&gt; 111.81,1,0)</f>
        <v>1</v>
      </c>
      <c r="J787" s="9">
        <f t="shared" si="602"/>
        <v>0</v>
      </c>
      <c r="K787" s="9">
        <f t="shared" si="603"/>
        <v>0.17969999999999686</v>
      </c>
      <c r="L787" s="9">
        <f t="shared" si="604"/>
        <v>0</v>
      </c>
      <c r="M787" s="9">
        <f>data!J787</f>
        <v>-25.125</v>
      </c>
      <c r="N787" s="9">
        <f>data!I787</f>
        <v>-40.375</v>
      </c>
      <c r="O787" s="9">
        <f>data!L787</f>
        <v>-50.125</v>
      </c>
      <c r="P787" s="9">
        <f>data!K787</f>
        <v>-53.625</v>
      </c>
      <c r="Q787" s="9">
        <f>data!R787</f>
        <v>-52.5</v>
      </c>
      <c r="R787" s="9">
        <f t="shared" si="605"/>
        <v>-0.125</v>
      </c>
      <c r="S787" s="9">
        <f t="shared" si="606"/>
        <v>0.125</v>
      </c>
      <c r="T787" s="9">
        <f t="shared" si="607"/>
        <v>-1.125</v>
      </c>
      <c r="U787" s="9">
        <f t="shared" si="608"/>
        <v>-3.625</v>
      </c>
      <c r="V787" s="9">
        <f t="shared" si="609"/>
        <v>-9.375</v>
      </c>
      <c r="W787" s="9">
        <f t="shared" si="610"/>
        <v>-17.625</v>
      </c>
      <c r="X787" s="9">
        <f t="shared" si="611"/>
        <v>-37.75</v>
      </c>
      <c r="Y787" s="9">
        <f t="shared" si="612"/>
        <v>-28.75</v>
      </c>
      <c r="Z787" s="9">
        <f t="shared" si="613"/>
        <v>-33</v>
      </c>
      <c r="AA787" s="9">
        <f t="shared" si="614"/>
        <v>0.625</v>
      </c>
      <c r="AB787" s="9">
        <f t="shared" si="615"/>
        <v>1</v>
      </c>
      <c r="AC787" s="9">
        <f t="shared" si="616"/>
        <v>0.875</v>
      </c>
      <c r="AD787" s="9">
        <f t="shared" si="617"/>
        <v>-0.375</v>
      </c>
      <c r="AE787" s="9">
        <f t="shared" si="618"/>
        <v>-6.125</v>
      </c>
      <c r="AF787" s="9">
        <f t="shared" si="619"/>
        <v>-13.375</v>
      </c>
      <c r="AG787" s="9">
        <f t="shared" si="620"/>
        <v>-32</v>
      </c>
      <c r="AH787" s="9">
        <f t="shared" si="621"/>
        <v>-7.75</v>
      </c>
      <c r="AI787" s="9">
        <f t="shared" si="622"/>
        <v>-20</v>
      </c>
      <c r="AJ787" s="9">
        <f t="shared" si="623"/>
        <v>1.75</v>
      </c>
      <c r="AK787" s="9">
        <f t="shared" si="624"/>
        <v>2</v>
      </c>
      <c r="AL787" s="9">
        <f t="shared" si="625"/>
        <v>2.125</v>
      </c>
      <c r="AM787" s="9">
        <f t="shared" si="626"/>
        <v>0.75</v>
      </c>
      <c r="AN787" s="9">
        <f t="shared" si="627"/>
        <v>-4.5</v>
      </c>
      <c r="AO787" s="9">
        <f t="shared" si="628"/>
        <v>-9.875</v>
      </c>
      <c r="AP787" s="9">
        <f t="shared" si="629"/>
        <v>-27.1875</v>
      </c>
      <c r="AQ787" s="9">
        <f t="shared" si="630"/>
        <v>3.125</v>
      </c>
      <c r="AR787" s="9">
        <f t="shared" si="631"/>
        <v>-12.875</v>
      </c>
      <c r="AS787" s="9">
        <f t="shared" si="632"/>
        <v>1.75</v>
      </c>
      <c r="AT787" s="9">
        <f t="shared" si="633"/>
        <v>2.625</v>
      </c>
      <c r="AU787" s="9">
        <f t="shared" si="634"/>
        <v>3.5</v>
      </c>
      <c r="AV787" s="9">
        <f t="shared" si="635"/>
        <v>1.625</v>
      </c>
      <c r="AW787" s="9">
        <f t="shared" si="636"/>
        <v>-2.875</v>
      </c>
      <c r="AX787" s="9">
        <f t="shared" si="637"/>
        <v>-5.1875</v>
      </c>
      <c r="AY787" s="9">
        <f t="shared" si="638"/>
        <v>-21.25</v>
      </c>
      <c r="AZ787" s="9">
        <f t="shared" si="639"/>
        <v>6.375</v>
      </c>
      <c r="BA787" s="9">
        <f t="shared" si="640"/>
        <v>-9.625</v>
      </c>
      <c r="BB787" s="9">
        <f t="shared" si="641"/>
        <v>2</v>
      </c>
      <c r="BC787" s="9">
        <f t="shared" si="642"/>
        <v>2.75</v>
      </c>
      <c r="BD787" s="9">
        <f t="shared" si="643"/>
        <v>3.3125</v>
      </c>
      <c r="BE787" s="9">
        <f t="shared" si="644"/>
        <v>0.625</v>
      </c>
      <c r="BF787" s="9">
        <f t="shared" si="645"/>
        <v>-3</v>
      </c>
      <c r="BG787" s="9">
        <f t="shared" si="646"/>
        <v>-4.6875</v>
      </c>
      <c r="BH787" s="9">
        <f t="shared" si="647"/>
        <v>-17.375</v>
      </c>
      <c r="BI787" s="9">
        <f t="shared" si="648"/>
        <v>5.5</v>
      </c>
      <c r="BJ787" s="9">
        <f t="shared" si="649"/>
        <v>-10</v>
      </c>
    </row>
    <row r="788" spans="1:62" x14ac:dyDescent="0.2">
      <c r="A788" s="9">
        <f>data!M789-data!M788</f>
        <v>0.77329999999999188</v>
      </c>
      <c r="B788" s="9">
        <f>data!C789-data!C788</f>
        <v>-3.3699999999999992</v>
      </c>
      <c r="C788" s="9">
        <f>data!D789-data!D788</f>
        <v>-0.67999999999999972</v>
      </c>
      <c r="D788" s="10">
        <f>data!B789-data!B788</f>
        <v>1.0000000000000009E-2</v>
      </c>
      <c r="E788" s="9">
        <f>data!E788-data!G788</f>
        <v>1.5788</v>
      </c>
      <c r="F788" s="9">
        <f>(data!E788-data!F788)-(data!G788-data!H788)</f>
        <v>0.10959999999999999</v>
      </c>
      <c r="G788" s="9">
        <f t="shared" si="600"/>
        <v>4.7599999999999865E-2</v>
      </c>
      <c r="H788" s="9">
        <f t="shared" si="601"/>
        <v>-3.5300000000000081E-2</v>
      </c>
      <c r="I788" s="9">
        <f>IF(data!M789&gt; 111.81,1,0)</f>
        <v>1</v>
      </c>
      <c r="J788" s="9">
        <f t="shared" si="602"/>
        <v>0</v>
      </c>
      <c r="K788" s="9">
        <f t="shared" si="603"/>
        <v>0.77329999999999188</v>
      </c>
      <c r="L788" s="9">
        <f t="shared" si="604"/>
        <v>0</v>
      </c>
      <c r="M788" s="9">
        <f>data!J788</f>
        <v>-25.25</v>
      </c>
      <c r="N788" s="9">
        <f>data!I788</f>
        <v>-39.75</v>
      </c>
      <c r="O788" s="9">
        <f>data!L788</f>
        <v>-48.375</v>
      </c>
      <c r="P788" s="9">
        <f>data!K788</f>
        <v>-51.875</v>
      </c>
      <c r="Q788" s="9">
        <f>data!R788</f>
        <v>-50.5</v>
      </c>
      <c r="R788" s="9">
        <f t="shared" si="605"/>
        <v>0.25</v>
      </c>
      <c r="S788" s="9">
        <f t="shared" si="606"/>
        <v>-1</v>
      </c>
      <c r="T788" s="9">
        <f t="shared" si="607"/>
        <v>-3.5</v>
      </c>
      <c r="U788" s="9">
        <f t="shared" si="608"/>
        <v>-9.25</v>
      </c>
      <c r="V788" s="9">
        <f t="shared" si="609"/>
        <v>-17.5</v>
      </c>
      <c r="W788" s="9">
        <f t="shared" si="610"/>
        <v>-37.625</v>
      </c>
      <c r="X788" s="9">
        <f t="shared" si="611"/>
        <v>-28.625</v>
      </c>
      <c r="Y788" s="9">
        <f t="shared" si="612"/>
        <v>-32.875</v>
      </c>
      <c r="Z788" s="9">
        <f t="shared" si="613"/>
        <v>-8.75</v>
      </c>
      <c r="AA788" s="9">
        <f t="shared" si="614"/>
        <v>0.375</v>
      </c>
      <c r="AB788" s="9">
        <f t="shared" si="615"/>
        <v>0.25</v>
      </c>
      <c r="AC788" s="9">
        <f t="shared" si="616"/>
        <v>-1</v>
      </c>
      <c r="AD788" s="9">
        <f t="shared" si="617"/>
        <v>-6.75</v>
      </c>
      <c r="AE788" s="9">
        <f t="shared" si="618"/>
        <v>-14</v>
      </c>
      <c r="AF788" s="9">
        <f t="shared" si="619"/>
        <v>-32.625</v>
      </c>
      <c r="AG788" s="9">
        <f t="shared" si="620"/>
        <v>-8.375</v>
      </c>
      <c r="AH788" s="9">
        <f t="shared" si="621"/>
        <v>-20.625</v>
      </c>
      <c r="AI788" s="9">
        <f t="shared" si="622"/>
        <v>-14.75</v>
      </c>
      <c r="AJ788" s="9">
        <f t="shared" si="623"/>
        <v>0.25</v>
      </c>
      <c r="AK788" s="9">
        <f t="shared" si="624"/>
        <v>0.375</v>
      </c>
      <c r="AL788" s="9">
        <f t="shared" si="625"/>
        <v>-1</v>
      </c>
      <c r="AM788" s="9">
        <f t="shared" si="626"/>
        <v>-6.25</v>
      </c>
      <c r="AN788" s="9">
        <f t="shared" si="627"/>
        <v>-11.625</v>
      </c>
      <c r="AO788" s="9">
        <f t="shared" si="628"/>
        <v>-28.9375</v>
      </c>
      <c r="AP788" s="9">
        <f t="shared" si="629"/>
        <v>1.375</v>
      </c>
      <c r="AQ788" s="9">
        <f t="shared" si="630"/>
        <v>-14.625</v>
      </c>
      <c r="AR788" s="9">
        <f t="shared" si="631"/>
        <v>-15.75</v>
      </c>
      <c r="AS788" s="9">
        <f t="shared" si="632"/>
        <v>0.875</v>
      </c>
      <c r="AT788" s="9">
        <f t="shared" si="633"/>
        <v>1.75</v>
      </c>
      <c r="AU788" s="9">
        <f t="shared" si="634"/>
        <v>-0.125</v>
      </c>
      <c r="AV788" s="9">
        <f t="shared" si="635"/>
        <v>-4.625</v>
      </c>
      <c r="AW788" s="9">
        <f t="shared" si="636"/>
        <v>-6.9375</v>
      </c>
      <c r="AX788" s="9">
        <f t="shared" si="637"/>
        <v>-23</v>
      </c>
      <c r="AY788" s="9">
        <f t="shared" si="638"/>
        <v>4.625</v>
      </c>
      <c r="AZ788" s="9">
        <f t="shared" si="639"/>
        <v>-11.375</v>
      </c>
      <c r="BA788" s="9">
        <f t="shared" si="640"/>
        <v>-14.75</v>
      </c>
      <c r="BB788" s="9">
        <f t="shared" si="641"/>
        <v>0.75</v>
      </c>
      <c r="BC788" s="9">
        <f t="shared" si="642"/>
        <v>1.3125</v>
      </c>
      <c r="BD788" s="9">
        <f t="shared" si="643"/>
        <v>-1.375</v>
      </c>
      <c r="BE788" s="9">
        <f t="shared" si="644"/>
        <v>-5</v>
      </c>
      <c r="BF788" s="9">
        <f t="shared" si="645"/>
        <v>-6.6875</v>
      </c>
      <c r="BG788" s="9">
        <f t="shared" si="646"/>
        <v>-19.375</v>
      </c>
      <c r="BH788" s="9">
        <f t="shared" si="647"/>
        <v>3.5</v>
      </c>
      <c r="BI788" s="9">
        <f t="shared" si="648"/>
        <v>-12</v>
      </c>
      <c r="BJ788" s="9">
        <f t="shared" si="649"/>
        <v>-16.875</v>
      </c>
    </row>
    <row r="789" spans="1:62" x14ac:dyDescent="0.2">
      <c r="A789" s="9">
        <f>data!M790-data!M789</f>
        <v>-8.7499999999991473E-2</v>
      </c>
      <c r="B789" s="9">
        <f>data!C790-data!C789</f>
        <v>-1.7900000000000009</v>
      </c>
      <c r="C789" s="9">
        <f>data!D790-data!D789</f>
        <v>-0.17499999999999982</v>
      </c>
      <c r="D789" s="10">
        <f>data!B790-data!B789</f>
        <v>8.9999999999999969E-2</v>
      </c>
      <c r="E789" s="9">
        <f>data!E789-data!G789</f>
        <v>1.6263999999999998</v>
      </c>
      <c r="F789" s="9">
        <f>(data!E789-data!F789)-(data!G789-data!H789)</f>
        <v>7.4299999999999908E-2</v>
      </c>
      <c r="G789" s="9">
        <f t="shared" si="600"/>
        <v>-9.5999999999998309E-3</v>
      </c>
      <c r="H789" s="9">
        <f t="shared" si="601"/>
        <v>-2.5399999999999881E-2</v>
      </c>
      <c r="I789" s="9">
        <f>IF(data!M790&gt; 111.81,1,0)</f>
        <v>1</v>
      </c>
      <c r="J789" s="9">
        <f t="shared" si="602"/>
        <v>0</v>
      </c>
      <c r="K789" s="9">
        <f t="shared" si="603"/>
        <v>-8.7499999999991473E-2</v>
      </c>
      <c r="L789" s="9">
        <f t="shared" si="604"/>
        <v>0</v>
      </c>
      <c r="M789" s="9">
        <f>data!J789</f>
        <v>-25</v>
      </c>
      <c r="N789" s="9">
        <f>data!I789</f>
        <v>-39.375</v>
      </c>
      <c r="O789" s="9">
        <f>data!L789</f>
        <v>-48.125</v>
      </c>
      <c r="P789" s="9">
        <f>data!K789</f>
        <v>-51</v>
      </c>
      <c r="Q789" s="9">
        <f>data!R789</f>
        <v>-49.75</v>
      </c>
      <c r="R789" s="9">
        <f t="shared" si="605"/>
        <v>-1.25</v>
      </c>
      <c r="S789" s="9">
        <f t="shared" si="606"/>
        <v>-3.75</v>
      </c>
      <c r="T789" s="9">
        <f t="shared" si="607"/>
        <v>-9.5</v>
      </c>
      <c r="U789" s="9">
        <f t="shared" si="608"/>
        <v>-17.75</v>
      </c>
      <c r="V789" s="9">
        <f t="shared" si="609"/>
        <v>-37.875</v>
      </c>
      <c r="W789" s="9">
        <f t="shared" si="610"/>
        <v>-28.875</v>
      </c>
      <c r="X789" s="9">
        <f t="shared" si="611"/>
        <v>-33.125</v>
      </c>
      <c r="Y789" s="9">
        <f t="shared" si="612"/>
        <v>-9</v>
      </c>
      <c r="Z789" s="9">
        <f t="shared" si="613"/>
        <v>-16.625</v>
      </c>
      <c r="AA789" s="9">
        <f t="shared" si="614"/>
        <v>-0.125</v>
      </c>
      <c r="AB789" s="9">
        <f t="shared" si="615"/>
        <v>-1.375</v>
      </c>
      <c r="AC789" s="9">
        <f t="shared" si="616"/>
        <v>-7.125</v>
      </c>
      <c r="AD789" s="9">
        <f t="shared" si="617"/>
        <v>-14.375</v>
      </c>
      <c r="AE789" s="9">
        <f t="shared" si="618"/>
        <v>-33</v>
      </c>
      <c r="AF789" s="9">
        <f t="shared" si="619"/>
        <v>-8.75</v>
      </c>
      <c r="AG789" s="9">
        <f t="shared" si="620"/>
        <v>-21</v>
      </c>
      <c r="AH789" s="9">
        <f t="shared" si="621"/>
        <v>-15.125</v>
      </c>
      <c r="AI789" s="9">
        <f t="shared" si="622"/>
        <v>-22.25</v>
      </c>
      <c r="AJ789" s="9">
        <f t="shared" si="623"/>
        <v>0.125</v>
      </c>
      <c r="AK789" s="9">
        <f t="shared" si="624"/>
        <v>-1.25</v>
      </c>
      <c r="AL789" s="9">
        <f t="shared" si="625"/>
        <v>-6.5</v>
      </c>
      <c r="AM789" s="9">
        <f t="shared" si="626"/>
        <v>-11.875</v>
      </c>
      <c r="AN789" s="9">
        <f t="shared" si="627"/>
        <v>-29.1875</v>
      </c>
      <c r="AO789" s="9">
        <f t="shared" si="628"/>
        <v>1.125</v>
      </c>
      <c r="AP789" s="9">
        <f t="shared" si="629"/>
        <v>-14.875</v>
      </c>
      <c r="AQ789" s="9">
        <f t="shared" si="630"/>
        <v>-16</v>
      </c>
      <c r="AR789" s="9">
        <f t="shared" si="631"/>
        <v>-20.875</v>
      </c>
      <c r="AS789" s="9">
        <f t="shared" si="632"/>
        <v>0.875</v>
      </c>
      <c r="AT789" s="9">
        <f t="shared" si="633"/>
        <v>-1</v>
      </c>
      <c r="AU789" s="9">
        <f t="shared" si="634"/>
        <v>-5.5</v>
      </c>
      <c r="AV789" s="9">
        <f t="shared" si="635"/>
        <v>-7.8125</v>
      </c>
      <c r="AW789" s="9">
        <f t="shared" si="636"/>
        <v>-23.875</v>
      </c>
      <c r="AX789" s="9">
        <f t="shared" si="637"/>
        <v>3.75</v>
      </c>
      <c r="AY789" s="9">
        <f t="shared" si="638"/>
        <v>-12.25</v>
      </c>
      <c r="AZ789" s="9">
        <f t="shared" si="639"/>
        <v>-15.625</v>
      </c>
      <c r="BA789" s="9">
        <f t="shared" si="640"/>
        <v>-20.125</v>
      </c>
      <c r="BB789" s="9">
        <f t="shared" si="641"/>
        <v>0.5625</v>
      </c>
      <c r="BC789" s="9">
        <f t="shared" si="642"/>
        <v>-2.125</v>
      </c>
      <c r="BD789" s="9">
        <f t="shared" si="643"/>
        <v>-5.75</v>
      </c>
      <c r="BE789" s="9">
        <f t="shared" si="644"/>
        <v>-7.4375</v>
      </c>
      <c r="BF789" s="9">
        <f t="shared" si="645"/>
        <v>-20.125</v>
      </c>
      <c r="BG789" s="9">
        <f t="shared" si="646"/>
        <v>2.75</v>
      </c>
      <c r="BH789" s="9">
        <f t="shared" si="647"/>
        <v>-12.75</v>
      </c>
      <c r="BI789" s="9">
        <f t="shared" si="648"/>
        <v>-17.625</v>
      </c>
      <c r="BJ789" s="9">
        <f t="shared" si="649"/>
        <v>-22.625</v>
      </c>
    </row>
    <row r="790" spans="1:62" x14ac:dyDescent="0.2">
      <c r="A790" s="9">
        <f>data!M791-data!M790</f>
        <v>0.6255999999999915</v>
      </c>
      <c r="B790" s="9">
        <f>data!C791-data!C790</f>
        <v>3.3999999999999986</v>
      </c>
      <c r="C790" s="9">
        <f>data!D791-data!D790</f>
        <v>0.72999999999999954</v>
      </c>
      <c r="D790" s="10">
        <f>data!B791-data!B790</f>
        <v>-0.16249999999999998</v>
      </c>
      <c r="E790" s="9">
        <f>data!E790-data!G790</f>
        <v>1.6168</v>
      </c>
      <c r="F790" s="9">
        <f>(data!E790-data!F790)-(data!G790-data!H790)</f>
        <v>4.8900000000000027E-2</v>
      </c>
      <c r="G790" s="9">
        <f t="shared" si="600"/>
        <v>-8.5499999999999909E-2</v>
      </c>
      <c r="H790" s="9">
        <f t="shared" si="601"/>
        <v>-3.8900000000000046E-2</v>
      </c>
      <c r="I790" s="9">
        <f>IF(data!M791&gt; 111.81,1,0)</f>
        <v>1</v>
      </c>
      <c r="J790" s="9">
        <f t="shared" si="602"/>
        <v>0</v>
      </c>
      <c r="K790" s="9">
        <f t="shared" si="603"/>
        <v>0.6255999999999915</v>
      </c>
      <c r="L790" s="9">
        <f t="shared" si="604"/>
        <v>0</v>
      </c>
      <c r="M790" s="9">
        <f>data!J790</f>
        <v>-26.25</v>
      </c>
      <c r="N790" s="9">
        <f>data!I790</f>
        <v>-39.5</v>
      </c>
      <c r="O790" s="9">
        <f>data!L790</f>
        <v>-48</v>
      </c>
      <c r="P790" s="9">
        <f>data!K790</f>
        <v>-50.125</v>
      </c>
      <c r="Q790" s="9">
        <f>data!R790</f>
        <v>-49.1875</v>
      </c>
      <c r="R790" s="9">
        <f t="shared" si="605"/>
        <v>-2.5</v>
      </c>
      <c r="S790" s="9">
        <f t="shared" si="606"/>
        <v>-8.25</v>
      </c>
      <c r="T790" s="9">
        <f t="shared" si="607"/>
        <v>-16.5</v>
      </c>
      <c r="U790" s="9">
        <f t="shared" si="608"/>
        <v>-36.625</v>
      </c>
      <c r="V790" s="9">
        <f t="shared" si="609"/>
        <v>-27.625</v>
      </c>
      <c r="W790" s="9">
        <f t="shared" si="610"/>
        <v>-31.875</v>
      </c>
      <c r="X790" s="9">
        <f t="shared" si="611"/>
        <v>-7.75</v>
      </c>
      <c r="Y790" s="9">
        <f t="shared" si="612"/>
        <v>-15.375</v>
      </c>
      <c r="Z790" s="9">
        <f t="shared" si="613"/>
        <v>-10.75</v>
      </c>
      <c r="AA790" s="9">
        <f t="shared" si="614"/>
        <v>-1.25</v>
      </c>
      <c r="AB790" s="9">
        <f t="shared" si="615"/>
        <v>-7</v>
      </c>
      <c r="AC790" s="9">
        <f t="shared" si="616"/>
        <v>-14.25</v>
      </c>
      <c r="AD790" s="9">
        <f t="shared" si="617"/>
        <v>-32.875</v>
      </c>
      <c r="AE790" s="9">
        <f t="shared" si="618"/>
        <v>-8.625</v>
      </c>
      <c r="AF790" s="9">
        <f t="shared" si="619"/>
        <v>-20.875</v>
      </c>
      <c r="AG790" s="9">
        <f t="shared" si="620"/>
        <v>-15</v>
      </c>
      <c r="AH790" s="9">
        <f t="shared" si="621"/>
        <v>-22.125</v>
      </c>
      <c r="AI790" s="9">
        <f t="shared" si="622"/>
        <v>-20.125</v>
      </c>
      <c r="AJ790" s="9">
        <f t="shared" si="623"/>
        <v>-1.375</v>
      </c>
      <c r="AK790" s="9">
        <f t="shared" si="624"/>
        <v>-6.625</v>
      </c>
      <c r="AL790" s="9">
        <f t="shared" si="625"/>
        <v>-12</v>
      </c>
      <c r="AM790" s="9">
        <f t="shared" si="626"/>
        <v>-29.3125</v>
      </c>
      <c r="AN790" s="9">
        <f t="shared" si="627"/>
        <v>1</v>
      </c>
      <c r="AO790" s="9">
        <f t="shared" si="628"/>
        <v>-15</v>
      </c>
      <c r="AP790" s="9">
        <f t="shared" si="629"/>
        <v>-16.125</v>
      </c>
      <c r="AQ790" s="9">
        <f t="shared" si="630"/>
        <v>-21</v>
      </c>
      <c r="AR790" s="9">
        <f t="shared" si="631"/>
        <v>-19.875</v>
      </c>
      <c r="AS790" s="9">
        <f t="shared" si="632"/>
        <v>-1.875</v>
      </c>
      <c r="AT790" s="9">
        <f t="shared" si="633"/>
        <v>-6.375</v>
      </c>
      <c r="AU790" s="9">
        <f t="shared" si="634"/>
        <v>-8.6875</v>
      </c>
      <c r="AV790" s="9">
        <f t="shared" si="635"/>
        <v>-24.75</v>
      </c>
      <c r="AW790" s="9">
        <f t="shared" si="636"/>
        <v>2.875</v>
      </c>
      <c r="AX790" s="9">
        <f t="shared" si="637"/>
        <v>-13.125</v>
      </c>
      <c r="AY790" s="9">
        <f t="shared" si="638"/>
        <v>-16.5</v>
      </c>
      <c r="AZ790" s="9">
        <f t="shared" si="639"/>
        <v>-21</v>
      </c>
      <c r="BA790" s="9">
        <f t="shared" si="640"/>
        <v>-19.875</v>
      </c>
      <c r="BB790" s="9">
        <f t="shared" si="641"/>
        <v>-2.6875</v>
      </c>
      <c r="BC790" s="9">
        <f t="shared" si="642"/>
        <v>-6.3125</v>
      </c>
      <c r="BD790" s="9">
        <f t="shared" si="643"/>
        <v>-8</v>
      </c>
      <c r="BE790" s="9">
        <f t="shared" si="644"/>
        <v>-20.6875</v>
      </c>
      <c r="BF790" s="9">
        <f t="shared" si="645"/>
        <v>2.1875</v>
      </c>
      <c r="BG790" s="9">
        <f t="shared" si="646"/>
        <v>-13.3125</v>
      </c>
      <c r="BH790" s="9">
        <f t="shared" si="647"/>
        <v>-18.1875</v>
      </c>
      <c r="BI790" s="9">
        <f t="shared" si="648"/>
        <v>-23.1875</v>
      </c>
      <c r="BJ790" s="9">
        <f t="shared" si="649"/>
        <v>-21.5</v>
      </c>
    </row>
    <row r="791" spans="1:62" x14ac:dyDescent="0.2">
      <c r="A791" s="9">
        <f>data!M792-data!M791</f>
        <v>0.61170000000001323</v>
      </c>
      <c r="B791" s="9">
        <f>data!C792-data!C791</f>
        <v>23.03</v>
      </c>
      <c r="C791" s="9">
        <f>data!D792-data!D791</f>
        <v>2.2175000000000002</v>
      </c>
      <c r="D791" s="10">
        <f>data!B792-data!B791</f>
        <v>-0.32999999999999996</v>
      </c>
      <c r="E791" s="9">
        <f>data!E791-data!G791</f>
        <v>1.5313000000000001</v>
      </c>
      <c r="F791" s="9">
        <f>(data!E791-data!F791)-(data!G791-data!H791)</f>
        <v>9.9999999999999811E-3</v>
      </c>
      <c r="G791" s="9">
        <f t="shared" si="600"/>
        <v>-0.22370000000000001</v>
      </c>
      <c r="H791" s="9">
        <f t="shared" si="601"/>
        <v>0.12560000000000004</v>
      </c>
      <c r="I791" s="9">
        <f>IF(data!M792&gt; 111.81,1,0)</f>
        <v>1</v>
      </c>
      <c r="J791" s="9">
        <f t="shared" si="602"/>
        <v>0</v>
      </c>
      <c r="K791" s="9">
        <f t="shared" si="603"/>
        <v>0.61170000000001323</v>
      </c>
      <c r="L791" s="9">
        <f t="shared" si="604"/>
        <v>0</v>
      </c>
      <c r="M791" s="9">
        <f>data!J791</f>
        <v>-28.75</v>
      </c>
      <c r="N791" s="9">
        <f>data!I791</f>
        <v>-40.75</v>
      </c>
      <c r="O791" s="9">
        <f>data!L791</f>
        <v>-49.375</v>
      </c>
      <c r="P791" s="9">
        <f>data!K791</f>
        <v>-52</v>
      </c>
      <c r="Q791" s="9">
        <f>data!R791</f>
        <v>-51.875</v>
      </c>
      <c r="R791" s="9">
        <f t="shared" si="605"/>
        <v>-5.75</v>
      </c>
      <c r="S791" s="9">
        <f t="shared" si="606"/>
        <v>-14</v>
      </c>
      <c r="T791" s="9">
        <f t="shared" si="607"/>
        <v>-34.125</v>
      </c>
      <c r="U791" s="9">
        <f t="shared" si="608"/>
        <v>-25.125</v>
      </c>
      <c r="V791" s="9">
        <f t="shared" si="609"/>
        <v>-29.375</v>
      </c>
      <c r="W791" s="9">
        <f t="shared" si="610"/>
        <v>-5.25</v>
      </c>
      <c r="X791" s="9">
        <f t="shared" si="611"/>
        <v>-12.875</v>
      </c>
      <c r="Y791" s="9">
        <f t="shared" si="612"/>
        <v>-8.25</v>
      </c>
      <c r="Z791" s="9">
        <f t="shared" si="613"/>
        <v>2.625</v>
      </c>
      <c r="AA791" s="9">
        <f t="shared" si="614"/>
        <v>-5.75</v>
      </c>
      <c r="AB791" s="9">
        <f t="shared" si="615"/>
        <v>-13</v>
      </c>
      <c r="AC791" s="9">
        <f t="shared" si="616"/>
        <v>-31.625</v>
      </c>
      <c r="AD791" s="9">
        <f t="shared" si="617"/>
        <v>-7.375</v>
      </c>
      <c r="AE791" s="9">
        <f t="shared" si="618"/>
        <v>-19.625</v>
      </c>
      <c r="AF791" s="9">
        <f t="shared" si="619"/>
        <v>-13.75</v>
      </c>
      <c r="AG791" s="9">
        <f t="shared" si="620"/>
        <v>-20.875</v>
      </c>
      <c r="AH791" s="9">
        <f t="shared" si="621"/>
        <v>-18.875</v>
      </c>
      <c r="AI791" s="9">
        <f t="shared" si="622"/>
        <v>-13.125</v>
      </c>
      <c r="AJ791" s="9">
        <f t="shared" si="623"/>
        <v>-5.25</v>
      </c>
      <c r="AK791" s="9">
        <f t="shared" si="624"/>
        <v>-10.625</v>
      </c>
      <c r="AL791" s="9">
        <f t="shared" si="625"/>
        <v>-27.9375</v>
      </c>
      <c r="AM791" s="9">
        <f t="shared" si="626"/>
        <v>2.375</v>
      </c>
      <c r="AN791" s="9">
        <f t="shared" si="627"/>
        <v>-13.625</v>
      </c>
      <c r="AO791" s="9">
        <f t="shared" si="628"/>
        <v>-14.75</v>
      </c>
      <c r="AP791" s="9">
        <f t="shared" si="629"/>
        <v>-19.625</v>
      </c>
      <c r="AQ791" s="9">
        <f t="shared" si="630"/>
        <v>-18.5</v>
      </c>
      <c r="AR791" s="9">
        <f t="shared" si="631"/>
        <v>-16.875</v>
      </c>
      <c r="AS791" s="9">
        <f t="shared" si="632"/>
        <v>-4.5</v>
      </c>
      <c r="AT791" s="9">
        <f t="shared" si="633"/>
        <v>-6.8125</v>
      </c>
      <c r="AU791" s="9">
        <f t="shared" si="634"/>
        <v>-22.875</v>
      </c>
      <c r="AV791" s="9">
        <f t="shared" si="635"/>
        <v>4.75</v>
      </c>
      <c r="AW791" s="9">
        <f t="shared" si="636"/>
        <v>-11.25</v>
      </c>
      <c r="AX791" s="9">
        <f t="shared" si="637"/>
        <v>-14.625</v>
      </c>
      <c r="AY791" s="9">
        <f t="shared" si="638"/>
        <v>-19.125</v>
      </c>
      <c r="AZ791" s="9">
        <f t="shared" si="639"/>
        <v>-18</v>
      </c>
      <c r="BA791" s="9">
        <f t="shared" si="640"/>
        <v>-15.75</v>
      </c>
      <c r="BB791" s="9">
        <f t="shared" si="641"/>
        <v>-3.625</v>
      </c>
      <c r="BC791" s="9">
        <f t="shared" si="642"/>
        <v>-5.3125</v>
      </c>
      <c r="BD791" s="9">
        <f t="shared" si="643"/>
        <v>-18</v>
      </c>
      <c r="BE791" s="9">
        <f t="shared" si="644"/>
        <v>4.875</v>
      </c>
      <c r="BF791" s="9">
        <f t="shared" si="645"/>
        <v>-10.625</v>
      </c>
      <c r="BG791" s="9">
        <f t="shared" si="646"/>
        <v>-15.5</v>
      </c>
      <c r="BH791" s="9">
        <f t="shared" si="647"/>
        <v>-20.5</v>
      </c>
      <c r="BI791" s="9">
        <f t="shared" si="648"/>
        <v>-18.8125</v>
      </c>
      <c r="BJ791" s="9">
        <f t="shared" si="649"/>
        <v>-16.5</v>
      </c>
    </row>
    <row r="792" spans="1:62" x14ac:dyDescent="0.2">
      <c r="A792" s="9">
        <f>data!M793-data!M792</f>
        <v>-0.94410000000000593</v>
      </c>
      <c r="B792" s="9">
        <f>data!C793-data!C792</f>
        <v>1.8299999999999983</v>
      </c>
      <c r="C792" s="9">
        <f>data!D793-data!D792</f>
        <v>2.1975000000000007</v>
      </c>
      <c r="D792" s="10">
        <f>data!B793-data!B792</f>
        <v>6.7499999999999893E-2</v>
      </c>
      <c r="E792" s="9">
        <f>data!E792-data!G792</f>
        <v>1.3076000000000001</v>
      </c>
      <c r="F792" s="9">
        <f>(data!E792-data!F792)-(data!G792-data!H792)</f>
        <v>0.13560000000000003</v>
      </c>
      <c r="G792" s="9">
        <f t="shared" si="600"/>
        <v>-0.40930000000000011</v>
      </c>
      <c r="H792" s="9">
        <f t="shared" si="601"/>
        <v>-3.2500000000000001E-2</v>
      </c>
      <c r="I792" s="9">
        <f>IF(data!M793&gt; 111.81,1,0)</f>
        <v>1</v>
      </c>
      <c r="J792" s="9">
        <f t="shared" si="602"/>
        <v>0</v>
      </c>
      <c r="K792" s="9">
        <f t="shared" si="603"/>
        <v>-0.94410000000000593</v>
      </c>
      <c r="L792" s="9">
        <f t="shared" si="604"/>
        <v>0</v>
      </c>
      <c r="M792" s="9">
        <f>data!J792</f>
        <v>-34.5</v>
      </c>
      <c r="N792" s="9">
        <f>data!I792</f>
        <v>-46.5</v>
      </c>
      <c r="O792" s="9">
        <f>data!L792</f>
        <v>-54.625</v>
      </c>
      <c r="P792" s="9">
        <f>data!K792</f>
        <v>-56.5</v>
      </c>
      <c r="Q792" s="9">
        <f>data!R792</f>
        <v>-55.5</v>
      </c>
      <c r="R792" s="9">
        <f t="shared" si="605"/>
        <v>-8.25</v>
      </c>
      <c r="S792" s="9">
        <f t="shared" si="606"/>
        <v>-28.375</v>
      </c>
      <c r="T792" s="9">
        <f t="shared" si="607"/>
        <v>-19.375</v>
      </c>
      <c r="U792" s="9">
        <f t="shared" si="608"/>
        <v>-23.625</v>
      </c>
      <c r="V792" s="9">
        <f t="shared" si="609"/>
        <v>0.5</v>
      </c>
      <c r="W792" s="9">
        <f t="shared" si="610"/>
        <v>-7.125</v>
      </c>
      <c r="X792" s="9">
        <f t="shared" si="611"/>
        <v>-2.5</v>
      </c>
      <c r="Y792" s="9">
        <f t="shared" si="612"/>
        <v>8.375</v>
      </c>
      <c r="Z792" s="9">
        <f t="shared" si="613"/>
        <v>0.5</v>
      </c>
      <c r="AA792" s="9">
        <f t="shared" si="614"/>
        <v>-7.25</v>
      </c>
      <c r="AB792" s="9">
        <f t="shared" si="615"/>
        <v>-25.875</v>
      </c>
      <c r="AC792" s="9">
        <f t="shared" si="616"/>
        <v>-1.625</v>
      </c>
      <c r="AD792" s="9">
        <f t="shared" si="617"/>
        <v>-13.875</v>
      </c>
      <c r="AE792" s="9">
        <f t="shared" si="618"/>
        <v>-8</v>
      </c>
      <c r="AF792" s="9">
        <f t="shared" si="619"/>
        <v>-15.125</v>
      </c>
      <c r="AG792" s="9">
        <f t="shared" si="620"/>
        <v>-13.125</v>
      </c>
      <c r="AH792" s="9">
        <f t="shared" si="621"/>
        <v>-7.375</v>
      </c>
      <c r="AI792" s="9">
        <f t="shared" si="622"/>
        <v>-10.75</v>
      </c>
      <c r="AJ792" s="9">
        <f t="shared" si="623"/>
        <v>-5.375</v>
      </c>
      <c r="AK792" s="9">
        <f t="shared" si="624"/>
        <v>-22.6875</v>
      </c>
      <c r="AL792" s="9">
        <f t="shared" si="625"/>
        <v>7.625</v>
      </c>
      <c r="AM792" s="9">
        <f t="shared" si="626"/>
        <v>-8.375</v>
      </c>
      <c r="AN792" s="9">
        <f t="shared" si="627"/>
        <v>-9.5</v>
      </c>
      <c r="AO792" s="9">
        <f t="shared" si="628"/>
        <v>-14.375</v>
      </c>
      <c r="AP792" s="9">
        <f t="shared" si="629"/>
        <v>-13.25</v>
      </c>
      <c r="AQ792" s="9">
        <f t="shared" si="630"/>
        <v>-11.625</v>
      </c>
      <c r="AR792" s="9">
        <f t="shared" si="631"/>
        <v>-12.875</v>
      </c>
      <c r="AS792" s="9">
        <f t="shared" si="632"/>
        <v>-2.3125</v>
      </c>
      <c r="AT792" s="9">
        <f t="shared" si="633"/>
        <v>-18.375</v>
      </c>
      <c r="AU792" s="9">
        <f t="shared" si="634"/>
        <v>9.25</v>
      </c>
      <c r="AV792" s="9">
        <f t="shared" si="635"/>
        <v>-6.75</v>
      </c>
      <c r="AW792" s="9">
        <f t="shared" si="636"/>
        <v>-10.125</v>
      </c>
      <c r="AX792" s="9">
        <f t="shared" si="637"/>
        <v>-14.625</v>
      </c>
      <c r="AY792" s="9">
        <f t="shared" si="638"/>
        <v>-13.5</v>
      </c>
      <c r="AZ792" s="9">
        <f t="shared" si="639"/>
        <v>-11.25</v>
      </c>
      <c r="BA792" s="9">
        <f t="shared" si="640"/>
        <v>-12.125</v>
      </c>
      <c r="BB792" s="9">
        <f t="shared" si="641"/>
        <v>-1.6875</v>
      </c>
      <c r="BC792" s="9">
        <f t="shared" si="642"/>
        <v>-14.375</v>
      </c>
      <c r="BD792" s="9">
        <f t="shared" si="643"/>
        <v>8.5</v>
      </c>
      <c r="BE792" s="9">
        <f t="shared" si="644"/>
        <v>-7</v>
      </c>
      <c r="BF792" s="9">
        <f t="shared" si="645"/>
        <v>-11.875</v>
      </c>
      <c r="BG792" s="9">
        <f t="shared" si="646"/>
        <v>-16.875</v>
      </c>
      <c r="BH792" s="9">
        <f t="shared" si="647"/>
        <v>-15.1875</v>
      </c>
      <c r="BI792" s="9">
        <f t="shared" si="648"/>
        <v>-12.875</v>
      </c>
      <c r="BJ792" s="9">
        <f t="shared" si="649"/>
        <v>-13</v>
      </c>
    </row>
    <row r="793" spans="1:62" x14ac:dyDescent="0.2">
      <c r="A793" s="9">
        <f>data!M794-data!M793</f>
        <v>3.7306999999999988</v>
      </c>
      <c r="B793" s="9">
        <f>data!C794-data!C793</f>
        <v>15.89</v>
      </c>
      <c r="C793" s="9">
        <f>data!D794-data!D793</f>
        <v>3.1674999999999986</v>
      </c>
      <c r="D793" s="10">
        <f>data!B794-data!B793</f>
        <v>-2.6025</v>
      </c>
      <c r="E793" s="9">
        <f>data!E793-data!G793</f>
        <v>0.89829999999999999</v>
      </c>
      <c r="F793" s="9">
        <f>(data!E793-data!F793)-(data!G793-data!H793)</f>
        <v>0.10310000000000002</v>
      </c>
      <c r="G793" s="9">
        <f t="shared" si="600"/>
        <v>4.2000000000000037E-2</v>
      </c>
      <c r="H793" s="9">
        <f t="shared" si="601"/>
        <v>0.13590000000000002</v>
      </c>
      <c r="I793" s="9">
        <f>IF(data!M794&gt; 111.81,1,0)</f>
        <v>1</v>
      </c>
      <c r="J793" s="9">
        <f t="shared" si="602"/>
        <v>0</v>
      </c>
      <c r="K793" s="9">
        <f t="shared" si="603"/>
        <v>3.7306999999999988</v>
      </c>
      <c r="L793" s="9">
        <f t="shared" si="604"/>
        <v>0</v>
      </c>
      <c r="M793" s="9">
        <f>data!J793</f>
        <v>-42.75</v>
      </c>
      <c r="N793" s="9">
        <f>data!I793</f>
        <v>-53.75</v>
      </c>
      <c r="O793" s="9">
        <f>data!L793</f>
        <v>-60</v>
      </c>
      <c r="P793" s="9">
        <f>data!K793</f>
        <v>-58.8125</v>
      </c>
      <c r="Q793" s="9">
        <f>data!R793</f>
        <v>-57.1875</v>
      </c>
      <c r="R793" s="9">
        <f t="shared" si="605"/>
        <v>-20.125</v>
      </c>
      <c r="S793" s="9">
        <f t="shared" si="606"/>
        <v>-11.125</v>
      </c>
      <c r="T793" s="9">
        <f t="shared" si="607"/>
        <v>-15.375</v>
      </c>
      <c r="U793" s="9">
        <f t="shared" si="608"/>
        <v>8.75</v>
      </c>
      <c r="V793" s="9">
        <f t="shared" si="609"/>
        <v>1.125</v>
      </c>
      <c r="W793" s="9">
        <f t="shared" si="610"/>
        <v>5.75</v>
      </c>
      <c r="X793" s="9">
        <f t="shared" si="611"/>
        <v>16.625</v>
      </c>
      <c r="Y793" s="9">
        <f t="shared" si="612"/>
        <v>8.75</v>
      </c>
      <c r="Z793" s="9">
        <f t="shared" si="613"/>
        <v>4</v>
      </c>
      <c r="AA793" s="9">
        <f t="shared" si="614"/>
        <v>-18.625</v>
      </c>
      <c r="AB793" s="9">
        <f t="shared" si="615"/>
        <v>5.625</v>
      </c>
      <c r="AC793" s="9">
        <f t="shared" si="616"/>
        <v>-6.625</v>
      </c>
      <c r="AD793" s="9">
        <f t="shared" si="617"/>
        <v>-0.75</v>
      </c>
      <c r="AE793" s="9">
        <f t="shared" si="618"/>
        <v>-7.875</v>
      </c>
      <c r="AF793" s="9">
        <f t="shared" si="619"/>
        <v>-5.875</v>
      </c>
      <c r="AG793" s="9">
        <f t="shared" si="620"/>
        <v>-0.125</v>
      </c>
      <c r="AH793" s="9">
        <f t="shared" si="621"/>
        <v>-3.5</v>
      </c>
      <c r="AI793" s="9">
        <f t="shared" si="622"/>
        <v>-3.875</v>
      </c>
      <c r="AJ793" s="9">
        <f t="shared" si="623"/>
        <v>-17.3125</v>
      </c>
      <c r="AK793" s="9">
        <f t="shared" si="624"/>
        <v>13</v>
      </c>
      <c r="AL793" s="9">
        <f t="shared" si="625"/>
        <v>-3</v>
      </c>
      <c r="AM793" s="9">
        <f t="shared" si="626"/>
        <v>-4.125</v>
      </c>
      <c r="AN793" s="9">
        <f t="shared" si="627"/>
        <v>-9</v>
      </c>
      <c r="AO793" s="9">
        <f t="shared" si="628"/>
        <v>-7.875</v>
      </c>
      <c r="AP793" s="9">
        <f t="shared" si="629"/>
        <v>-6.25</v>
      </c>
      <c r="AQ793" s="9">
        <f t="shared" si="630"/>
        <v>-7.5</v>
      </c>
      <c r="AR793" s="9">
        <f t="shared" si="631"/>
        <v>-8.125</v>
      </c>
      <c r="AS793" s="9">
        <f t="shared" si="632"/>
        <v>-16.0625</v>
      </c>
      <c r="AT793" s="9">
        <f t="shared" si="633"/>
        <v>11.5625</v>
      </c>
      <c r="AU793" s="9">
        <f t="shared" si="634"/>
        <v>-4.4375</v>
      </c>
      <c r="AV793" s="9">
        <f t="shared" si="635"/>
        <v>-7.8125</v>
      </c>
      <c r="AW793" s="9">
        <f t="shared" si="636"/>
        <v>-12.3125</v>
      </c>
      <c r="AX793" s="9">
        <f t="shared" si="637"/>
        <v>-11.1875</v>
      </c>
      <c r="AY793" s="9">
        <f t="shared" si="638"/>
        <v>-8.9375</v>
      </c>
      <c r="AZ793" s="9">
        <f t="shared" si="639"/>
        <v>-9.8125</v>
      </c>
      <c r="BA793" s="9">
        <f t="shared" si="640"/>
        <v>-10.0625</v>
      </c>
      <c r="BB793" s="9">
        <f t="shared" si="641"/>
        <v>-12.6875</v>
      </c>
      <c r="BC793" s="9">
        <f t="shared" si="642"/>
        <v>10.1875</v>
      </c>
      <c r="BD793" s="9">
        <f t="shared" si="643"/>
        <v>-5.3125</v>
      </c>
      <c r="BE793" s="9">
        <f t="shared" si="644"/>
        <v>-10.1875</v>
      </c>
      <c r="BF793" s="9">
        <f t="shared" si="645"/>
        <v>-15.1875</v>
      </c>
      <c r="BG793" s="9">
        <f t="shared" si="646"/>
        <v>-13.5</v>
      </c>
      <c r="BH793" s="9">
        <f t="shared" si="647"/>
        <v>-11.1875</v>
      </c>
      <c r="BI793" s="9">
        <f t="shared" si="648"/>
        <v>-11.3125</v>
      </c>
      <c r="BJ793" s="9">
        <f t="shared" si="649"/>
        <v>-11.8125</v>
      </c>
    </row>
    <row r="794" spans="1:62" x14ac:dyDescent="0.2">
      <c r="A794" s="9">
        <f>data!M795-data!M794</f>
        <v>4.4985999999999962</v>
      </c>
      <c r="B794" s="9">
        <f>data!C795-data!C794</f>
        <v>8.210000000000008</v>
      </c>
      <c r="C794" s="9">
        <f>data!D795-data!D794</f>
        <v>-0.15499999999999936</v>
      </c>
      <c r="D794" s="10">
        <f>data!B795-data!B794</f>
        <v>-3.4674999999999998</v>
      </c>
      <c r="E794" s="9">
        <f>data!E794-data!G794</f>
        <v>0.94030000000000002</v>
      </c>
      <c r="F794" s="9">
        <f>(data!E794-data!F794)-(data!G794-data!H794)</f>
        <v>0.23900000000000005</v>
      </c>
      <c r="G794" s="9">
        <f t="shared" si="600"/>
        <v>-0.15889999999999993</v>
      </c>
      <c r="H794" s="9">
        <f t="shared" si="601"/>
        <v>4.2999999999999983E-2</v>
      </c>
      <c r="I794" s="9">
        <f>IF(data!M795&gt; 111.81,1,0)</f>
        <v>1</v>
      </c>
      <c r="J794" s="9">
        <f t="shared" si="602"/>
        <v>0</v>
      </c>
      <c r="K794" s="9">
        <f t="shared" si="603"/>
        <v>4.4985999999999962</v>
      </c>
      <c r="L794" s="9">
        <f t="shared" si="604"/>
        <v>0</v>
      </c>
      <c r="M794" s="9">
        <f>data!J794</f>
        <v>-62.875</v>
      </c>
      <c r="N794" s="9">
        <f>data!I794</f>
        <v>-72.375</v>
      </c>
      <c r="O794" s="9">
        <f>data!L794</f>
        <v>-77.3125</v>
      </c>
      <c r="P794" s="9">
        <f>data!K794</f>
        <v>-74.875</v>
      </c>
      <c r="Q794" s="9">
        <f>data!R794</f>
        <v>-69.875</v>
      </c>
      <c r="R794" s="9">
        <f t="shared" si="605"/>
        <v>9</v>
      </c>
      <c r="S794" s="9">
        <f t="shared" si="606"/>
        <v>4.75</v>
      </c>
      <c r="T794" s="9">
        <f t="shared" si="607"/>
        <v>28.875</v>
      </c>
      <c r="U794" s="9">
        <f t="shared" si="608"/>
        <v>21.25</v>
      </c>
      <c r="V794" s="9">
        <f t="shared" si="609"/>
        <v>25.875</v>
      </c>
      <c r="W794" s="9">
        <f t="shared" si="610"/>
        <v>36.75</v>
      </c>
      <c r="X794" s="9">
        <f t="shared" si="611"/>
        <v>28.875</v>
      </c>
      <c r="Y794" s="9">
        <f t="shared" si="612"/>
        <v>24.125</v>
      </c>
      <c r="Z794" s="9">
        <f t="shared" si="613"/>
        <v>27.625</v>
      </c>
      <c r="AA794" s="9">
        <f t="shared" si="614"/>
        <v>24.25</v>
      </c>
      <c r="AB794" s="9">
        <f t="shared" si="615"/>
        <v>12</v>
      </c>
      <c r="AC794" s="9">
        <f t="shared" si="616"/>
        <v>17.875</v>
      </c>
      <c r="AD794" s="9">
        <f t="shared" si="617"/>
        <v>10.75</v>
      </c>
      <c r="AE794" s="9">
        <f t="shared" si="618"/>
        <v>12.75</v>
      </c>
      <c r="AF794" s="9">
        <f t="shared" si="619"/>
        <v>18.5</v>
      </c>
      <c r="AG794" s="9">
        <f t="shared" si="620"/>
        <v>15.125</v>
      </c>
      <c r="AH794" s="9">
        <f t="shared" si="621"/>
        <v>14.75</v>
      </c>
      <c r="AI794" s="9">
        <f t="shared" si="622"/>
        <v>15</v>
      </c>
      <c r="AJ794" s="9">
        <f t="shared" si="623"/>
        <v>30.3125</v>
      </c>
      <c r="AK794" s="9">
        <f t="shared" si="624"/>
        <v>14.3125</v>
      </c>
      <c r="AL794" s="9">
        <f t="shared" si="625"/>
        <v>13.1875</v>
      </c>
      <c r="AM794" s="9">
        <f t="shared" si="626"/>
        <v>8.3125</v>
      </c>
      <c r="AN794" s="9">
        <f t="shared" si="627"/>
        <v>9.4375</v>
      </c>
      <c r="AO794" s="9">
        <f t="shared" si="628"/>
        <v>11.0625</v>
      </c>
      <c r="AP794" s="9">
        <f t="shared" si="629"/>
        <v>9.8125</v>
      </c>
      <c r="AQ794" s="9">
        <f t="shared" si="630"/>
        <v>9.1875</v>
      </c>
      <c r="AR794" s="9">
        <f t="shared" si="631"/>
        <v>8.6875</v>
      </c>
      <c r="AS794" s="9">
        <f t="shared" si="632"/>
        <v>27.625</v>
      </c>
      <c r="AT794" s="9">
        <f t="shared" si="633"/>
        <v>11.625</v>
      </c>
      <c r="AU794" s="9">
        <f t="shared" si="634"/>
        <v>8.25</v>
      </c>
      <c r="AV794" s="9">
        <f t="shared" si="635"/>
        <v>3.75</v>
      </c>
      <c r="AW794" s="9">
        <f t="shared" si="636"/>
        <v>4.875</v>
      </c>
      <c r="AX794" s="9">
        <f t="shared" si="637"/>
        <v>7.125</v>
      </c>
      <c r="AY794" s="9">
        <f t="shared" si="638"/>
        <v>6.25</v>
      </c>
      <c r="AZ794" s="9">
        <f t="shared" si="639"/>
        <v>6</v>
      </c>
      <c r="BA794" s="9">
        <f t="shared" si="640"/>
        <v>1.75</v>
      </c>
      <c r="BB794" s="9">
        <f t="shared" si="641"/>
        <v>22.875</v>
      </c>
      <c r="BC794" s="9">
        <f t="shared" si="642"/>
        <v>7.375</v>
      </c>
      <c r="BD794" s="9">
        <f t="shared" si="643"/>
        <v>2.5</v>
      </c>
      <c r="BE794" s="9">
        <f t="shared" si="644"/>
        <v>-2.5</v>
      </c>
      <c r="BF794" s="9">
        <f t="shared" si="645"/>
        <v>-0.8125</v>
      </c>
      <c r="BG794" s="9">
        <f t="shared" si="646"/>
        <v>1.5</v>
      </c>
      <c r="BH794" s="9">
        <f t="shared" si="647"/>
        <v>1.375</v>
      </c>
      <c r="BI794" s="9">
        <f t="shared" si="648"/>
        <v>0.875</v>
      </c>
      <c r="BJ794" s="9">
        <f t="shared" si="649"/>
        <v>-3.5</v>
      </c>
    </row>
    <row r="795" spans="1:62" x14ac:dyDescent="0.2">
      <c r="A795" s="9">
        <f>data!M796-data!M795</f>
        <v>-2.5327999999999946</v>
      </c>
      <c r="B795" s="9">
        <f>data!C796-data!C795</f>
        <v>-0.5</v>
      </c>
      <c r="C795" s="9">
        <f>data!D796-data!D795</f>
        <v>-0.71749999999999936</v>
      </c>
      <c r="D795" s="10">
        <f>data!B796-data!B795</f>
        <v>0.20249999999999968</v>
      </c>
      <c r="E795" s="9">
        <f>data!E795-data!G795</f>
        <v>0.78140000000000009</v>
      </c>
      <c r="F795" s="9">
        <f>(data!E795-data!F795)-(data!G795-data!H795)</f>
        <v>0.28200000000000003</v>
      </c>
      <c r="G795" s="9">
        <f t="shared" si="600"/>
        <v>-0.11280000000000012</v>
      </c>
      <c r="H795" s="9">
        <f t="shared" si="601"/>
        <v>-3.4200000000000064E-2</v>
      </c>
      <c r="I795" s="9">
        <f>IF(data!M796&gt; 111.81,1,0)</f>
        <v>1</v>
      </c>
      <c r="J795" s="9">
        <f t="shared" si="602"/>
        <v>0</v>
      </c>
      <c r="K795" s="9">
        <f t="shared" si="603"/>
        <v>-2.5327999999999946</v>
      </c>
      <c r="L795" s="9">
        <f t="shared" si="604"/>
        <v>0</v>
      </c>
      <c r="M795" s="9">
        <f>data!J795</f>
        <v>-53.875</v>
      </c>
      <c r="N795" s="9">
        <f>data!I795</f>
        <v>-48.125</v>
      </c>
      <c r="O795" s="9">
        <f>data!L795</f>
        <v>-47</v>
      </c>
      <c r="P795" s="9">
        <f>data!K795</f>
        <v>-47.25</v>
      </c>
      <c r="Q795" s="9">
        <f>data!R795</f>
        <v>-47</v>
      </c>
      <c r="R795" s="9">
        <f t="shared" si="605"/>
        <v>-4.25</v>
      </c>
      <c r="S795" s="9">
        <f t="shared" si="606"/>
        <v>19.875</v>
      </c>
      <c r="T795" s="9">
        <f t="shared" si="607"/>
        <v>12.25</v>
      </c>
      <c r="U795" s="9">
        <f t="shared" si="608"/>
        <v>16.875</v>
      </c>
      <c r="V795" s="9">
        <f t="shared" si="609"/>
        <v>27.75</v>
      </c>
      <c r="W795" s="9">
        <f t="shared" si="610"/>
        <v>19.875</v>
      </c>
      <c r="X795" s="9">
        <f t="shared" si="611"/>
        <v>15.125</v>
      </c>
      <c r="Y795" s="9">
        <f t="shared" si="612"/>
        <v>18.625</v>
      </c>
      <c r="Z795" s="9">
        <f t="shared" si="613"/>
        <v>20.125</v>
      </c>
      <c r="AA795" s="9">
        <f t="shared" si="614"/>
        <v>-12.25</v>
      </c>
      <c r="AB795" s="9">
        <f t="shared" si="615"/>
        <v>-6.375</v>
      </c>
      <c r="AC795" s="9">
        <f t="shared" si="616"/>
        <v>-13.5</v>
      </c>
      <c r="AD795" s="9">
        <f t="shared" si="617"/>
        <v>-11.5</v>
      </c>
      <c r="AE795" s="9">
        <f t="shared" si="618"/>
        <v>-5.75</v>
      </c>
      <c r="AF795" s="9">
        <f t="shared" si="619"/>
        <v>-9.125</v>
      </c>
      <c r="AG795" s="9">
        <f t="shared" si="620"/>
        <v>-9.5</v>
      </c>
      <c r="AH795" s="9">
        <f t="shared" si="621"/>
        <v>-9.25</v>
      </c>
      <c r="AI795" s="9">
        <f t="shared" si="622"/>
        <v>-7.375</v>
      </c>
      <c r="AJ795" s="9">
        <f t="shared" si="623"/>
        <v>-16</v>
      </c>
      <c r="AK795" s="9">
        <f t="shared" si="624"/>
        <v>-17.125</v>
      </c>
      <c r="AL795" s="9">
        <f t="shared" si="625"/>
        <v>-22</v>
      </c>
      <c r="AM795" s="9">
        <f t="shared" si="626"/>
        <v>-20.875</v>
      </c>
      <c r="AN795" s="9">
        <f t="shared" si="627"/>
        <v>-19.25</v>
      </c>
      <c r="AO795" s="9">
        <f t="shared" si="628"/>
        <v>-20.5</v>
      </c>
      <c r="AP795" s="9">
        <f t="shared" si="629"/>
        <v>-21.125</v>
      </c>
      <c r="AQ795" s="9">
        <f t="shared" si="630"/>
        <v>-21.625</v>
      </c>
      <c r="AR795" s="9">
        <f t="shared" si="631"/>
        <v>-20.75</v>
      </c>
      <c r="AS795" s="9">
        <f t="shared" si="632"/>
        <v>-16</v>
      </c>
      <c r="AT795" s="9">
        <f t="shared" si="633"/>
        <v>-19.375</v>
      </c>
      <c r="AU795" s="9">
        <f t="shared" si="634"/>
        <v>-23.875</v>
      </c>
      <c r="AV795" s="9">
        <f t="shared" si="635"/>
        <v>-22.75</v>
      </c>
      <c r="AW795" s="9">
        <f t="shared" si="636"/>
        <v>-20.5</v>
      </c>
      <c r="AX795" s="9">
        <f t="shared" si="637"/>
        <v>-21.375</v>
      </c>
      <c r="AY795" s="9">
        <f t="shared" si="638"/>
        <v>-21.625</v>
      </c>
      <c r="AZ795" s="9">
        <f t="shared" si="639"/>
        <v>-25.875</v>
      </c>
      <c r="BA795" s="9">
        <f t="shared" si="640"/>
        <v>-26.125</v>
      </c>
      <c r="BB795" s="9">
        <f t="shared" si="641"/>
        <v>-15.5</v>
      </c>
      <c r="BC795" s="9">
        <f t="shared" si="642"/>
        <v>-20.375</v>
      </c>
      <c r="BD795" s="9">
        <f t="shared" si="643"/>
        <v>-25.375</v>
      </c>
      <c r="BE795" s="9">
        <f t="shared" si="644"/>
        <v>-23.6875</v>
      </c>
      <c r="BF795" s="9">
        <f t="shared" si="645"/>
        <v>-21.375</v>
      </c>
      <c r="BG795" s="9">
        <f t="shared" si="646"/>
        <v>-21.5</v>
      </c>
      <c r="BH795" s="9">
        <f t="shared" si="647"/>
        <v>-22</v>
      </c>
      <c r="BI795" s="9">
        <f t="shared" si="648"/>
        <v>-26.375</v>
      </c>
      <c r="BJ795" s="9">
        <f t="shared" si="649"/>
        <v>-27</v>
      </c>
    </row>
    <row r="796" spans="1:62" x14ac:dyDescent="0.2">
      <c r="A796" s="9">
        <f>data!M797-data!M796</f>
        <v>2.0139999999999958</v>
      </c>
      <c r="B796" s="9">
        <f>data!C797-data!C796</f>
        <v>-18.740000000000009</v>
      </c>
      <c r="C796" s="9">
        <f>data!D797-data!D796</f>
        <v>-1.9900000000000002</v>
      </c>
      <c r="D796" s="10">
        <f>data!B797-data!B796</f>
        <v>2.5</v>
      </c>
      <c r="E796" s="9">
        <f>data!E796-data!G796</f>
        <v>0.66859999999999997</v>
      </c>
      <c r="F796" s="9">
        <f>(data!E796-data!F796)-(data!G796-data!H796)</f>
        <v>0.24779999999999996</v>
      </c>
      <c r="G796" s="9">
        <f t="shared" si="600"/>
        <v>-5.7799999999999963E-2</v>
      </c>
      <c r="H796" s="9">
        <f t="shared" si="601"/>
        <v>-6.8999999999999617E-3</v>
      </c>
      <c r="I796" s="9">
        <f>IF(data!M797&gt; 111.81,1,0)</f>
        <v>1</v>
      </c>
      <c r="J796" s="9">
        <f t="shared" si="602"/>
        <v>0</v>
      </c>
      <c r="K796" s="9">
        <f t="shared" si="603"/>
        <v>2.0139999999999958</v>
      </c>
      <c r="L796" s="9">
        <f t="shared" si="604"/>
        <v>0</v>
      </c>
      <c r="M796" s="9">
        <f>data!J796</f>
        <v>-58.125</v>
      </c>
      <c r="N796" s="9">
        <f>data!I796</f>
        <v>-60.375</v>
      </c>
      <c r="O796" s="9">
        <f>data!L796</f>
        <v>-63</v>
      </c>
      <c r="P796" s="9">
        <f>data!K796</f>
        <v>-63.25</v>
      </c>
      <c r="Q796" s="9">
        <f>data!R796</f>
        <v>-62.5</v>
      </c>
      <c r="R796" s="9">
        <f t="shared" si="605"/>
        <v>24.125</v>
      </c>
      <c r="S796" s="9">
        <f t="shared" si="606"/>
        <v>16.5</v>
      </c>
      <c r="T796" s="9">
        <f t="shared" si="607"/>
        <v>21.125</v>
      </c>
      <c r="U796" s="9">
        <f t="shared" si="608"/>
        <v>32</v>
      </c>
      <c r="V796" s="9">
        <f t="shared" si="609"/>
        <v>24.125</v>
      </c>
      <c r="W796" s="9">
        <f t="shared" si="610"/>
        <v>19.375</v>
      </c>
      <c r="X796" s="9">
        <f t="shared" si="611"/>
        <v>22.875</v>
      </c>
      <c r="Y796" s="9">
        <f t="shared" si="612"/>
        <v>24.375</v>
      </c>
      <c r="Z796" s="9">
        <f t="shared" si="613"/>
        <v>24.125</v>
      </c>
      <c r="AA796" s="9">
        <f t="shared" si="614"/>
        <v>5.875</v>
      </c>
      <c r="AB796" s="9">
        <f t="shared" si="615"/>
        <v>-1.25</v>
      </c>
      <c r="AC796" s="9">
        <f t="shared" si="616"/>
        <v>0.75</v>
      </c>
      <c r="AD796" s="9">
        <f t="shared" si="617"/>
        <v>6.5</v>
      </c>
      <c r="AE796" s="9">
        <f t="shared" si="618"/>
        <v>3.125</v>
      </c>
      <c r="AF796" s="9">
        <f t="shared" si="619"/>
        <v>2.75</v>
      </c>
      <c r="AG796" s="9">
        <f t="shared" si="620"/>
        <v>3</v>
      </c>
      <c r="AH796" s="9">
        <f t="shared" si="621"/>
        <v>4.875</v>
      </c>
      <c r="AI796" s="9">
        <f t="shared" si="622"/>
        <v>3.625</v>
      </c>
      <c r="AJ796" s="9">
        <f t="shared" si="623"/>
        <v>-1.125</v>
      </c>
      <c r="AK796" s="9">
        <f t="shared" si="624"/>
        <v>-6</v>
      </c>
      <c r="AL796" s="9">
        <f t="shared" si="625"/>
        <v>-4.875</v>
      </c>
      <c r="AM796" s="9">
        <f t="shared" si="626"/>
        <v>-3.25</v>
      </c>
      <c r="AN796" s="9">
        <f t="shared" si="627"/>
        <v>-4.5</v>
      </c>
      <c r="AO796" s="9">
        <f t="shared" si="628"/>
        <v>-5.125</v>
      </c>
      <c r="AP796" s="9">
        <f t="shared" si="629"/>
        <v>-5.625</v>
      </c>
      <c r="AQ796" s="9">
        <f t="shared" si="630"/>
        <v>-4.75</v>
      </c>
      <c r="AR796" s="9">
        <f t="shared" si="631"/>
        <v>-5.5</v>
      </c>
      <c r="AS796" s="9">
        <f t="shared" si="632"/>
        <v>-3.375</v>
      </c>
      <c r="AT796" s="9">
        <f t="shared" si="633"/>
        <v>-7.875</v>
      </c>
      <c r="AU796" s="9">
        <f t="shared" si="634"/>
        <v>-6.75</v>
      </c>
      <c r="AV796" s="9">
        <f t="shared" si="635"/>
        <v>-4.5</v>
      </c>
      <c r="AW796" s="9">
        <f t="shared" si="636"/>
        <v>-5.375</v>
      </c>
      <c r="AX796" s="9">
        <f t="shared" si="637"/>
        <v>-5.625</v>
      </c>
      <c r="AY796" s="9">
        <f t="shared" si="638"/>
        <v>-9.875</v>
      </c>
      <c r="AZ796" s="9">
        <f t="shared" si="639"/>
        <v>-10.125</v>
      </c>
      <c r="BA796" s="9">
        <f t="shared" si="640"/>
        <v>-11.75</v>
      </c>
      <c r="BB796" s="9">
        <f t="shared" si="641"/>
        <v>-4.875</v>
      </c>
      <c r="BC796" s="9">
        <f t="shared" si="642"/>
        <v>-9.875</v>
      </c>
      <c r="BD796" s="9">
        <f t="shared" si="643"/>
        <v>-8.1875</v>
      </c>
      <c r="BE796" s="9">
        <f t="shared" si="644"/>
        <v>-5.875</v>
      </c>
      <c r="BF796" s="9">
        <f t="shared" si="645"/>
        <v>-6</v>
      </c>
      <c r="BG796" s="9">
        <f t="shared" si="646"/>
        <v>-6.5</v>
      </c>
      <c r="BH796" s="9">
        <f t="shared" si="647"/>
        <v>-10.875</v>
      </c>
      <c r="BI796" s="9">
        <f t="shared" si="648"/>
        <v>-11.5</v>
      </c>
      <c r="BJ796" s="9">
        <f t="shared" si="649"/>
        <v>-12.25</v>
      </c>
    </row>
    <row r="797" spans="1:62" x14ac:dyDescent="0.2">
      <c r="A797" s="9">
        <f>data!M798-data!M797</f>
        <v>-2.2569000000000017</v>
      </c>
      <c r="B797" s="9">
        <f>data!C798-data!C797</f>
        <v>-5.1299999999999955</v>
      </c>
      <c r="C797" s="9">
        <f>data!D798-data!D797</f>
        <v>-1.8950000000000014</v>
      </c>
      <c r="D797" s="10">
        <f>data!B798-data!B797</f>
        <v>1.3574999999999999</v>
      </c>
      <c r="E797" s="9">
        <f>data!E797-data!G797</f>
        <v>0.61080000000000001</v>
      </c>
      <c r="F797" s="9">
        <f>(data!E797-data!F797)-(data!G797-data!H797)</f>
        <v>0.2409</v>
      </c>
      <c r="G797" s="9">
        <f t="shared" si="600"/>
        <v>0.10829999999999995</v>
      </c>
      <c r="H797" s="9">
        <f t="shared" si="601"/>
        <v>7.1799999999999975E-2</v>
      </c>
      <c r="I797" s="9">
        <f>IF(data!M798&gt; 111.81,1,0)</f>
        <v>1</v>
      </c>
      <c r="J797" s="9">
        <f t="shared" si="602"/>
        <v>0</v>
      </c>
      <c r="K797" s="9">
        <f t="shared" si="603"/>
        <v>-2.2569000000000017</v>
      </c>
      <c r="L797" s="9">
        <f t="shared" si="604"/>
        <v>0</v>
      </c>
      <c r="M797" s="9">
        <f>data!J797</f>
        <v>-34</v>
      </c>
      <c r="N797" s="9">
        <f>data!I797</f>
        <v>-54.5</v>
      </c>
      <c r="O797" s="9">
        <f>data!L797</f>
        <v>-64.125</v>
      </c>
      <c r="P797" s="9">
        <f>data!K797</f>
        <v>-66.625</v>
      </c>
      <c r="Q797" s="9">
        <f>data!R797</f>
        <v>-67.375</v>
      </c>
      <c r="R797" s="9">
        <f t="shared" si="605"/>
        <v>-7.625</v>
      </c>
      <c r="S797" s="9">
        <f t="shared" si="606"/>
        <v>-3</v>
      </c>
      <c r="T797" s="9">
        <f t="shared" si="607"/>
        <v>7.875</v>
      </c>
      <c r="U797" s="9">
        <f t="shared" si="608"/>
        <v>0</v>
      </c>
      <c r="V797" s="9">
        <f t="shared" si="609"/>
        <v>-4.75</v>
      </c>
      <c r="W797" s="9">
        <f t="shared" si="610"/>
        <v>-1.25</v>
      </c>
      <c r="X797" s="9">
        <f t="shared" si="611"/>
        <v>0.25</v>
      </c>
      <c r="Y797" s="9">
        <f t="shared" si="612"/>
        <v>0</v>
      </c>
      <c r="Z797" s="9">
        <f t="shared" si="613"/>
        <v>-0.75</v>
      </c>
      <c r="AA797" s="9">
        <f t="shared" si="614"/>
        <v>-7.125</v>
      </c>
      <c r="AB797" s="9">
        <f t="shared" si="615"/>
        <v>-5.125</v>
      </c>
      <c r="AC797" s="9">
        <f t="shared" si="616"/>
        <v>0.625</v>
      </c>
      <c r="AD797" s="9">
        <f t="shared" si="617"/>
        <v>-2.75</v>
      </c>
      <c r="AE797" s="9">
        <f t="shared" si="618"/>
        <v>-3.125</v>
      </c>
      <c r="AF797" s="9">
        <f t="shared" si="619"/>
        <v>-2.875</v>
      </c>
      <c r="AG797" s="9">
        <f t="shared" si="620"/>
        <v>-1</v>
      </c>
      <c r="AH797" s="9">
        <f t="shared" si="621"/>
        <v>-2.25</v>
      </c>
      <c r="AI797" s="9">
        <f t="shared" si="622"/>
        <v>-0.5</v>
      </c>
      <c r="AJ797" s="9">
        <f t="shared" si="623"/>
        <v>-4.875</v>
      </c>
      <c r="AK797" s="9">
        <f t="shared" si="624"/>
        <v>-3.75</v>
      </c>
      <c r="AL797" s="9">
        <f t="shared" si="625"/>
        <v>-2.125</v>
      </c>
      <c r="AM797" s="9">
        <f t="shared" si="626"/>
        <v>-3.375</v>
      </c>
      <c r="AN797" s="9">
        <f t="shared" si="627"/>
        <v>-4</v>
      </c>
      <c r="AO797" s="9">
        <f t="shared" si="628"/>
        <v>-4.5</v>
      </c>
      <c r="AP797" s="9">
        <f t="shared" si="629"/>
        <v>-3.625</v>
      </c>
      <c r="AQ797" s="9">
        <f t="shared" si="630"/>
        <v>-4.375</v>
      </c>
      <c r="AR797" s="9">
        <f t="shared" si="631"/>
        <v>-1.25</v>
      </c>
      <c r="AS797" s="9">
        <f t="shared" si="632"/>
        <v>-4.5</v>
      </c>
      <c r="AT797" s="9">
        <f t="shared" si="633"/>
        <v>-3.375</v>
      </c>
      <c r="AU797" s="9">
        <f t="shared" si="634"/>
        <v>-1.125</v>
      </c>
      <c r="AV797" s="9">
        <f t="shared" si="635"/>
        <v>-2</v>
      </c>
      <c r="AW797" s="9">
        <f t="shared" si="636"/>
        <v>-2.25</v>
      </c>
      <c r="AX797" s="9">
        <f t="shared" si="637"/>
        <v>-6.5</v>
      </c>
      <c r="AY797" s="9">
        <f t="shared" si="638"/>
        <v>-6.75</v>
      </c>
      <c r="AZ797" s="9">
        <f t="shared" si="639"/>
        <v>-8.375</v>
      </c>
      <c r="BA797" s="9">
        <f t="shared" si="640"/>
        <v>-3.875</v>
      </c>
      <c r="BB797" s="9">
        <f t="shared" si="641"/>
        <v>-5</v>
      </c>
      <c r="BC797" s="9">
        <f t="shared" si="642"/>
        <v>-3.3125</v>
      </c>
      <c r="BD797" s="9">
        <f t="shared" si="643"/>
        <v>-1</v>
      </c>
      <c r="BE797" s="9">
        <f t="shared" si="644"/>
        <v>-1.125</v>
      </c>
      <c r="BF797" s="9">
        <f t="shared" si="645"/>
        <v>-1.625</v>
      </c>
      <c r="BG797" s="9">
        <f t="shared" si="646"/>
        <v>-6</v>
      </c>
      <c r="BH797" s="9">
        <f t="shared" si="647"/>
        <v>-6.625</v>
      </c>
      <c r="BI797" s="9">
        <f t="shared" si="648"/>
        <v>-7.375</v>
      </c>
      <c r="BJ797" s="9">
        <f t="shared" si="649"/>
        <v>-2.625</v>
      </c>
    </row>
    <row r="798" spans="1:62" x14ac:dyDescent="0.2">
      <c r="A798" s="9">
        <f>data!M799-data!M798</f>
        <v>0.71229999999999905</v>
      </c>
      <c r="B798" s="9">
        <f>data!C799-data!C798</f>
        <v>-3.5200000000000031</v>
      </c>
      <c r="C798" s="9">
        <f>data!D799-data!D798</f>
        <v>7.7500000000000568E-2</v>
      </c>
      <c r="D798" s="10">
        <f>data!B799-data!B798</f>
        <v>-0.49500000000000011</v>
      </c>
      <c r="E798" s="9">
        <f>data!E798-data!G798</f>
        <v>0.71909999999999996</v>
      </c>
      <c r="F798" s="9">
        <f>(data!E798-data!F798)-(data!G798-data!H798)</f>
        <v>0.31269999999999998</v>
      </c>
      <c r="G798" s="9">
        <f t="shared" si="600"/>
        <v>-9.4399999999999928E-2</v>
      </c>
      <c r="H798" s="9">
        <f t="shared" si="601"/>
        <v>-3.2899999999999874E-2</v>
      </c>
      <c r="I798" s="9">
        <f>IF(data!M799&gt; 111.81,1,0)</f>
        <v>1</v>
      </c>
      <c r="J798" s="9">
        <f t="shared" si="602"/>
        <v>0</v>
      </c>
      <c r="K798" s="9">
        <f t="shared" si="603"/>
        <v>0.71229999999999905</v>
      </c>
      <c r="L798" s="9">
        <f t="shared" si="604"/>
        <v>0</v>
      </c>
      <c r="M798" s="9">
        <f>data!J798</f>
        <v>-41.625</v>
      </c>
      <c r="N798" s="9">
        <f>data!I798</f>
        <v>-61.625</v>
      </c>
      <c r="O798" s="9">
        <f>data!L798</f>
        <v>-69</v>
      </c>
      <c r="P798" s="9">
        <f>data!K798</f>
        <v>-71.125</v>
      </c>
      <c r="Q798" s="9">
        <f>data!R798</f>
        <v>-72.375</v>
      </c>
      <c r="R798" s="9">
        <f t="shared" si="605"/>
        <v>4.625</v>
      </c>
      <c r="S798" s="9">
        <f t="shared" si="606"/>
        <v>15.5</v>
      </c>
      <c r="T798" s="9">
        <f t="shared" si="607"/>
        <v>7.625</v>
      </c>
      <c r="U798" s="9">
        <f t="shared" si="608"/>
        <v>2.875</v>
      </c>
      <c r="V798" s="9">
        <f t="shared" si="609"/>
        <v>6.375</v>
      </c>
      <c r="W798" s="9">
        <f t="shared" si="610"/>
        <v>7.875</v>
      </c>
      <c r="X798" s="9">
        <f t="shared" si="611"/>
        <v>7.625</v>
      </c>
      <c r="Y798" s="9">
        <f t="shared" si="612"/>
        <v>6.875</v>
      </c>
      <c r="Z798" s="9">
        <f t="shared" si="613"/>
        <v>5.0625</v>
      </c>
      <c r="AA798" s="9">
        <f t="shared" si="614"/>
        <v>2</v>
      </c>
      <c r="AB798" s="9">
        <f t="shared" si="615"/>
        <v>7.75</v>
      </c>
      <c r="AC798" s="9">
        <f t="shared" si="616"/>
        <v>4.375</v>
      </c>
      <c r="AD798" s="9">
        <f t="shared" si="617"/>
        <v>4</v>
      </c>
      <c r="AE798" s="9">
        <f t="shared" si="618"/>
        <v>4.25</v>
      </c>
      <c r="AF798" s="9">
        <f t="shared" si="619"/>
        <v>6.125</v>
      </c>
      <c r="AG798" s="9">
        <f t="shared" si="620"/>
        <v>4.875</v>
      </c>
      <c r="AH798" s="9">
        <f t="shared" si="621"/>
        <v>6.625</v>
      </c>
      <c r="AI798" s="9">
        <f t="shared" si="622"/>
        <v>7.5</v>
      </c>
      <c r="AJ798" s="9">
        <f t="shared" si="623"/>
        <v>1.125</v>
      </c>
      <c r="AK798" s="9">
        <f t="shared" si="624"/>
        <v>2.75</v>
      </c>
      <c r="AL798" s="9">
        <f t="shared" si="625"/>
        <v>1.5</v>
      </c>
      <c r="AM798" s="9">
        <f t="shared" si="626"/>
        <v>0.875</v>
      </c>
      <c r="AN798" s="9">
        <f t="shared" si="627"/>
        <v>0.375</v>
      </c>
      <c r="AO798" s="9">
        <f t="shared" si="628"/>
        <v>1.25</v>
      </c>
      <c r="AP798" s="9">
        <f t="shared" si="629"/>
        <v>0.5</v>
      </c>
      <c r="AQ798" s="9">
        <f t="shared" si="630"/>
        <v>3.625</v>
      </c>
      <c r="AR798" s="9">
        <f t="shared" si="631"/>
        <v>6.375</v>
      </c>
      <c r="AS798" s="9">
        <f t="shared" si="632"/>
        <v>1.125</v>
      </c>
      <c r="AT798" s="9">
        <f t="shared" si="633"/>
        <v>3.375</v>
      </c>
      <c r="AU798" s="9">
        <f t="shared" si="634"/>
        <v>2.5</v>
      </c>
      <c r="AV798" s="9">
        <f t="shared" si="635"/>
        <v>2.25</v>
      </c>
      <c r="AW798" s="9">
        <f t="shared" si="636"/>
        <v>-2</v>
      </c>
      <c r="AX798" s="9">
        <f t="shared" si="637"/>
        <v>-2.25</v>
      </c>
      <c r="AY798" s="9">
        <f t="shared" si="638"/>
        <v>-3.875</v>
      </c>
      <c r="AZ798" s="9">
        <f t="shared" si="639"/>
        <v>0.625</v>
      </c>
      <c r="BA798" s="9">
        <f t="shared" si="640"/>
        <v>4.625</v>
      </c>
      <c r="BB798" s="9">
        <f t="shared" si="641"/>
        <v>1.6875</v>
      </c>
      <c r="BC798" s="9">
        <f t="shared" si="642"/>
        <v>4</v>
      </c>
      <c r="BD798" s="9">
        <f t="shared" si="643"/>
        <v>3.875</v>
      </c>
      <c r="BE798" s="9">
        <f t="shared" si="644"/>
        <v>3.375</v>
      </c>
      <c r="BF798" s="9">
        <f t="shared" si="645"/>
        <v>-1</v>
      </c>
      <c r="BG798" s="9">
        <f t="shared" si="646"/>
        <v>-1.625</v>
      </c>
      <c r="BH798" s="9">
        <f t="shared" si="647"/>
        <v>-2.375</v>
      </c>
      <c r="BI798" s="9">
        <f t="shared" si="648"/>
        <v>2.375</v>
      </c>
      <c r="BJ798" s="9">
        <f t="shared" si="649"/>
        <v>5.125</v>
      </c>
    </row>
    <row r="799" spans="1:62" x14ac:dyDescent="0.2">
      <c r="A799" s="9">
        <f>data!M800-data!M799</f>
        <v>1.292900000000003</v>
      </c>
      <c r="B799" s="9">
        <f>data!C800-data!C799</f>
        <v>-2.2199999999999989</v>
      </c>
      <c r="C799" s="9">
        <f>data!D800-data!D799</f>
        <v>-0.26249999999999929</v>
      </c>
      <c r="D799" s="10">
        <f>data!B800-data!B799</f>
        <v>-0.11749999999999972</v>
      </c>
      <c r="E799" s="9">
        <f>data!E799-data!G799</f>
        <v>0.62470000000000003</v>
      </c>
      <c r="F799" s="9">
        <f>(data!E799-data!F799)-(data!G799-data!H799)</f>
        <v>0.2798000000000001</v>
      </c>
      <c r="G799" s="9">
        <f t="shared" si="600"/>
        <v>1.0999999999999899E-3</v>
      </c>
      <c r="H799" s="9">
        <f t="shared" si="601"/>
        <v>-3.9500000000000146E-2</v>
      </c>
      <c r="I799" s="9">
        <f>IF(data!M800&gt; 111.81,1,0)</f>
        <v>1</v>
      </c>
      <c r="J799" s="9">
        <f t="shared" si="602"/>
        <v>0</v>
      </c>
      <c r="K799" s="9">
        <f t="shared" si="603"/>
        <v>1.292900000000003</v>
      </c>
      <c r="L799" s="9">
        <f t="shared" si="604"/>
        <v>0</v>
      </c>
      <c r="M799" s="9">
        <f>data!J799</f>
        <v>-37</v>
      </c>
      <c r="N799" s="9">
        <f>data!I799</f>
        <v>-59.625</v>
      </c>
      <c r="O799" s="9">
        <f>data!L799</f>
        <v>-67.875</v>
      </c>
      <c r="P799" s="9">
        <f>data!K799</f>
        <v>-70</v>
      </c>
      <c r="Q799" s="9">
        <f>data!R799</f>
        <v>-70.6875</v>
      </c>
      <c r="R799" s="9">
        <f t="shared" si="605"/>
        <v>10.875</v>
      </c>
      <c r="S799" s="9">
        <f t="shared" si="606"/>
        <v>3</v>
      </c>
      <c r="T799" s="9">
        <f t="shared" si="607"/>
        <v>-1.75</v>
      </c>
      <c r="U799" s="9">
        <f t="shared" si="608"/>
        <v>1.75</v>
      </c>
      <c r="V799" s="9">
        <f t="shared" si="609"/>
        <v>3.25</v>
      </c>
      <c r="W799" s="9">
        <f t="shared" si="610"/>
        <v>3</v>
      </c>
      <c r="X799" s="9">
        <f t="shared" si="611"/>
        <v>2.25</v>
      </c>
      <c r="Y799" s="9">
        <f t="shared" si="612"/>
        <v>0.4375</v>
      </c>
      <c r="Z799" s="9">
        <f t="shared" si="613"/>
        <v>2.75</v>
      </c>
      <c r="AA799" s="9">
        <f t="shared" si="614"/>
        <v>5.75</v>
      </c>
      <c r="AB799" s="9">
        <f t="shared" si="615"/>
        <v>2.375</v>
      </c>
      <c r="AC799" s="9">
        <f t="shared" si="616"/>
        <v>2</v>
      </c>
      <c r="AD799" s="9">
        <f t="shared" si="617"/>
        <v>2.25</v>
      </c>
      <c r="AE799" s="9">
        <f t="shared" si="618"/>
        <v>4.125</v>
      </c>
      <c r="AF799" s="9">
        <f t="shared" si="619"/>
        <v>2.875</v>
      </c>
      <c r="AG799" s="9">
        <f t="shared" si="620"/>
        <v>4.625</v>
      </c>
      <c r="AH799" s="9">
        <f t="shared" si="621"/>
        <v>5.5</v>
      </c>
      <c r="AI799" s="9">
        <f t="shared" si="622"/>
        <v>7.375</v>
      </c>
      <c r="AJ799" s="9">
        <f t="shared" si="623"/>
        <v>1.625</v>
      </c>
      <c r="AK799" s="9">
        <f t="shared" si="624"/>
        <v>0.375</v>
      </c>
      <c r="AL799" s="9">
        <f t="shared" si="625"/>
        <v>-0.25</v>
      </c>
      <c r="AM799" s="9">
        <f t="shared" si="626"/>
        <v>-0.75</v>
      </c>
      <c r="AN799" s="9">
        <f t="shared" si="627"/>
        <v>0.125</v>
      </c>
      <c r="AO799" s="9">
        <f t="shared" si="628"/>
        <v>-0.625</v>
      </c>
      <c r="AP799" s="9">
        <f t="shared" si="629"/>
        <v>2.5</v>
      </c>
      <c r="AQ799" s="9">
        <f t="shared" si="630"/>
        <v>5.25</v>
      </c>
      <c r="AR799" s="9">
        <f t="shared" si="631"/>
        <v>7.25</v>
      </c>
      <c r="AS799" s="9">
        <f t="shared" si="632"/>
        <v>2.25</v>
      </c>
      <c r="AT799" s="9">
        <f t="shared" si="633"/>
        <v>1.375</v>
      </c>
      <c r="AU799" s="9">
        <f t="shared" si="634"/>
        <v>1.125</v>
      </c>
      <c r="AV799" s="9">
        <f t="shared" si="635"/>
        <v>-3.125</v>
      </c>
      <c r="AW799" s="9">
        <f t="shared" si="636"/>
        <v>-3.375</v>
      </c>
      <c r="AX799" s="9">
        <f t="shared" si="637"/>
        <v>-5</v>
      </c>
      <c r="AY799" s="9">
        <f t="shared" si="638"/>
        <v>-0.5</v>
      </c>
      <c r="AZ799" s="9">
        <f t="shared" si="639"/>
        <v>3.5</v>
      </c>
      <c r="BA799" s="9">
        <f t="shared" si="640"/>
        <v>6</v>
      </c>
      <c r="BB799" s="9">
        <f t="shared" si="641"/>
        <v>2.3125</v>
      </c>
      <c r="BC799" s="9">
        <f t="shared" si="642"/>
        <v>2.1875</v>
      </c>
      <c r="BD799" s="9">
        <f t="shared" si="643"/>
        <v>1.6875</v>
      </c>
      <c r="BE799" s="9">
        <f t="shared" si="644"/>
        <v>-2.6875</v>
      </c>
      <c r="BF799" s="9">
        <f t="shared" si="645"/>
        <v>-3.3125</v>
      </c>
      <c r="BG799" s="9">
        <f t="shared" si="646"/>
        <v>-4.0625</v>
      </c>
      <c r="BH799" s="9">
        <f t="shared" si="647"/>
        <v>0.6875</v>
      </c>
      <c r="BI799" s="9">
        <f t="shared" si="648"/>
        <v>3.4375</v>
      </c>
      <c r="BJ799" s="9">
        <f t="shared" si="649"/>
        <v>5.6875</v>
      </c>
    </row>
    <row r="800" spans="1:62" x14ac:dyDescent="0.2">
      <c r="A800" s="9">
        <f>data!M801-data!M800</f>
        <v>-1.0104999999999933</v>
      </c>
      <c r="B800" s="9">
        <f>data!C801-data!C800</f>
        <v>1.259999999999998</v>
      </c>
      <c r="C800" s="9">
        <f>data!D801-data!D800</f>
        <v>-0.25500000000000078</v>
      </c>
      <c r="D800" s="10">
        <f>data!B801-data!B800</f>
        <v>0.22750000000000004</v>
      </c>
      <c r="E800" s="9">
        <f>data!E800-data!G800</f>
        <v>0.62580000000000002</v>
      </c>
      <c r="F800" s="9">
        <f>(data!E800-data!F800)-(data!G800-data!H800)</f>
        <v>0.24029999999999996</v>
      </c>
      <c r="G800" s="9">
        <f t="shared" si="600"/>
        <v>1.7000000000000015E-2</v>
      </c>
      <c r="H800" s="9">
        <f t="shared" si="601"/>
        <v>4.9500000000000044E-2</v>
      </c>
      <c r="I800" s="9">
        <f>IF(data!M801&gt; 111.81,1,0)</f>
        <v>1</v>
      </c>
      <c r="J800" s="9">
        <f t="shared" si="602"/>
        <v>0</v>
      </c>
      <c r="K800" s="9">
        <f t="shared" si="603"/>
        <v>-1.0104999999999933</v>
      </c>
      <c r="L800" s="9">
        <f t="shared" si="604"/>
        <v>0</v>
      </c>
      <c r="M800" s="9">
        <f>data!J800</f>
        <v>-26.125</v>
      </c>
      <c r="N800" s="9">
        <f>data!I800</f>
        <v>-53.875</v>
      </c>
      <c r="O800" s="9">
        <f>data!L800</f>
        <v>-66.25</v>
      </c>
      <c r="P800" s="9">
        <f>data!K800</f>
        <v>-67.75</v>
      </c>
      <c r="Q800" s="9">
        <f>data!R800</f>
        <v>-68.375</v>
      </c>
      <c r="R800" s="9">
        <f t="shared" si="605"/>
        <v>-7.875</v>
      </c>
      <c r="S800" s="9">
        <f t="shared" si="606"/>
        <v>-12.625</v>
      </c>
      <c r="T800" s="9">
        <f t="shared" si="607"/>
        <v>-9.125</v>
      </c>
      <c r="U800" s="9">
        <f t="shared" si="608"/>
        <v>-7.625</v>
      </c>
      <c r="V800" s="9">
        <f t="shared" si="609"/>
        <v>-7.875</v>
      </c>
      <c r="W800" s="9">
        <f t="shared" si="610"/>
        <v>-8.625</v>
      </c>
      <c r="X800" s="9">
        <f t="shared" si="611"/>
        <v>-10.4375</v>
      </c>
      <c r="Y800" s="9">
        <f t="shared" si="612"/>
        <v>-8.125</v>
      </c>
      <c r="Z800" s="9">
        <f t="shared" si="613"/>
        <v>-7.75</v>
      </c>
      <c r="AA800" s="9">
        <f t="shared" si="614"/>
        <v>-3.375</v>
      </c>
      <c r="AB800" s="9">
        <f t="shared" si="615"/>
        <v>-3.75</v>
      </c>
      <c r="AC800" s="9">
        <f t="shared" si="616"/>
        <v>-3.5</v>
      </c>
      <c r="AD800" s="9">
        <f t="shared" si="617"/>
        <v>-1.625</v>
      </c>
      <c r="AE800" s="9">
        <f t="shared" si="618"/>
        <v>-2.875</v>
      </c>
      <c r="AF800" s="9">
        <f t="shared" si="619"/>
        <v>-1.125</v>
      </c>
      <c r="AG800" s="9">
        <f t="shared" si="620"/>
        <v>-0.25</v>
      </c>
      <c r="AH800" s="9">
        <f t="shared" si="621"/>
        <v>1.625</v>
      </c>
      <c r="AI800" s="9">
        <f t="shared" si="622"/>
        <v>1.75</v>
      </c>
      <c r="AJ800" s="9">
        <f t="shared" si="623"/>
        <v>-1.25</v>
      </c>
      <c r="AK800" s="9">
        <f t="shared" si="624"/>
        <v>-1.875</v>
      </c>
      <c r="AL800" s="9">
        <f t="shared" si="625"/>
        <v>-2.375</v>
      </c>
      <c r="AM800" s="9">
        <f t="shared" si="626"/>
        <v>-1.5</v>
      </c>
      <c r="AN800" s="9">
        <f t="shared" si="627"/>
        <v>-2.25</v>
      </c>
      <c r="AO800" s="9">
        <f t="shared" si="628"/>
        <v>0.875</v>
      </c>
      <c r="AP800" s="9">
        <f t="shared" si="629"/>
        <v>3.625</v>
      </c>
      <c r="AQ800" s="9">
        <f t="shared" si="630"/>
        <v>5.625</v>
      </c>
      <c r="AR800" s="9">
        <f t="shared" si="631"/>
        <v>6.25</v>
      </c>
      <c r="AS800" s="9">
        <f t="shared" si="632"/>
        <v>-0.875</v>
      </c>
      <c r="AT800" s="9">
        <f t="shared" si="633"/>
        <v>-1.125</v>
      </c>
      <c r="AU800" s="9">
        <f t="shared" si="634"/>
        <v>-5.375</v>
      </c>
      <c r="AV800" s="9">
        <f t="shared" si="635"/>
        <v>-5.625</v>
      </c>
      <c r="AW800" s="9">
        <f t="shared" si="636"/>
        <v>-7.25</v>
      </c>
      <c r="AX800" s="9">
        <f t="shared" si="637"/>
        <v>-2.75</v>
      </c>
      <c r="AY800" s="9">
        <f t="shared" si="638"/>
        <v>1.25</v>
      </c>
      <c r="AZ800" s="9">
        <f t="shared" si="639"/>
        <v>3.75</v>
      </c>
      <c r="BA800" s="9">
        <f t="shared" si="640"/>
        <v>3.125</v>
      </c>
      <c r="BB800" s="9">
        <f t="shared" si="641"/>
        <v>-0.125</v>
      </c>
      <c r="BC800" s="9">
        <f t="shared" si="642"/>
        <v>-0.625</v>
      </c>
      <c r="BD800" s="9">
        <f t="shared" si="643"/>
        <v>-5</v>
      </c>
      <c r="BE800" s="9">
        <f t="shared" si="644"/>
        <v>-5.625</v>
      </c>
      <c r="BF800" s="9">
        <f t="shared" si="645"/>
        <v>-6.375</v>
      </c>
      <c r="BG800" s="9">
        <f t="shared" si="646"/>
        <v>-1.625</v>
      </c>
      <c r="BH800" s="9">
        <f t="shared" si="647"/>
        <v>1.125</v>
      </c>
      <c r="BI800" s="9">
        <f t="shared" si="648"/>
        <v>3.375</v>
      </c>
      <c r="BJ800" s="9">
        <f t="shared" si="649"/>
        <v>2.875</v>
      </c>
    </row>
    <row r="801" spans="1:62" x14ac:dyDescent="0.2">
      <c r="A801" s="9">
        <f>data!M802-data!M801</f>
        <v>-0.61500000000000909</v>
      </c>
      <c r="B801" s="9">
        <f>data!C802-data!C801</f>
        <v>-9.2099999999999973</v>
      </c>
      <c r="C801" s="9">
        <f>data!D802-data!D801</f>
        <v>-0.27499999999999947</v>
      </c>
      <c r="D801" s="10">
        <f>data!B802-data!B801</f>
        <v>0.52249999999999996</v>
      </c>
      <c r="E801" s="9">
        <f>data!E801-data!G801</f>
        <v>0.64280000000000004</v>
      </c>
      <c r="F801" s="9">
        <f>(data!E801-data!F801)-(data!G801-data!H801)</f>
        <v>0.2898</v>
      </c>
      <c r="G801" s="9">
        <f t="shared" si="600"/>
        <v>4.830000000000001E-2</v>
      </c>
      <c r="H801" s="9">
        <f t="shared" si="601"/>
        <v>7.1500000000000008E-2</v>
      </c>
      <c r="I801" s="9">
        <f>IF(data!M802&gt; 111.81,1,0)</f>
        <v>1</v>
      </c>
      <c r="J801" s="9">
        <f t="shared" si="602"/>
        <v>0</v>
      </c>
      <c r="K801" s="9">
        <f t="shared" si="603"/>
        <v>-0.61500000000000909</v>
      </c>
      <c r="L801" s="9">
        <f t="shared" si="604"/>
        <v>0</v>
      </c>
      <c r="M801" s="9">
        <f>data!J801</f>
        <v>-34</v>
      </c>
      <c r="N801" s="9">
        <f>data!I801</f>
        <v>-57.25</v>
      </c>
      <c r="O801" s="9">
        <f>data!L801</f>
        <v>-67.5</v>
      </c>
      <c r="P801" s="9">
        <f>data!K801</f>
        <v>-68.625</v>
      </c>
      <c r="Q801" s="9">
        <f>data!R801</f>
        <v>-68.5</v>
      </c>
      <c r="R801" s="9">
        <f t="shared" si="605"/>
        <v>-4.75</v>
      </c>
      <c r="S801" s="9">
        <f t="shared" si="606"/>
        <v>-1.25</v>
      </c>
      <c r="T801" s="9">
        <f t="shared" si="607"/>
        <v>0.25</v>
      </c>
      <c r="U801" s="9">
        <f t="shared" si="608"/>
        <v>0</v>
      </c>
      <c r="V801" s="9">
        <f t="shared" si="609"/>
        <v>-0.75</v>
      </c>
      <c r="W801" s="9">
        <f t="shared" si="610"/>
        <v>-2.5625</v>
      </c>
      <c r="X801" s="9">
        <f t="shared" si="611"/>
        <v>-0.25</v>
      </c>
      <c r="Y801" s="9">
        <f t="shared" si="612"/>
        <v>0.125</v>
      </c>
      <c r="Z801" s="9">
        <f t="shared" si="613"/>
        <v>3</v>
      </c>
      <c r="AA801" s="9">
        <f t="shared" si="614"/>
        <v>-0.375</v>
      </c>
      <c r="AB801" s="9">
        <f t="shared" si="615"/>
        <v>-0.125</v>
      </c>
      <c r="AC801" s="9">
        <f t="shared" si="616"/>
        <v>1.75</v>
      </c>
      <c r="AD801" s="9">
        <f t="shared" si="617"/>
        <v>0.5</v>
      </c>
      <c r="AE801" s="9">
        <f t="shared" si="618"/>
        <v>2.25</v>
      </c>
      <c r="AF801" s="9">
        <f t="shared" si="619"/>
        <v>3.125</v>
      </c>
      <c r="AG801" s="9">
        <f t="shared" si="620"/>
        <v>5</v>
      </c>
      <c r="AH801" s="9">
        <f t="shared" si="621"/>
        <v>5.125</v>
      </c>
      <c r="AI801" s="9">
        <f t="shared" si="622"/>
        <v>7.375</v>
      </c>
      <c r="AJ801" s="9">
        <f t="shared" si="623"/>
        <v>-0.625</v>
      </c>
      <c r="AK801" s="9">
        <f t="shared" si="624"/>
        <v>-1.125</v>
      </c>
      <c r="AL801" s="9">
        <f t="shared" si="625"/>
        <v>-0.25</v>
      </c>
      <c r="AM801" s="9">
        <f t="shared" si="626"/>
        <v>-1</v>
      </c>
      <c r="AN801" s="9">
        <f t="shared" si="627"/>
        <v>2.125</v>
      </c>
      <c r="AO801" s="9">
        <f t="shared" si="628"/>
        <v>4.875</v>
      </c>
      <c r="AP801" s="9">
        <f t="shared" si="629"/>
        <v>6.875</v>
      </c>
      <c r="AQ801" s="9">
        <f t="shared" si="630"/>
        <v>7.5</v>
      </c>
      <c r="AR801" s="9">
        <f t="shared" si="631"/>
        <v>8.625</v>
      </c>
      <c r="AS801" s="9">
        <f t="shared" si="632"/>
        <v>-0.25</v>
      </c>
      <c r="AT801" s="9">
        <f t="shared" si="633"/>
        <v>-4.5</v>
      </c>
      <c r="AU801" s="9">
        <f t="shared" si="634"/>
        <v>-4.75</v>
      </c>
      <c r="AV801" s="9">
        <f t="shared" si="635"/>
        <v>-6.375</v>
      </c>
      <c r="AW801" s="9">
        <f t="shared" si="636"/>
        <v>-1.875</v>
      </c>
      <c r="AX801" s="9">
        <f t="shared" si="637"/>
        <v>2.125</v>
      </c>
      <c r="AY801" s="9">
        <f t="shared" si="638"/>
        <v>4.625</v>
      </c>
      <c r="AZ801" s="9">
        <f t="shared" si="639"/>
        <v>4</v>
      </c>
      <c r="BA801" s="9">
        <f t="shared" si="640"/>
        <v>4.5</v>
      </c>
      <c r="BB801" s="9">
        <f t="shared" si="641"/>
        <v>-0.5</v>
      </c>
      <c r="BC801" s="9">
        <f t="shared" si="642"/>
        <v>-4.875</v>
      </c>
      <c r="BD801" s="9">
        <f t="shared" si="643"/>
        <v>-5.5</v>
      </c>
      <c r="BE801" s="9">
        <f t="shared" si="644"/>
        <v>-6.25</v>
      </c>
      <c r="BF801" s="9">
        <f t="shared" si="645"/>
        <v>-1.5</v>
      </c>
      <c r="BG801" s="9">
        <f t="shared" si="646"/>
        <v>1.25</v>
      </c>
      <c r="BH801" s="9">
        <f t="shared" si="647"/>
        <v>3.5</v>
      </c>
      <c r="BI801" s="9">
        <f t="shared" si="648"/>
        <v>3</v>
      </c>
      <c r="BJ801" s="9">
        <f t="shared" si="649"/>
        <v>3.5</v>
      </c>
    </row>
    <row r="802" spans="1:62" x14ac:dyDescent="0.2">
      <c r="A802" s="9">
        <f>data!M803-data!M802</f>
        <v>1.0615000000000094</v>
      </c>
      <c r="B802" s="9">
        <f>data!C803-data!C802</f>
        <v>3.91</v>
      </c>
      <c r="C802" s="9">
        <f>data!D803-data!D802</f>
        <v>-0.65500000000000025</v>
      </c>
      <c r="D802" s="10">
        <f>data!B803-data!B802</f>
        <v>4.9999999999999822E-2</v>
      </c>
      <c r="E802" s="9">
        <f>data!E802-data!G802</f>
        <v>0.69110000000000005</v>
      </c>
      <c r="F802" s="9">
        <f>(data!E802-data!F802)-(data!G802-data!H802)</f>
        <v>0.36130000000000001</v>
      </c>
      <c r="G802" s="9">
        <f t="shared" si="600"/>
        <v>-4.0300000000000002E-2</v>
      </c>
      <c r="H802" s="9">
        <f t="shared" si="601"/>
        <v>-1.9600000000000006E-2</v>
      </c>
      <c r="I802" s="9">
        <f>IF(data!M803&gt; 111.81,1,0)</f>
        <v>1</v>
      </c>
      <c r="J802" s="9">
        <f t="shared" si="602"/>
        <v>0</v>
      </c>
      <c r="K802" s="9">
        <f t="shared" si="603"/>
        <v>1.0615000000000094</v>
      </c>
      <c r="L802" s="9">
        <f t="shared" si="604"/>
        <v>0</v>
      </c>
      <c r="M802" s="9">
        <f>data!J802</f>
        <v>-38.75</v>
      </c>
      <c r="N802" s="9">
        <f>data!I802</f>
        <v>-57.625</v>
      </c>
      <c r="O802" s="9">
        <f>data!L802</f>
        <v>-68.125</v>
      </c>
      <c r="P802" s="9">
        <f>data!K802</f>
        <v>-68.875</v>
      </c>
      <c r="Q802" s="9">
        <f>data!R802</f>
        <v>-69</v>
      </c>
      <c r="R802" s="9">
        <f t="shared" si="605"/>
        <v>3.5</v>
      </c>
      <c r="S802" s="9">
        <f t="shared" si="606"/>
        <v>5</v>
      </c>
      <c r="T802" s="9">
        <f t="shared" si="607"/>
        <v>4.75</v>
      </c>
      <c r="U802" s="9">
        <f t="shared" si="608"/>
        <v>4</v>
      </c>
      <c r="V802" s="9">
        <f t="shared" si="609"/>
        <v>2.1875</v>
      </c>
      <c r="W802" s="9">
        <f t="shared" si="610"/>
        <v>4.5</v>
      </c>
      <c r="X802" s="9">
        <f t="shared" si="611"/>
        <v>4.875</v>
      </c>
      <c r="Y802" s="9">
        <f t="shared" si="612"/>
        <v>7.75</v>
      </c>
      <c r="Z802" s="9">
        <f t="shared" si="613"/>
        <v>6.8125</v>
      </c>
      <c r="AA802" s="9">
        <f t="shared" si="614"/>
        <v>0.25</v>
      </c>
      <c r="AB802" s="9">
        <f t="shared" si="615"/>
        <v>2.125</v>
      </c>
      <c r="AC802" s="9">
        <f t="shared" si="616"/>
        <v>0.875</v>
      </c>
      <c r="AD802" s="9">
        <f t="shared" si="617"/>
        <v>2.625</v>
      </c>
      <c r="AE802" s="9">
        <f t="shared" si="618"/>
        <v>3.5</v>
      </c>
      <c r="AF802" s="9">
        <f t="shared" si="619"/>
        <v>5.375</v>
      </c>
      <c r="AG802" s="9">
        <f t="shared" si="620"/>
        <v>5.5</v>
      </c>
      <c r="AH802" s="9">
        <f t="shared" si="621"/>
        <v>7.75</v>
      </c>
      <c r="AI802" s="9">
        <f t="shared" si="622"/>
        <v>7.875</v>
      </c>
      <c r="AJ802" s="9">
        <f t="shared" si="623"/>
        <v>-0.5</v>
      </c>
      <c r="AK802" s="9">
        <f t="shared" si="624"/>
        <v>0.375</v>
      </c>
      <c r="AL802" s="9">
        <f t="shared" si="625"/>
        <v>-0.375</v>
      </c>
      <c r="AM802" s="9">
        <f t="shared" si="626"/>
        <v>2.75</v>
      </c>
      <c r="AN802" s="9">
        <f t="shared" si="627"/>
        <v>5.5</v>
      </c>
      <c r="AO802" s="9">
        <f t="shared" si="628"/>
        <v>7.5</v>
      </c>
      <c r="AP802" s="9">
        <f t="shared" si="629"/>
        <v>8.125</v>
      </c>
      <c r="AQ802" s="9">
        <f t="shared" si="630"/>
        <v>9.25</v>
      </c>
      <c r="AR802" s="9">
        <f t="shared" si="631"/>
        <v>7.875</v>
      </c>
      <c r="AS802" s="9">
        <f t="shared" si="632"/>
        <v>-4.25</v>
      </c>
      <c r="AT802" s="9">
        <f t="shared" si="633"/>
        <v>-4.5</v>
      </c>
      <c r="AU802" s="9">
        <f t="shared" si="634"/>
        <v>-6.125</v>
      </c>
      <c r="AV802" s="9">
        <f t="shared" si="635"/>
        <v>-1.625</v>
      </c>
      <c r="AW802" s="9">
        <f t="shared" si="636"/>
        <v>2.375</v>
      </c>
      <c r="AX802" s="9">
        <f t="shared" si="637"/>
        <v>4.875</v>
      </c>
      <c r="AY802" s="9">
        <f t="shared" si="638"/>
        <v>4.25</v>
      </c>
      <c r="AZ802" s="9">
        <f t="shared" si="639"/>
        <v>4.75</v>
      </c>
      <c r="BA802" s="9">
        <f t="shared" si="640"/>
        <v>2.875</v>
      </c>
      <c r="BB802" s="9">
        <f t="shared" si="641"/>
        <v>-4.375</v>
      </c>
      <c r="BC802" s="9">
        <f t="shared" si="642"/>
        <v>-5</v>
      </c>
      <c r="BD802" s="9">
        <f t="shared" si="643"/>
        <v>-5.75</v>
      </c>
      <c r="BE802" s="9">
        <f t="shared" si="644"/>
        <v>-1</v>
      </c>
      <c r="BF802" s="9">
        <f t="shared" si="645"/>
        <v>1.75</v>
      </c>
      <c r="BG802" s="9">
        <f t="shared" si="646"/>
        <v>4</v>
      </c>
      <c r="BH802" s="9">
        <f t="shared" si="647"/>
        <v>3.5</v>
      </c>
      <c r="BI802" s="9">
        <f t="shared" si="648"/>
        <v>4</v>
      </c>
      <c r="BJ802" s="9">
        <f t="shared" si="649"/>
        <v>2</v>
      </c>
    </row>
    <row r="803" spans="1:62" x14ac:dyDescent="0.2">
      <c r="A803" s="9">
        <f>data!M804-data!M803</f>
        <v>-1.2802000000000078</v>
      </c>
      <c r="B803" s="9">
        <f>data!C804-data!C803</f>
        <v>-3.7300000000000004</v>
      </c>
      <c r="C803" s="9">
        <f>data!D804-data!D803</f>
        <v>-0.85499999999999954</v>
      </c>
      <c r="D803" s="10">
        <f>data!B804-data!B803</f>
        <v>0.61250000000000027</v>
      </c>
      <c r="E803" s="9">
        <f>data!E803-data!G803</f>
        <v>0.65080000000000005</v>
      </c>
      <c r="F803" s="9">
        <f>(data!E803-data!F803)-(data!G803-data!H803)</f>
        <v>0.3417</v>
      </c>
      <c r="G803" s="9">
        <f t="shared" si="600"/>
        <v>1.7299999999999982E-2</v>
      </c>
      <c r="H803" s="9">
        <f t="shared" si="601"/>
        <v>-2.4199999999999944E-2</v>
      </c>
      <c r="I803" s="9">
        <f>IF(data!M804&gt; 111.81,1,0)</f>
        <v>1</v>
      </c>
      <c r="J803" s="9">
        <f t="shared" si="602"/>
        <v>0</v>
      </c>
      <c r="K803" s="9">
        <f t="shared" si="603"/>
        <v>-1.2802000000000078</v>
      </c>
      <c r="L803" s="9">
        <f t="shared" si="604"/>
        <v>0</v>
      </c>
      <c r="M803" s="9">
        <f>data!J803</f>
        <v>-35.25</v>
      </c>
      <c r="N803" s="9">
        <f>data!I803</f>
        <v>-57.375</v>
      </c>
      <c r="O803" s="9">
        <f>data!L803</f>
        <v>-68.625</v>
      </c>
      <c r="P803" s="9">
        <f>data!K803</f>
        <v>-73.125</v>
      </c>
      <c r="Q803" s="9">
        <f>data!R803</f>
        <v>-73.375</v>
      </c>
      <c r="R803" s="9">
        <f t="shared" si="605"/>
        <v>1.5</v>
      </c>
      <c r="S803" s="9">
        <f t="shared" si="606"/>
        <v>1.25</v>
      </c>
      <c r="T803" s="9">
        <f t="shared" si="607"/>
        <v>0.5</v>
      </c>
      <c r="U803" s="9">
        <f t="shared" si="608"/>
        <v>-1.3125</v>
      </c>
      <c r="V803" s="9">
        <f t="shared" si="609"/>
        <v>1</v>
      </c>
      <c r="W803" s="9">
        <f t="shared" si="610"/>
        <v>1.375</v>
      </c>
      <c r="X803" s="9">
        <f t="shared" si="611"/>
        <v>4.25</v>
      </c>
      <c r="Y803" s="9">
        <f t="shared" si="612"/>
        <v>3.3125</v>
      </c>
      <c r="Z803" s="9">
        <f t="shared" si="613"/>
        <v>5.875</v>
      </c>
      <c r="AA803" s="9">
        <f t="shared" si="614"/>
        <v>1.875</v>
      </c>
      <c r="AB803" s="9">
        <f t="shared" si="615"/>
        <v>0.625</v>
      </c>
      <c r="AC803" s="9">
        <f t="shared" si="616"/>
        <v>2.375</v>
      </c>
      <c r="AD803" s="9">
        <f t="shared" si="617"/>
        <v>3.25</v>
      </c>
      <c r="AE803" s="9">
        <f t="shared" si="618"/>
        <v>5.125</v>
      </c>
      <c r="AF803" s="9">
        <f t="shared" si="619"/>
        <v>5.25</v>
      </c>
      <c r="AG803" s="9">
        <f t="shared" si="620"/>
        <v>7.5</v>
      </c>
      <c r="AH803" s="9">
        <f t="shared" si="621"/>
        <v>7.625</v>
      </c>
      <c r="AI803" s="9">
        <f t="shared" si="622"/>
        <v>9.25</v>
      </c>
      <c r="AJ803" s="9">
        <f t="shared" si="623"/>
        <v>0.875</v>
      </c>
      <c r="AK803" s="9">
        <f t="shared" si="624"/>
        <v>0.125</v>
      </c>
      <c r="AL803" s="9">
        <f t="shared" si="625"/>
        <v>3.25</v>
      </c>
      <c r="AM803" s="9">
        <f t="shared" si="626"/>
        <v>6</v>
      </c>
      <c r="AN803" s="9">
        <f t="shared" si="627"/>
        <v>8</v>
      </c>
      <c r="AO803" s="9">
        <f t="shared" si="628"/>
        <v>8.625</v>
      </c>
      <c r="AP803" s="9">
        <f t="shared" si="629"/>
        <v>9.75</v>
      </c>
      <c r="AQ803" s="9">
        <f t="shared" si="630"/>
        <v>8.375</v>
      </c>
      <c r="AR803" s="9">
        <f t="shared" si="631"/>
        <v>9.625</v>
      </c>
      <c r="AS803" s="9">
        <f t="shared" si="632"/>
        <v>-0.25</v>
      </c>
      <c r="AT803" s="9">
        <f t="shared" si="633"/>
        <v>-1.875</v>
      </c>
      <c r="AU803" s="9">
        <f t="shared" si="634"/>
        <v>2.625</v>
      </c>
      <c r="AV803" s="9">
        <f t="shared" si="635"/>
        <v>6.625</v>
      </c>
      <c r="AW803" s="9">
        <f t="shared" si="636"/>
        <v>9.125</v>
      </c>
      <c r="AX803" s="9">
        <f t="shared" si="637"/>
        <v>8.5</v>
      </c>
      <c r="AY803" s="9">
        <f t="shared" si="638"/>
        <v>9</v>
      </c>
      <c r="AZ803" s="9">
        <f t="shared" si="639"/>
        <v>7.125</v>
      </c>
      <c r="BA803" s="9">
        <f t="shared" si="640"/>
        <v>8.125</v>
      </c>
      <c r="BB803" s="9">
        <f t="shared" si="641"/>
        <v>-0.625</v>
      </c>
      <c r="BC803" s="9">
        <f t="shared" si="642"/>
        <v>-1.375</v>
      </c>
      <c r="BD803" s="9">
        <f t="shared" si="643"/>
        <v>3.375</v>
      </c>
      <c r="BE803" s="9">
        <f t="shared" si="644"/>
        <v>6.125</v>
      </c>
      <c r="BF803" s="9">
        <f t="shared" si="645"/>
        <v>8.375</v>
      </c>
      <c r="BG803" s="9">
        <f t="shared" si="646"/>
        <v>7.875</v>
      </c>
      <c r="BH803" s="9">
        <f t="shared" si="647"/>
        <v>8.375</v>
      </c>
      <c r="BI803" s="9">
        <f t="shared" si="648"/>
        <v>6.375</v>
      </c>
      <c r="BJ803" s="9">
        <f t="shared" si="649"/>
        <v>7.5</v>
      </c>
    </row>
    <row r="804" spans="1:62" x14ac:dyDescent="0.2">
      <c r="A804" s="9">
        <f>data!M805-data!M804</f>
        <v>-1.3747999999999934</v>
      </c>
      <c r="B804" s="9">
        <f>data!C805-data!C804</f>
        <v>-0.64999999999999858</v>
      </c>
      <c r="C804" s="9">
        <f>data!D805-data!D804</f>
        <v>-0.44500000000000028</v>
      </c>
      <c r="D804" s="10">
        <f>data!B805-data!B804</f>
        <v>0.22499999999999964</v>
      </c>
      <c r="E804" s="9">
        <f>data!E804-data!G804</f>
        <v>0.66810000000000003</v>
      </c>
      <c r="F804" s="9">
        <f>(data!E804-data!F804)-(data!G804-data!H804)</f>
        <v>0.31750000000000006</v>
      </c>
      <c r="G804" s="9">
        <f t="shared" si="600"/>
        <v>-1.2500000000000067E-2</v>
      </c>
      <c r="H804" s="9">
        <f t="shared" si="601"/>
        <v>1.4799999999999869E-2</v>
      </c>
      <c r="I804" s="9">
        <f>IF(data!M805&gt; 111.81,1,0)</f>
        <v>1</v>
      </c>
      <c r="J804" s="9">
        <f t="shared" si="602"/>
        <v>0</v>
      </c>
      <c r="K804" s="9">
        <f t="shared" si="603"/>
        <v>-1.3747999999999934</v>
      </c>
      <c r="L804" s="9">
        <f t="shared" si="604"/>
        <v>0</v>
      </c>
      <c r="M804" s="9">
        <f>data!J804</f>
        <v>-33.75</v>
      </c>
      <c r="N804" s="9">
        <f>data!I804</f>
        <v>-55.5</v>
      </c>
      <c r="O804" s="9">
        <f>data!L804</f>
        <v>-67.75</v>
      </c>
      <c r="P804" s="9">
        <f>data!K804</f>
        <v>-73.375</v>
      </c>
      <c r="Q804" s="9">
        <f>data!R804</f>
        <v>-74</v>
      </c>
      <c r="R804" s="9">
        <f t="shared" si="605"/>
        <v>-0.25</v>
      </c>
      <c r="S804" s="9">
        <f t="shared" si="606"/>
        <v>-1</v>
      </c>
      <c r="T804" s="9">
        <f t="shared" si="607"/>
        <v>-2.8125</v>
      </c>
      <c r="U804" s="9">
        <f t="shared" si="608"/>
        <v>-0.5</v>
      </c>
      <c r="V804" s="9">
        <f t="shared" si="609"/>
        <v>-0.125</v>
      </c>
      <c r="W804" s="9">
        <f t="shared" si="610"/>
        <v>2.75</v>
      </c>
      <c r="X804" s="9">
        <f t="shared" si="611"/>
        <v>1.8125</v>
      </c>
      <c r="Y804" s="9">
        <f t="shared" si="612"/>
        <v>4.375</v>
      </c>
      <c r="Z804" s="9">
        <f t="shared" si="613"/>
        <v>5.5</v>
      </c>
      <c r="AA804" s="9">
        <f t="shared" si="614"/>
        <v>-1.25</v>
      </c>
      <c r="AB804" s="9">
        <f t="shared" si="615"/>
        <v>0.5</v>
      </c>
      <c r="AC804" s="9">
        <f t="shared" si="616"/>
        <v>1.375</v>
      </c>
      <c r="AD804" s="9">
        <f t="shared" si="617"/>
        <v>3.25</v>
      </c>
      <c r="AE804" s="9">
        <f t="shared" si="618"/>
        <v>3.375</v>
      </c>
      <c r="AF804" s="9">
        <f t="shared" si="619"/>
        <v>5.625</v>
      </c>
      <c r="AG804" s="9">
        <f t="shared" si="620"/>
        <v>5.75</v>
      </c>
      <c r="AH804" s="9">
        <f t="shared" si="621"/>
        <v>7.375</v>
      </c>
      <c r="AI804" s="9">
        <f t="shared" si="622"/>
        <v>8.625</v>
      </c>
      <c r="AJ804" s="9">
        <f t="shared" si="623"/>
        <v>-0.75</v>
      </c>
      <c r="AK804" s="9">
        <f t="shared" si="624"/>
        <v>2.375</v>
      </c>
      <c r="AL804" s="9">
        <f t="shared" si="625"/>
        <v>5.125</v>
      </c>
      <c r="AM804" s="9">
        <f t="shared" si="626"/>
        <v>7.125</v>
      </c>
      <c r="AN804" s="9">
        <f t="shared" si="627"/>
        <v>7.75</v>
      </c>
      <c r="AO804" s="9">
        <f t="shared" si="628"/>
        <v>8.875</v>
      </c>
      <c r="AP804" s="9">
        <f t="shared" si="629"/>
        <v>7.5</v>
      </c>
      <c r="AQ804" s="9">
        <f t="shared" si="630"/>
        <v>8.75</v>
      </c>
      <c r="AR804" s="9">
        <f t="shared" si="631"/>
        <v>10.25</v>
      </c>
      <c r="AS804" s="9">
        <f t="shared" si="632"/>
        <v>-1.625</v>
      </c>
      <c r="AT804" s="9">
        <f t="shared" si="633"/>
        <v>2.875</v>
      </c>
      <c r="AU804" s="9">
        <f t="shared" si="634"/>
        <v>6.875</v>
      </c>
      <c r="AV804" s="9">
        <f t="shared" si="635"/>
        <v>9.375</v>
      </c>
      <c r="AW804" s="9">
        <f t="shared" si="636"/>
        <v>8.75</v>
      </c>
      <c r="AX804" s="9">
        <f t="shared" si="637"/>
        <v>9.25</v>
      </c>
      <c r="AY804" s="9">
        <f t="shared" si="638"/>
        <v>7.375</v>
      </c>
      <c r="AZ804" s="9">
        <f t="shared" si="639"/>
        <v>8.375</v>
      </c>
      <c r="BA804" s="9">
        <f t="shared" si="640"/>
        <v>10.25</v>
      </c>
      <c r="BB804" s="9">
        <f t="shared" si="641"/>
        <v>-0.75</v>
      </c>
      <c r="BC804" s="9">
        <f t="shared" si="642"/>
        <v>4</v>
      </c>
      <c r="BD804" s="9">
        <f t="shared" si="643"/>
        <v>6.75</v>
      </c>
      <c r="BE804" s="9">
        <f t="shared" si="644"/>
        <v>9</v>
      </c>
      <c r="BF804" s="9">
        <f t="shared" si="645"/>
        <v>8.5</v>
      </c>
      <c r="BG804" s="9">
        <f t="shared" si="646"/>
        <v>9</v>
      </c>
      <c r="BH804" s="9">
        <f t="shared" si="647"/>
        <v>7</v>
      </c>
      <c r="BI804" s="9">
        <f t="shared" si="648"/>
        <v>8.125</v>
      </c>
      <c r="BJ804" s="9">
        <f t="shared" si="649"/>
        <v>9.75</v>
      </c>
    </row>
    <row r="805" spans="1:62" x14ac:dyDescent="0.2">
      <c r="A805" s="9">
        <f>data!M806-data!M805</f>
        <v>-2.1328000000000031</v>
      </c>
      <c r="B805" s="9">
        <f>data!C806-data!C805</f>
        <v>-2.990000000000002</v>
      </c>
      <c r="C805" s="9">
        <f>data!D806-data!D805</f>
        <v>-6.0000000000000497E-2</v>
      </c>
      <c r="D805" s="10">
        <f>data!B806-data!B805</f>
        <v>0.4075000000000002</v>
      </c>
      <c r="E805" s="9">
        <f>data!E805-data!G805</f>
        <v>0.65559999999999996</v>
      </c>
      <c r="F805" s="9">
        <f>(data!E805-data!F805)-(data!G805-data!H805)</f>
        <v>0.33229999999999993</v>
      </c>
      <c r="G805" s="9">
        <f t="shared" si="600"/>
        <v>0.19550000000000001</v>
      </c>
      <c r="H805" s="9">
        <f t="shared" si="601"/>
        <v>0.16860000000000019</v>
      </c>
      <c r="I805" s="9">
        <f>IF(data!M806&gt; 111.81,1,0)</f>
        <v>1</v>
      </c>
      <c r="J805" s="9">
        <f t="shared" si="602"/>
        <v>0</v>
      </c>
      <c r="K805" s="9">
        <f t="shared" si="603"/>
        <v>-2.1328000000000031</v>
      </c>
      <c r="L805" s="9">
        <f t="shared" si="604"/>
        <v>0</v>
      </c>
      <c r="M805" s="9">
        <f>data!J805</f>
        <v>-34</v>
      </c>
      <c r="N805" s="9">
        <f>data!I805</f>
        <v>-56.75</v>
      </c>
      <c r="O805" s="9">
        <f>data!L805</f>
        <v>-68.5</v>
      </c>
      <c r="P805" s="9">
        <f>data!K805</f>
        <v>-75</v>
      </c>
      <c r="Q805" s="9">
        <f>data!R805</f>
        <v>-74.75</v>
      </c>
      <c r="R805" s="9">
        <f t="shared" si="605"/>
        <v>-0.75</v>
      </c>
      <c r="S805" s="9">
        <f t="shared" si="606"/>
        <v>-2.5625</v>
      </c>
      <c r="T805" s="9">
        <f t="shared" si="607"/>
        <v>-0.25</v>
      </c>
      <c r="U805" s="9">
        <f t="shared" si="608"/>
        <v>0.125</v>
      </c>
      <c r="V805" s="9">
        <f t="shared" si="609"/>
        <v>3</v>
      </c>
      <c r="W805" s="9">
        <f t="shared" si="610"/>
        <v>2.0625</v>
      </c>
      <c r="X805" s="9">
        <f t="shared" si="611"/>
        <v>4.625</v>
      </c>
      <c r="Y805" s="9">
        <f t="shared" si="612"/>
        <v>5.75</v>
      </c>
      <c r="Z805" s="9">
        <f t="shared" si="613"/>
        <v>7.25</v>
      </c>
      <c r="AA805" s="9">
        <f t="shared" si="614"/>
        <v>1.75</v>
      </c>
      <c r="AB805" s="9">
        <f t="shared" si="615"/>
        <v>2.625</v>
      </c>
      <c r="AC805" s="9">
        <f t="shared" si="616"/>
        <v>4.5</v>
      </c>
      <c r="AD805" s="9">
        <f t="shared" si="617"/>
        <v>4.625</v>
      </c>
      <c r="AE805" s="9">
        <f t="shared" si="618"/>
        <v>6.875</v>
      </c>
      <c r="AF805" s="9">
        <f t="shared" si="619"/>
        <v>7</v>
      </c>
      <c r="AG805" s="9">
        <f t="shared" si="620"/>
        <v>8.625</v>
      </c>
      <c r="AH805" s="9">
        <f t="shared" si="621"/>
        <v>9.875</v>
      </c>
      <c r="AI805" s="9">
        <f t="shared" si="622"/>
        <v>11.25</v>
      </c>
      <c r="AJ805" s="9">
        <f t="shared" si="623"/>
        <v>3.125</v>
      </c>
      <c r="AK805" s="9">
        <f t="shared" si="624"/>
        <v>5.875</v>
      </c>
      <c r="AL805" s="9">
        <f t="shared" si="625"/>
        <v>7.875</v>
      </c>
      <c r="AM805" s="9">
        <f t="shared" si="626"/>
        <v>8.5</v>
      </c>
      <c r="AN805" s="9">
        <f t="shared" si="627"/>
        <v>9.625</v>
      </c>
      <c r="AO805" s="9">
        <f t="shared" si="628"/>
        <v>8.25</v>
      </c>
      <c r="AP805" s="9">
        <f t="shared" si="629"/>
        <v>9.5</v>
      </c>
      <c r="AQ805" s="9">
        <f t="shared" si="630"/>
        <v>11</v>
      </c>
      <c r="AR805" s="9">
        <f t="shared" si="631"/>
        <v>12.625</v>
      </c>
      <c r="AS805" s="9">
        <f t="shared" si="632"/>
        <v>4.5</v>
      </c>
      <c r="AT805" s="9">
        <f t="shared" si="633"/>
        <v>8.5</v>
      </c>
      <c r="AU805" s="9">
        <f t="shared" si="634"/>
        <v>11</v>
      </c>
      <c r="AV805" s="9">
        <f t="shared" si="635"/>
        <v>10.375</v>
      </c>
      <c r="AW805" s="9">
        <f t="shared" si="636"/>
        <v>10.875</v>
      </c>
      <c r="AX805" s="9">
        <f t="shared" si="637"/>
        <v>9</v>
      </c>
      <c r="AY805" s="9">
        <f t="shared" si="638"/>
        <v>10</v>
      </c>
      <c r="AZ805" s="9">
        <f t="shared" si="639"/>
        <v>11.875</v>
      </c>
      <c r="BA805" s="9">
        <f t="shared" si="640"/>
        <v>14.375</v>
      </c>
      <c r="BB805" s="9">
        <f t="shared" si="641"/>
        <v>4.75</v>
      </c>
      <c r="BC805" s="9">
        <f t="shared" si="642"/>
        <v>7.5</v>
      </c>
      <c r="BD805" s="9">
        <f t="shared" si="643"/>
        <v>9.75</v>
      </c>
      <c r="BE805" s="9">
        <f t="shared" si="644"/>
        <v>9.25</v>
      </c>
      <c r="BF805" s="9">
        <f t="shared" si="645"/>
        <v>9.75</v>
      </c>
      <c r="BG805" s="9">
        <f t="shared" si="646"/>
        <v>7.75</v>
      </c>
      <c r="BH805" s="9">
        <f t="shared" si="647"/>
        <v>8.875</v>
      </c>
      <c r="BI805" s="9">
        <f t="shared" si="648"/>
        <v>10.5</v>
      </c>
      <c r="BJ805" s="9">
        <f t="shared" si="649"/>
        <v>13.375</v>
      </c>
    </row>
    <row r="806" spans="1:62" x14ac:dyDescent="0.2">
      <c r="A806" s="9">
        <f>data!M807-data!M806</f>
        <v>0.85169999999999391</v>
      </c>
      <c r="B806" s="9">
        <f>data!C807-data!C806</f>
        <v>11.570000000000004</v>
      </c>
      <c r="C806" s="9">
        <f>data!D807-data!D806</f>
        <v>1.3200000000000003</v>
      </c>
      <c r="D806" s="10">
        <f>data!B807-data!B806</f>
        <v>-1.0150000000000001</v>
      </c>
      <c r="E806" s="9">
        <f>data!E806-data!G806</f>
        <v>0.85109999999999997</v>
      </c>
      <c r="F806" s="9">
        <f>(data!E806-data!F806)-(data!G806-data!H806)</f>
        <v>0.50090000000000012</v>
      </c>
      <c r="G806" s="9">
        <f t="shared" si="600"/>
        <v>-0.15469999999999995</v>
      </c>
      <c r="H806" s="9">
        <f t="shared" si="601"/>
        <v>-0.15350000000000019</v>
      </c>
      <c r="I806" s="9">
        <f>IF(data!M807&gt; 111.81,1,0)</f>
        <v>1</v>
      </c>
      <c r="J806" s="9">
        <f t="shared" si="602"/>
        <v>0</v>
      </c>
      <c r="K806" s="9">
        <f t="shared" si="603"/>
        <v>0.85169999999999391</v>
      </c>
      <c r="L806" s="9">
        <f t="shared" si="604"/>
        <v>0</v>
      </c>
      <c r="M806" s="9">
        <f>data!J806</f>
        <v>-34.75</v>
      </c>
      <c r="N806" s="9">
        <f>data!I806</f>
        <v>-55</v>
      </c>
      <c r="O806" s="9">
        <f>data!L806</f>
        <v>-65.375</v>
      </c>
      <c r="P806" s="9">
        <f>data!K806</f>
        <v>-70.5</v>
      </c>
      <c r="Q806" s="9">
        <f>data!R806</f>
        <v>-70</v>
      </c>
      <c r="R806" s="9">
        <f t="shared" si="605"/>
        <v>-1.8125</v>
      </c>
      <c r="S806" s="9">
        <f t="shared" si="606"/>
        <v>0.5</v>
      </c>
      <c r="T806" s="9">
        <f t="shared" si="607"/>
        <v>0.875</v>
      </c>
      <c r="U806" s="9">
        <f t="shared" si="608"/>
        <v>3.75</v>
      </c>
      <c r="V806" s="9">
        <f t="shared" si="609"/>
        <v>2.8125</v>
      </c>
      <c r="W806" s="9">
        <f t="shared" si="610"/>
        <v>5.375</v>
      </c>
      <c r="X806" s="9">
        <f t="shared" si="611"/>
        <v>6.5</v>
      </c>
      <c r="Y806" s="9">
        <f t="shared" si="612"/>
        <v>8</v>
      </c>
      <c r="Z806" s="9">
        <f t="shared" si="613"/>
        <v>8.125</v>
      </c>
      <c r="AA806" s="9">
        <f t="shared" si="614"/>
        <v>0.875</v>
      </c>
      <c r="AB806" s="9">
        <f t="shared" si="615"/>
        <v>2.75</v>
      </c>
      <c r="AC806" s="9">
        <f t="shared" si="616"/>
        <v>2.875</v>
      </c>
      <c r="AD806" s="9">
        <f t="shared" si="617"/>
        <v>5.125</v>
      </c>
      <c r="AE806" s="9">
        <f t="shared" si="618"/>
        <v>5.25</v>
      </c>
      <c r="AF806" s="9">
        <f t="shared" si="619"/>
        <v>6.875</v>
      </c>
      <c r="AG806" s="9">
        <f t="shared" si="620"/>
        <v>8.125</v>
      </c>
      <c r="AH806" s="9">
        <f t="shared" si="621"/>
        <v>9.5</v>
      </c>
      <c r="AI806" s="9">
        <f t="shared" si="622"/>
        <v>9.8125</v>
      </c>
      <c r="AJ806" s="9">
        <f t="shared" si="623"/>
        <v>2.75</v>
      </c>
      <c r="AK806" s="9">
        <f t="shared" si="624"/>
        <v>4.75</v>
      </c>
      <c r="AL806" s="9">
        <f t="shared" si="625"/>
        <v>5.375</v>
      </c>
      <c r="AM806" s="9">
        <f t="shared" si="626"/>
        <v>6.5</v>
      </c>
      <c r="AN806" s="9">
        <f t="shared" si="627"/>
        <v>5.125</v>
      </c>
      <c r="AO806" s="9">
        <f t="shared" si="628"/>
        <v>6.375</v>
      </c>
      <c r="AP806" s="9">
        <f t="shared" si="629"/>
        <v>7.875</v>
      </c>
      <c r="AQ806" s="9">
        <f t="shared" si="630"/>
        <v>9.5</v>
      </c>
      <c r="AR806" s="9">
        <f t="shared" si="631"/>
        <v>10.625</v>
      </c>
      <c r="AS806" s="9">
        <f t="shared" si="632"/>
        <v>4</v>
      </c>
      <c r="AT806" s="9">
        <f t="shared" si="633"/>
        <v>6.5</v>
      </c>
      <c r="AU806" s="9">
        <f t="shared" si="634"/>
        <v>5.875</v>
      </c>
      <c r="AV806" s="9">
        <f t="shared" si="635"/>
        <v>6.375</v>
      </c>
      <c r="AW806" s="9">
        <f t="shared" si="636"/>
        <v>4.5</v>
      </c>
      <c r="AX806" s="9">
        <f t="shared" si="637"/>
        <v>5.5</v>
      </c>
      <c r="AY806" s="9">
        <f t="shared" si="638"/>
        <v>7.375</v>
      </c>
      <c r="AZ806" s="9">
        <f t="shared" si="639"/>
        <v>9.875</v>
      </c>
      <c r="BA806" s="9">
        <f t="shared" si="640"/>
        <v>12.875</v>
      </c>
      <c r="BB806" s="9">
        <f t="shared" si="641"/>
        <v>2.75</v>
      </c>
      <c r="BC806" s="9">
        <f t="shared" si="642"/>
        <v>5</v>
      </c>
      <c r="BD806" s="9">
        <f t="shared" si="643"/>
        <v>4.5</v>
      </c>
      <c r="BE806" s="9">
        <f t="shared" si="644"/>
        <v>5</v>
      </c>
      <c r="BF806" s="9">
        <f t="shared" si="645"/>
        <v>3</v>
      </c>
      <c r="BG806" s="9">
        <f t="shared" si="646"/>
        <v>4.125</v>
      </c>
      <c r="BH806" s="9">
        <f t="shared" si="647"/>
        <v>5.75</v>
      </c>
      <c r="BI806" s="9">
        <f t="shared" si="648"/>
        <v>8.625</v>
      </c>
      <c r="BJ806" s="9">
        <f t="shared" si="649"/>
        <v>11.625</v>
      </c>
    </row>
    <row r="807" spans="1:62" x14ac:dyDescent="0.2">
      <c r="A807" s="9">
        <f>data!M808-data!M807</f>
        <v>0.55410000000000537</v>
      </c>
      <c r="B807" s="9">
        <f>data!C808-data!C807</f>
        <v>-0.97000000000000597</v>
      </c>
      <c r="C807" s="9">
        <f>data!D808-data!D807</f>
        <v>-0.33000000000000007</v>
      </c>
      <c r="D807" s="10">
        <f>data!B808-data!B807</f>
        <v>0.30500000000000016</v>
      </c>
      <c r="E807" s="9">
        <f>data!E807-data!G807</f>
        <v>0.69640000000000002</v>
      </c>
      <c r="F807" s="9">
        <f>(data!E807-data!F807)-(data!G807-data!H807)</f>
        <v>0.34739999999999993</v>
      </c>
      <c r="G807" s="9">
        <f t="shared" si="600"/>
        <v>-1.2700000000000045E-2</v>
      </c>
      <c r="H807" s="9">
        <f t="shared" si="601"/>
        <v>-8.1999999999999851E-3</v>
      </c>
      <c r="I807" s="9">
        <f>IF(data!M808&gt; 111.81,1,0)</f>
        <v>1</v>
      </c>
      <c r="J807" s="9">
        <f t="shared" si="602"/>
        <v>0</v>
      </c>
      <c r="K807" s="9">
        <f t="shared" si="603"/>
        <v>0.55410000000000537</v>
      </c>
      <c r="L807" s="9">
        <f t="shared" si="604"/>
        <v>0</v>
      </c>
      <c r="M807" s="9">
        <f>data!J807</f>
        <v>-36.5625</v>
      </c>
      <c r="N807" s="9">
        <f>data!I807</f>
        <v>-54.125</v>
      </c>
      <c r="O807" s="9">
        <f>data!L807</f>
        <v>-62.625</v>
      </c>
      <c r="P807" s="9">
        <f>data!K807</f>
        <v>-66.5</v>
      </c>
      <c r="Q807" s="9">
        <f>data!R807</f>
        <v>-67.25</v>
      </c>
      <c r="R807" s="9">
        <f t="shared" si="605"/>
        <v>2.3125</v>
      </c>
      <c r="S807" s="9">
        <f t="shared" si="606"/>
        <v>2.6875</v>
      </c>
      <c r="T807" s="9">
        <f t="shared" si="607"/>
        <v>5.5625</v>
      </c>
      <c r="U807" s="9">
        <f t="shared" si="608"/>
        <v>4.625</v>
      </c>
      <c r="V807" s="9">
        <f t="shared" si="609"/>
        <v>7.1875</v>
      </c>
      <c r="W807" s="9">
        <f t="shared" si="610"/>
        <v>8.3125</v>
      </c>
      <c r="X807" s="9">
        <f t="shared" si="611"/>
        <v>9.8125</v>
      </c>
      <c r="Y807" s="9">
        <f t="shared" si="612"/>
        <v>9.9375</v>
      </c>
      <c r="Z807" s="9">
        <f t="shared" si="613"/>
        <v>7.4375</v>
      </c>
      <c r="AA807" s="9">
        <f t="shared" si="614"/>
        <v>1.875</v>
      </c>
      <c r="AB807" s="9">
        <f t="shared" si="615"/>
        <v>2</v>
      </c>
      <c r="AC807" s="9">
        <f t="shared" si="616"/>
        <v>4.25</v>
      </c>
      <c r="AD807" s="9">
        <f t="shared" si="617"/>
        <v>4.375</v>
      </c>
      <c r="AE807" s="9">
        <f t="shared" si="618"/>
        <v>6</v>
      </c>
      <c r="AF807" s="9">
        <f t="shared" si="619"/>
        <v>7.25</v>
      </c>
      <c r="AG807" s="9">
        <f t="shared" si="620"/>
        <v>8.625</v>
      </c>
      <c r="AH807" s="9">
        <f t="shared" si="621"/>
        <v>8.9375</v>
      </c>
      <c r="AI807" s="9">
        <f t="shared" si="622"/>
        <v>7</v>
      </c>
      <c r="AJ807" s="9">
        <f t="shared" si="623"/>
        <v>2</v>
      </c>
      <c r="AK807" s="9">
        <f t="shared" si="624"/>
        <v>2.625</v>
      </c>
      <c r="AL807" s="9">
        <f t="shared" si="625"/>
        <v>3.75</v>
      </c>
      <c r="AM807" s="9">
        <f t="shared" si="626"/>
        <v>2.375</v>
      </c>
      <c r="AN807" s="9">
        <f t="shared" si="627"/>
        <v>3.625</v>
      </c>
      <c r="AO807" s="9">
        <f t="shared" si="628"/>
        <v>5.125</v>
      </c>
      <c r="AP807" s="9">
        <f t="shared" si="629"/>
        <v>6.75</v>
      </c>
      <c r="AQ807" s="9">
        <f t="shared" si="630"/>
        <v>7.875</v>
      </c>
      <c r="AR807" s="9">
        <f t="shared" si="631"/>
        <v>5.625</v>
      </c>
      <c r="AS807" s="9">
        <f t="shared" si="632"/>
        <v>2.5</v>
      </c>
      <c r="AT807" s="9">
        <f t="shared" si="633"/>
        <v>1.875</v>
      </c>
      <c r="AU807" s="9">
        <f t="shared" si="634"/>
        <v>2.375</v>
      </c>
      <c r="AV807" s="9">
        <f t="shared" si="635"/>
        <v>0.5</v>
      </c>
      <c r="AW807" s="9">
        <f t="shared" si="636"/>
        <v>1.5</v>
      </c>
      <c r="AX807" s="9">
        <f t="shared" si="637"/>
        <v>3.375</v>
      </c>
      <c r="AY807" s="9">
        <f t="shared" si="638"/>
        <v>5.875</v>
      </c>
      <c r="AZ807" s="9">
        <f t="shared" si="639"/>
        <v>8.875</v>
      </c>
      <c r="BA807" s="9">
        <f t="shared" si="640"/>
        <v>7.375</v>
      </c>
      <c r="BB807" s="9">
        <f t="shared" si="641"/>
        <v>2.25</v>
      </c>
      <c r="BC807" s="9">
        <f t="shared" si="642"/>
        <v>1.75</v>
      </c>
      <c r="BD807" s="9">
        <f t="shared" si="643"/>
        <v>2.25</v>
      </c>
      <c r="BE807" s="9">
        <f t="shared" si="644"/>
        <v>0.25</v>
      </c>
      <c r="BF807" s="9">
        <f t="shared" si="645"/>
        <v>1.375</v>
      </c>
      <c r="BG807" s="9">
        <f t="shared" si="646"/>
        <v>3</v>
      </c>
      <c r="BH807" s="9">
        <f t="shared" si="647"/>
        <v>5.875</v>
      </c>
      <c r="BI807" s="9">
        <f t="shared" si="648"/>
        <v>8.875</v>
      </c>
      <c r="BJ807" s="9">
        <f t="shared" si="649"/>
        <v>7.5</v>
      </c>
    </row>
    <row r="808" spans="1:62" x14ac:dyDescent="0.2">
      <c r="A808" s="9">
        <f>data!M809-data!M808</f>
        <v>0.31650000000000489</v>
      </c>
      <c r="B808" s="9">
        <f>data!C809-data!C808</f>
        <v>-0.39000000000000057</v>
      </c>
      <c r="C808" s="9">
        <f>data!D809-data!D808</f>
        <v>-0.32500000000000018</v>
      </c>
      <c r="D808" s="10">
        <f>data!B809-data!B808</f>
        <v>0.16500000000000004</v>
      </c>
      <c r="E808" s="9">
        <f>data!E808-data!G808</f>
        <v>0.68369999999999997</v>
      </c>
      <c r="F808" s="9">
        <f>(data!E808-data!F808)-(data!G808-data!H808)</f>
        <v>0.33919999999999995</v>
      </c>
      <c r="G808" s="9">
        <f t="shared" si="600"/>
        <v>-4.8399999999999999E-2</v>
      </c>
      <c r="H808" s="9">
        <f t="shared" si="601"/>
        <v>-1.6000000000000014E-2</v>
      </c>
      <c r="I808" s="9">
        <f>IF(data!M809&gt; 111.81,1,0)</f>
        <v>1</v>
      </c>
      <c r="J808" s="9">
        <f t="shared" si="602"/>
        <v>0</v>
      </c>
      <c r="K808" s="9">
        <f t="shared" si="603"/>
        <v>0.31650000000000489</v>
      </c>
      <c r="L808" s="9">
        <f t="shared" si="604"/>
        <v>0</v>
      </c>
      <c r="M808" s="9">
        <f>data!J808</f>
        <v>-34.25</v>
      </c>
      <c r="N808" s="9">
        <f>data!I808</f>
        <v>-52.25</v>
      </c>
      <c r="O808" s="9">
        <f>data!L808</f>
        <v>-60.625</v>
      </c>
      <c r="P808" s="9">
        <f>data!K808</f>
        <v>-64</v>
      </c>
      <c r="Q808" s="9">
        <f>data!R808</f>
        <v>-65</v>
      </c>
      <c r="R808" s="9">
        <f t="shared" si="605"/>
        <v>0.375</v>
      </c>
      <c r="S808" s="9">
        <f t="shared" si="606"/>
        <v>3.25</v>
      </c>
      <c r="T808" s="9">
        <f t="shared" si="607"/>
        <v>2.3125</v>
      </c>
      <c r="U808" s="9">
        <f t="shared" si="608"/>
        <v>4.875</v>
      </c>
      <c r="V808" s="9">
        <f t="shared" si="609"/>
        <v>6</v>
      </c>
      <c r="W808" s="9">
        <f t="shared" si="610"/>
        <v>7.5</v>
      </c>
      <c r="X808" s="9">
        <f t="shared" si="611"/>
        <v>7.625</v>
      </c>
      <c r="Y808" s="9">
        <f t="shared" si="612"/>
        <v>5.125</v>
      </c>
      <c r="Z808" s="9">
        <f t="shared" si="613"/>
        <v>8.25</v>
      </c>
      <c r="AA808" s="9">
        <f t="shared" si="614"/>
        <v>0.125</v>
      </c>
      <c r="AB808" s="9">
        <f t="shared" si="615"/>
        <v>2.375</v>
      </c>
      <c r="AC808" s="9">
        <f t="shared" si="616"/>
        <v>2.5</v>
      </c>
      <c r="AD808" s="9">
        <f t="shared" si="617"/>
        <v>4.125</v>
      </c>
      <c r="AE808" s="9">
        <f t="shared" si="618"/>
        <v>5.375</v>
      </c>
      <c r="AF808" s="9">
        <f t="shared" si="619"/>
        <v>6.75</v>
      </c>
      <c r="AG808" s="9">
        <f t="shared" si="620"/>
        <v>7.0625</v>
      </c>
      <c r="AH808" s="9">
        <f t="shared" si="621"/>
        <v>5.125</v>
      </c>
      <c r="AI808" s="9">
        <f t="shared" si="622"/>
        <v>6.5</v>
      </c>
      <c r="AJ808" s="9">
        <f t="shared" si="623"/>
        <v>0.625</v>
      </c>
      <c r="AK808" s="9">
        <f t="shared" si="624"/>
        <v>1.75</v>
      </c>
      <c r="AL808" s="9">
        <f t="shared" si="625"/>
        <v>0.375</v>
      </c>
      <c r="AM808" s="9">
        <f t="shared" si="626"/>
        <v>1.625</v>
      </c>
      <c r="AN808" s="9">
        <f t="shared" si="627"/>
        <v>3.125</v>
      </c>
      <c r="AO808" s="9">
        <f t="shared" si="628"/>
        <v>4.75</v>
      </c>
      <c r="AP808" s="9">
        <f t="shared" si="629"/>
        <v>5.875</v>
      </c>
      <c r="AQ808" s="9">
        <f t="shared" si="630"/>
        <v>3.625</v>
      </c>
      <c r="AR808" s="9">
        <f t="shared" si="631"/>
        <v>6.125</v>
      </c>
      <c r="AS808" s="9">
        <f t="shared" si="632"/>
        <v>-0.625</v>
      </c>
      <c r="AT808" s="9">
        <f t="shared" si="633"/>
        <v>-0.125</v>
      </c>
      <c r="AU808" s="9">
        <f t="shared" si="634"/>
        <v>-2</v>
      </c>
      <c r="AV808" s="9">
        <f t="shared" si="635"/>
        <v>-1</v>
      </c>
      <c r="AW808" s="9">
        <f t="shared" si="636"/>
        <v>0.875</v>
      </c>
      <c r="AX808" s="9">
        <f t="shared" si="637"/>
        <v>3.375</v>
      </c>
      <c r="AY808" s="9">
        <f t="shared" si="638"/>
        <v>6.375</v>
      </c>
      <c r="AZ808" s="9">
        <f t="shared" si="639"/>
        <v>4.875</v>
      </c>
      <c r="BA808" s="9">
        <f t="shared" si="640"/>
        <v>7.875</v>
      </c>
      <c r="BB808" s="9">
        <f t="shared" si="641"/>
        <v>-0.5</v>
      </c>
      <c r="BC808" s="9">
        <f t="shared" si="642"/>
        <v>0</v>
      </c>
      <c r="BD808" s="9">
        <f t="shared" si="643"/>
        <v>-2</v>
      </c>
      <c r="BE808" s="9">
        <f t="shared" si="644"/>
        <v>-0.875</v>
      </c>
      <c r="BF808" s="9">
        <f t="shared" si="645"/>
        <v>0.75</v>
      </c>
      <c r="BG808" s="9">
        <f t="shared" si="646"/>
        <v>3.625</v>
      </c>
      <c r="BH808" s="9">
        <f t="shared" si="647"/>
        <v>6.625</v>
      </c>
      <c r="BI808" s="9">
        <f t="shared" si="648"/>
        <v>5.25</v>
      </c>
      <c r="BJ808" s="9">
        <f t="shared" si="649"/>
        <v>8.5</v>
      </c>
    </row>
    <row r="809" spans="1:62" x14ac:dyDescent="0.2">
      <c r="A809" s="9">
        <f>data!M810-data!M809</f>
        <v>-0.67770000000000152</v>
      </c>
      <c r="B809" s="9">
        <f>data!C810-data!C809</f>
        <v>-7.0499999999999972</v>
      </c>
      <c r="C809" s="9">
        <f>data!D810-data!D809</f>
        <v>-0.52499999999999947</v>
      </c>
      <c r="D809" s="10">
        <f>data!B810-data!B809</f>
        <v>0.5199999999999998</v>
      </c>
      <c r="E809" s="9">
        <f>data!E809-data!G809</f>
        <v>0.63529999999999998</v>
      </c>
      <c r="F809" s="9">
        <f>(data!E809-data!F809)-(data!G809-data!H809)</f>
        <v>0.32319999999999993</v>
      </c>
      <c r="G809" s="9">
        <f t="shared" si="600"/>
        <v>1.2000000000000011E-2</v>
      </c>
      <c r="H809" s="9">
        <f t="shared" si="601"/>
        <v>2.7500000000000024E-2</v>
      </c>
      <c r="I809" s="9">
        <f>IF(data!M810&gt; 111.81,1,0)</f>
        <v>1</v>
      </c>
      <c r="J809" s="9">
        <f t="shared" si="602"/>
        <v>0</v>
      </c>
      <c r="K809" s="9">
        <f t="shared" si="603"/>
        <v>-0.67770000000000152</v>
      </c>
      <c r="L809" s="9">
        <f t="shared" si="604"/>
        <v>0</v>
      </c>
      <c r="M809" s="9">
        <f>data!J809</f>
        <v>-33.875</v>
      </c>
      <c r="N809" s="9">
        <f>data!I809</f>
        <v>-52.125</v>
      </c>
      <c r="O809" s="9">
        <f>data!L809</f>
        <v>-60</v>
      </c>
      <c r="P809" s="9">
        <f>data!K809</f>
        <v>-64.625</v>
      </c>
      <c r="Q809" s="9">
        <f>data!R809</f>
        <v>-65.5</v>
      </c>
      <c r="R809" s="9">
        <f t="shared" si="605"/>
        <v>2.875</v>
      </c>
      <c r="S809" s="9">
        <f t="shared" si="606"/>
        <v>1.9375</v>
      </c>
      <c r="T809" s="9">
        <f t="shared" si="607"/>
        <v>4.5</v>
      </c>
      <c r="U809" s="9">
        <f t="shared" si="608"/>
        <v>5.625</v>
      </c>
      <c r="V809" s="9">
        <f t="shared" si="609"/>
        <v>7.125</v>
      </c>
      <c r="W809" s="9">
        <f t="shared" si="610"/>
        <v>7.25</v>
      </c>
      <c r="X809" s="9">
        <f t="shared" si="611"/>
        <v>4.75</v>
      </c>
      <c r="Y809" s="9">
        <f t="shared" si="612"/>
        <v>7.875</v>
      </c>
      <c r="Z809" s="9">
        <f t="shared" si="613"/>
        <v>7.625</v>
      </c>
      <c r="AA809" s="9">
        <f t="shared" si="614"/>
        <v>2.25</v>
      </c>
      <c r="AB809" s="9">
        <f t="shared" si="615"/>
        <v>2.375</v>
      </c>
      <c r="AC809" s="9">
        <f t="shared" si="616"/>
        <v>4</v>
      </c>
      <c r="AD809" s="9">
        <f t="shared" si="617"/>
        <v>5.25</v>
      </c>
      <c r="AE809" s="9">
        <f t="shared" si="618"/>
        <v>6.625</v>
      </c>
      <c r="AF809" s="9">
        <f t="shared" si="619"/>
        <v>6.9375</v>
      </c>
      <c r="AG809" s="9">
        <f t="shared" si="620"/>
        <v>5</v>
      </c>
      <c r="AH809" s="9">
        <f t="shared" si="621"/>
        <v>6.375</v>
      </c>
      <c r="AI809" s="9">
        <f t="shared" si="622"/>
        <v>8.125</v>
      </c>
      <c r="AJ809" s="9">
        <f t="shared" si="623"/>
        <v>1.125</v>
      </c>
      <c r="AK809" s="9">
        <f t="shared" si="624"/>
        <v>-0.25</v>
      </c>
      <c r="AL809" s="9">
        <f t="shared" si="625"/>
        <v>1</v>
      </c>
      <c r="AM809" s="9">
        <f t="shared" si="626"/>
        <v>2.5</v>
      </c>
      <c r="AN809" s="9">
        <f t="shared" si="627"/>
        <v>4.125</v>
      </c>
      <c r="AO809" s="9">
        <f t="shared" si="628"/>
        <v>5.25</v>
      </c>
      <c r="AP809" s="9">
        <f t="shared" si="629"/>
        <v>3</v>
      </c>
      <c r="AQ809" s="9">
        <f t="shared" si="630"/>
        <v>5.5</v>
      </c>
      <c r="AR809" s="9">
        <f t="shared" si="631"/>
        <v>7.5</v>
      </c>
      <c r="AS809" s="9">
        <f t="shared" si="632"/>
        <v>0.5</v>
      </c>
      <c r="AT809" s="9">
        <f t="shared" si="633"/>
        <v>-1.375</v>
      </c>
      <c r="AU809" s="9">
        <f t="shared" si="634"/>
        <v>-0.375</v>
      </c>
      <c r="AV809" s="9">
        <f t="shared" si="635"/>
        <v>1.5</v>
      </c>
      <c r="AW809" s="9">
        <f t="shared" si="636"/>
        <v>4</v>
      </c>
      <c r="AX809" s="9">
        <f t="shared" si="637"/>
        <v>7</v>
      </c>
      <c r="AY809" s="9">
        <f t="shared" si="638"/>
        <v>5.5</v>
      </c>
      <c r="AZ809" s="9">
        <f t="shared" si="639"/>
        <v>8.5</v>
      </c>
      <c r="BA809" s="9">
        <f t="shared" si="640"/>
        <v>10.625</v>
      </c>
      <c r="BB809" s="9">
        <f t="shared" si="641"/>
        <v>0.5</v>
      </c>
      <c r="BC809" s="9">
        <f t="shared" si="642"/>
        <v>-1.5</v>
      </c>
      <c r="BD809" s="9">
        <f t="shared" si="643"/>
        <v>-0.375</v>
      </c>
      <c r="BE809" s="9">
        <f t="shared" si="644"/>
        <v>1.25</v>
      </c>
      <c r="BF809" s="9">
        <f t="shared" si="645"/>
        <v>4.125</v>
      </c>
      <c r="BG809" s="9">
        <f t="shared" si="646"/>
        <v>7.125</v>
      </c>
      <c r="BH809" s="9">
        <f t="shared" si="647"/>
        <v>5.75</v>
      </c>
      <c r="BI809" s="9">
        <f t="shared" si="648"/>
        <v>9</v>
      </c>
      <c r="BJ809" s="9">
        <f t="shared" si="649"/>
        <v>11.125</v>
      </c>
    </row>
    <row r="810" spans="1:62" x14ac:dyDescent="0.2">
      <c r="A810" s="9">
        <f>data!M811-data!M810</f>
        <v>-0.5046999999999997</v>
      </c>
      <c r="B810" s="9">
        <f>data!C811-data!C810</f>
        <v>-0.39000000000000057</v>
      </c>
      <c r="C810" s="9">
        <f>data!D811-data!D810</f>
        <v>0.14999999999999947</v>
      </c>
      <c r="D810" s="10">
        <f>data!B811-data!B810</f>
        <v>0.13000000000000012</v>
      </c>
      <c r="E810" s="9">
        <f>data!E810-data!G810</f>
        <v>0.64729999999999999</v>
      </c>
      <c r="F810" s="9">
        <f>(data!E810-data!F810)-(data!G810-data!H810)</f>
        <v>0.35069999999999996</v>
      </c>
      <c r="G810" s="9">
        <f t="shared" si="600"/>
        <v>-1.5599999999999947E-2</v>
      </c>
      <c r="H810" s="9">
        <f t="shared" si="601"/>
        <v>-8.8999999999999635E-3</v>
      </c>
      <c r="I810" s="9">
        <f>IF(data!M811&gt; 111.81,1,0)</f>
        <v>1</v>
      </c>
      <c r="J810" s="9">
        <f t="shared" si="602"/>
        <v>0</v>
      </c>
      <c r="K810" s="9">
        <f t="shared" si="603"/>
        <v>-0.5046999999999997</v>
      </c>
      <c r="L810" s="9">
        <f t="shared" si="604"/>
        <v>0</v>
      </c>
      <c r="M810" s="9">
        <f>data!J810</f>
        <v>-31</v>
      </c>
      <c r="N810" s="9">
        <f>data!I810</f>
        <v>-49.875</v>
      </c>
      <c r="O810" s="9">
        <f>data!L810</f>
        <v>-58.875</v>
      </c>
      <c r="P810" s="9">
        <f>data!K810</f>
        <v>-64.125</v>
      </c>
      <c r="Q810" s="9">
        <f>data!R810</f>
        <v>-65</v>
      </c>
      <c r="R810" s="9">
        <f t="shared" si="605"/>
        <v>-0.9375</v>
      </c>
      <c r="S810" s="9">
        <f t="shared" si="606"/>
        <v>1.625</v>
      </c>
      <c r="T810" s="9">
        <f t="shared" si="607"/>
        <v>2.75</v>
      </c>
      <c r="U810" s="9">
        <f t="shared" si="608"/>
        <v>4.25</v>
      </c>
      <c r="V810" s="9">
        <f t="shared" si="609"/>
        <v>4.375</v>
      </c>
      <c r="W810" s="9">
        <f t="shared" si="610"/>
        <v>1.875</v>
      </c>
      <c r="X810" s="9">
        <f t="shared" si="611"/>
        <v>5</v>
      </c>
      <c r="Y810" s="9">
        <f t="shared" si="612"/>
        <v>4.75</v>
      </c>
      <c r="Z810" s="9">
        <f t="shared" si="613"/>
        <v>2.75</v>
      </c>
      <c r="AA810" s="9">
        <f t="shared" si="614"/>
        <v>0.125</v>
      </c>
      <c r="AB810" s="9">
        <f t="shared" si="615"/>
        <v>1.75</v>
      </c>
      <c r="AC810" s="9">
        <f t="shared" si="616"/>
        <v>3</v>
      </c>
      <c r="AD810" s="9">
        <f t="shared" si="617"/>
        <v>4.375</v>
      </c>
      <c r="AE810" s="9">
        <f t="shared" si="618"/>
        <v>4.6875</v>
      </c>
      <c r="AF810" s="9">
        <f t="shared" si="619"/>
        <v>2.75</v>
      </c>
      <c r="AG810" s="9">
        <f t="shared" si="620"/>
        <v>4.125</v>
      </c>
      <c r="AH810" s="9">
        <f t="shared" si="621"/>
        <v>5.875</v>
      </c>
      <c r="AI810" s="9">
        <f t="shared" si="622"/>
        <v>4.5</v>
      </c>
      <c r="AJ810" s="9">
        <f t="shared" si="623"/>
        <v>-1.375</v>
      </c>
      <c r="AK810" s="9">
        <f t="shared" si="624"/>
        <v>-0.125</v>
      </c>
      <c r="AL810" s="9">
        <f t="shared" si="625"/>
        <v>1.375</v>
      </c>
      <c r="AM810" s="9">
        <f t="shared" si="626"/>
        <v>3</v>
      </c>
      <c r="AN810" s="9">
        <f t="shared" si="627"/>
        <v>4.125</v>
      </c>
      <c r="AO810" s="9">
        <f t="shared" si="628"/>
        <v>1.875</v>
      </c>
      <c r="AP810" s="9">
        <f t="shared" si="629"/>
        <v>4.375</v>
      </c>
      <c r="AQ810" s="9">
        <f t="shared" si="630"/>
        <v>6.375</v>
      </c>
      <c r="AR810" s="9">
        <f t="shared" si="631"/>
        <v>6.375</v>
      </c>
      <c r="AS810" s="9">
        <f t="shared" si="632"/>
        <v>-1.875</v>
      </c>
      <c r="AT810" s="9">
        <f t="shared" si="633"/>
        <v>-0.875</v>
      </c>
      <c r="AU810" s="9">
        <f t="shared" si="634"/>
        <v>1</v>
      </c>
      <c r="AV810" s="9">
        <f t="shared" si="635"/>
        <v>3.5</v>
      </c>
      <c r="AW810" s="9">
        <f t="shared" si="636"/>
        <v>6.5</v>
      </c>
      <c r="AX810" s="9">
        <f t="shared" si="637"/>
        <v>5</v>
      </c>
      <c r="AY810" s="9">
        <f t="shared" si="638"/>
        <v>8</v>
      </c>
      <c r="AZ810" s="9">
        <f t="shared" si="639"/>
        <v>10.125</v>
      </c>
      <c r="BA810" s="9">
        <f t="shared" si="640"/>
        <v>10.75</v>
      </c>
      <c r="BB810" s="9">
        <f t="shared" si="641"/>
        <v>-2</v>
      </c>
      <c r="BC810" s="9">
        <f t="shared" si="642"/>
        <v>-0.875</v>
      </c>
      <c r="BD810" s="9">
        <f t="shared" si="643"/>
        <v>0.75</v>
      </c>
      <c r="BE810" s="9">
        <f t="shared" si="644"/>
        <v>3.625</v>
      </c>
      <c r="BF810" s="9">
        <f t="shared" si="645"/>
        <v>6.625</v>
      </c>
      <c r="BG810" s="9">
        <f t="shared" si="646"/>
        <v>5.25</v>
      </c>
      <c r="BH810" s="9">
        <f t="shared" si="647"/>
        <v>8.5</v>
      </c>
      <c r="BI810" s="9">
        <f t="shared" si="648"/>
        <v>10.625</v>
      </c>
      <c r="BJ810" s="9">
        <f t="shared" si="649"/>
        <v>11.875</v>
      </c>
    </row>
    <row r="811" spans="1:62" x14ac:dyDescent="0.2">
      <c r="A811" s="9">
        <f>data!M812-data!M811</f>
        <v>-0.22610000000000241</v>
      </c>
      <c r="B811" s="9">
        <f>data!C812-data!C811</f>
        <v>-1.6099999999999994</v>
      </c>
      <c r="C811" s="9">
        <f>data!D812-data!D811</f>
        <v>-0.26999999999999957</v>
      </c>
      <c r="D811" s="10">
        <f>data!B812-data!B811</f>
        <v>2.2499999999999964E-2</v>
      </c>
      <c r="E811" s="9">
        <f>data!E811-data!G811</f>
        <v>0.63170000000000004</v>
      </c>
      <c r="F811" s="9">
        <f>(data!E811-data!F811)-(data!G811-data!H811)</f>
        <v>0.34179999999999999</v>
      </c>
      <c r="G811" s="9">
        <f t="shared" si="600"/>
        <v>-1.6100000000000003E-2</v>
      </c>
      <c r="H811" s="9">
        <f t="shared" si="601"/>
        <v>-2.0299999999999985E-2</v>
      </c>
      <c r="I811" s="9">
        <f>IF(data!M812&gt; 111.81,1,0)</f>
        <v>1</v>
      </c>
      <c r="J811" s="9">
        <f t="shared" si="602"/>
        <v>0</v>
      </c>
      <c r="K811" s="9">
        <f t="shared" si="603"/>
        <v>-0.22610000000000241</v>
      </c>
      <c r="L811" s="9">
        <f t="shared" si="604"/>
        <v>0</v>
      </c>
      <c r="M811" s="9">
        <f>data!J811</f>
        <v>-31.9375</v>
      </c>
      <c r="N811" s="9">
        <f>data!I811</f>
        <v>-49.75</v>
      </c>
      <c r="O811" s="9">
        <f>data!L811</f>
        <v>-60.25</v>
      </c>
      <c r="P811" s="9">
        <f>data!K811</f>
        <v>-66</v>
      </c>
      <c r="Q811" s="9">
        <f>data!R811</f>
        <v>-67</v>
      </c>
      <c r="R811" s="9">
        <f t="shared" si="605"/>
        <v>2.5625</v>
      </c>
      <c r="S811" s="9">
        <f t="shared" si="606"/>
        <v>3.6875</v>
      </c>
      <c r="T811" s="9">
        <f t="shared" si="607"/>
        <v>5.1875</v>
      </c>
      <c r="U811" s="9">
        <f t="shared" si="608"/>
        <v>5.3125</v>
      </c>
      <c r="V811" s="9">
        <f t="shared" si="609"/>
        <v>2.8125</v>
      </c>
      <c r="W811" s="9">
        <f t="shared" si="610"/>
        <v>5.9375</v>
      </c>
      <c r="X811" s="9">
        <f t="shared" si="611"/>
        <v>5.6875</v>
      </c>
      <c r="Y811" s="9">
        <f t="shared" si="612"/>
        <v>3.6875</v>
      </c>
      <c r="Z811" s="9">
        <f t="shared" si="613"/>
        <v>4.1875</v>
      </c>
      <c r="AA811" s="9">
        <f t="shared" si="614"/>
        <v>1.625</v>
      </c>
      <c r="AB811" s="9">
        <f t="shared" si="615"/>
        <v>2.875</v>
      </c>
      <c r="AC811" s="9">
        <f t="shared" si="616"/>
        <v>4.25</v>
      </c>
      <c r="AD811" s="9">
        <f t="shared" si="617"/>
        <v>4.5625</v>
      </c>
      <c r="AE811" s="9">
        <f t="shared" si="618"/>
        <v>2.625</v>
      </c>
      <c r="AF811" s="9">
        <f t="shared" si="619"/>
        <v>4</v>
      </c>
      <c r="AG811" s="9">
        <f t="shared" si="620"/>
        <v>5.75</v>
      </c>
      <c r="AH811" s="9">
        <f t="shared" si="621"/>
        <v>4.375</v>
      </c>
      <c r="AI811" s="9">
        <f t="shared" si="622"/>
        <v>4.75</v>
      </c>
      <c r="AJ811" s="9">
        <f t="shared" si="623"/>
        <v>1.25</v>
      </c>
      <c r="AK811" s="9">
        <f t="shared" si="624"/>
        <v>2.75</v>
      </c>
      <c r="AL811" s="9">
        <f t="shared" si="625"/>
        <v>4.375</v>
      </c>
      <c r="AM811" s="9">
        <f t="shared" si="626"/>
        <v>5.5</v>
      </c>
      <c r="AN811" s="9">
        <f t="shared" si="627"/>
        <v>3.25</v>
      </c>
      <c r="AO811" s="9">
        <f t="shared" si="628"/>
        <v>5.75</v>
      </c>
      <c r="AP811" s="9">
        <f t="shared" si="629"/>
        <v>7.75</v>
      </c>
      <c r="AQ811" s="9">
        <f t="shared" si="630"/>
        <v>7.75</v>
      </c>
      <c r="AR811" s="9">
        <f t="shared" si="631"/>
        <v>7</v>
      </c>
      <c r="AS811" s="9">
        <f t="shared" si="632"/>
        <v>1</v>
      </c>
      <c r="AT811" s="9">
        <f t="shared" si="633"/>
        <v>2.875</v>
      </c>
      <c r="AU811" s="9">
        <f t="shared" si="634"/>
        <v>5.375</v>
      </c>
      <c r="AV811" s="9">
        <f t="shared" si="635"/>
        <v>8.375</v>
      </c>
      <c r="AW811" s="9">
        <f t="shared" si="636"/>
        <v>6.875</v>
      </c>
      <c r="AX811" s="9">
        <f t="shared" si="637"/>
        <v>9.875</v>
      </c>
      <c r="AY811" s="9">
        <f t="shared" si="638"/>
        <v>12</v>
      </c>
      <c r="AZ811" s="9">
        <f t="shared" si="639"/>
        <v>12.625</v>
      </c>
      <c r="BA811" s="9">
        <f t="shared" si="640"/>
        <v>11.375</v>
      </c>
      <c r="BB811" s="9">
        <f t="shared" si="641"/>
        <v>1.125</v>
      </c>
      <c r="BC811" s="9">
        <f t="shared" si="642"/>
        <v>2.75</v>
      </c>
      <c r="BD811" s="9">
        <f t="shared" si="643"/>
        <v>5.625</v>
      </c>
      <c r="BE811" s="9">
        <f t="shared" si="644"/>
        <v>8.625</v>
      </c>
      <c r="BF811" s="9">
        <f t="shared" si="645"/>
        <v>7.25</v>
      </c>
      <c r="BG811" s="9">
        <f t="shared" si="646"/>
        <v>10.5</v>
      </c>
      <c r="BH811" s="9">
        <f t="shared" si="647"/>
        <v>12.625</v>
      </c>
      <c r="BI811" s="9">
        <f t="shared" si="648"/>
        <v>13.875</v>
      </c>
      <c r="BJ811" s="9">
        <f t="shared" si="649"/>
        <v>11.875</v>
      </c>
    </row>
    <row r="812" spans="1:62" x14ac:dyDescent="0.2">
      <c r="A812" s="9">
        <f>data!M813-data!M812</f>
        <v>-0.98950000000000671</v>
      </c>
      <c r="B812" s="9">
        <f>data!C813-data!C812</f>
        <v>0.16000000000000014</v>
      </c>
      <c r="C812" s="9">
        <f>data!D813-data!D812</f>
        <v>0.91500000000000004</v>
      </c>
      <c r="D812" s="10">
        <f>data!B813-data!B812</f>
        <v>0.12250000000000005</v>
      </c>
      <c r="E812" s="9">
        <f>data!E812-data!G812</f>
        <v>0.61560000000000004</v>
      </c>
      <c r="F812" s="9">
        <f>(data!E812-data!F812)-(data!G812-data!H812)</f>
        <v>0.32150000000000001</v>
      </c>
      <c r="G812" s="9">
        <f t="shared" si="600"/>
        <v>-3.8800000000000057E-2</v>
      </c>
      <c r="H812" s="9">
        <f t="shared" si="601"/>
        <v>-3.1000000000000028E-2</v>
      </c>
      <c r="I812" s="9">
        <f>IF(data!M813&gt; 111.81,1,0)</f>
        <v>1</v>
      </c>
      <c r="J812" s="9">
        <f t="shared" si="602"/>
        <v>0</v>
      </c>
      <c r="K812" s="9">
        <f t="shared" si="603"/>
        <v>-0.98950000000000671</v>
      </c>
      <c r="L812" s="9">
        <f t="shared" si="604"/>
        <v>0</v>
      </c>
      <c r="M812" s="9">
        <f>data!J812</f>
        <v>-29.375</v>
      </c>
      <c r="N812" s="9">
        <f>data!I812</f>
        <v>-48.125</v>
      </c>
      <c r="O812" s="9">
        <f>data!L812</f>
        <v>-59</v>
      </c>
      <c r="P812" s="9">
        <f>data!K812</f>
        <v>-65</v>
      </c>
      <c r="Q812" s="9">
        <f>data!R812</f>
        <v>-65.875</v>
      </c>
      <c r="R812" s="9">
        <f t="shared" si="605"/>
        <v>1.125</v>
      </c>
      <c r="S812" s="9">
        <f t="shared" si="606"/>
        <v>2.625</v>
      </c>
      <c r="T812" s="9">
        <f t="shared" si="607"/>
        <v>2.75</v>
      </c>
      <c r="U812" s="9">
        <f t="shared" si="608"/>
        <v>0.25</v>
      </c>
      <c r="V812" s="9">
        <f t="shared" si="609"/>
        <v>3.375</v>
      </c>
      <c r="W812" s="9">
        <f t="shared" si="610"/>
        <v>3.125</v>
      </c>
      <c r="X812" s="9">
        <f t="shared" si="611"/>
        <v>1.125</v>
      </c>
      <c r="Y812" s="9">
        <f t="shared" si="612"/>
        <v>1.625</v>
      </c>
      <c r="Z812" s="9">
        <f t="shared" si="613"/>
        <v>3.375</v>
      </c>
      <c r="AA812" s="9">
        <f t="shared" si="614"/>
        <v>1.25</v>
      </c>
      <c r="AB812" s="9">
        <f t="shared" si="615"/>
        <v>2.625</v>
      </c>
      <c r="AC812" s="9">
        <f t="shared" si="616"/>
        <v>2.9375</v>
      </c>
      <c r="AD812" s="9">
        <f t="shared" si="617"/>
        <v>1</v>
      </c>
      <c r="AE812" s="9">
        <f t="shared" si="618"/>
        <v>2.375</v>
      </c>
      <c r="AF812" s="9">
        <f t="shared" si="619"/>
        <v>4.125</v>
      </c>
      <c r="AG812" s="9">
        <f t="shared" si="620"/>
        <v>2.75</v>
      </c>
      <c r="AH812" s="9">
        <f t="shared" si="621"/>
        <v>3.125</v>
      </c>
      <c r="AI812" s="9">
        <f t="shared" si="622"/>
        <v>5.375</v>
      </c>
      <c r="AJ812" s="9">
        <f t="shared" si="623"/>
        <v>1.5</v>
      </c>
      <c r="AK812" s="9">
        <f t="shared" si="624"/>
        <v>3.125</v>
      </c>
      <c r="AL812" s="9">
        <f t="shared" si="625"/>
        <v>4.25</v>
      </c>
      <c r="AM812" s="9">
        <f t="shared" si="626"/>
        <v>2</v>
      </c>
      <c r="AN812" s="9">
        <f t="shared" si="627"/>
        <v>4.5</v>
      </c>
      <c r="AO812" s="9">
        <f t="shared" si="628"/>
        <v>6.5</v>
      </c>
      <c r="AP812" s="9">
        <f t="shared" si="629"/>
        <v>6.5</v>
      </c>
      <c r="AQ812" s="9">
        <f t="shared" si="630"/>
        <v>5.75</v>
      </c>
      <c r="AR812" s="9">
        <f t="shared" si="631"/>
        <v>8.375</v>
      </c>
      <c r="AS812" s="9">
        <f t="shared" si="632"/>
        <v>1.875</v>
      </c>
      <c r="AT812" s="9">
        <f t="shared" si="633"/>
        <v>4.375</v>
      </c>
      <c r="AU812" s="9">
        <f t="shared" si="634"/>
        <v>7.375</v>
      </c>
      <c r="AV812" s="9">
        <f t="shared" si="635"/>
        <v>5.875</v>
      </c>
      <c r="AW812" s="9">
        <f t="shared" si="636"/>
        <v>8.875</v>
      </c>
      <c r="AX812" s="9">
        <f t="shared" si="637"/>
        <v>11</v>
      </c>
      <c r="AY812" s="9">
        <f t="shared" si="638"/>
        <v>11.625</v>
      </c>
      <c r="AZ812" s="9">
        <f t="shared" si="639"/>
        <v>10.375</v>
      </c>
      <c r="BA812" s="9">
        <f t="shared" si="640"/>
        <v>12.875</v>
      </c>
      <c r="BB812" s="9">
        <f t="shared" si="641"/>
        <v>1.625</v>
      </c>
      <c r="BC812" s="9">
        <f t="shared" si="642"/>
        <v>4.5</v>
      </c>
      <c r="BD812" s="9">
        <f t="shared" si="643"/>
        <v>7.5</v>
      </c>
      <c r="BE812" s="9">
        <f t="shared" si="644"/>
        <v>6.125</v>
      </c>
      <c r="BF812" s="9">
        <f t="shared" si="645"/>
        <v>9.375</v>
      </c>
      <c r="BG812" s="9">
        <f t="shared" si="646"/>
        <v>11.5</v>
      </c>
      <c r="BH812" s="9">
        <f t="shared" si="647"/>
        <v>12.75</v>
      </c>
      <c r="BI812" s="9">
        <f t="shared" si="648"/>
        <v>10.75</v>
      </c>
      <c r="BJ812" s="9">
        <f t="shared" si="649"/>
        <v>14.25</v>
      </c>
    </row>
    <row r="813" spans="1:62" x14ac:dyDescent="0.2">
      <c r="A813" s="9">
        <f>data!M814-data!M813</f>
        <v>-0.92369999999999663</v>
      </c>
      <c r="B813" s="9">
        <f>data!C814-data!C813</f>
        <v>-1.379999999999999</v>
      </c>
      <c r="C813" s="9">
        <f>data!D814-data!D813</f>
        <v>0.67499999999999982</v>
      </c>
      <c r="D813" s="10">
        <f>data!B814-data!B813</f>
        <v>0.23750000000000004</v>
      </c>
      <c r="E813" s="9">
        <f>data!E813-data!G813</f>
        <v>0.57679999999999998</v>
      </c>
      <c r="F813" s="9">
        <f>(data!E813-data!F813)-(data!G813-data!H813)</f>
        <v>0.29049999999999998</v>
      </c>
      <c r="G813" s="9">
        <f t="shared" si="600"/>
        <v>-6.2599999999999989E-2</v>
      </c>
      <c r="H813" s="9">
        <f t="shared" si="601"/>
        <v>-2.2699999999999942E-2</v>
      </c>
      <c r="I813" s="9">
        <f>IF(data!M814&gt; 111.81,1,0)</f>
        <v>1</v>
      </c>
      <c r="J813" s="9">
        <f t="shared" si="602"/>
        <v>0</v>
      </c>
      <c r="K813" s="9">
        <f t="shared" si="603"/>
        <v>-0.92369999999999663</v>
      </c>
      <c r="L813" s="9">
        <f t="shared" si="604"/>
        <v>0</v>
      </c>
      <c r="M813" s="9">
        <f>data!J813</f>
        <v>-28.25</v>
      </c>
      <c r="N813" s="9">
        <f>data!I813</f>
        <v>-46.875</v>
      </c>
      <c r="O813" s="9">
        <f>data!L813</f>
        <v>-57.5</v>
      </c>
      <c r="P813" s="9">
        <f>data!K813</f>
        <v>-63.125</v>
      </c>
      <c r="Q813" s="9">
        <f>data!R813</f>
        <v>-64.25</v>
      </c>
      <c r="R813" s="9">
        <f t="shared" si="605"/>
        <v>1.5</v>
      </c>
      <c r="S813" s="9">
        <f t="shared" si="606"/>
        <v>1.625</v>
      </c>
      <c r="T813" s="9">
        <f t="shared" si="607"/>
        <v>-0.875</v>
      </c>
      <c r="U813" s="9">
        <f t="shared" si="608"/>
        <v>2.25</v>
      </c>
      <c r="V813" s="9">
        <f t="shared" si="609"/>
        <v>2</v>
      </c>
      <c r="W813" s="9">
        <f t="shared" si="610"/>
        <v>0</v>
      </c>
      <c r="X813" s="9">
        <f t="shared" si="611"/>
        <v>0.5</v>
      </c>
      <c r="Y813" s="9">
        <f t="shared" si="612"/>
        <v>2.25</v>
      </c>
      <c r="Z813" s="9">
        <f t="shared" si="613"/>
        <v>6.875</v>
      </c>
      <c r="AA813" s="9">
        <f t="shared" si="614"/>
        <v>1.375</v>
      </c>
      <c r="AB813" s="9">
        <f t="shared" si="615"/>
        <v>1.6875</v>
      </c>
      <c r="AC813" s="9">
        <f t="shared" si="616"/>
        <v>-0.25</v>
      </c>
      <c r="AD813" s="9">
        <f t="shared" si="617"/>
        <v>1.125</v>
      </c>
      <c r="AE813" s="9">
        <f t="shared" si="618"/>
        <v>2.875</v>
      </c>
      <c r="AF813" s="9">
        <f t="shared" si="619"/>
        <v>1.5</v>
      </c>
      <c r="AG813" s="9">
        <f t="shared" si="620"/>
        <v>1.875</v>
      </c>
      <c r="AH813" s="9">
        <f t="shared" si="621"/>
        <v>4.125</v>
      </c>
      <c r="AI813" s="9">
        <f t="shared" si="622"/>
        <v>5.25</v>
      </c>
      <c r="AJ813" s="9">
        <f t="shared" si="623"/>
        <v>1.625</v>
      </c>
      <c r="AK813" s="9">
        <f t="shared" si="624"/>
        <v>2.75</v>
      </c>
      <c r="AL813" s="9">
        <f t="shared" si="625"/>
        <v>0.5</v>
      </c>
      <c r="AM813" s="9">
        <f t="shared" si="626"/>
        <v>3</v>
      </c>
      <c r="AN813" s="9">
        <f t="shared" si="627"/>
        <v>5</v>
      </c>
      <c r="AO813" s="9">
        <f t="shared" si="628"/>
        <v>5</v>
      </c>
      <c r="AP813" s="9">
        <f t="shared" si="629"/>
        <v>4.25</v>
      </c>
      <c r="AQ813" s="9">
        <f t="shared" si="630"/>
        <v>6.875</v>
      </c>
      <c r="AR813" s="9">
        <f t="shared" si="631"/>
        <v>7.875</v>
      </c>
      <c r="AS813" s="9">
        <f t="shared" si="632"/>
        <v>2.5</v>
      </c>
      <c r="AT813" s="9">
        <f t="shared" si="633"/>
        <v>5.5</v>
      </c>
      <c r="AU813" s="9">
        <f t="shared" si="634"/>
        <v>4</v>
      </c>
      <c r="AV813" s="9">
        <f t="shared" si="635"/>
        <v>7</v>
      </c>
      <c r="AW813" s="9">
        <f t="shared" si="636"/>
        <v>9.125</v>
      </c>
      <c r="AX813" s="9">
        <f t="shared" si="637"/>
        <v>9.75</v>
      </c>
      <c r="AY813" s="9">
        <f t="shared" si="638"/>
        <v>8.5</v>
      </c>
      <c r="AZ813" s="9">
        <f t="shared" si="639"/>
        <v>11</v>
      </c>
      <c r="BA813" s="9">
        <f t="shared" si="640"/>
        <v>12</v>
      </c>
      <c r="BB813" s="9">
        <f t="shared" si="641"/>
        <v>2.875</v>
      </c>
      <c r="BC813" s="9">
        <f t="shared" si="642"/>
        <v>5.875</v>
      </c>
      <c r="BD813" s="9">
        <f t="shared" si="643"/>
        <v>4.5</v>
      </c>
      <c r="BE813" s="9">
        <f t="shared" si="644"/>
        <v>7.75</v>
      </c>
      <c r="BF813" s="9">
        <f t="shared" si="645"/>
        <v>9.875</v>
      </c>
      <c r="BG813" s="9">
        <f t="shared" si="646"/>
        <v>11.125</v>
      </c>
      <c r="BH813" s="9">
        <f t="shared" si="647"/>
        <v>9.125</v>
      </c>
      <c r="BI813" s="9">
        <f t="shared" si="648"/>
        <v>12.625</v>
      </c>
      <c r="BJ813" s="9">
        <f t="shared" si="649"/>
        <v>13.625</v>
      </c>
    </row>
    <row r="814" spans="1:62" x14ac:dyDescent="0.2">
      <c r="A814" s="9">
        <f>data!M815-data!M814</f>
        <v>0.41570000000000107</v>
      </c>
      <c r="B814" s="9">
        <f>data!C815-data!C814</f>
        <v>-2.25</v>
      </c>
      <c r="C814" s="9">
        <f>data!D815-data!D814</f>
        <v>0.72000000000000064</v>
      </c>
      <c r="D814" s="10">
        <f>data!B815-data!B814</f>
        <v>3.499999999999992E-2</v>
      </c>
      <c r="E814" s="9">
        <f>data!E814-data!G814</f>
        <v>0.51419999999999999</v>
      </c>
      <c r="F814" s="9">
        <f>(data!E814-data!F814)-(data!G814-data!H814)</f>
        <v>0.26780000000000004</v>
      </c>
      <c r="G814" s="9">
        <f t="shared" si="600"/>
        <v>4.379999999999995E-2</v>
      </c>
      <c r="H814" s="9">
        <f t="shared" si="601"/>
        <v>2.1199999999999886E-2</v>
      </c>
      <c r="I814" s="9">
        <f>IF(data!M815&gt; 111.81,1,0)</f>
        <v>1</v>
      </c>
      <c r="J814" s="9">
        <f t="shared" si="602"/>
        <v>0</v>
      </c>
      <c r="K814" s="9">
        <f t="shared" si="603"/>
        <v>0.41570000000000107</v>
      </c>
      <c r="L814" s="9">
        <f t="shared" si="604"/>
        <v>0</v>
      </c>
      <c r="M814" s="9">
        <f>data!J814</f>
        <v>-26.75</v>
      </c>
      <c r="N814" s="9">
        <f>data!I814</f>
        <v>-45.5</v>
      </c>
      <c r="O814" s="9">
        <f>data!L814</f>
        <v>-55.875</v>
      </c>
      <c r="P814" s="9">
        <f>data!K814</f>
        <v>-60.625</v>
      </c>
      <c r="Q814" s="9">
        <f>data!R814</f>
        <v>-61.375</v>
      </c>
      <c r="R814" s="9">
        <f t="shared" si="605"/>
        <v>0.125</v>
      </c>
      <c r="S814" s="9">
        <f t="shared" si="606"/>
        <v>-2.375</v>
      </c>
      <c r="T814" s="9">
        <f t="shared" si="607"/>
        <v>0.75</v>
      </c>
      <c r="U814" s="9">
        <f t="shared" si="608"/>
        <v>0.5</v>
      </c>
      <c r="V814" s="9">
        <f t="shared" si="609"/>
        <v>-1.5</v>
      </c>
      <c r="W814" s="9">
        <f t="shared" si="610"/>
        <v>-1</v>
      </c>
      <c r="X814" s="9">
        <f t="shared" si="611"/>
        <v>0.75</v>
      </c>
      <c r="Y814" s="9">
        <f t="shared" si="612"/>
        <v>5.375</v>
      </c>
      <c r="Z814" s="9">
        <f t="shared" si="613"/>
        <v>5.75</v>
      </c>
      <c r="AA814" s="9">
        <f t="shared" si="614"/>
        <v>0.3125</v>
      </c>
      <c r="AB814" s="9">
        <f t="shared" si="615"/>
        <v>-1.625</v>
      </c>
      <c r="AC814" s="9">
        <f t="shared" si="616"/>
        <v>-0.25</v>
      </c>
      <c r="AD814" s="9">
        <f t="shared" si="617"/>
        <v>1.5</v>
      </c>
      <c r="AE814" s="9">
        <f t="shared" si="618"/>
        <v>0.125</v>
      </c>
      <c r="AF814" s="9">
        <f t="shared" si="619"/>
        <v>0.5</v>
      </c>
      <c r="AG814" s="9">
        <f t="shared" si="620"/>
        <v>2.75</v>
      </c>
      <c r="AH814" s="9">
        <f t="shared" si="621"/>
        <v>3.875</v>
      </c>
      <c r="AI814" s="9">
        <f t="shared" si="622"/>
        <v>4.375</v>
      </c>
      <c r="AJ814" s="9">
        <f t="shared" si="623"/>
        <v>1.125</v>
      </c>
      <c r="AK814" s="9">
        <f t="shared" si="624"/>
        <v>-1.125</v>
      </c>
      <c r="AL814" s="9">
        <f t="shared" si="625"/>
        <v>1.375</v>
      </c>
      <c r="AM814" s="9">
        <f t="shared" si="626"/>
        <v>3.375</v>
      </c>
      <c r="AN814" s="9">
        <f t="shared" si="627"/>
        <v>3.375</v>
      </c>
      <c r="AO814" s="9">
        <f t="shared" si="628"/>
        <v>2.625</v>
      </c>
      <c r="AP814" s="9">
        <f t="shared" si="629"/>
        <v>5.25</v>
      </c>
      <c r="AQ814" s="9">
        <f t="shared" si="630"/>
        <v>6.25</v>
      </c>
      <c r="AR814" s="9">
        <f t="shared" si="631"/>
        <v>7</v>
      </c>
      <c r="AS814" s="9">
        <f t="shared" si="632"/>
        <v>3</v>
      </c>
      <c r="AT814" s="9">
        <f t="shared" si="633"/>
        <v>1.5</v>
      </c>
      <c r="AU814" s="9">
        <f t="shared" si="634"/>
        <v>4.5</v>
      </c>
      <c r="AV814" s="9">
        <f t="shared" si="635"/>
        <v>6.625</v>
      </c>
      <c r="AW814" s="9">
        <f t="shared" si="636"/>
        <v>7.25</v>
      </c>
      <c r="AX814" s="9">
        <f t="shared" si="637"/>
        <v>6</v>
      </c>
      <c r="AY814" s="9">
        <f t="shared" si="638"/>
        <v>8.5</v>
      </c>
      <c r="AZ814" s="9">
        <f t="shared" si="639"/>
        <v>9.5</v>
      </c>
      <c r="BA814" s="9">
        <f t="shared" si="640"/>
        <v>10.125</v>
      </c>
      <c r="BB814" s="9">
        <f t="shared" si="641"/>
        <v>3</v>
      </c>
      <c r="BC814" s="9">
        <f t="shared" si="642"/>
        <v>1.625</v>
      </c>
      <c r="BD814" s="9">
        <f t="shared" si="643"/>
        <v>4.875</v>
      </c>
      <c r="BE814" s="9">
        <f t="shared" si="644"/>
        <v>7</v>
      </c>
      <c r="BF814" s="9">
        <f t="shared" si="645"/>
        <v>8.25</v>
      </c>
      <c r="BG814" s="9">
        <f t="shared" si="646"/>
        <v>6.25</v>
      </c>
      <c r="BH814" s="9">
        <f t="shared" si="647"/>
        <v>9.75</v>
      </c>
      <c r="BI814" s="9">
        <f t="shared" si="648"/>
        <v>10.75</v>
      </c>
      <c r="BJ814" s="9">
        <f t="shared" si="649"/>
        <v>10.875</v>
      </c>
    </row>
    <row r="815" spans="1:62" x14ac:dyDescent="0.2">
      <c r="A815" s="9">
        <f>data!M816-data!M815</f>
        <v>-0.68529999999999802</v>
      </c>
      <c r="B815" s="9">
        <f>data!C816-data!C815</f>
        <v>-0.16000000000000014</v>
      </c>
      <c r="C815" s="9">
        <f>data!D816-data!D815</f>
        <v>-0.32750000000000057</v>
      </c>
      <c r="D815" s="10">
        <f>data!B816-data!B815</f>
        <v>1.7500000000000071E-2</v>
      </c>
      <c r="E815" s="9">
        <f>data!E815-data!G815</f>
        <v>0.55799999999999994</v>
      </c>
      <c r="F815" s="9">
        <f>(data!E815-data!F815)-(data!G815-data!H815)</f>
        <v>0.28899999999999992</v>
      </c>
      <c r="G815" s="9">
        <f t="shared" si="600"/>
        <v>0.10640000000000005</v>
      </c>
      <c r="H815" s="9">
        <f t="shared" si="601"/>
        <v>0.1004000000000001</v>
      </c>
      <c r="I815" s="9">
        <f>IF(data!M816&gt; 111.81,1,0)</f>
        <v>1</v>
      </c>
      <c r="J815" s="9">
        <f t="shared" si="602"/>
        <v>0</v>
      </c>
      <c r="K815" s="9">
        <f t="shared" si="603"/>
        <v>-0.68529999999999802</v>
      </c>
      <c r="L815" s="9">
        <f t="shared" si="604"/>
        <v>0</v>
      </c>
      <c r="M815" s="9">
        <f>data!J815</f>
        <v>-26.625</v>
      </c>
      <c r="N815" s="9">
        <f>data!I815</f>
        <v>-45.1875</v>
      </c>
      <c r="O815" s="9">
        <f>data!L815</f>
        <v>-54.75</v>
      </c>
      <c r="P815" s="9">
        <f>data!K815</f>
        <v>-57.625</v>
      </c>
      <c r="Q815" s="9">
        <f>data!R815</f>
        <v>-58.375</v>
      </c>
      <c r="R815" s="9">
        <f t="shared" si="605"/>
        <v>-2.5</v>
      </c>
      <c r="S815" s="9">
        <f t="shared" si="606"/>
        <v>0.625</v>
      </c>
      <c r="T815" s="9">
        <f t="shared" si="607"/>
        <v>0.375</v>
      </c>
      <c r="U815" s="9">
        <f t="shared" si="608"/>
        <v>-1.625</v>
      </c>
      <c r="V815" s="9">
        <f t="shared" si="609"/>
        <v>-1.125</v>
      </c>
      <c r="W815" s="9">
        <f t="shared" si="610"/>
        <v>0.625</v>
      </c>
      <c r="X815" s="9">
        <f t="shared" si="611"/>
        <v>5.25</v>
      </c>
      <c r="Y815" s="9">
        <f t="shared" si="612"/>
        <v>5.625</v>
      </c>
      <c r="Z815" s="9">
        <f t="shared" si="613"/>
        <v>5.625</v>
      </c>
      <c r="AA815" s="9">
        <f t="shared" si="614"/>
        <v>-1.9375</v>
      </c>
      <c r="AB815" s="9">
        <f t="shared" si="615"/>
        <v>-0.5625</v>
      </c>
      <c r="AC815" s="9">
        <f t="shared" si="616"/>
        <v>1.1875</v>
      </c>
      <c r="AD815" s="9">
        <f t="shared" si="617"/>
        <v>-0.1875</v>
      </c>
      <c r="AE815" s="9">
        <f t="shared" si="618"/>
        <v>0.1875</v>
      </c>
      <c r="AF815" s="9">
        <f t="shared" si="619"/>
        <v>2.4375</v>
      </c>
      <c r="AG815" s="9">
        <f t="shared" si="620"/>
        <v>3.5625</v>
      </c>
      <c r="AH815" s="9">
        <f t="shared" si="621"/>
        <v>4.0625</v>
      </c>
      <c r="AI815" s="9">
        <f t="shared" si="622"/>
        <v>4.6875</v>
      </c>
      <c r="AJ815" s="9">
        <f t="shared" si="623"/>
        <v>-2.25</v>
      </c>
      <c r="AK815" s="9">
        <f t="shared" si="624"/>
        <v>0.25</v>
      </c>
      <c r="AL815" s="9">
        <f t="shared" si="625"/>
        <v>2.25</v>
      </c>
      <c r="AM815" s="9">
        <f t="shared" si="626"/>
        <v>2.25</v>
      </c>
      <c r="AN815" s="9">
        <f t="shared" si="627"/>
        <v>1.5</v>
      </c>
      <c r="AO815" s="9">
        <f t="shared" si="628"/>
        <v>4.125</v>
      </c>
      <c r="AP815" s="9">
        <f t="shared" si="629"/>
        <v>5.125</v>
      </c>
      <c r="AQ815" s="9">
        <f t="shared" si="630"/>
        <v>5.875</v>
      </c>
      <c r="AR815" s="9">
        <f t="shared" si="631"/>
        <v>5.25</v>
      </c>
      <c r="AS815" s="9">
        <f t="shared" si="632"/>
        <v>-1.5</v>
      </c>
      <c r="AT815" s="9">
        <f t="shared" si="633"/>
        <v>1.5</v>
      </c>
      <c r="AU815" s="9">
        <f t="shared" si="634"/>
        <v>3.625</v>
      </c>
      <c r="AV815" s="9">
        <f t="shared" si="635"/>
        <v>4.25</v>
      </c>
      <c r="AW815" s="9">
        <f t="shared" si="636"/>
        <v>3</v>
      </c>
      <c r="AX815" s="9">
        <f t="shared" si="637"/>
        <v>5.5</v>
      </c>
      <c r="AY815" s="9">
        <f t="shared" si="638"/>
        <v>6.5</v>
      </c>
      <c r="AZ815" s="9">
        <f t="shared" si="639"/>
        <v>7.125</v>
      </c>
      <c r="BA815" s="9">
        <f t="shared" si="640"/>
        <v>6.375</v>
      </c>
      <c r="BB815" s="9">
        <f t="shared" si="641"/>
        <v>-1.375</v>
      </c>
      <c r="BC815" s="9">
        <f t="shared" si="642"/>
        <v>1.875</v>
      </c>
      <c r="BD815" s="9">
        <f t="shared" si="643"/>
        <v>4</v>
      </c>
      <c r="BE815" s="9">
        <f t="shared" si="644"/>
        <v>5.25</v>
      </c>
      <c r="BF815" s="9">
        <f t="shared" si="645"/>
        <v>3.25</v>
      </c>
      <c r="BG815" s="9">
        <f t="shared" si="646"/>
        <v>6.75</v>
      </c>
      <c r="BH815" s="9">
        <f t="shared" si="647"/>
        <v>7.75</v>
      </c>
      <c r="BI815" s="9">
        <f t="shared" si="648"/>
        <v>7.875</v>
      </c>
      <c r="BJ815" s="9">
        <f t="shared" si="649"/>
        <v>7.25</v>
      </c>
    </row>
    <row r="816" spans="1:62" x14ac:dyDescent="0.2">
      <c r="A816" s="9">
        <f>data!M817-data!M816</f>
        <v>0.11700000000000443</v>
      </c>
      <c r="B816" s="9">
        <f>data!C817-data!C816</f>
        <v>0.48999999999999844</v>
      </c>
      <c r="C816" s="9">
        <f>data!D817-data!D816</f>
        <v>0.20500000000000007</v>
      </c>
      <c r="D816" s="10">
        <f>data!B817-data!B816</f>
        <v>0.18499999999999983</v>
      </c>
      <c r="E816" s="9">
        <f>data!E816-data!G816</f>
        <v>0.66439999999999999</v>
      </c>
      <c r="F816" s="9">
        <f>(data!E816-data!F816)-(data!G816-data!H816)</f>
        <v>0.38940000000000002</v>
      </c>
      <c r="G816" s="9">
        <f t="shared" si="600"/>
        <v>-6.4200000000000035E-2</v>
      </c>
      <c r="H816" s="9">
        <f t="shared" si="601"/>
        <v>-5.0400000000000056E-2</v>
      </c>
      <c r="I816" s="9">
        <f>IF(data!M817&gt; 111.81,1,0)</f>
        <v>1</v>
      </c>
      <c r="J816" s="9">
        <f t="shared" si="602"/>
        <v>0</v>
      </c>
      <c r="K816" s="9">
        <f t="shared" si="603"/>
        <v>0.11700000000000443</v>
      </c>
      <c r="L816" s="9">
        <f t="shared" si="604"/>
        <v>0</v>
      </c>
      <c r="M816" s="9">
        <f>data!J816</f>
        <v>-29.125</v>
      </c>
      <c r="N816" s="9">
        <f>data!I816</f>
        <v>-47.125</v>
      </c>
      <c r="O816" s="9">
        <f>data!L816</f>
        <v>-57</v>
      </c>
      <c r="P816" s="9">
        <f>data!K816</f>
        <v>-59.125</v>
      </c>
      <c r="Q816" s="9">
        <f>data!R816</f>
        <v>-59.75</v>
      </c>
      <c r="R816" s="9">
        <f t="shared" si="605"/>
        <v>3.125</v>
      </c>
      <c r="S816" s="9">
        <f t="shared" si="606"/>
        <v>2.875</v>
      </c>
      <c r="T816" s="9">
        <f t="shared" si="607"/>
        <v>0.875</v>
      </c>
      <c r="U816" s="9">
        <f t="shared" si="608"/>
        <v>1.375</v>
      </c>
      <c r="V816" s="9">
        <f t="shared" si="609"/>
        <v>3.125</v>
      </c>
      <c r="W816" s="9">
        <f t="shared" si="610"/>
        <v>7.75</v>
      </c>
      <c r="X816" s="9">
        <f t="shared" si="611"/>
        <v>8.125</v>
      </c>
      <c r="Y816" s="9">
        <f t="shared" si="612"/>
        <v>8.125</v>
      </c>
      <c r="Z816" s="9">
        <f t="shared" si="613"/>
        <v>7.125</v>
      </c>
      <c r="AA816" s="9">
        <f t="shared" si="614"/>
        <v>1.375</v>
      </c>
      <c r="AB816" s="9">
        <f t="shared" si="615"/>
        <v>3.125</v>
      </c>
      <c r="AC816" s="9">
        <f t="shared" si="616"/>
        <v>1.75</v>
      </c>
      <c r="AD816" s="9">
        <f t="shared" si="617"/>
        <v>2.125</v>
      </c>
      <c r="AE816" s="9">
        <f t="shared" si="618"/>
        <v>4.375</v>
      </c>
      <c r="AF816" s="9">
        <f t="shared" si="619"/>
        <v>5.5</v>
      </c>
      <c r="AG816" s="9">
        <f t="shared" si="620"/>
        <v>6</v>
      </c>
      <c r="AH816" s="9">
        <f t="shared" si="621"/>
        <v>6.625</v>
      </c>
      <c r="AI816" s="9">
        <f t="shared" si="622"/>
        <v>6.5</v>
      </c>
      <c r="AJ816" s="9">
        <f t="shared" si="623"/>
        <v>2.5</v>
      </c>
      <c r="AK816" s="9">
        <f t="shared" si="624"/>
        <v>4.5</v>
      </c>
      <c r="AL816" s="9">
        <f t="shared" si="625"/>
        <v>4.5</v>
      </c>
      <c r="AM816" s="9">
        <f t="shared" si="626"/>
        <v>3.75</v>
      </c>
      <c r="AN816" s="9">
        <f t="shared" si="627"/>
        <v>6.375</v>
      </c>
      <c r="AO816" s="9">
        <f t="shared" si="628"/>
        <v>7.375</v>
      </c>
      <c r="AP816" s="9">
        <f t="shared" si="629"/>
        <v>8.125</v>
      </c>
      <c r="AQ816" s="9">
        <f t="shared" si="630"/>
        <v>7.5</v>
      </c>
      <c r="AR816" s="9">
        <f t="shared" si="631"/>
        <v>7.875</v>
      </c>
      <c r="AS816" s="9">
        <f t="shared" si="632"/>
        <v>3</v>
      </c>
      <c r="AT816" s="9">
        <f t="shared" si="633"/>
        <v>5.125</v>
      </c>
      <c r="AU816" s="9">
        <f t="shared" si="634"/>
        <v>5.75</v>
      </c>
      <c r="AV816" s="9">
        <f t="shared" si="635"/>
        <v>4.5</v>
      </c>
      <c r="AW816" s="9">
        <f t="shared" si="636"/>
        <v>7</v>
      </c>
      <c r="AX816" s="9">
        <f t="shared" si="637"/>
        <v>8</v>
      </c>
      <c r="AY816" s="9">
        <f t="shared" si="638"/>
        <v>8.625</v>
      </c>
      <c r="AZ816" s="9">
        <f t="shared" si="639"/>
        <v>7.875</v>
      </c>
      <c r="BA816" s="9">
        <f t="shared" si="640"/>
        <v>9.5</v>
      </c>
      <c r="BB816" s="9">
        <f t="shared" si="641"/>
        <v>3.25</v>
      </c>
      <c r="BC816" s="9">
        <f t="shared" si="642"/>
        <v>5.375</v>
      </c>
      <c r="BD816" s="9">
        <f t="shared" si="643"/>
        <v>6.625</v>
      </c>
      <c r="BE816" s="9">
        <f t="shared" si="644"/>
        <v>4.625</v>
      </c>
      <c r="BF816" s="9">
        <f t="shared" si="645"/>
        <v>8.125</v>
      </c>
      <c r="BG816" s="9">
        <f t="shared" si="646"/>
        <v>9.125</v>
      </c>
      <c r="BH816" s="9">
        <f t="shared" si="647"/>
        <v>9.25</v>
      </c>
      <c r="BI816" s="9">
        <f t="shared" si="648"/>
        <v>8.625</v>
      </c>
      <c r="BJ816" s="9">
        <f t="shared" si="649"/>
        <v>10.5</v>
      </c>
    </row>
    <row r="817" spans="1:62" x14ac:dyDescent="0.2">
      <c r="A817" s="9">
        <f>data!M818-data!M817</f>
        <v>-1.1176000000000101</v>
      </c>
      <c r="B817" s="9">
        <f>data!C818-data!C817</f>
        <v>0.42000000000000171</v>
      </c>
      <c r="C817" s="9">
        <f>data!D818-data!D817</f>
        <v>0.58750000000000036</v>
      </c>
      <c r="D817" s="10">
        <f>data!B818-data!B817</f>
        <v>0.25750000000000006</v>
      </c>
      <c r="E817" s="9">
        <f>data!E817-data!G817</f>
        <v>0.60019999999999996</v>
      </c>
      <c r="F817" s="9">
        <f>(data!E817-data!F817)-(data!G817-data!H817)</f>
        <v>0.33899999999999997</v>
      </c>
      <c r="G817" s="9">
        <f t="shared" si="600"/>
        <v>6.6899999999999959E-2</v>
      </c>
      <c r="H817" s="9">
        <f t="shared" si="601"/>
        <v>8.8099999999999956E-2</v>
      </c>
      <c r="I817" s="9">
        <f>IF(data!M818&gt; 111.81,1,0)</f>
        <v>1</v>
      </c>
      <c r="J817" s="9">
        <f t="shared" si="602"/>
        <v>0</v>
      </c>
      <c r="K817" s="9">
        <f t="shared" si="603"/>
        <v>-1.1176000000000101</v>
      </c>
      <c r="L817" s="9">
        <f t="shared" si="604"/>
        <v>0</v>
      </c>
      <c r="M817" s="9">
        <f>data!J817</f>
        <v>-26</v>
      </c>
      <c r="N817" s="9">
        <f>data!I817</f>
        <v>-45.75</v>
      </c>
      <c r="O817" s="9">
        <f>data!L817</f>
        <v>-54.5</v>
      </c>
      <c r="P817" s="9">
        <f>data!K817</f>
        <v>-56.125</v>
      </c>
      <c r="Q817" s="9">
        <f>data!R817</f>
        <v>-56.5</v>
      </c>
      <c r="R817" s="9">
        <f t="shared" si="605"/>
        <v>-0.25</v>
      </c>
      <c r="S817" s="9">
        <f t="shared" si="606"/>
        <v>-2.25</v>
      </c>
      <c r="T817" s="9">
        <f t="shared" si="607"/>
        <v>-1.75</v>
      </c>
      <c r="U817" s="9">
        <f t="shared" si="608"/>
        <v>0</v>
      </c>
      <c r="V817" s="9">
        <f t="shared" si="609"/>
        <v>4.625</v>
      </c>
      <c r="W817" s="9">
        <f t="shared" si="610"/>
        <v>5</v>
      </c>
      <c r="X817" s="9">
        <f t="shared" si="611"/>
        <v>5</v>
      </c>
      <c r="Y817" s="9">
        <f t="shared" si="612"/>
        <v>4</v>
      </c>
      <c r="Z817" s="9">
        <f t="shared" si="613"/>
        <v>4</v>
      </c>
      <c r="AA817" s="9">
        <f t="shared" si="614"/>
        <v>1.75</v>
      </c>
      <c r="AB817" s="9">
        <f t="shared" si="615"/>
        <v>0.375</v>
      </c>
      <c r="AC817" s="9">
        <f t="shared" si="616"/>
        <v>0.75</v>
      </c>
      <c r="AD817" s="9">
        <f t="shared" si="617"/>
        <v>3</v>
      </c>
      <c r="AE817" s="9">
        <f t="shared" si="618"/>
        <v>4.125</v>
      </c>
      <c r="AF817" s="9">
        <f t="shared" si="619"/>
        <v>4.625</v>
      </c>
      <c r="AG817" s="9">
        <f t="shared" si="620"/>
        <v>5.25</v>
      </c>
      <c r="AH817" s="9">
        <f t="shared" si="621"/>
        <v>5.125</v>
      </c>
      <c r="AI817" s="9">
        <f t="shared" si="622"/>
        <v>7.25</v>
      </c>
      <c r="AJ817" s="9">
        <f t="shared" si="623"/>
        <v>2</v>
      </c>
      <c r="AK817" s="9">
        <f t="shared" si="624"/>
        <v>2</v>
      </c>
      <c r="AL817" s="9">
        <f t="shared" si="625"/>
        <v>1.25</v>
      </c>
      <c r="AM817" s="9">
        <f t="shared" si="626"/>
        <v>3.875</v>
      </c>
      <c r="AN817" s="9">
        <f t="shared" si="627"/>
        <v>4.875</v>
      </c>
      <c r="AO817" s="9">
        <f t="shared" si="628"/>
        <v>5.625</v>
      </c>
      <c r="AP817" s="9">
        <f t="shared" si="629"/>
        <v>5</v>
      </c>
      <c r="AQ817" s="9">
        <f t="shared" si="630"/>
        <v>5.375</v>
      </c>
      <c r="AR817" s="9">
        <f t="shared" si="631"/>
        <v>7.625</v>
      </c>
      <c r="AS817" s="9">
        <f t="shared" si="632"/>
        <v>2.125</v>
      </c>
      <c r="AT817" s="9">
        <f t="shared" si="633"/>
        <v>2.75</v>
      </c>
      <c r="AU817" s="9">
        <f t="shared" si="634"/>
        <v>1.5</v>
      </c>
      <c r="AV817" s="9">
        <f t="shared" si="635"/>
        <v>4</v>
      </c>
      <c r="AW817" s="9">
        <f t="shared" si="636"/>
        <v>5</v>
      </c>
      <c r="AX817" s="9">
        <f t="shared" si="637"/>
        <v>5.625</v>
      </c>
      <c r="AY817" s="9">
        <f t="shared" si="638"/>
        <v>4.875</v>
      </c>
      <c r="AZ817" s="9">
        <f t="shared" si="639"/>
        <v>6.5</v>
      </c>
      <c r="BA817" s="9">
        <f t="shared" si="640"/>
        <v>8.875</v>
      </c>
      <c r="BB817" s="9">
        <f t="shared" si="641"/>
        <v>2.125</v>
      </c>
      <c r="BC817" s="9">
        <f t="shared" si="642"/>
        <v>3.375</v>
      </c>
      <c r="BD817" s="9">
        <f t="shared" si="643"/>
        <v>1.375</v>
      </c>
      <c r="BE817" s="9">
        <f t="shared" si="644"/>
        <v>4.875</v>
      </c>
      <c r="BF817" s="9">
        <f t="shared" si="645"/>
        <v>5.875</v>
      </c>
      <c r="BG817" s="9">
        <f t="shared" si="646"/>
        <v>6</v>
      </c>
      <c r="BH817" s="9">
        <f t="shared" si="647"/>
        <v>5.375</v>
      </c>
      <c r="BI817" s="9">
        <f t="shared" si="648"/>
        <v>7.25</v>
      </c>
      <c r="BJ817" s="9">
        <f t="shared" si="649"/>
        <v>10</v>
      </c>
    </row>
    <row r="818" spans="1:62" x14ac:dyDescent="0.2">
      <c r="A818" s="9">
        <f>data!M819-data!M818</f>
        <v>9.5100000000002183E-2</v>
      </c>
      <c r="B818" s="9">
        <f>data!C819-data!C818</f>
        <v>7.7899999999999991</v>
      </c>
      <c r="C818" s="9">
        <f>data!D819-data!D818</f>
        <v>-0.3100000000000005</v>
      </c>
      <c r="D818" s="10">
        <f>data!B819-data!B818</f>
        <v>-0.23499999999999988</v>
      </c>
      <c r="E818" s="9">
        <f>data!E818-data!G818</f>
        <v>0.66709999999999992</v>
      </c>
      <c r="F818" s="9">
        <f>(data!E818-data!F818)-(data!G818-data!H818)</f>
        <v>0.42709999999999992</v>
      </c>
      <c r="G818" s="9">
        <f t="shared" si="600"/>
        <v>1.4900000000000024E-2</v>
      </c>
      <c r="H818" s="9">
        <f t="shared" si="601"/>
        <v>-1.7900000000000027E-2</v>
      </c>
      <c r="I818" s="9">
        <f>IF(data!M819&gt; 111.81,1,0)</f>
        <v>1</v>
      </c>
      <c r="J818" s="9">
        <f t="shared" si="602"/>
        <v>0</v>
      </c>
      <c r="K818" s="9">
        <f t="shared" si="603"/>
        <v>9.5100000000002183E-2</v>
      </c>
      <c r="L818" s="9">
        <f t="shared" si="604"/>
        <v>0</v>
      </c>
      <c r="M818" s="9">
        <f>data!J818</f>
        <v>-26.25</v>
      </c>
      <c r="N818" s="9">
        <f>data!I818</f>
        <v>-44</v>
      </c>
      <c r="O818" s="9">
        <f>data!L818</f>
        <v>-52.5</v>
      </c>
      <c r="P818" s="9">
        <f>data!K818</f>
        <v>-54</v>
      </c>
      <c r="Q818" s="9">
        <f>data!R818</f>
        <v>-54.375</v>
      </c>
      <c r="R818" s="9">
        <f t="shared" si="605"/>
        <v>-2</v>
      </c>
      <c r="S818" s="9">
        <f t="shared" si="606"/>
        <v>-1.5</v>
      </c>
      <c r="T818" s="9">
        <f t="shared" si="607"/>
        <v>0.25</v>
      </c>
      <c r="U818" s="9">
        <f t="shared" si="608"/>
        <v>4.875</v>
      </c>
      <c r="V818" s="9">
        <f t="shared" si="609"/>
        <v>5.25</v>
      </c>
      <c r="W818" s="9">
        <f t="shared" si="610"/>
        <v>5.25</v>
      </c>
      <c r="X818" s="9">
        <f t="shared" si="611"/>
        <v>4.25</v>
      </c>
      <c r="Y818" s="9">
        <f t="shared" si="612"/>
        <v>4.25</v>
      </c>
      <c r="Z818" s="9">
        <f t="shared" si="613"/>
        <v>3.625</v>
      </c>
      <c r="AA818" s="9">
        <f t="shared" si="614"/>
        <v>-1.375</v>
      </c>
      <c r="AB818" s="9">
        <f t="shared" si="615"/>
        <v>-1</v>
      </c>
      <c r="AC818" s="9">
        <f t="shared" si="616"/>
        <v>1.25</v>
      </c>
      <c r="AD818" s="9">
        <f t="shared" si="617"/>
        <v>2.375</v>
      </c>
      <c r="AE818" s="9">
        <f t="shared" si="618"/>
        <v>2.875</v>
      </c>
      <c r="AF818" s="9">
        <f t="shared" si="619"/>
        <v>3.5</v>
      </c>
      <c r="AG818" s="9">
        <f t="shared" si="620"/>
        <v>3.375</v>
      </c>
      <c r="AH818" s="9">
        <f t="shared" si="621"/>
        <v>5.5</v>
      </c>
      <c r="AI818" s="9">
        <f t="shared" si="622"/>
        <v>6.125</v>
      </c>
      <c r="AJ818" s="9">
        <f t="shared" si="623"/>
        <v>0</v>
      </c>
      <c r="AK818" s="9">
        <f t="shared" si="624"/>
        <v>-0.75</v>
      </c>
      <c r="AL818" s="9">
        <f t="shared" si="625"/>
        <v>1.875</v>
      </c>
      <c r="AM818" s="9">
        <f t="shared" si="626"/>
        <v>2.875</v>
      </c>
      <c r="AN818" s="9">
        <f t="shared" si="627"/>
        <v>3.625</v>
      </c>
      <c r="AO818" s="9">
        <f t="shared" si="628"/>
        <v>3</v>
      </c>
      <c r="AP818" s="9">
        <f t="shared" si="629"/>
        <v>3.375</v>
      </c>
      <c r="AQ818" s="9">
        <f t="shared" si="630"/>
        <v>5.625</v>
      </c>
      <c r="AR818" s="9">
        <f t="shared" si="631"/>
        <v>5.25</v>
      </c>
      <c r="AS818" s="9">
        <f t="shared" si="632"/>
        <v>0.625</v>
      </c>
      <c r="AT818" s="9">
        <f t="shared" si="633"/>
        <v>-0.625</v>
      </c>
      <c r="AU818" s="9">
        <f t="shared" si="634"/>
        <v>1.875</v>
      </c>
      <c r="AV818" s="9">
        <f t="shared" si="635"/>
        <v>2.875</v>
      </c>
      <c r="AW818" s="9">
        <f t="shared" si="636"/>
        <v>3.5</v>
      </c>
      <c r="AX818" s="9">
        <f t="shared" si="637"/>
        <v>2.75</v>
      </c>
      <c r="AY818" s="9">
        <f t="shared" si="638"/>
        <v>4.375</v>
      </c>
      <c r="AZ818" s="9">
        <f t="shared" si="639"/>
        <v>6.75</v>
      </c>
      <c r="BA818" s="9">
        <f t="shared" si="640"/>
        <v>5.875</v>
      </c>
      <c r="BB818" s="9">
        <f t="shared" si="641"/>
        <v>1.25</v>
      </c>
      <c r="BC818" s="9">
        <f t="shared" si="642"/>
        <v>-0.75</v>
      </c>
      <c r="BD818" s="9">
        <f t="shared" si="643"/>
        <v>2.75</v>
      </c>
      <c r="BE818" s="9">
        <f t="shared" si="644"/>
        <v>3.75</v>
      </c>
      <c r="BF818" s="9">
        <f t="shared" si="645"/>
        <v>3.875</v>
      </c>
      <c r="BG818" s="9">
        <f t="shared" si="646"/>
        <v>3.25</v>
      </c>
      <c r="BH818" s="9">
        <f t="shared" si="647"/>
        <v>5.125</v>
      </c>
      <c r="BI818" s="9">
        <f t="shared" si="648"/>
        <v>7.875</v>
      </c>
      <c r="BJ818" s="9">
        <f t="shared" si="649"/>
        <v>6.875</v>
      </c>
    </row>
    <row r="819" spans="1:62" x14ac:dyDescent="0.2">
      <c r="A819" s="9">
        <f>data!M820-data!M819</f>
        <v>5.0600000000002865E-2</v>
      </c>
      <c r="B819" s="9">
        <f>data!C820-data!C819</f>
        <v>-3.879999999999999</v>
      </c>
      <c r="C819" s="9">
        <f>data!D820-data!D819</f>
        <v>-0.16499999999999915</v>
      </c>
      <c r="D819" s="10">
        <f>data!B820-data!B819</f>
        <v>-0.22999999999999998</v>
      </c>
      <c r="E819" s="9">
        <f>data!E819-data!G819</f>
        <v>0.68199999999999994</v>
      </c>
      <c r="F819" s="9">
        <f>(data!E819-data!F819)-(data!G819-data!H819)</f>
        <v>0.4091999999999999</v>
      </c>
      <c r="G819" s="9">
        <f t="shared" si="600"/>
        <v>-3.8200000000000012E-2</v>
      </c>
      <c r="H819" s="9">
        <f t="shared" si="601"/>
        <v>-3.2399999999999984E-2</v>
      </c>
      <c r="I819" s="9">
        <f>IF(data!M820&gt; 111.81,1,0)</f>
        <v>1</v>
      </c>
      <c r="J819" s="9">
        <f t="shared" si="602"/>
        <v>0</v>
      </c>
      <c r="K819" s="9">
        <f t="shared" si="603"/>
        <v>5.0600000000002865E-2</v>
      </c>
      <c r="L819" s="9">
        <f t="shared" si="604"/>
        <v>0</v>
      </c>
      <c r="M819" s="9">
        <f>data!J819</f>
        <v>-28.25</v>
      </c>
      <c r="N819" s="9">
        <f>data!I819</f>
        <v>-45.375</v>
      </c>
      <c r="O819" s="9">
        <f>data!L819</f>
        <v>-52.5</v>
      </c>
      <c r="P819" s="9">
        <f>data!K819</f>
        <v>-53.375</v>
      </c>
      <c r="Q819" s="9">
        <f>data!R819</f>
        <v>-53.125</v>
      </c>
      <c r="R819" s="9">
        <f t="shared" si="605"/>
        <v>0.5</v>
      </c>
      <c r="S819" s="9">
        <f t="shared" si="606"/>
        <v>2.25</v>
      </c>
      <c r="T819" s="9">
        <f t="shared" si="607"/>
        <v>6.875</v>
      </c>
      <c r="U819" s="9">
        <f t="shared" si="608"/>
        <v>7.25</v>
      </c>
      <c r="V819" s="9">
        <f t="shared" si="609"/>
        <v>7.25</v>
      </c>
      <c r="W819" s="9">
        <f t="shared" si="610"/>
        <v>6.25</v>
      </c>
      <c r="X819" s="9">
        <f t="shared" si="611"/>
        <v>6.25</v>
      </c>
      <c r="Y819" s="9">
        <f t="shared" si="612"/>
        <v>5.625</v>
      </c>
      <c r="Z819" s="9">
        <f t="shared" si="613"/>
        <v>6.875</v>
      </c>
      <c r="AA819" s="9">
        <f t="shared" si="614"/>
        <v>0.375</v>
      </c>
      <c r="AB819" s="9">
        <f t="shared" si="615"/>
        <v>2.625</v>
      </c>
      <c r="AC819" s="9">
        <f t="shared" si="616"/>
        <v>3.75</v>
      </c>
      <c r="AD819" s="9">
        <f t="shared" si="617"/>
        <v>4.25</v>
      </c>
      <c r="AE819" s="9">
        <f t="shared" si="618"/>
        <v>4.875</v>
      </c>
      <c r="AF819" s="9">
        <f t="shared" si="619"/>
        <v>4.75</v>
      </c>
      <c r="AG819" s="9">
        <f t="shared" si="620"/>
        <v>6.875</v>
      </c>
      <c r="AH819" s="9">
        <f t="shared" si="621"/>
        <v>7.5</v>
      </c>
      <c r="AI819" s="9">
        <f t="shared" si="622"/>
        <v>8.375</v>
      </c>
      <c r="AJ819" s="9">
        <f t="shared" si="623"/>
        <v>-0.75</v>
      </c>
      <c r="AK819" s="9">
        <f t="shared" si="624"/>
        <v>1.875</v>
      </c>
      <c r="AL819" s="9">
        <f t="shared" si="625"/>
        <v>2.875</v>
      </c>
      <c r="AM819" s="9">
        <f t="shared" si="626"/>
        <v>3.625</v>
      </c>
      <c r="AN819" s="9">
        <f t="shared" si="627"/>
        <v>3</v>
      </c>
      <c r="AO819" s="9">
        <f t="shared" si="628"/>
        <v>3.375</v>
      </c>
      <c r="AP819" s="9">
        <f t="shared" si="629"/>
        <v>5.625</v>
      </c>
      <c r="AQ819" s="9">
        <f t="shared" si="630"/>
        <v>5.25</v>
      </c>
      <c r="AR819" s="9">
        <f t="shared" si="631"/>
        <v>5.5</v>
      </c>
      <c r="AS819" s="9">
        <f t="shared" si="632"/>
        <v>-1.25</v>
      </c>
      <c r="AT819" s="9">
        <f t="shared" si="633"/>
        <v>1.25</v>
      </c>
      <c r="AU819" s="9">
        <f t="shared" si="634"/>
        <v>2.25</v>
      </c>
      <c r="AV819" s="9">
        <f t="shared" si="635"/>
        <v>2.875</v>
      </c>
      <c r="AW819" s="9">
        <f t="shared" si="636"/>
        <v>2.125</v>
      </c>
      <c r="AX819" s="9">
        <f t="shared" si="637"/>
        <v>3.75</v>
      </c>
      <c r="AY819" s="9">
        <f t="shared" si="638"/>
        <v>6.125</v>
      </c>
      <c r="AZ819" s="9">
        <f t="shared" si="639"/>
        <v>5.25</v>
      </c>
      <c r="BA819" s="9">
        <f t="shared" si="640"/>
        <v>5.25</v>
      </c>
      <c r="BB819" s="9">
        <f t="shared" si="641"/>
        <v>-2</v>
      </c>
      <c r="BC819" s="9">
        <f t="shared" si="642"/>
        <v>1.5</v>
      </c>
      <c r="BD819" s="9">
        <f t="shared" si="643"/>
        <v>2.5</v>
      </c>
      <c r="BE819" s="9">
        <f t="shared" si="644"/>
        <v>2.625</v>
      </c>
      <c r="BF819" s="9">
        <f t="shared" si="645"/>
        <v>2</v>
      </c>
      <c r="BG819" s="9">
        <f t="shared" si="646"/>
        <v>3.875</v>
      </c>
      <c r="BH819" s="9">
        <f t="shared" si="647"/>
        <v>6.625</v>
      </c>
      <c r="BI819" s="9">
        <f t="shared" si="648"/>
        <v>5.625</v>
      </c>
      <c r="BJ819" s="9">
        <f t="shared" si="649"/>
        <v>5.25</v>
      </c>
    </row>
    <row r="820" spans="1:62" x14ac:dyDescent="0.2">
      <c r="A820" s="9">
        <f>data!M821-data!M820</f>
        <v>-0.84829999999999472</v>
      </c>
      <c r="B820" s="9">
        <f>data!C821-data!C820</f>
        <v>-1.0400000000000027</v>
      </c>
      <c r="C820" s="9">
        <f>data!D821-data!D820</f>
        <v>0.49499999999999922</v>
      </c>
      <c r="D820" s="10">
        <f>data!B821-data!B820</f>
        <v>3.499999999999992E-2</v>
      </c>
      <c r="E820" s="9">
        <f>data!E820-data!G820</f>
        <v>0.64379999999999993</v>
      </c>
      <c r="F820" s="9">
        <f>(data!E820-data!F820)-(data!G820-data!H820)</f>
        <v>0.37679999999999991</v>
      </c>
      <c r="G820" s="9">
        <f t="shared" si="600"/>
        <v>4.0900000000000047E-2</v>
      </c>
      <c r="H820" s="9">
        <f t="shared" si="601"/>
        <v>2.1800000000000042E-2</v>
      </c>
      <c r="I820" s="9">
        <f>IF(data!M821&gt; 111.81,1,0)</f>
        <v>1</v>
      </c>
      <c r="J820" s="9">
        <f t="shared" si="602"/>
        <v>0</v>
      </c>
      <c r="K820" s="9">
        <f t="shared" si="603"/>
        <v>-0.84829999999999472</v>
      </c>
      <c r="L820" s="9">
        <f t="shared" si="604"/>
        <v>0</v>
      </c>
      <c r="M820" s="9">
        <f>data!J820</f>
        <v>-27.75</v>
      </c>
      <c r="N820" s="9">
        <f>data!I820</f>
        <v>-45</v>
      </c>
      <c r="O820" s="9">
        <f>data!L820</f>
        <v>-53.25</v>
      </c>
      <c r="P820" s="9">
        <f>data!K820</f>
        <v>-54.625</v>
      </c>
      <c r="Q820" s="9">
        <f>data!R820</f>
        <v>-55.125</v>
      </c>
      <c r="R820" s="9">
        <f t="shared" si="605"/>
        <v>1.75</v>
      </c>
      <c r="S820" s="9">
        <f t="shared" si="606"/>
        <v>6.375</v>
      </c>
      <c r="T820" s="9">
        <f t="shared" si="607"/>
        <v>6.75</v>
      </c>
      <c r="U820" s="9">
        <f t="shared" si="608"/>
        <v>6.75</v>
      </c>
      <c r="V820" s="9">
        <f t="shared" si="609"/>
        <v>5.75</v>
      </c>
      <c r="W820" s="9">
        <f t="shared" si="610"/>
        <v>5.75</v>
      </c>
      <c r="X820" s="9">
        <f t="shared" si="611"/>
        <v>5.125</v>
      </c>
      <c r="Y820" s="9">
        <f t="shared" si="612"/>
        <v>6.375</v>
      </c>
      <c r="Z820" s="9">
        <f t="shared" si="613"/>
        <v>6</v>
      </c>
      <c r="AA820" s="9">
        <f t="shared" si="614"/>
        <v>2.25</v>
      </c>
      <c r="AB820" s="9">
        <f t="shared" si="615"/>
        <v>3.375</v>
      </c>
      <c r="AC820" s="9">
        <f t="shared" si="616"/>
        <v>3.875</v>
      </c>
      <c r="AD820" s="9">
        <f t="shared" si="617"/>
        <v>4.5</v>
      </c>
      <c r="AE820" s="9">
        <f t="shared" si="618"/>
        <v>4.375</v>
      </c>
      <c r="AF820" s="9">
        <f t="shared" si="619"/>
        <v>6.5</v>
      </c>
      <c r="AG820" s="9">
        <f t="shared" si="620"/>
        <v>7.125</v>
      </c>
      <c r="AH820" s="9">
        <f t="shared" si="621"/>
        <v>8</v>
      </c>
      <c r="AI820" s="9">
        <f t="shared" si="622"/>
        <v>8</v>
      </c>
      <c r="AJ820" s="9">
        <f t="shared" si="623"/>
        <v>2.625</v>
      </c>
      <c r="AK820" s="9">
        <f t="shared" si="624"/>
        <v>3.625</v>
      </c>
      <c r="AL820" s="9">
        <f t="shared" si="625"/>
        <v>4.375</v>
      </c>
      <c r="AM820" s="9">
        <f t="shared" si="626"/>
        <v>3.75</v>
      </c>
      <c r="AN820" s="9">
        <f t="shared" si="627"/>
        <v>4.125</v>
      </c>
      <c r="AO820" s="9">
        <f t="shared" si="628"/>
        <v>6.375</v>
      </c>
      <c r="AP820" s="9">
        <f t="shared" si="629"/>
        <v>6</v>
      </c>
      <c r="AQ820" s="9">
        <f t="shared" si="630"/>
        <v>6.25</v>
      </c>
      <c r="AR820" s="9">
        <f t="shared" si="631"/>
        <v>5.375</v>
      </c>
      <c r="AS820" s="9">
        <f t="shared" si="632"/>
        <v>2.5</v>
      </c>
      <c r="AT820" s="9">
        <f t="shared" si="633"/>
        <v>3.5</v>
      </c>
      <c r="AU820" s="9">
        <f t="shared" si="634"/>
        <v>4.125</v>
      </c>
      <c r="AV820" s="9">
        <f t="shared" si="635"/>
        <v>3.375</v>
      </c>
      <c r="AW820" s="9">
        <f t="shared" si="636"/>
        <v>5</v>
      </c>
      <c r="AX820" s="9">
        <f t="shared" si="637"/>
        <v>7.375</v>
      </c>
      <c r="AY820" s="9">
        <f t="shared" si="638"/>
        <v>6.5</v>
      </c>
      <c r="AZ820" s="9">
        <f t="shared" si="639"/>
        <v>6.5</v>
      </c>
      <c r="BA820" s="9">
        <f t="shared" si="640"/>
        <v>2.5</v>
      </c>
      <c r="BB820" s="9">
        <f t="shared" si="641"/>
        <v>3.5</v>
      </c>
      <c r="BC820" s="9">
        <f t="shared" si="642"/>
        <v>4.5</v>
      </c>
      <c r="BD820" s="9">
        <f t="shared" si="643"/>
        <v>4.625</v>
      </c>
      <c r="BE820" s="9">
        <f t="shared" si="644"/>
        <v>4</v>
      </c>
      <c r="BF820" s="9">
        <f t="shared" si="645"/>
        <v>5.875</v>
      </c>
      <c r="BG820" s="9">
        <f t="shared" si="646"/>
        <v>8.625</v>
      </c>
      <c r="BH820" s="9">
        <f t="shared" si="647"/>
        <v>7.625</v>
      </c>
      <c r="BI820" s="9">
        <f t="shared" si="648"/>
        <v>7.25</v>
      </c>
      <c r="BJ820" s="9">
        <f t="shared" si="649"/>
        <v>2.5</v>
      </c>
    </row>
    <row r="821" spans="1:62" x14ac:dyDescent="0.2">
      <c r="A821" s="9">
        <f>data!M822-data!M821</f>
        <v>2.6306000000000012</v>
      </c>
      <c r="B821" s="9">
        <f>data!C822-data!C821</f>
        <v>0.55000000000000071</v>
      </c>
      <c r="C821" s="9">
        <f>data!D822-data!D821</f>
        <v>-3.5000000000000142E-2</v>
      </c>
      <c r="D821" s="10">
        <f>data!B822-data!B821</f>
        <v>-0.42999999999999994</v>
      </c>
      <c r="E821" s="9">
        <f>data!E821-data!G821</f>
        <v>0.68469999999999998</v>
      </c>
      <c r="F821" s="9">
        <f>(data!E821-data!F821)-(data!G821-data!H821)</f>
        <v>0.39859999999999995</v>
      </c>
      <c r="G821" s="9">
        <f t="shared" si="600"/>
        <v>-3.6299999999999999E-2</v>
      </c>
      <c r="H821" s="9">
        <f t="shared" si="601"/>
        <v>-3.6100000000000021E-2</v>
      </c>
      <c r="I821" s="9">
        <f>IF(data!M822&gt; 111.81,1,0)</f>
        <v>1</v>
      </c>
      <c r="J821" s="9">
        <f t="shared" si="602"/>
        <v>0</v>
      </c>
      <c r="K821" s="9">
        <f t="shared" si="603"/>
        <v>2.6306000000000012</v>
      </c>
      <c r="L821" s="9">
        <f t="shared" si="604"/>
        <v>0</v>
      </c>
      <c r="M821" s="9">
        <f>data!J821</f>
        <v>-26</v>
      </c>
      <c r="N821" s="9">
        <f>data!I821</f>
        <v>-42.75</v>
      </c>
      <c r="O821" s="9">
        <f>data!L821</f>
        <v>-50.625</v>
      </c>
      <c r="P821" s="9">
        <f>data!K821</f>
        <v>-52.125</v>
      </c>
      <c r="Q821" s="9">
        <f>data!R821</f>
        <v>-51.625</v>
      </c>
      <c r="R821" s="9">
        <f t="shared" si="605"/>
        <v>4.625</v>
      </c>
      <c r="S821" s="9">
        <f t="shared" si="606"/>
        <v>5</v>
      </c>
      <c r="T821" s="9">
        <f t="shared" si="607"/>
        <v>5</v>
      </c>
      <c r="U821" s="9">
        <f t="shared" si="608"/>
        <v>4</v>
      </c>
      <c r="V821" s="9">
        <f t="shared" si="609"/>
        <v>4</v>
      </c>
      <c r="W821" s="9">
        <f t="shared" si="610"/>
        <v>3.375</v>
      </c>
      <c r="X821" s="9">
        <f t="shared" si="611"/>
        <v>4.625</v>
      </c>
      <c r="Y821" s="9">
        <f t="shared" si="612"/>
        <v>4.25</v>
      </c>
      <c r="Z821" s="9">
        <f t="shared" si="613"/>
        <v>3.5</v>
      </c>
      <c r="AA821" s="9">
        <f t="shared" si="614"/>
        <v>1.125</v>
      </c>
      <c r="AB821" s="9">
        <f t="shared" si="615"/>
        <v>1.625</v>
      </c>
      <c r="AC821" s="9">
        <f t="shared" si="616"/>
        <v>2.25</v>
      </c>
      <c r="AD821" s="9">
        <f t="shared" si="617"/>
        <v>2.125</v>
      </c>
      <c r="AE821" s="9">
        <f t="shared" si="618"/>
        <v>4.25</v>
      </c>
      <c r="AF821" s="9">
        <f t="shared" si="619"/>
        <v>4.875</v>
      </c>
      <c r="AG821" s="9">
        <f t="shared" si="620"/>
        <v>5.75</v>
      </c>
      <c r="AH821" s="9">
        <f t="shared" si="621"/>
        <v>5.75</v>
      </c>
      <c r="AI821" s="9">
        <f t="shared" si="622"/>
        <v>5.875</v>
      </c>
      <c r="AJ821" s="9">
        <f t="shared" si="623"/>
        <v>1</v>
      </c>
      <c r="AK821" s="9">
        <f t="shared" si="624"/>
        <v>1.75</v>
      </c>
      <c r="AL821" s="9">
        <f t="shared" si="625"/>
        <v>1.125</v>
      </c>
      <c r="AM821" s="9">
        <f t="shared" si="626"/>
        <v>1.5</v>
      </c>
      <c r="AN821" s="9">
        <f t="shared" si="627"/>
        <v>3.75</v>
      </c>
      <c r="AO821" s="9">
        <f t="shared" si="628"/>
        <v>3.375</v>
      </c>
      <c r="AP821" s="9">
        <f t="shared" si="629"/>
        <v>3.625</v>
      </c>
      <c r="AQ821" s="9">
        <f t="shared" si="630"/>
        <v>2.75</v>
      </c>
      <c r="AR821" s="9">
        <f t="shared" si="631"/>
        <v>3.625</v>
      </c>
      <c r="AS821" s="9">
        <f t="shared" si="632"/>
        <v>1</v>
      </c>
      <c r="AT821" s="9">
        <f t="shared" si="633"/>
        <v>1.625</v>
      </c>
      <c r="AU821" s="9">
        <f t="shared" si="634"/>
        <v>0.875</v>
      </c>
      <c r="AV821" s="9">
        <f t="shared" si="635"/>
        <v>2.5</v>
      </c>
      <c r="AW821" s="9">
        <f t="shared" si="636"/>
        <v>4.875</v>
      </c>
      <c r="AX821" s="9">
        <f t="shared" si="637"/>
        <v>4</v>
      </c>
      <c r="AY821" s="9">
        <f t="shared" si="638"/>
        <v>4</v>
      </c>
      <c r="AZ821" s="9">
        <f t="shared" si="639"/>
        <v>0</v>
      </c>
      <c r="BA821" s="9">
        <f t="shared" si="640"/>
        <v>1.125</v>
      </c>
      <c r="BB821" s="9">
        <f t="shared" si="641"/>
        <v>1</v>
      </c>
      <c r="BC821" s="9">
        <f t="shared" si="642"/>
        <v>1.125</v>
      </c>
      <c r="BD821" s="9">
        <f t="shared" si="643"/>
        <v>0.5</v>
      </c>
      <c r="BE821" s="9">
        <f t="shared" si="644"/>
        <v>2.375</v>
      </c>
      <c r="BF821" s="9">
        <f t="shared" si="645"/>
        <v>5.125</v>
      </c>
      <c r="BG821" s="9">
        <f t="shared" si="646"/>
        <v>4.125</v>
      </c>
      <c r="BH821" s="9">
        <f t="shared" si="647"/>
        <v>3.75</v>
      </c>
      <c r="BI821" s="9">
        <f t="shared" si="648"/>
        <v>-1</v>
      </c>
      <c r="BJ821" s="9">
        <f t="shared" si="649"/>
        <v>0.375</v>
      </c>
    </row>
    <row r="822" spans="1:62" x14ac:dyDescent="0.2">
      <c r="A822" s="9">
        <f>data!M823-data!M822</f>
        <v>-1.1362000000000023</v>
      </c>
      <c r="B822" s="9">
        <f>data!C823-data!C822</f>
        <v>1.25</v>
      </c>
      <c r="C822" s="9">
        <f>data!D823-data!D822</f>
        <v>-0.84499999999999975</v>
      </c>
      <c r="D822" s="10">
        <f>data!B823-data!B822</f>
        <v>0.27749999999999986</v>
      </c>
      <c r="E822" s="9">
        <f>data!E822-data!G822</f>
        <v>0.64839999999999998</v>
      </c>
      <c r="F822" s="9">
        <f>(data!E822-data!F822)-(data!G822-data!H822)</f>
        <v>0.36249999999999993</v>
      </c>
      <c r="G822" s="9">
        <f t="shared" si="600"/>
        <v>3.510000000000002E-2</v>
      </c>
      <c r="H822" s="9">
        <f t="shared" si="601"/>
        <v>5.710000000000004E-2</v>
      </c>
      <c r="I822" s="9">
        <f>IF(data!M823&gt; 111.81,1,0)</f>
        <v>1</v>
      </c>
      <c r="J822" s="9">
        <f t="shared" si="602"/>
        <v>0</v>
      </c>
      <c r="K822" s="9">
        <f t="shared" si="603"/>
        <v>-1.1362000000000023</v>
      </c>
      <c r="L822" s="9">
        <f t="shared" si="604"/>
        <v>0</v>
      </c>
      <c r="M822" s="9">
        <f>data!J822</f>
        <v>-21.375</v>
      </c>
      <c r="N822" s="9">
        <f>data!I822</f>
        <v>-41.625</v>
      </c>
      <c r="O822" s="9">
        <f>data!L822</f>
        <v>-49.625</v>
      </c>
      <c r="P822" s="9">
        <f>data!K822</f>
        <v>-51.125</v>
      </c>
      <c r="Q822" s="9">
        <f>data!R822</f>
        <v>-50.625</v>
      </c>
      <c r="R822" s="9">
        <f t="shared" si="605"/>
        <v>0.375</v>
      </c>
      <c r="S822" s="9">
        <f t="shared" si="606"/>
        <v>0.375</v>
      </c>
      <c r="T822" s="9">
        <f t="shared" si="607"/>
        <v>-0.625</v>
      </c>
      <c r="U822" s="9">
        <f t="shared" si="608"/>
        <v>-0.625</v>
      </c>
      <c r="V822" s="9">
        <f t="shared" si="609"/>
        <v>-1.25</v>
      </c>
      <c r="W822" s="9">
        <f t="shared" si="610"/>
        <v>0</v>
      </c>
      <c r="X822" s="9">
        <f t="shared" si="611"/>
        <v>-0.375</v>
      </c>
      <c r="Y822" s="9">
        <f t="shared" si="612"/>
        <v>-1.125</v>
      </c>
      <c r="Z822" s="9">
        <f t="shared" si="613"/>
        <v>-1.125</v>
      </c>
      <c r="AA822" s="9">
        <f t="shared" si="614"/>
        <v>0.5</v>
      </c>
      <c r="AB822" s="9">
        <f t="shared" si="615"/>
        <v>1.125</v>
      </c>
      <c r="AC822" s="9">
        <f t="shared" si="616"/>
        <v>1</v>
      </c>
      <c r="AD822" s="9">
        <f t="shared" si="617"/>
        <v>3.125</v>
      </c>
      <c r="AE822" s="9">
        <f t="shared" si="618"/>
        <v>3.75</v>
      </c>
      <c r="AF822" s="9">
        <f t="shared" si="619"/>
        <v>4.625</v>
      </c>
      <c r="AG822" s="9">
        <f t="shared" si="620"/>
        <v>4.625</v>
      </c>
      <c r="AH822" s="9">
        <f t="shared" si="621"/>
        <v>4.75</v>
      </c>
      <c r="AI822" s="9">
        <f t="shared" si="622"/>
        <v>6.5</v>
      </c>
      <c r="AJ822" s="9">
        <f t="shared" si="623"/>
        <v>0.75</v>
      </c>
      <c r="AK822" s="9">
        <f t="shared" si="624"/>
        <v>0.125</v>
      </c>
      <c r="AL822" s="9">
        <f t="shared" si="625"/>
        <v>0.5</v>
      </c>
      <c r="AM822" s="9">
        <f t="shared" si="626"/>
        <v>2.75</v>
      </c>
      <c r="AN822" s="9">
        <f t="shared" si="627"/>
        <v>2.375</v>
      </c>
      <c r="AO822" s="9">
        <f t="shared" si="628"/>
        <v>2.625</v>
      </c>
      <c r="AP822" s="9">
        <f t="shared" si="629"/>
        <v>1.75</v>
      </c>
      <c r="AQ822" s="9">
        <f t="shared" si="630"/>
        <v>2.625</v>
      </c>
      <c r="AR822" s="9">
        <f t="shared" si="631"/>
        <v>4.875</v>
      </c>
      <c r="AS822" s="9">
        <f t="shared" si="632"/>
        <v>0.625</v>
      </c>
      <c r="AT822" s="9">
        <f t="shared" si="633"/>
        <v>-0.125</v>
      </c>
      <c r="AU822" s="9">
        <f t="shared" si="634"/>
        <v>1.5</v>
      </c>
      <c r="AV822" s="9">
        <f t="shared" si="635"/>
        <v>3.875</v>
      </c>
      <c r="AW822" s="9">
        <f t="shared" si="636"/>
        <v>3</v>
      </c>
      <c r="AX822" s="9">
        <f t="shared" si="637"/>
        <v>3</v>
      </c>
      <c r="AY822" s="9">
        <f t="shared" si="638"/>
        <v>-1</v>
      </c>
      <c r="AZ822" s="9">
        <f t="shared" si="639"/>
        <v>0.125</v>
      </c>
      <c r="BA822" s="9">
        <f t="shared" si="640"/>
        <v>2.25</v>
      </c>
      <c r="BB822" s="9">
        <f t="shared" si="641"/>
        <v>0.125</v>
      </c>
      <c r="BC822" s="9">
        <f t="shared" si="642"/>
        <v>-0.5</v>
      </c>
      <c r="BD822" s="9">
        <f t="shared" si="643"/>
        <v>1.375</v>
      </c>
      <c r="BE822" s="9">
        <f t="shared" si="644"/>
        <v>4.125</v>
      </c>
      <c r="BF822" s="9">
        <f t="shared" si="645"/>
        <v>3.125</v>
      </c>
      <c r="BG822" s="9">
        <f t="shared" si="646"/>
        <v>2.75</v>
      </c>
      <c r="BH822" s="9">
        <f t="shared" si="647"/>
        <v>-2</v>
      </c>
      <c r="BI822" s="9">
        <f t="shared" si="648"/>
        <v>-0.625</v>
      </c>
      <c r="BJ822" s="9">
        <f t="shared" si="649"/>
        <v>1.625</v>
      </c>
    </row>
    <row r="823" spans="1:62" x14ac:dyDescent="0.2">
      <c r="A823" s="9">
        <f>data!M824-data!M823</f>
        <v>-1.4581000000000017</v>
      </c>
      <c r="B823" s="9">
        <f>data!C824-data!C823</f>
        <v>-2.629999999999999</v>
      </c>
      <c r="C823" s="9">
        <f>data!D824-data!D823</f>
        <v>-0.62750000000000039</v>
      </c>
      <c r="D823" s="10">
        <f>data!B824-data!B823</f>
        <v>0.18250000000000011</v>
      </c>
      <c r="E823" s="9">
        <f>data!E823-data!G823</f>
        <v>0.6835</v>
      </c>
      <c r="F823" s="9">
        <f>(data!E823-data!F823)-(data!G823-data!H823)</f>
        <v>0.41959999999999997</v>
      </c>
      <c r="G823" s="9">
        <f t="shared" si="600"/>
        <v>6.0200000000000031E-2</v>
      </c>
      <c r="H823" s="9">
        <f t="shared" si="601"/>
        <v>4.2200000000000015E-2</v>
      </c>
      <c r="I823" s="9">
        <f>IF(data!M824&gt; 111.81,1,0)</f>
        <v>1</v>
      </c>
      <c r="J823" s="9">
        <f t="shared" si="602"/>
        <v>0</v>
      </c>
      <c r="K823" s="9">
        <f t="shared" si="603"/>
        <v>-1.4581000000000017</v>
      </c>
      <c r="L823" s="9">
        <f t="shared" si="604"/>
        <v>0</v>
      </c>
      <c r="M823" s="9">
        <f>data!J823</f>
        <v>-21</v>
      </c>
      <c r="N823" s="9">
        <f>data!I823</f>
        <v>-41.125</v>
      </c>
      <c r="O823" s="9">
        <f>data!L823</f>
        <v>-48.875</v>
      </c>
      <c r="P823" s="9">
        <f>data!K823</f>
        <v>-50.5</v>
      </c>
      <c r="Q823" s="9">
        <f>data!R823</f>
        <v>-50.5</v>
      </c>
      <c r="R823" s="9">
        <f t="shared" si="605"/>
        <v>0</v>
      </c>
      <c r="S823" s="9">
        <f t="shared" si="606"/>
        <v>-1</v>
      </c>
      <c r="T823" s="9">
        <f t="shared" si="607"/>
        <v>-1</v>
      </c>
      <c r="U823" s="9">
        <f t="shared" si="608"/>
        <v>-1.625</v>
      </c>
      <c r="V823" s="9">
        <f t="shared" si="609"/>
        <v>-0.375</v>
      </c>
      <c r="W823" s="9">
        <f t="shared" si="610"/>
        <v>-0.75</v>
      </c>
      <c r="X823" s="9">
        <f t="shared" si="611"/>
        <v>-1.5</v>
      </c>
      <c r="Y823" s="9">
        <f t="shared" si="612"/>
        <v>-1.5</v>
      </c>
      <c r="Z823" s="9">
        <f t="shared" si="613"/>
        <v>-1.375</v>
      </c>
      <c r="AA823" s="9">
        <f t="shared" si="614"/>
        <v>0.625</v>
      </c>
      <c r="AB823" s="9">
        <f t="shared" si="615"/>
        <v>0.5</v>
      </c>
      <c r="AC823" s="9">
        <f t="shared" si="616"/>
        <v>2.625</v>
      </c>
      <c r="AD823" s="9">
        <f t="shared" si="617"/>
        <v>3.25</v>
      </c>
      <c r="AE823" s="9">
        <f t="shared" si="618"/>
        <v>4.125</v>
      </c>
      <c r="AF823" s="9">
        <f t="shared" si="619"/>
        <v>4.125</v>
      </c>
      <c r="AG823" s="9">
        <f t="shared" si="620"/>
        <v>4.25</v>
      </c>
      <c r="AH823" s="9">
        <f t="shared" si="621"/>
        <v>6</v>
      </c>
      <c r="AI823" s="9">
        <f t="shared" si="622"/>
        <v>4.375</v>
      </c>
      <c r="AJ823" s="9">
        <f t="shared" si="623"/>
        <v>-0.625</v>
      </c>
      <c r="AK823" s="9">
        <f t="shared" si="624"/>
        <v>-0.25</v>
      </c>
      <c r="AL823" s="9">
        <f t="shared" si="625"/>
        <v>2</v>
      </c>
      <c r="AM823" s="9">
        <f t="shared" si="626"/>
        <v>1.625</v>
      </c>
      <c r="AN823" s="9">
        <f t="shared" si="627"/>
        <v>1.875</v>
      </c>
      <c r="AO823" s="9">
        <f t="shared" si="628"/>
        <v>1</v>
      </c>
      <c r="AP823" s="9">
        <f t="shared" si="629"/>
        <v>1.875</v>
      </c>
      <c r="AQ823" s="9">
        <f t="shared" si="630"/>
        <v>4.125</v>
      </c>
      <c r="AR823" s="9">
        <f t="shared" si="631"/>
        <v>2.5</v>
      </c>
      <c r="AS823" s="9">
        <f t="shared" si="632"/>
        <v>-0.75</v>
      </c>
      <c r="AT823" s="9">
        <f t="shared" si="633"/>
        <v>0.875</v>
      </c>
      <c r="AU823" s="9">
        <f t="shared" si="634"/>
        <v>3.25</v>
      </c>
      <c r="AV823" s="9">
        <f t="shared" si="635"/>
        <v>2.375</v>
      </c>
      <c r="AW823" s="9">
        <f t="shared" si="636"/>
        <v>2.375</v>
      </c>
      <c r="AX823" s="9">
        <f t="shared" si="637"/>
        <v>-1.625</v>
      </c>
      <c r="AY823" s="9">
        <f t="shared" si="638"/>
        <v>-0.5</v>
      </c>
      <c r="AZ823" s="9">
        <f t="shared" si="639"/>
        <v>1.625</v>
      </c>
      <c r="BA823" s="9">
        <f t="shared" si="640"/>
        <v>-0.125</v>
      </c>
      <c r="BB823" s="9">
        <f t="shared" si="641"/>
        <v>-0.625</v>
      </c>
      <c r="BC823" s="9">
        <f t="shared" si="642"/>
        <v>1.25</v>
      </c>
      <c r="BD823" s="9">
        <f t="shared" si="643"/>
        <v>4</v>
      </c>
      <c r="BE823" s="9">
        <f t="shared" si="644"/>
        <v>3</v>
      </c>
      <c r="BF823" s="9">
        <f t="shared" si="645"/>
        <v>2.625</v>
      </c>
      <c r="BG823" s="9">
        <f t="shared" si="646"/>
        <v>-2.125</v>
      </c>
      <c r="BH823" s="9">
        <f t="shared" si="647"/>
        <v>-0.75</v>
      </c>
      <c r="BI823" s="9">
        <f t="shared" si="648"/>
        <v>1.5</v>
      </c>
      <c r="BJ823" s="9">
        <f t="shared" si="649"/>
        <v>-0.375</v>
      </c>
    </row>
    <row r="824" spans="1:62" x14ac:dyDescent="0.2">
      <c r="A824" s="9">
        <f>data!M825-data!M824</f>
        <v>0.49110000000000298</v>
      </c>
      <c r="B824" s="9">
        <f>data!C825-data!C824</f>
        <v>2.41</v>
      </c>
      <c r="C824" s="9">
        <f>data!D825-data!D824</f>
        <v>-0.21249999999999947</v>
      </c>
      <c r="D824" s="10">
        <f>data!B825-data!B824</f>
        <v>-0.11499999999999999</v>
      </c>
      <c r="E824" s="9">
        <f>data!E824-data!G824</f>
        <v>0.74370000000000003</v>
      </c>
      <c r="F824" s="9">
        <f>(data!E824-data!F824)-(data!G824-data!H824)</f>
        <v>0.46179999999999999</v>
      </c>
      <c r="G824" s="9">
        <f t="shared" si="600"/>
        <v>-1.5100000000000002E-2</v>
      </c>
      <c r="H824" s="9">
        <f t="shared" si="601"/>
        <v>-1.7299999999999927E-2</v>
      </c>
      <c r="I824" s="9">
        <f>IF(data!M825&gt; 111.81,1,0)</f>
        <v>1</v>
      </c>
      <c r="J824" s="9">
        <f t="shared" si="602"/>
        <v>0</v>
      </c>
      <c r="K824" s="9">
        <f t="shared" si="603"/>
        <v>0.49110000000000298</v>
      </c>
      <c r="L824" s="9">
        <f t="shared" si="604"/>
        <v>0</v>
      </c>
      <c r="M824" s="9">
        <f>data!J824</f>
        <v>-21</v>
      </c>
      <c r="N824" s="9">
        <f>data!I824</f>
        <v>-40.5</v>
      </c>
      <c r="O824" s="9">
        <f>data!L824</f>
        <v>-49.5</v>
      </c>
      <c r="P824" s="9">
        <f>data!K824</f>
        <v>-51.25</v>
      </c>
      <c r="Q824" s="9">
        <f>data!R824</f>
        <v>-51.125</v>
      </c>
      <c r="R824" s="9">
        <f t="shared" si="605"/>
        <v>-1</v>
      </c>
      <c r="S824" s="9">
        <f t="shared" si="606"/>
        <v>-1</v>
      </c>
      <c r="T824" s="9">
        <f t="shared" si="607"/>
        <v>-1.625</v>
      </c>
      <c r="U824" s="9">
        <f t="shared" si="608"/>
        <v>-0.375</v>
      </c>
      <c r="V824" s="9">
        <f t="shared" si="609"/>
        <v>-0.75</v>
      </c>
      <c r="W824" s="9">
        <f t="shared" si="610"/>
        <v>-1.5</v>
      </c>
      <c r="X824" s="9">
        <f t="shared" si="611"/>
        <v>-1.5</v>
      </c>
      <c r="Y824" s="9">
        <f t="shared" si="612"/>
        <v>-1.375</v>
      </c>
      <c r="Z824" s="9">
        <f t="shared" si="613"/>
        <v>-2.25</v>
      </c>
      <c r="AA824" s="9">
        <f t="shared" si="614"/>
        <v>-0.125</v>
      </c>
      <c r="AB824" s="9">
        <f t="shared" si="615"/>
        <v>2</v>
      </c>
      <c r="AC824" s="9">
        <f t="shared" si="616"/>
        <v>2.625</v>
      </c>
      <c r="AD824" s="9">
        <f t="shared" si="617"/>
        <v>3.5</v>
      </c>
      <c r="AE824" s="9">
        <f t="shared" si="618"/>
        <v>3.5</v>
      </c>
      <c r="AF824" s="9">
        <f t="shared" si="619"/>
        <v>3.625</v>
      </c>
      <c r="AG824" s="9">
        <f t="shared" si="620"/>
        <v>5.375</v>
      </c>
      <c r="AH824" s="9">
        <f t="shared" si="621"/>
        <v>3.75</v>
      </c>
      <c r="AI824" s="9">
        <f t="shared" si="622"/>
        <v>4</v>
      </c>
      <c r="AJ824" s="9">
        <f t="shared" si="623"/>
        <v>0.375</v>
      </c>
      <c r="AK824" s="9">
        <f t="shared" si="624"/>
        <v>2.625</v>
      </c>
      <c r="AL824" s="9">
        <f t="shared" si="625"/>
        <v>2.25</v>
      </c>
      <c r="AM824" s="9">
        <f t="shared" si="626"/>
        <v>2.5</v>
      </c>
      <c r="AN824" s="9">
        <f t="shared" si="627"/>
        <v>1.625</v>
      </c>
      <c r="AO824" s="9">
        <f t="shared" si="628"/>
        <v>2.5</v>
      </c>
      <c r="AP824" s="9">
        <f t="shared" si="629"/>
        <v>4.75</v>
      </c>
      <c r="AQ824" s="9">
        <f t="shared" si="630"/>
        <v>3.125</v>
      </c>
      <c r="AR824" s="9">
        <f t="shared" si="631"/>
        <v>3.75</v>
      </c>
      <c r="AS824" s="9">
        <f t="shared" si="632"/>
        <v>1.625</v>
      </c>
      <c r="AT824" s="9">
        <f t="shared" si="633"/>
        <v>4</v>
      </c>
      <c r="AU824" s="9">
        <f t="shared" si="634"/>
        <v>3.125</v>
      </c>
      <c r="AV824" s="9">
        <f t="shared" si="635"/>
        <v>3.125</v>
      </c>
      <c r="AW824" s="9">
        <f t="shared" si="636"/>
        <v>-0.875</v>
      </c>
      <c r="AX824" s="9">
        <f t="shared" si="637"/>
        <v>0.25</v>
      </c>
      <c r="AY824" s="9">
        <f t="shared" si="638"/>
        <v>2.375</v>
      </c>
      <c r="AZ824" s="9">
        <f t="shared" si="639"/>
        <v>0.625</v>
      </c>
      <c r="BA824" s="9">
        <f t="shared" si="640"/>
        <v>1.5</v>
      </c>
      <c r="BB824" s="9">
        <f t="shared" si="641"/>
        <v>1.875</v>
      </c>
      <c r="BC824" s="9">
        <f t="shared" si="642"/>
        <v>4.625</v>
      </c>
      <c r="BD824" s="9">
        <f t="shared" si="643"/>
        <v>3.625</v>
      </c>
      <c r="BE824" s="9">
        <f t="shared" si="644"/>
        <v>3.25</v>
      </c>
      <c r="BF824" s="9">
        <f t="shared" si="645"/>
        <v>-1.5</v>
      </c>
      <c r="BG824" s="9">
        <f t="shared" si="646"/>
        <v>-0.125</v>
      </c>
      <c r="BH824" s="9">
        <f t="shared" si="647"/>
        <v>2.125</v>
      </c>
      <c r="BI824" s="9">
        <f t="shared" si="648"/>
        <v>0.25</v>
      </c>
      <c r="BJ824" s="9">
        <f t="shared" si="649"/>
        <v>1.75</v>
      </c>
    </row>
    <row r="825" spans="1:62" x14ac:dyDescent="0.2">
      <c r="A825" s="9">
        <f>data!M826-data!M825</f>
        <v>-0.75560000000000116</v>
      </c>
      <c r="B825" s="9">
        <f>data!C826-data!C825</f>
        <v>0.14000000000000057</v>
      </c>
      <c r="C825" s="9">
        <f>data!D826-data!D825</f>
        <v>0.18250000000000011</v>
      </c>
      <c r="D825" s="10">
        <f>data!B826-data!B825</f>
        <v>7.7499999999999902E-2</v>
      </c>
      <c r="E825" s="9">
        <f>data!E825-data!G825</f>
        <v>0.72860000000000003</v>
      </c>
      <c r="F825" s="9">
        <f>(data!E825-data!F825)-(data!G825-data!H825)</f>
        <v>0.44450000000000006</v>
      </c>
      <c r="G825" s="9">
        <f t="shared" si="600"/>
        <v>7.8299999999999925E-2</v>
      </c>
      <c r="H825" s="9">
        <f t="shared" si="601"/>
        <v>7.3999999999999899E-2</v>
      </c>
      <c r="I825" s="9">
        <f>IF(data!M826&gt; 111.81,1,0)</f>
        <v>1</v>
      </c>
      <c r="J825" s="9">
        <f t="shared" si="602"/>
        <v>0</v>
      </c>
      <c r="K825" s="9">
        <f t="shared" si="603"/>
        <v>-0.75560000000000116</v>
      </c>
      <c r="L825" s="9">
        <f t="shared" si="604"/>
        <v>0</v>
      </c>
      <c r="M825" s="9">
        <f>data!J825</f>
        <v>-22</v>
      </c>
      <c r="N825" s="9">
        <f>data!I825</f>
        <v>-40.625</v>
      </c>
      <c r="O825" s="9">
        <f>data!L825</f>
        <v>-49.125</v>
      </c>
      <c r="P825" s="9">
        <f>data!K825</f>
        <v>-49.625</v>
      </c>
      <c r="Q825" s="9">
        <f>data!R825</f>
        <v>-49.25</v>
      </c>
      <c r="R825" s="9">
        <f t="shared" si="605"/>
        <v>0</v>
      </c>
      <c r="S825" s="9">
        <f t="shared" si="606"/>
        <v>-0.625</v>
      </c>
      <c r="T825" s="9">
        <f t="shared" si="607"/>
        <v>0.625</v>
      </c>
      <c r="U825" s="9">
        <f t="shared" si="608"/>
        <v>0.25</v>
      </c>
      <c r="V825" s="9">
        <f t="shared" si="609"/>
        <v>-0.5</v>
      </c>
      <c r="W825" s="9">
        <f t="shared" si="610"/>
        <v>-0.5</v>
      </c>
      <c r="X825" s="9">
        <f t="shared" si="611"/>
        <v>-0.375</v>
      </c>
      <c r="Y825" s="9">
        <f t="shared" si="612"/>
        <v>-1.25</v>
      </c>
      <c r="Z825" s="9">
        <f t="shared" si="613"/>
        <v>-1.625</v>
      </c>
      <c r="AA825" s="9">
        <f t="shared" si="614"/>
        <v>2.125</v>
      </c>
      <c r="AB825" s="9">
        <f t="shared" si="615"/>
        <v>2.75</v>
      </c>
      <c r="AC825" s="9">
        <f t="shared" si="616"/>
        <v>3.625</v>
      </c>
      <c r="AD825" s="9">
        <f t="shared" si="617"/>
        <v>3.625</v>
      </c>
      <c r="AE825" s="9">
        <f t="shared" si="618"/>
        <v>3.75</v>
      </c>
      <c r="AF825" s="9">
        <f t="shared" si="619"/>
        <v>5.5</v>
      </c>
      <c r="AG825" s="9">
        <f t="shared" si="620"/>
        <v>3.875</v>
      </c>
      <c r="AH825" s="9">
        <f t="shared" si="621"/>
        <v>4.125</v>
      </c>
      <c r="AI825" s="9">
        <f t="shared" si="622"/>
        <v>3.375</v>
      </c>
      <c r="AJ825" s="9">
        <f t="shared" si="623"/>
        <v>2.25</v>
      </c>
      <c r="AK825" s="9">
        <f t="shared" si="624"/>
        <v>1.875</v>
      </c>
      <c r="AL825" s="9">
        <f t="shared" si="625"/>
        <v>2.125</v>
      </c>
      <c r="AM825" s="9">
        <f t="shared" si="626"/>
        <v>1.25</v>
      </c>
      <c r="AN825" s="9">
        <f t="shared" si="627"/>
        <v>2.125</v>
      </c>
      <c r="AO825" s="9">
        <f t="shared" si="628"/>
        <v>4.375</v>
      </c>
      <c r="AP825" s="9">
        <f t="shared" si="629"/>
        <v>2.75</v>
      </c>
      <c r="AQ825" s="9">
        <f t="shared" si="630"/>
        <v>3.375</v>
      </c>
      <c r="AR825" s="9">
        <f t="shared" si="631"/>
        <v>1.625</v>
      </c>
      <c r="AS825" s="9">
        <f t="shared" si="632"/>
        <v>2.375</v>
      </c>
      <c r="AT825" s="9">
        <f t="shared" si="633"/>
        <v>1.5</v>
      </c>
      <c r="AU825" s="9">
        <f t="shared" si="634"/>
        <v>1.5</v>
      </c>
      <c r="AV825" s="9">
        <f t="shared" si="635"/>
        <v>-2.5</v>
      </c>
      <c r="AW825" s="9">
        <f t="shared" si="636"/>
        <v>-1.375</v>
      </c>
      <c r="AX825" s="9">
        <f t="shared" si="637"/>
        <v>0.75</v>
      </c>
      <c r="AY825" s="9">
        <f t="shared" si="638"/>
        <v>-1</v>
      </c>
      <c r="AZ825" s="9">
        <f t="shared" si="639"/>
        <v>-0.125</v>
      </c>
      <c r="BA825" s="9">
        <f t="shared" si="640"/>
        <v>-1.5</v>
      </c>
      <c r="BB825" s="9">
        <f t="shared" si="641"/>
        <v>2.75</v>
      </c>
      <c r="BC825" s="9">
        <f t="shared" si="642"/>
        <v>1.75</v>
      </c>
      <c r="BD825" s="9">
        <f t="shared" si="643"/>
        <v>1.375</v>
      </c>
      <c r="BE825" s="9">
        <f t="shared" si="644"/>
        <v>-3.375</v>
      </c>
      <c r="BF825" s="9">
        <f t="shared" si="645"/>
        <v>-2</v>
      </c>
      <c r="BG825" s="9">
        <f t="shared" si="646"/>
        <v>0.25</v>
      </c>
      <c r="BH825" s="9">
        <f t="shared" si="647"/>
        <v>-1.625</v>
      </c>
      <c r="BI825" s="9">
        <f t="shared" si="648"/>
        <v>-0.125</v>
      </c>
      <c r="BJ825" s="9">
        <f t="shared" si="649"/>
        <v>-1.5</v>
      </c>
    </row>
    <row r="826" spans="1:62" x14ac:dyDescent="0.2">
      <c r="A826" s="9">
        <f>data!M827-data!M826</f>
        <v>1.1218999999999966</v>
      </c>
      <c r="B826" s="9">
        <f>data!C827-data!C826</f>
        <v>10.470000000000002</v>
      </c>
      <c r="C826" s="9">
        <f>data!D827-data!D826</f>
        <v>0.35250000000000004</v>
      </c>
      <c r="D826" s="10">
        <f>data!B827-data!B826</f>
        <v>-0.44999999999999996</v>
      </c>
      <c r="E826" s="9">
        <f>data!E826-data!G826</f>
        <v>0.80689999999999995</v>
      </c>
      <c r="F826" s="9">
        <f>(data!E826-data!F826)-(data!G826-data!H826)</f>
        <v>0.51849999999999996</v>
      </c>
      <c r="G826" s="9">
        <f t="shared" si="600"/>
        <v>2.9800000000000049E-2</v>
      </c>
      <c r="H826" s="9">
        <f t="shared" si="601"/>
        <v>3.8700000000000068E-2</v>
      </c>
      <c r="I826" s="9">
        <f>IF(data!M827&gt; 111.81,1,0)</f>
        <v>1</v>
      </c>
      <c r="J826" s="9">
        <f t="shared" si="602"/>
        <v>0</v>
      </c>
      <c r="K826" s="9">
        <f t="shared" si="603"/>
        <v>1.1218999999999966</v>
      </c>
      <c r="L826" s="9">
        <f t="shared" si="604"/>
        <v>0</v>
      </c>
      <c r="M826" s="9">
        <f>data!J826</f>
        <v>-22</v>
      </c>
      <c r="N826" s="9">
        <f>data!I826</f>
        <v>-38.5</v>
      </c>
      <c r="O826" s="9">
        <f>data!L826</f>
        <v>-46.875</v>
      </c>
      <c r="P826" s="9">
        <f>data!K826</f>
        <v>-47.25</v>
      </c>
      <c r="Q826" s="9">
        <f>data!R826</f>
        <v>-46.5</v>
      </c>
      <c r="R826" s="9">
        <f t="shared" si="605"/>
        <v>-0.625</v>
      </c>
      <c r="S826" s="9">
        <f t="shared" si="606"/>
        <v>0.625</v>
      </c>
      <c r="T826" s="9">
        <f t="shared" si="607"/>
        <v>0.25</v>
      </c>
      <c r="U826" s="9">
        <f t="shared" si="608"/>
        <v>-0.5</v>
      </c>
      <c r="V826" s="9">
        <f t="shared" si="609"/>
        <v>-0.5</v>
      </c>
      <c r="W826" s="9">
        <f t="shared" si="610"/>
        <v>-0.375</v>
      </c>
      <c r="X826" s="9">
        <f t="shared" si="611"/>
        <v>-1.25</v>
      </c>
      <c r="Y826" s="9">
        <f t="shared" si="612"/>
        <v>-1.625</v>
      </c>
      <c r="Z826" s="9">
        <f t="shared" si="613"/>
        <v>-1.5</v>
      </c>
      <c r="AA826" s="9">
        <f t="shared" si="614"/>
        <v>0.625</v>
      </c>
      <c r="AB826" s="9">
        <f t="shared" si="615"/>
        <v>1.5</v>
      </c>
      <c r="AC826" s="9">
        <f t="shared" si="616"/>
        <v>1.5</v>
      </c>
      <c r="AD826" s="9">
        <f t="shared" si="617"/>
        <v>1.625</v>
      </c>
      <c r="AE826" s="9">
        <f t="shared" si="618"/>
        <v>3.375</v>
      </c>
      <c r="AF826" s="9">
        <f t="shared" si="619"/>
        <v>1.75</v>
      </c>
      <c r="AG826" s="9">
        <f t="shared" si="620"/>
        <v>2</v>
      </c>
      <c r="AH826" s="9">
        <f t="shared" si="621"/>
        <v>1.25</v>
      </c>
      <c r="AI826" s="9">
        <f t="shared" si="622"/>
        <v>2.5</v>
      </c>
      <c r="AJ826" s="9">
        <f t="shared" si="623"/>
        <v>-0.375</v>
      </c>
      <c r="AK826" s="9">
        <f t="shared" si="624"/>
        <v>-0.125</v>
      </c>
      <c r="AL826" s="9">
        <f t="shared" si="625"/>
        <v>-1</v>
      </c>
      <c r="AM826" s="9">
        <f t="shared" si="626"/>
        <v>-0.125</v>
      </c>
      <c r="AN826" s="9">
        <f t="shared" si="627"/>
        <v>2.125</v>
      </c>
      <c r="AO826" s="9">
        <f t="shared" si="628"/>
        <v>0.5</v>
      </c>
      <c r="AP826" s="9">
        <f t="shared" si="629"/>
        <v>1.125</v>
      </c>
      <c r="AQ826" s="9">
        <f t="shared" si="630"/>
        <v>-0.625</v>
      </c>
      <c r="AR826" s="9">
        <f t="shared" si="631"/>
        <v>1.25</v>
      </c>
      <c r="AS826" s="9">
        <f t="shared" si="632"/>
        <v>-0.875</v>
      </c>
      <c r="AT826" s="9">
        <f t="shared" si="633"/>
        <v>-0.875</v>
      </c>
      <c r="AU826" s="9">
        <f t="shared" si="634"/>
        <v>-4.875</v>
      </c>
      <c r="AV826" s="9">
        <f t="shared" si="635"/>
        <v>-3.75</v>
      </c>
      <c r="AW826" s="9">
        <f t="shared" si="636"/>
        <v>-1.625</v>
      </c>
      <c r="AX826" s="9">
        <f t="shared" si="637"/>
        <v>-3.375</v>
      </c>
      <c r="AY826" s="9">
        <f t="shared" si="638"/>
        <v>-2.5</v>
      </c>
      <c r="AZ826" s="9">
        <f t="shared" si="639"/>
        <v>-3.875</v>
      </c>
      <c r="BA826" s="9">
        <f t="shared" si="640"/>
        <v>-2</v>
      </c>
      <c r="BB826" s="9">
        <f t="shared" si="641"/>
        <v>-1</v>
      </c>
      <c r="BC826" s="9">
        <f t="shared" si="642"/>
        <v>-1.375</v>
      </c>
      <c r="BD826" s="9">
        <f t="shared" si="643"/>
        <v>-6.125</v>
      </c>
      <c r="BE826" s="9">
        <f t="shared" si="644"/>
        <v>-4.75</v>
      </c>
      <c r="BF826" s="9">
        <f t="shared" si="645"/>
        <v>-2.5</v>
      </c>
      <c r="BG826" s="9">
        <f t="shared" si="646"/>
        <v>-4.375</v>
      </c>
      <c r="BH826" s="9">
        <f t="shared" si="647"/>
        <v>-2.875</v>
      </c>
      <c r="BI826" s="9">
        <f t="shared" si="648"/>
        <v>-4.25</v>
      </c>
      <c r="BJ826" s="9">
        <f t="shared" si="649"/>
        <v>-1.5</v>
      </c>
    </row>
    <row r="827" spans="1:62" x14ac:dyDescent="0.2">
      <c r="A827" s="9">
        <f>data!M828-data!M827</f>
        <v>-2.1440000000000055</v>
      </c>
      <c r="B827" s="9">
        <f>data!C828-data!C827</f>
        <v>-13.160000000000004</v>
      </c>
      <c r="C827" s="9">
        <f>data!D828-data!D827</f>
        <v>-0.63750000000000018</v>
      </c>
      <c r="D827" s="10">
        <f>data!B828-data!B827</f>
        <v>0.58000000000000007</v>
      </c>
      <c r="E827" s="9">
        <f>data!E827-data!G827</f>
        <v>0.8367</v>
      </c>
      <c r="F827" s="9">
        <f>(data!E827-data!F827)-(data!G827-data!H827)</f>
        <v>0.55720000000000003</v>
      </c>
      <c r="G827" s="9">
        <f t="shared" si="600"/>
        <v>-3.4200000000000008E-2</v>
      </c>
      <c r="H827" s="9">
        <f t="shared" si="601"/>
        <v>-5.5400000000000005E-2</v>
      </c>
      <c r="I827" s="9">
        <f>IF(data!M828&gt; 111.81,1,0)</f>
        <v>1</v>
      </c>
      <c r="J827" s="9">
        <f t="shared" si="602"/>
        <v>0</v>
      </c>
      <c r="K827" s="9">
        <f t="shared" si="603"/>
        <v>-2.1440000000000055</v>
      </c>
      <c r="L827" s="9">
        <f t="shared" si="604"/>
        <v>0</v>
      </c>
      <c r="M827" s="9">
        <f>data!J827</f>
        <v>-22.625</v>
      </c>
      <c r="N827" s="9">
        <f>data!I827</f>
        <v>-37.875</v>
      </c>
      <c r="O827" s="9">
        <f>data!L827</f>
        <v>-47.25</v>
      </c>
      <c r="P827" s="9">
        <f>data!K827</f>
        <v>-48.125</v>
      </c>
      <c r="Q827" s="9">
        <f>data!R827</f>
        <v>-47.5</v>
      </c>
      <c r="R827" s="9">
        <f t="shared" si="605"/>
        <v>1.25</v>
      </c>
      <c r="S827" s="9">
        <f t="shared" si="606"/>
        <v>0.875</v>
      </c>
      <c r="T827" s="9">
        <f t="shared" si="607"/>
        <v>0.125</v>
      </c>
      <c r="U827" s="9">
        <f t="shared" si="608"/>
        <v>0.125</v>
      </c>
      <c r="V827" s="9">
        <f t="shared" si="609"/>
        <v>0.25</v>
      </c>
      <c r="W827" s="9">
        <f t="shared" si="610"/>
        <v>-0.625</v>
      </c>
      <c r="X827" s="9">
        <f t="shared" si="611"/>
        <v>-1</v>
      </c>
      <c r="Y827" s="9">
        <f t="shared" si="612"/>
        <v>-0.875</v>
      </c>
      <c r="Z827" s="9">
        <f t="shared" si="613"/>
        <v>0.625</v>
      </c>
      <c r="AA827" s="9">
        <f t="shared" si="614"/>
        <v>0.875</v>
      </c>
      <c r="AB827" s="9">
        <f t="shared" si="615"/>
        <v>0.875</v>
      </c>
      <c r="AC827" s="9">
        <f t="shared" si="616"/>
        <v>1</v>
      </c>
      <c r="AD827" s="9">
        <f t="shared" si="617"/>
        <v>2.75</v>
      </c>
      <c r="AE827" s="9">
        <f t="shared" si="618"/>
        <v>1.125</v>
      </c>
      <c r="AF827" s="9">
        <f t="shared" si="619"/>
        <v>1.375</v>
      </c>
      <c r="AG827" s="9">
        <f t="shared" si="620"/>
        <v>0.625</v>
      </c>
      <c r="AH827" s="9">
        <f t="shared" si="621"/>
        <v>1.875</v>
      </c>
      <c r="AI827" s="9">
        <f t="shared" si="622"/>
        <v>2.375</v>
      </c>
      <c r="AJ827" s="9">
        <f t="shared" si="623"/>
        <v>0.25</v>
      </c>
      <c r="AK827" s="9">
        <f t="shared" si="624"/>
        <v>-0.625</v>
      </c>
      <c r="AL827" s="9">
        <f t="shared" si="625"/>
        <v>0.25</v>
      </c>
      <c r="AM827" s="9">
        <f t="shared" si="626"/>
        <v>2.5</v>
      </c>
      <c r="AN827" s="9">
        <f t="shared" si="627"/>
        <v>0.875</v>
      </c>
      <c r="AO827" s="9">
        <f t="shared" si="628"/>
        <v>1.5</v>
      </c>
      <c r="AP827" s="9">
        <f t="shared" si="629"/>
        <v>-0.25</v>
      </c>
      <c r="AQ827" s="9">
        <f t="shared" si="630"/>
        <v>1.625</v>
      </c>
      <c r="AR827" s="9">
        <f t="shared" si="631"/>
        <v>2.625</v>
      </c>
      <c r="AS827" s="9">
        <f t="shared" si="632"/>
        <v>0</v>
      </c>
      <c r="AT827" s="9">
        <f t="shared" si="633"/>
        <v>-4</v>
      </c>
      <c r="AU827" s="9">
        <f t="shared" si="634"/>
        <v>-2.875</v>
      </c>
      <c r="AV827" s="9">
        <f t="shared" si="635"/>
        <v>-0.75</v>
      </c>
      <c r="AW827" s="9">
        <f t="shared" si="636"/>
        <v>-2.5</v>
      </c>
      <c r="AX827" s="9">
        <f t="shared" si="637"/>
        <v>-1.625</v>
      </c>
      <c r="AY827" s="9">
        <f t="shared" si="638"/>
        <v>-3</v>
      </c>
      <c r="AZ827" s="9">
        <f t="shared" si="639"/>
        <v>-1.125</v>
      </c>
      <c r="BA827" s="9">
        <f t="shared" si="640"/>
        <v>0.25</v>
      </c>
      <c r="BB827" s="9">
        <f t="shared" si="641"/>
        <v>-0.375</v>
      </c>
      <c r="BC827" s="9">
        <f t="shared" si="642"/>
        <v>-5.125</v>
      </c>
      <c r="BD827" s="9">
        <f t="shared" si="643"/>
        <v>-3.75</v>
      </c>
      <c r="BE827" s="9">
        <f t="shared" si="644"/>
        <v>-1.5</v>
      </c>
      <c r="BF827" s="9">
        <f t="shared" si="645"/>
        <v>-3.375</v>
      </c>
      <c r="BG827" s="9">
        <f t="shared" si="646"/>
        <v>-1.875</v>
      </c>
      <c r="BH827" s="9">
        <f t="shared" si="647"/>
        <v>-3.25</v>
      </c>
      <c r="BI827" s="9">
        <f t="shared" si="648"/>
        <v>-0.5</v>
      </c>
      <c r="BJ827" s="9">
        <f t="shared" si="649"/>
        <v>0.875</v>
      </c>
    </row>
    <row r="828" spans="1:62" x14ac:dyDescent="0.2">
      <c r="A828" s="9">
        <f>data!M829-data!M828</f>
        <v>0.24680000000000746</v>
      </c>
      <c r="B828" s="9">
        <f>data!C829-data!C828</f>
        <v>-1.759999999999998</v>
      </c>
      <c r="C828" s="9">
        <f>data!D829-data!D828</f>
        <v>-0.26500000000000057</v>
      </c>
      <c r="D828" s="10">
        <f>data!B829-data!B828</f>
        <v>4.9999999999999822E-2</v>
      </c>
      <c r="E828" s="9">
        <f>data!E828-data!G828</f>
        <v>0.80249999999999999</v>
      </c>
      <c r="F828" s="9">
        <f>(data!E828-data!F828)-(data!G828-data!H828)</f>
        <v>0.50180000000000002</v>
      </c>
      <c r="G828" s="9">
        <f t="shared" si="600"/>
        <v>7.3799999999999977E-2</v>
      </c>
      <c r="H828" s="9">
        <f t="shared" si="601"/>
        <v>4.9500000000000099E-2</v>
      </c>
      <c r="I828" s="9">
        <f>IF(data!M829&gt; 111.81,1,0)</f>
        <v>1</v>
      </c>
      <c r="J828" s="9">
        <f t="shared" si="602"/>
        <v>0</v>
      </c>
      <c r="K828" s="9">
        <f t="shared" si="603"/>
        <v>0.24680000000000746</v>
      </c>
      <c r="L828" s="9">
        <f t="shared" si="604"/>
        <v>0</v>
      </c>
      <c r="M828" s="9">
        <f>data!J828</f>
        <v>-21.375</v>
      </c>
      <c r="N828" s="9">
        <f>data!I828</f>
        <v>-37</v>
      </c>
      <c r="O828" s="9">
        <f>data!L828</f>
        <v>-47</v>
      </c>
      <c r="P828" s="9">
        <f>data!K828</f>
        <v>-48.125</v>
      </c>
      <c r="Q828" s="9">
        <f>data!R828</f>
        <v>-47.875</v>
      </c>
      <c r="R828" s="9">
        <f t="shared" si="605"/>
        <v>-0.375</v>
      </c>
      <c r="S828" s="9">
        <f t="shared" si="606"/>
        <v>-1.125</v>
      </c>
      <c r="T828" s="9">
        <f t="shared" si="607"/>
        <v>-1.125</v>
      </c>
      <c r="U828" s="9">
        <f t="shared" si="608"/>
        <v>-1</v>
      </c>
      <c r="V828" s="9">
        <f t="shared" si="609"/>
        <v>-1.875</v>
      </c>
      <c r="W828" s="9">
        <f t="shared" si="610"/>
        <v>-2.25</v>
      </c>
      <c r="X828" s="9">
        <f t="shared" si="611"/>
        <v>-2.125</v>
      </c>
      <c r="Y828" s="9">
        <f t="shared" si="612"/>
        <v>-0.625</v>
      </c>
      <c r="Z828" s="9">
        <f t="shared" si="613"/>
        <v>0</v>
      </c>
      <c r="AA828" s="9">
        <f t="shared" si="614"/>
        <v>0</v>
      </c>
      <c r="AB828" s="9">
        <f t="shared" si="615"/>
        <v>0.125</v>
      </c>
      <c r="AC828" s="9">
        <f t="shared" si="616"/>
        <v>1.875</v>
      </c>
      <c r="AD828" s="9">
        <f t="shared" si="617"/>
        <v>0.25</v>
      </c>
      <c r="AE828" s="9">
        <f t="shared" si="618"/>
        <v>0.5</v>
      </c>
      <c r="AF828" s="9">
        <f t="shared" si="619"/>
        <v>-0.25</v>
      </c>
      <c r="AG828" s="9">
        <f t="shared" si="620"/>
        <v>1</v>
      </c>
      <c r="AH828" s="9">
        <f t="shared" si="621"/>
        <v>1.5</v>
      </c>
      <c r="AI828" s="9">
        <f t="shared" si="622"/>
        <v>1.875</v>
      </c>
      <c r="AJ828" s="9">
        <f t="shared" si="623"/>
        <v>-0.875</v>
      </c>
      <c r="AK828" s="9">
        <f t="shared" si="624"/>
        <v>0</v>
      </c>
      <c r="AL828" s="9">
        <f t="shared" si="625"/>
        <v>2.25</v>
      </c>
      <c r="AM828" s="9">
        <f t="shared" si="626"/>
        <v>0.625</v>
      </c>
      <c r="AN828" s="9">
        <f t="shared" si="627"/>
        <v>1.25</v>
      </c>
      <c r="AO828" s="9">
        <f t="shared" si="628"/>
        <v>-0.5</v>
      </c>
      <c r="AP828" s="9">
        <f t="shared" si="629"/>
        <v>1.375</v>
      </c>
      <c r="AQ828" s="9">
        <f t="shared" si="630"/>
        <v>2.375</v>
      </c>
      <c r="AR828" s="9">
        <f t="shared" si="631"/>
        <v>3.75</v>
      </c>
      <c r="AS828" s="9">
        <f t="shared" si="632"/>
        <v>-4</v>
      </c>
      <c r="AT828" s="9">
        <f t="shared" si="633"/>
        <v>-2.875</v>
      </c>
      <c r="AU828" s="9">
        <f t="shared" si="634"/>
        <v>-0.75</v>
      </c>
      <c r="AV828" s="9">
        <f t="shared" si="635"/>
        <v>-2.5</v>
      </c>
      <c r="AW828" s="9">
        <f t="shared" si="636"/>
        <v>-1.625</v>
      </c>
      <c r="AX828" s="9">
        <f t="shared" si="637"/>
        <v>-3</v>
      </c>
      <c r="AY828" s="9">
        <f t="shared" si="638"/>
        <v>-1.125</v>
      </c>
      <c r="AZ828" s="9">
        <f t="shared" si="639"/>
        <v>0.25</v>
      </c>
      <c r="BA828" s="9">
        <f t="shared" si="640"/>
        <v>1.375</v>
      </c>
      <c r="BB828" s="9">
        <f t="shared" si="641"/>
        <v>-4.75</v>
      </c>
      <c r="BC828" s="9">
        <f t="shared" si="642"/>
        <v>-3.375</v>
      </c>
      <c r="BD828" s="9">
        <f t="shared" si="643"/>
        <v>-1.125</v>
      </c>
      <c r="BE828" s="9">
        <f t="shared" si="644"/>
        <v>-3</v>
      </c>
      <c r="BF828" s="9">
        <f t="shared" si="645"/>
        <v>-1.5</v>
      </c>
      <c r="BG828" s="9">
        <f t="shared" si="646"/>
        <v>-2.875</v>
      </c>
      <c r="BH828" s="9">
        <f t="shared" si="647"/>
        <v>-0.125</v>
      </c>
      <c r="BI828" s="9">
        <f t="shared" si="648"/>
        <v>1.25</v>
      </c>
      <c r="BJ828" s="9">
        <f t="shared" si="649"/>
        <v>0.625</v>
      </c>
    </row>
    <row r="829" spans="1:62" x14ac:dyDescent="0.2">
      <c r="A829" s="9">
        <f>data!M830-data!M829</f>
        <v>-0.75130000000000052</v>
      </c>
      <c r="B829" s="9">
        <f>data!C830-data!C829</f>
        <v>0.59999999999999787</v>
      </c>
      <c r="C829" s="9">
        <f>data!D830-data!D829</f>
        <v>-0.18499999999999961</v>
      </c>
      <c r="D829" s="10">
        <f>data!B830-data!B829</f>
        <v>-8.4999999999999964E-2</v>
      </c>
      <c r="E829" s="9">
        <f>data!E829-data!G829</f>
        <v>0.87629999999999997</v>
      </c>
      <c r="F829" s="9">
        <f>(data!E829-data!F829)-(data!G829-data!H829)</f>
        <v>0.55130000000000012</v>
      </c>
      <c r="G829" s="9">
        <f t="shared" si="600"/>
        <v>-5.9999999999999942E-2</v>
      </c>
      <c r="H829" s="9">
        <f t="shared" si="601"/>
        <v>-4.4300000000000117E-2</v>
      </c>
      <c r="I829" s="9">
        <f>IF(data!M830&gt; 111.81,1,0)</f>
        <v>1</v>
      </c>
      <c r="J829" s="9">
        <f t="shared" si="602"/>
        <v>0</v>
      </c>
      <c r="K829" s="9">
        <f t="shared" si="603"/>
        <v>-0.75130000000000052</v>
      </c>
      <c r="L829" s="9">
        <f t="shared" si="604"/>
        <v>0</v>
      </c>
      <c r="M829" s="9">
        <f>data!J829</f>
        <v>-21.75</v>
      </c>
      <c r="N829" s="9">
        <f>data!I829</f>
        <v>-37</v>
      </c>
      <c r="O829" s="9">
        <f>data!L829</f>
        <v>-47.875</v>
      </c>
      <c r="P829" s="9">
        <f>data!K829</f>
        <v>-52.125</v>
      </c>
      <c r="Q829" s="9">
        <f>data!R829</f>
        <v>-52.625</v>
      </c>
      <c r="R829" s="9">
        <f t="shared" si="605"/>
        <v>-0.75</v>
      </c>
      <c r="S829" s="9">
        <f t="shared" si="606"/>
        <v>-0.75</v>
      </c>
      <c r="T829" s="9">
        <f t="shared" si="607"/>
        <v>-0.625</v>
      </c>
      <c r="U829" s="9">
        <f t="shared" si="608"/>
        <v>-1.5</v>
      </c>
      <c r="V829" s="9">
        <f t="shared" si="609"/>
        <v>-1.875</v>
      </c>
      <c r="W829" s="9">
        <f t="shared" si="610"/>
        <v>-1.75</v>
      </c>
      <c r="X829" s="9">
        <f t="shared" si="611"/>
        <v>-0.25</v>
      </c>
      <c r="Y829" s="9">
        <f t="shared" si="612"/>
        <v>0.375</v>
      </c>
      <c r="Z829" s="9">
        <f t="shared" si="613"/>
        <v>0.5</v>
      </c>
      <c r="AA829" s="9">
        <f t="shared" si="614"/>
        <v>0.125</v>
      </c>
      <c r="AB829" s="9">
        <f t="shared" si="615"/>
        <v>1.875</v>
      </c>
      <c r="AC829" s="9">
        <f t="shared" si="616"/>
        <v>0.25</v>
      </c>
      <c r="AD829" s="9">
        <f t="shared" si="617"/>
        <v>0.5</v>
      </c>
      <c r="AE829" s="9">
        <f t="shared" si="618"/>
        <v>-0.25</v>
      </c>
      <c r="AF829" s="9">
        <f t="shared" si="619"/>
        <v>1</v>
      </c>
      <c r="AG829" s="9">
        <f t="shared" si="620"/>
        <v>1.5</v>
      </c>
      <c r="AH829" s="9">
        <f t="shared" si="621"/>
        <v>1.875</v>
      </c>
      <c r="AI829" s="9">
        <f t="shared" si="622"/>
        <v>3.25</v>
      </c>
      <c r="AJ829" s="9">
        <f t="shared" si="623"/>
        <v>0.875</v>
      </c>
      <c r="AK829" s="9">
        <f t="shared" si="624"/>
        <v>3.125</v>
      </c>
      <c r="AL829" s="9">
        <f t="shared" si="625"/>
        <v>1.5</v>
      </c>
      <c r="AM829" s="9">
        <f t="shared" si="626"/>
        <v>2.125</v>
      </c>
      <c r="AN829" s="9">
        <f t="shared" si="627"/>
        <v>0.375</v>
      </c>
      <c r="AO829" s="9">
        <f t="shared" si="628"/>
        <v>2.25</v>
      </c>
      <c r="AP829" s="9">
        <f t="shared" si="629"/>
        <v>3.25</v>
      </c>
      <c r="AQ829" s="9">
        <f t="shared" si="630"/>
        <v>4.625</v>
      </c>
      <c r="AR829" s="9">
        <f t="shared" si="631"/>
        <v>6.25</v>
      </c>
      <c r="AS829" s="9">
        <f t="shared" si="632"/>
        <v>1.125</v>
      </c>
      <c r="AT829" s="9">
        <f t="shared" si="633"/>
        <v>3.25</v>
      </c>
      <c r="AU829" s="9">
        <f t="shared" si="634"/>
        <v>1.5</v>
      </c>
      <c r="AV829" s="9">
        <f t="shared" si="635"/>
        <v>2.375</v>
      </c>
      <c r="AW829" s="9">
        <f t="shared" si="636"/>
        <v>1</v>
      </c>
      <c r="AX829" s="9">
        <f t="shared" si="637"/>
        <v>2.875</v>
      </c>
      <c r="AY829" s="9">
        <f t="shared" si="638"/>
        <v>4.25</v>
      </c>
      <c r="AZ829" s="9">
        <f t="shared" si="639"/>
        <v>5.375</v>
      </c>
      <c r="BA829" s="9">
        <f t="shared" si="640"/>
        <v>5.25</v>
      </c>
      <c r="BB829" s="9">
        <f t="shared" si="641"/>
        <v>1.375</v>
      </c>
      <c r="BC829" s="9">
        <f t="shared" si="642"/>
        <v>3.625</v>
      </c>
      <c r="BD829" s="9">
        <f t="shared" si="643"/>
        <v>1.75</v>
      </c>
      <c r="BE829" s="9">
        <f t="shared" si="644"/>
        <v>3.25</v>
      </c>
      <c r="BF829" s="9">
        <f t="shared" si="645"/>
        <v>1.875</v>
      </c>
      <c r="BG829" s="9">
        <f t="shared" si="646"/>
        <v>4.625</v>
      </c>
      <c r="BH829" s="9">
        <f t="shared" si="647"/>
        <v>6</v>
      </c>
      <c r="BI829" s="9">
        <f t="shared" si="648"/>
        <v>5.375</v>
      </c>
      <c r="BJ829" s="9">
        <f t="shared" si="649"/>
        <v>5.5</v>
      </c>
    </row>
    <row r="830" spans="1:62" x14ac:dyDescent="0.2">
      <c r="A830" s="9">
        <f>data!M831-data!M830</f>
        <v>-0.3061000000000007</v>
      </c>
      <c r="B830" s="9">
        <f>data!C831-data!C830</f>
        <v>-2.8599999999999994</v>
      </c>
      <c r="C830" s="9">
        <f>data!D831-data!D830</f>
        <v>-0.10500000000000043</v>
      </c>
      <c r="D830" s="10">
        <f>data!B831-data!B830</f>
        <v>0.19250000000000012</v>
      </c>
      <c r="E830" s="9">
        <f>data!E830-data!G830</f>
        <v>0.81630000000000003</v>
      </c>
      <c r="F830" s="9">
        <f>(data!E830-data!F830)-(data!G830-data!H830)</f>
        <v>0.50700000000000001</v>
      </c>
      <c r="G830" s="9">
        <f t="shared" si="600"/>
        <v>-5.0000000000000044E-3</v>
      </c>
      <c r="H830" s="9">
        <f t="shared" si="601"/>
        <v>5.9000000000001274E-3</v>
      </c>
      <c r="I830" s="9">
        <f>IF(data!M831&gt; 111.81,1,0)</f>
        <v>1</v>
      </c>
      <c r="J830" s="9">
        <f t="shared" si="602"/>
        <v>0</v>
      </c>
      <c r="K830" s="9">
        <f t="shared" si="603"/>
        <v>-0.3061000000000007</v>
      </c>
      <c r="L830" s="9">
        <f t="shared" si="604"/>
        <v>0</v>
      </c>
      <c r="M830" s="9">
        <f>data!J830</f>
        <v>-22.5</v>
      </c>
      <c r="N830" s="9">
        <f>data!I830</f>
        <v>-36.875</v>
      </c>
      <c r="O830" s="9">
        <f>data!L830</f>
        <v>-47</v>
      </c>
      <c r="P830" s="9">
        <f>data!K830</f>
        <v>-51</v>
      </c>
      <c r="Q830" s="9">
        <f>data!R830</f>
        <v>-51.25</v>
      </c>
      <c r="R830" s="9">
        <f t="shared" si="605"/>
        <v>0</v>
      </c>
      <c r="S830" s="9">
        <f t="shared" si="606"/>
        <v>0.125</v>
      </c>
      <c r="T830" s="9">
        <f t="shared" si="607"/>
        <v>-0.75</v>
      </c>
      <c r="U830" s="9">
        <f t="shared" si="608"/>
        <v>-1.125</v>
      </c>
      <c r="V830" s="9">
        <f t="shared" si="609"/>
        <v>-1</v>
      </c>
      <c r="W830" s="9">
        <f t="shared" si="610"/>
        <v>0.5</v>
      </c>
      <c r="X830" s="9">
        <f t="shared" si="611"/>
        <v>1.125</v>
      </c>
      <c r="Y830" s="9">
        <f t="shared" si="612"/>
        <v>1.25</v>
      </c>
      <c r="Z830" s="9">
        <f t="shared" si="613"/>
        <v>0.875</v>
      </c>
      <c r="AA830" s="9">
        <f t="shared" si="614"/>
        <v>1.75</v>
      </c>
      <c r="AB830" s="9">
        <f t="shared" si="615"/>
        <v>0.125</v>
      </c>
      <c r="AC830" s="9">
        <f t="shared" si="616"/>
        <v>0.375</v>
      </c>
      <c r="AD830" s="9">
        <f t="shared" si="617"/>
        <v>-0.375</v>
      </c>
      <c r="AE830" s="9">
        <f t="shared" si="618"/>
        <v>0.875</v>
      </c>
      <c r="AF830" s="9">
        <f t="shared" si="619"/>
        <v>1.375</v>
      </c>
      <c r="AG830" s="9">
        <f t="shared" si="620"/>
        <v>1.75</v>
      </c>
      <c r="AH830" s="9">
        <f t="shared" si="621"/>
        <v>3.125</v>
      </c>
      <c r="AI830" s="9">
        <f t="shared" si="622"/>
        <v>3.625</v>
      </c>
      <c r="AJ830" s="9">
        <f t="shared" si="623"/>
        <v>2.25</v>
      </c>
      <c r="AK830" s="9">
        <f t="shared" si="624"/>
        <v>0.625</v>
      </c>
      <c r="AL830" s="9">
        <f t="shared" si="625"/>
        <v>1.25</v>
      </c>
      <c r="AM830" s="9">
        <f t="shared" si="626"/>
        <v>-0.5</v>
      </c>
      <c r="AN830" s="9">
        <f t="shared" si="627"/>
        <v>1.375</v>
      </c>
      <c r="AO830" s="9">
        <f t="shared" si="628"/>
        <v>2.375</v>
      </c>
      <c r="AP830" s="9">
        <f t="shared" si="629"/>
        <v>3.75</v>
      </c>
      <c r="AQ830" s="9">
        <f t="shared" si="630"/>
        <v>5.375</v>
      </c>
      <c r="AR830" s="9">
        <f t="shared" si="631"/>
        <v>5.25</v>
      </c>
      <c r="AS830" s="9">
        <f t="shared" si="632"/>
        <v>2.125</v>
      </c>
      <c r="AT830" s="9">
        <f t="shared" si="633"/>
        <v>0.375</v>
      </c>
      <c r="AU830" s="9">
        <f t="shared" si="634"/>
        <v>1.25</v>
      </c>
      <c r="AV830" s="9">
        <f t="shared" si="635"/>
        <v>-0.125</v>
      </c>
      <c r="AW830" s="9">
        <f t="shared" si="636"/>
        <v>1.75</v>
      </c>
      <c r="AX830" s="9">
        <f t="shared" si="637"/>
        <v>3.125</v>
      </c>
      <c r="AY830" s="9">
        <f t="shared" si="638"/>
        <v>4.25</v>
      </c>
      <c r="AZ830" s="9">
        <f t="shared" si="639"/>
        <v>4.125</v>
      </c>
      <c r="BA830" s="9">
        <f t="shared" si="640"/>
        <v>2.875</v>
      </c>
      <c r="BB830" s="9">
        <f t="shared" si="641"/>
        <v>2.25</v>
      </c>
      <c r="BC830" s="9">
        <f t="shared" si="642"/>
        <v>0.375</v>
      </c>
      <c r="BD830" s="9">
        <f t="shared" si="643"/>
        <v>1.875</v>
      </c>
      <c r="BE830" s="9">
        <f t="shared" si="644"/>
        <v>0.5</v>
      </c>
      <c r="BF830" s="9">
        <f t="shared" si="645"/>
        <v>3.25</v>
      </c>
      <c r="BG830" s="9">
        <f t="shared" si="646"/>
        <v>4.625</v>
      </c>
      <c r="BH830" s="9">
        <f t="shared" si="647"/>
        <v>4</v>
      </c>
      <c r="BI830" s="9">
        <f t="shared" si="648"/>
        <v>4.125</v>
      </c>
      <c r="BJ830" s="9">
        <f t="shared" si="649"/>
        <v>2.125</v>
      </c>
    </row>
    <row r="831" spans="1:62" x14ac:dyDescent="0.2">
      <c r="A831" s="9">
        <f>data!M832-data!M831</f>
        <v>-1.4044999999999987</v>
      </c>
      <c r="B831" s="9">
        <f>data!C832-data!C831</f>
        <v>-5.0000000000000711E-2</v>
      </c>
      <c r="C831" s="9">
        <f>data!D832-data!D831</f>
        <v>0.17500000000000071</v>
      </c>
      <c r="D831" s="10">
        <f>data!B832-data!B831</f>
        <v>1.2499999999999956E-2</v>
      </c>
      <c r="E831" s="9">
        <f>data!E831-data!G831</f>
        <v>0.81130000000000002</v>
      </c>
      <c r="F831" s="9">
        <f>(data!E831-data!F831)-(data!G831-data!H831)</f>
        <v>0.51290000000000013</v>
      </c>
      <c r="G831" s="9">
        <f t="shared" si="600"/>
        <v>0.13559999999999994</v>
      </c>
      <c r="H831" s="9">
        <f t="shared" si="601"/>
        <v>0.14729999999999976</v>
      </c>
      <c r="I831" s="9">
        <f>IF(data!M832&gt; 111.81,1,0)</f>
        <v>0</v>
      </c>
      <c r="J831" s="9">
        <f t="shared" si="602"/>
        <v>1</v>
      </c>
      <c r="K831" s="9">
        <f t="shared" si="603"/>
        <v>0</v>
      </c>
      <c r="L831" s="9">
        <f t="shared" si="604"/>
        <v>-1.4044999999999987</v>
      </c>
      <c r="M831" s="9">
        <f>data!J831</f>
        <v>-22.5</v>
      </c>
      <c r="N831" s="9">
        <f>data!I831</f>
        <v>-35.125</v>
      </c>
      <c r="O831" s="9">
        <f>data!L831</f>
        <v>-44.75</v>
      </c>
      <c r="P831" s="9">
        <f>data!K831</f>
        <v>-48.875</v>
      </c>
      <c r="Q831" s="9">
        <f>data!R831</f>
        <v>-49</v>
      </c>
      <c r="R831" s="9">
        <f t="shared" si="605"/>
        <v>0.125</v>
      </c>
      <c r="S831" s="9">
        <f t="shared" si="606"/>
        <v>-0.75</v>
      </c>
      <c r="T831" s="9">
        <f t="shared" si="607"/>
        <v>-1.125</v>
      </c>
      <c r="U831" s="9">
        <f t="shared" si="608"/>
        <v>-1</v>
      </c>
      <c r="V831" s="9">
        <f t="shared" si="609"/>
        <v>0.5</v>
      </c>
      <c r="W831" s="9">
        <f t="shared" si="610"/>
        <v>1.125</v>
      </c>
      <c r="X831" s="9">
        <f t="shared" si="611"/>
        <v>1.25</v>
      </c>
      <c r="Y831" s="9">
        <f t="shared" si="612"/>
        <v>0.875</v>
      </c>
      <c r="Z831" s="9">
        <f t="shared" si="613"/>
        <v>2</v>
      </c>
      <c r="AA831" s="9">
        <f t="shared" si="614"/>
        <v>-1.625</v>
      </c>
      <c r="AB831" s="9">
        <f t="shared" si="615"/>
        <v>-1.375</v>
      </c>
      <c r="AC831" s="9">
        <f t="shared" si="616"/>
        <v>-2.125</v>
      </c>
      <c r="AD831" s="9">
        <f t="shared" si="617"/>
        <v>-0.875</v>
      </c>
      <c r="AE831" s="9">
        <f t="shared" si="618"/>
        <v>-0.375</v>
      </c>
      <c r="AF831" s="9">
        <f t="shared" si="619"/>
        <v>0</v>
      </c>
      <c r="AG831" s="9">
        <f t="shared" si="620"/>
        <v>1.375</v>
      </c>
      <c r="AH831" s="9">
        <f t="shared" si="621"/>
        <v>1.875</v>
      </c>
      <c r="AI831" s="9">
        <f t="shared" si="622"/>
        <v>2.375</v>
      </c>
      <c r="AJ831" s="9">
        <f t="shared" si="623"/>
        <v>-1.625</v>
      </c>
      <c r="AK831" s="9">
        <f t="shared" si="624"/>
        <v>-1</v>
      </c>
      <c r="AL831" s="9">
        <f t="shared" si="625"/>
        <v>-2.75</v>
      </c>
      <c r="AM831" s="9">
        <f t="shared" si="626"/>
        <v>-0.875</v>
      </c>
      <c r="AN831" s="9">
        <f t="shared" si="627"/>
        <v>0.125</v>
      </c>
      <c r="AO831" s="9">
        <f t="shared" si="628"/>
        <v>1.5</v>
      </c>
      <c r="AP831" s="9">
        <f t="shared" si="629"/>
        <v>3.125</v>
      </c>
      <c r="AQ831" s="9">
        <f t="shared" si="630"/>
        <v>3</v>
      </c>
      <c r="AR831" s="9">
        <f t="shared" si="631"/>
        <v>3.875</v>
      </c>
      <c r="AS831" s="9">
        <f t="shared" si="632"/>
        <v>-1.75</v>
      </c>
      <c r="AT831" s="9">
        <f t="shared" si="633"/>
        <v>-0.875</v>
      </c>
      <c r="AU831" s="9">
        <f t="shared" si="634"/>
        <v>-2.25</v>
      </c>
      <c r="AV831" s="9">
        <f t="shared" si="635"/>
        <v>-0.375</v>
      </c>
      <c r="AW831" s="9">
        <f t="shared" si="636"/>
        <v>1</v>
      </c>
      <c r="AX831" s="9">
        <f t="shared" si="637"/>
        <v>2.125</v>
      </c>
      <c r="AY831" s="9">
        <f t="shared" si="638"/>
        <v>2</v>
      </c>
      <c r="AZ831" s="9">
        <f t="shared" si="639"/>
        <v>0.75</v>
      </c>
      <c r="BA831" s="9">
        <f t="shared" si="640"/>
        <v>1.625</v>
      </c>
      <c r="BB831" s="9">
        <f t="shared" si="641"/>
        <v>-1.875</v>
      </c>
      <c r="BC831" s="9">
        <f t="shared" si="642"/>
        <v>-0.375</v>
      </c>
      <c r="BD831" s="9">
        <f t="shared" si="643"/>
        <v>-1.75</v>
      </c>
      <c r="BE831" s="9">
        <f t="shared" si="644"/>
        <v>1</v>
      </c>
      <c r="BF831" s="9">
        <f t="shared" si="645"/>
        <v>2.375</v>
      </c>
      <c r="BG831" s="9">
        <f t="shared" si="646"/>
        <v>1.75</v>
      </c>
      <c r="BH831" s="9">
        <f t="shared" si="647"/>
        <v>1.875</v>
      </c>
      <c r="BI831" s="9">
        <f t="shared" si="648"/>
        <v>-0.125</v>
      </c>
      <c r="BJ831" s="9">
        <f t="shared" si="649"/>
        <v>1.25</v>
      </c>
    </row>
    <row r="832" spans="1:62" x14ac:dyDescent="0.2">
      <c r="A832" s="9">
        <f>data!M833-data!M832</f>
        <v>0.36430000000000007</v>
      </c>
      <c r="B832" s="9">
        <f>data!C833-data!C832</f>
        <v>2.5199999999999996</v>
      </c>
      <c r="C832" s="9">
        <f>data!D833-data!D832</f>
        <v>8.2499999999999574E-2</v>
      </c>
      <c r="D832" s="10">
        <f>data!B833-data!B832</f>
        <v>-3.0000000000000027E-2</v>
      </c>
      <c r="E832" s="9">
        <f>data!E832-data!G832</f>
        <v>0.94689999999999996</v>
      </c>
      <c r="F832" s="9">
        <f>(data!E832-data!F832)-(data!G832-data!H832)</f>
        <v>0.6601999999999999</v>
      </c>
      <c r="G832" s="9">
        <f t="shared" si="600"/>
        <v>-6.0499999999999998E-2</v>
      </c>
      <c r="H832" s="9">
        <f t="shared" si="601"/>
        <v>-3.3799999999999941E-2</v>
      </c>
      <c r="I832" s="9">
        <f>IF(data!M833&gt; 111.81,1,0)</f>
        <v>1</v>
      </c>
      <c r="J832" s="9">
        <f t="shared" si="602"/>
        <v>0</v>
      </c>
      <c r="K832" s="9">
        <f t="shared" si="603"/>
        <v>0.36430000000000007</v>
      </c>
      <c r="L832" s="9">
        <f t="shared" si="604"/>
        <v>0</v>
      </c>
      <c r="M832" s="9">
        <f>data!J832</f>
        <v>-22.375</v>
      </c>
      <c r="N832" s="9">
        <f>data!I832</f>
        <v>-36.75</v>
      </c>
      <c r="O832" s="9">
        <f>data!L832</f>
        <v>-46.375</v>
      </c>
      <c r="P832" s="9">
        <f>data!K832</f>
        <v>-50.625</v>
      </c>
      <c r="Q832" s="9">
        <f>data!R832</f>
        <v>-50.875</v>
      </c>
      <c r="R832" s="9">
        <f t="shared" si="605"/>
        <v>-0.875</v>
      </c>
      <c r="S832" s="9">
        <f t="shared" si="606"/>
        <v>-1.25</v>
      </c>
      <c r="T832" s="9">
        <f t="shared" si="607"/>
        <v>-1.125</v>
      </c>
      <c r="U832" s="9">
        <f t="shared" si="608"/>
        <v>0.375</v>
      </c>
      <c r="V832" s="9">
        <f t="shared" si="609"/>
        <v>1</v>
      </c>
      <c r="W832" s="9">
        <f t="shared" si="610"/>
        <v>1.125</v>
      </c>
      <c r="X832" s="9">
        <f t="shared" si="611"/>
        <v>0.75</v>
      </c>
      <c r="Y832" s="9">
        <f t="shared" si="612"/>
        <v>1.875</v>
      </c>
      <c r="Z832" s="9">
        <f t="shared" si="613"/>
        <v>2.625</v>
      </c>
      <c r="AA832" s="9">
        <f t="shared" si="614"/>
        <v>0.25</v>
      </c>
      <c r="AB832" s="9">
        <f t="shared" si="615"/>
        <v>-0.5</v>
      </c>
      <c r="AC832" s="9">
        <f t="shared" si="616"/>
        <v>0.75</v>
      </c>
      <c r="AD832" s="9">
        <f t="shared" si="617"/>
        <v>1.25</v>
      </c>
      <c r="AE832" s="9">
        <f t="shared" si="618"/>
        <v>1.625</v>
      </c>
      <c r="AF832" s="9">
        <f t="shared" si="619"/>
        <v>3</v>
      </c>
      <c r="AG832" s="9">
        <f t="shared" si="620"/>
        <v>3.5</v>
      </c>
      <c r="AH832" s="9">
        <f t="shared" si="621"/>
        <v>4</v>
      </c>
      <c r="AI832" s="9">
        <f t="shared" si="622"/>
        <v>6.25</v>
      </c>
      <c r="AJ832" s="9">
        <f t="shared" si="623"/>
        <v>0.625</v>
      </c>
      <c r="AK832" s="9">
        <f t="shared" si="624"/>
        <v>-1.125</v>
      </c>
      <c r="AL832" s="9">
        <f t="shared" si="625"/>
        <v>0.75</v>
      </c>
      <c r="AM832" s="9">
        <f t="shared" si="626"/>
        <v>1.75</v>
      </c>
      <c r="AN832" s="9">
        <f t="shared" si="627"/>
        <v>3.125</v>
      </c>
      <c r="AO832" s="9">
        <f t="shared" si="628"/>
        <v>4.75</v>
      </c>
      <c r="AP832" s="9">
        <f t="shared" si="629"/>
        <v>4.625</v>
      </c>
      <c r="AQ832" s="9">
        <f t="shared" si="630"/>
        <v>5.5</v>
      </c>
      <c r="AR832" s="9">
        <f t="shared" si="631"/>
        <v>9.875</v>
      </c>
      <c r="AS832" s="9">
        <f t="shared" si="632"/>
        <v>0.875</v>
      </c>
      <c r="AT832" s="9">
        <f t="shared" si="633"/>
        <v>-0.5</v>
      </c>
      <c r="AU832" s="9">
        <f t="shared" si="634"/>
        <v>1.375</v>
      </c>
      <c r="AV832" s="9">
        <f t="shared" si="635"/>
        <v>2.75</v>
      </c>
      <c r="AW832" s="9">
        <f t="shared" si="636"/>
        <v>3.875</v>
      </c>
      <c r="AX832" s="9">
        <f t="shared" si="637"/>
        <v>3.75</v>
      </c>
      <c r="AY832" s="9">
        <f t="shared" si="638"/>
        <v>2.5</v>
      </c>
      <c r="AZ832" s="9">
        <f t="shared" si="639"/>
        <v>3.375</v>
      </c>
      <c r="BA832" s="9">
        <f t="shared" si="640"/>
        <v>8</v>
      </c>
      <c r="BB832" s="9">
        <f t="shared" si="641"/>
        <v>1.5</v>
      </c>
      <c r="BC832" s="9">
        <f t="shared" si="642"/>
        <v>0.125</v>
      </c>
      <c r="BD832" s="9">
        <f t="shared" si="643"/>
        <v>2.875</v>
      </c>
      <c r="BE832" s="9">
        <f t="shared" si="644"/>
        <v>4.25</v>
      </c>
      <c r="BF832" s="9">
        <f t="shared" si="645"/>
        <v>3.625</v>
      </c>
      <c r="BG832" s="9">
        <f t="shared" si="646"/>
        <v>3.75</v>
      </c>
      <c r="BH832" s="9">
        <f t="shared" si="647"/>
        <v>1.75</v>
      </c>
      <c r="BI832" s="9">
        <f t="shared" si="648"/>
        <v>3.125</v>
      </c>
      <c r="BJ832" s="9">
        <f t="shared" si="649"/>
        <v>8.25</v>
      </c>
    </row>
    <row r="833" spans="1:62" x14ac:dyDescent="0.2">
      <c r="A833" s="9">
        <f>data!M834-data!M833</f>
        <v>-0.533299999999997</v>
      </c>
      <c r="B833" s="9">
        <f>data!C834-data!C833</f>
        <v>-1.7399999999999984</v>
      </c>
      <c r="C833" s="9">
        <f>data!D834-data!D833</f>
        <v>0.23749999999999982</v>
      </c>
      <c r="D833" s="10">
        <f>data!B834-data!B833</f>
        <v>2.7499999999999969E-2</v>
      </c>
      <c r="E833" s="9">
        <f>data!E833-data!G833</f>
        <v>0.88639999999999997</v>
      </c>
      <c r="F833" s="9">
        <f>(data!E833-data!F833)-(data!G833-data!H833)</f>
        <v>0.62639999999999996</v>
      </c>
      <c r="G833" s="9">
        <f t="shared" si="600"/>
        <v>5.2800000000000069E-2</v>
      </c>
      <c r="H833" s="9">
        <f t="shared" si="601"/>
        <v>5.1800000000000068E-2</v>
      </c>
      <c r="I833" s="9">
        <f>IF(data!M834&gt; 111.81,1,0)</f>
        <v>0</v>
      </c>
      <c r="J833" s="9">
        <f t="shared" si="602"/>
        <v>1</v>
      </c>
      <c r="K833" s="9">
        <f t="shared" si="603"/>
        <v>0</v>
      </c>
      <c r="L833" s="9">
        <f t="shared" si="604"/>
        <v>-0.533299999999997</v>
      </c>
      <c r="M833" s="9">
        <f>data!J833</f>
        <v>-23.25</v>
      </c>
      <c r="N833" s="9">
        <f>data!I833</f>
        <v>-36.5</v>
      </c>
      <c r="O833" s="9">
        <f>data!L833</f>
        <v>-45.75</v>
      </c>
      <c r="P833" s="9">
        <f>data!K833</f>
        <v>-49.75</v>
      </c>
      <c r="Q833" s="9">
        <f>data!R833</f>
        <v>-49.375</v>
      </c>
      <c r="R833" s="9">
        <f t="shared" si="605"/>
        <v>-0.375</v>
      </c>
      <c r="S833" s="9">
        <f t="shared" si="606"/>
        <v>-0.25</v>
      </c>
      <c r="T833" s="9">
        <f t="shared" si="607"/>
        <v>1.25</v>
      </c>
      <c r="U833" s="9">
        <f t="shared" si="608"/>
        <v>1.875</v>
      </c>
      <c r="V833" s="9">
        <f t="shared" si="609"/>
        <v>2</v>
      </c>
      <c r="W833" s="9">
        <f t="shared" si="610"/>
        <v>1.625</v>
      </c>
      <c r="X833" s="9">
        <f t="shared" si="611"/>
        <v>2.75</v>
      </c>
      <c r="Y833" s="9">
        <f t="shared" si="612"/>
        <v>3.5</v>
      </c>
      <c r="Z833" s="9">
        <f t="shared" si="613"/>
        <v>3.75</v>
      </c>
      <c r="AA833" s="9">
        <f t="shared" si="614"/>
        <v>-0.75</v>
      </c>
      <c r="AB833" s="9">
        <f t="shared" si="615"/>
        <v>0.5</v>
      </c>
      <c r="AC833" s="9">
        <f t="shared" si="616"/>
        <v>1</v>
      </c>
      <c r="AD833" s="9">
        <f t="shared" si="617"/>
        <v>1.375</v>
      </c>
      <c r="AE833" s="9">
        <f t="shared" si="618"/>
        <v>2.75</v>
      </c>
      <c r="AF833" s="9">
        <f t="shared" si="619"/>
        <v>3.25</v>
      </c>
      <c r="AG833" s="9">
        <f t="shared" si="620"/>
        <v>3.75</v>
      </c>
      <c r="AH833" s="9">
        <f t="shared" si="621"/>
        <v>6</v>
      </c>
      <c r="AI833" s="9">
        <f t="shared" si="622"/>
        <v>8.75</v>
      </c>
      <c r="AJ833" s="9">
        <f t="shared" si="623"/>
        <v>-1.75</v>
      </c>
      <c r="AK833" s="9">
        <f t="shared" si="624"/>
        <v>0.125</v>
      </c>
      <c r="AL833" s="9">
        <f t="shared" si="625"/>
        <v>1.125</v>
      </c>
      <c r="AM833" s="9">
        <f t="shared" si="626"/>
        <v>2.5</v>
      </c>
      <c r="AN833" s="9">
        <f t="shared" si="627"/>
        <v>4.125</v>
      </c>
      <c r="AO833" s="9">
        <f t="shared" si="628"/>
        <v>4</v>
      </c>
      <c r="AP833" s="9">
        <f t="shared" si="629"/>
        <v>4.875</v>
      </c>
      <c r="AQ833" s="9">
        <f t="shared" si="630"/>
        <v>9.25</v>
      </c>
      <c r="AR833" s="9">
        <f t="shared" si="631"/>
        <v>11.5</v>
      </c>
      <c r="AS833" s="9">
        <f t="shared" si="632"/>
        <v>-1.375</v>
      </c>
      <c r="AT833" s="9">
        <f t="shared" si="633"/>
        <v>0.5</v>
      </c>
      <c r="AU833" s="9">
        <f t="shared" si="634"/>
        <v>1.875</v>
      </c>
      <c r="AV833" s="9">
        <f t="shared" si="635"/>
        <v>3</v>
      </c>
      <c r="AW833" s="9">
        <f t="shared" si="636"/>
        <v>2.875</v>
      </c>
      <c r="AX833" s="9">
        <f t="shared" si="637"/>
        <v>1.625</v>
      </c>
      <c r="AY833" s="9">
        <f t="shared" si="638"/>
        <v>2.5</v>
      </c>
      <c r="AZ833" s="9">
        <f t="shared" si="639"/>
        <v>7.125</v>
      </c>
      <c r="BA833" s="9">
        <f t="shared" si="640"/>
        <v>8.5</v>
      </c>
      <c r="BB833" s="9">
        <f t="shared" si="641"/>
        <v>-1.375</v>
      </c>
      <c r="BC833" s="9">
        <f t="shared" si="642"/>
        <v>1.375</v>
      </c>
      <c r="BD833" s="9">
        <f t="shared" si="643"/>
        <v>2.75</v>
      </c>
      <c r="BE833" s="9">
        <f t="shared" si="644"/>
        <v>2.125</v>
      </c>
      <c r="BF833" s="9">
        <f t="shared" si="645"/>
        <v>2.25</v>
      </c>
      <c r="BG833" s="9">
        <f t="shared" si="646"/>
        <v>0.25</v>
      </c>
      <c r="BH833" s="9">
        <f t="shared" si="647"/>
        <v>1.625</v>
      </c>
      <c r="BI833" s="9">
        <f t="shared" si="648"/>
        <v>6.75</v>
      </c>
      <c r="BJ833" s="9">
        <f t="shared" si="649"/>
        <v>7.125</v>
      </c>
    </row>
    <row r="834" spans="1:62" x14ac:dyDescent="0.2">
      <c r="A834" s="9">
        <f>data!M835-data!M834</f>
        <v>0.37369999999999948</v>
      </c>
      <c r="B834" s="9">
        <f>data!C835-data!C834</f>
        <v>-3.9999999999999147E-2</v>
      </c>
      <c r="C834" s="9">
        <f>data!D835-data!D834</f>
        <v>-0.26249999999999929</v>
      </c>
      <c r="D834" s="10">
        <f>data!B835-data!B834</f>
        <v>-0.24999999999999989</v>
      </c>
      <c r="E834" s="9">
        <f>data!E834-data!G834</f>
        <v>0.93920000000000003</v>
      </c>
      <c r="F834" s="9">
        <f>(data!E834-data!F834)-(data!G834-data!H834)</f>
        <v>0.67820000000000003</v>
      </c>
      <c r="G834" s="9">
        <f t="shared" si="600"/>
        <v>-3.3100000000000018E-2</v>
      </c>
      <c r="H834" s="9">
        <f t="shared" si="601"/>
        <v>-2.4000000000000021E-2</v>
      </c>
      <c r="I834" s="9">
        <f>IF(data!M835&gt; 111.81,1,0)</f>
        <v>1</v>
      </c>
      <c r="J834" s="9">
        <f t="shared" si="602"/>
        <v>0</v>
      </c>
      <c r="K834" s="9">
        <f t="shared" si="603"/>
        <v>0.37369999999999948</v>
      </c>
      <c r="L834" s="9">
        <f t="shared" si="604"/>
        <v>0</v>
      </c>
      <c r="M834" s="9">
        <f>data!J834</f>
        <v>-23.625</v>
      </c>
      <c r="N834" s="9">
        <f>data!I834</f>
        <v>-37.25</v>
      </c>
      <c r="O834" s="9">
        <f>data!L834</f>
        <v>-47.5</v>
      </c>
      <c r="P834" s="9">
        <f>data!K834</f>
        <v>-51.125</v>
      </c>
      <c r="Q834" s="9">
        <f>data!R834</f>
        <v>-50.75</v>
      </c>
      <c r="R834" s="9">
        <f t="shared" si="605"/>
        <v>0.125</v>
      </c>
      <c r="S834" s="9">
        <f t="shared" si="606"/>
        <v>1.625</v>
      </c>
      <c r="T834" s="9">
        <f t="shared" si="607"/>
        <v>2.25</v>
      </c>
      <c r="U834" s="9">
        <f t="shared" si="608"/>
        <v>2.375</v>
      </c>
      <c r="V834" s="9">
        <f t="shared" si="609"/>
        <v>2</v>
      </c>
      <c r="W834" s="9">
        <f t="shared" si="610"/>
        <v>3.125</v>
      </c>
      <c r="X834" s="9">
        <f t="shared" si="611"/>
        <v>3.875</v>
      </c>
      <c r="Y834" s="9">
        <f t="shared" si="612"/>
        <v>4.125</v>
      </c>
      <c r="Z834" s="9">
        <f t="shared" si="613"/>
        <v>3.625</v>
      </c>
      <c r="AA834" s="9">
        <f t="shared" si="614"/>
        <v>1.25</v>
      </c>
      <c r="AB834" s="9">
        <f t="shared" si="615"/>
        <v>1.75</v>
      </c>
      <c r="AC834" s="9">
        <f t="shared" si="616"/>
        <v>2.125</v>
      </c>
      <c r="AD834" s="9">
        <f t="shared" si="617"/>
        <v>3.5</v>
      </c>
      <c r="AE834" s="9">
        <f t="shared" si="618"/>
        <v>4</v>
      </c>
      <c r="AF834" s="9">
        <f t="shared" si="619"/>
        <v>4.5</v>
      </c>
      <c r="AG834" s="9">
        <f t="shared" si="620"/>
        <v>6.75</v>
      </c>
      <c r="AH834" s="9">
        <f t="shared" si="621"/>
        <v>9.5</v>
      </c>
      <c r="AI834" s="9">
        <f t="shared" si="622"/>
        <v>7.125</v>
      </c>
      <c r="AJ834" s="9">
        <f t="shared" si="623"/>
        <v>1.875</v>
      </c>
      <c r="AK834" s="9">
        <f t="shared" si="624"/>
        <v>2.875</v>
      </c>
      <c r="AL834" s="9">
        <f t="shared" si="625"/>
        <v>4.25</v>
      </c>
      <c r="AM834" s="9">
        <f t="shared" si="626"/>
        <v>5.875</v>
      </c>
      <c r="AN834" s="9">
        <f t="shared" si="627"/>
        <v>5.75</v>
      </c>
      <c r="AO834" s="9">
        <f t="shared" si="628"/>
        <v>6.625</v>
      </c>
      <c r="AP834" s="9">
        <f t="shared" si="629"/>
        <v>11</v>
      </c>
      <c r="AQ834" s="9">
        <f t="shared" si="630"/>
        <v>13.25</v>
      </c>
      <c r="AR834" s="9">
        <f t="shared" si="631"/>
        <v>10.25</v>
      </c>
      <c r="AS834" s="9">
        <f t="shared" si="632"/>
        <v>1.875</v>
      </c>
      <c r="AT834" s="9">
        <f t="shared" si="633"/>
        <v>3.25</v>
      </c>
      <c r="AU834" s="9">
        <f t="shared" si="634"/>
        <v>4.375</v>
      </c>
      <c r="AV834" s="9">
        <f t="shared" si="635"/>
        <v>4.25</v>
      </c>
      <c r="AW834" s="9">
        <f t="shared" si="636"/>
        <v>3</v>
      </c>
      <c r="AX834" s="9">
        <f t="shared" si="637"/>
        <v>3.875</v>
      </c>
      <c r="AY834" s="9">
        <f t="shared" si="638"/>
        <v>8.5</v>
      </c>
      <c r="AZ834" s="9">
        <f t="shared" si="639"/>
        <v>9.875</v>
      </c>
      <c r="BA834" s="9">
        <f t="shared" si="640"/>
        <v>6.75</v>
      </c>
      <c r="BB834" s="9">
        <f t="shared" si="641"/>
        <v>2.75</v>
      </c>
      <c r="BC834" s="9">
        <f t="shared" si="642"/>
        <v>4.125</v>
      </c>
      <c r="BD834" s="9">
        <f t="shared" si="643"/>
        <v>3.5</v>
      </c>
      <c r="BE834" s="9">
        <f t="shared" si="644"/>
        <v>3.625</v>
      </c>
      <c r="BF834" s="9">
        <f t="shared" si="645"/>
        <v>1.625</v>
      </c>
      <c r="BG834" s="9">
        <f t="shared" si="646"/>
        <v>3</v>
      </c>
      <c r="BH834" s="9">
        <f t="shared" si="647"/>
        <v>8.125</v>
      </c>
      <c r="BI834" s="9">
        <f t="shared" si="648"/>
        <v>8.5</v>
      </c>
      <c r="BJ834" s="9">
        <f t="shared" si="649"/>
        <v>5.375</v>
      </c>
    </row>
    <row r="835" spans="1:62" x14ac:dyDescent="0.2">
      <c r="A835" s="9">
        <f>data!M836-data!M835</f>
        <v>-0.66330000000000666</v>
      </c>
      <c r="B835" s="9">
        <f>data!C836-data!C835</f>
        <v>1.2199999999999989</v>
      </c>
      <c r="C835" s="9">
        <f>data!D836-data!D835</f>
        <v>5.9999999999999609E-2</v>
      </c>
      <c r="D835" s="10">
        <f>data!B836-data!B835</f>
        <v>0.14249999999999985</v>
      </c>
      <c r="E835" s="9">
        <f>data!E835-data!G835</f>
        <v>0.90610000000000002</v>
      </c>
      <c r="F835" s="9">
        <f>(data!E835-data!F835)-(data!G835-data!H835)</f>
        <v>0.6542</v>
      </c>
      <c r="G835" s="9">
        <f t="shared" ref="G835:G888" si="650">E836-E835</f>
        <v>-9.9000000000000199E-3</v>
      </c>
      <c r="H835" s="9">
        <f t="shared" ref="H835:H888" si="651">F836-F835</f>
        <v>-1.0099999999999998E-2</v>
      </c>
      <c r="I835" s="9">
        <f>IF(data!M836&gt; 111.81,1,0)</f>
        <v>0</v>
      </c>
      <c r="J835" s="9">
        <f t="shared" ref="J835:J888" si="652">1-I835</f>
        <v>1</v>
      </c>
      <c r="K835" s="9">
        <f t="shared" ref="K835:K888" si="653">A835*I835</f>
        <v>0</v>
      </c>
      <c r="L835" s="9">
        <f t="shared" ref="L835:L888" si="654">A835*J835</f>
        <v>-0.66330000000000666</v>
      </c>
      <c r="M835" s="9">
        <f>data!J835</f>
        <v>-23.5</v>
      </c>
      <c r="N835" s="9">
        <f>data!I835</f>
        <v>-36</v>
      </c>
      <c r="O835" s="9">
        <f>data!L835</f>
        <v>-45.625</v>
      </c>
      <c r="P835" s="9">
        <f>data!K835</f>
        <v>-49.25</v>
      </c>
      <c r="Q835" s="9">
        <f>data!R835</f>
        <v>-48</v>
      </c>
      <c r="R835" s="9">
        <f t="shared" ref="R835:R888" si="655">M836-M835</f>
        <v>1.5</v>
      </c>
      <c r="S835" s="9">
        <f t="shared" ref="S835:S888" si="656">M837-M835</f>
        <v>2.125</v>
      </c>
      <c r="T835" s="9">
        <f t="shared" ref="T835:T888" si="657">M838-M835</f>
        <v>2.25</v>
      </c>
      <c r="U835" s="9">
        <f t="shared" ref="U835:U888" si="658">M839-M835</f>
        <v>1.875</v>
      </c>
      <c r="V835" s="9">
        <f t="shared" ref="V835:V888" si="659">M840-M835</f>
        <v>3</v>
      </c>
      <c r="W835" s="9">
        <f t="shared" ref="W835:W888" si="660">M841-M835</f>
        <v>3.75</v>
      </c>
      <c r="X835" s="9">
        <f t="shared" ref="X835:X888" si="661">M842-M835</f>
        <v>4</v>
      </c>
      <c r="Y835" s="9">
        <f t="shared" ref="Y835:Y888" si="662">M843-M835</f>
        <v>3.5</v>
      </c>
      <c r="Z835" s="9">
        <f t="shared" ref="Z835:Z888" si="663">M844-M835</f>
        <v>1.75</v>
      </c>
      <c r="AA835" s="9">
        <f t="shared" ref="AA835:AA888" si="664">N836-N835</f>
        <v>0.5</v>
      </c>
      <c r="AB835" s="9">
        <f t="shared" ref="AB835:AB888" si="665">N837-N835</f>
        <v>0.875</v>
      </c>
      <c r="AC835" s="9">
        <f t="shared" ref="AC835:AC888" si="666">N838-N835</f>
        <v>2.25</v>
      </c>
      <c r="AD835" s="9">
        <f t="shared" ref="AD835:AD888" si="667">N839-N835</f>
        <v>2.75</v>
      </c>
      <c r="AE835" s="9">
        <f t="shared" ref="AE835:AE888" si="668">N840-N835</f>
        <v>3.25</v>
      </c>
      <c r="AF835" s="9">
        <f t="shared" ref="AF835:AF888" si="669">N841-N835</f>
        <v>5.5</v>
      </c>
      <c r="AG835" s="9">
        <f t="shared" ref="AG835:AG888" si="670">N842-N835</f>
        <v>8.25</v>
      </c>
      <c r="AH835" s="9">
        <f t="shared" ref="AH835:AH888" si="671">N843-N835</f>
        <v>5.875</v>
      </c>
      <c r="AI835" s="9">
        <f t="shared" ref="AI835:AI888" si="672">N844-N835</f>
        <v>1.75</v>
      </c>
      <c r="AJ835" s="9">
        <f t="shared" ref="AJ835:AJ888" si="673">O836-O835</f>
        <v>1</v>
      </c>
      <c r="AK835" s="9">
        <f t="shared" ref="AK835:AK888" si="674">O837-O835</f>
        <v>2.375</v>
      </c>
      <c r="AL835" s="9">
        <f t="shared" ref="AL835:AL888" si="675">O838-O835</f>
        <v>4</v>
      </c>
      <c r="AM835" s="9">
        <f t="shared" ref="AM835:AM888" si="676">O839-O835</f>
        <v>3.875</v>
      </c>
      <c r="AN835" s="9">
        <f t="shared" ref="AN835:AN888" si="677">O840-O835</f>
        <v>4.75</v>
      </c>
      <c r="AO835" s="9">
        <f t="shared" ref="AO835:AO888" si="678">O841-O835</f>
        <v>9.125</v>
      </c>
      <c r="AP835" s="9">
        <f t="shared" ref="AP835:AP888" si="679">O842-O835</f>
        <v>11.375</v>
      </c>
      <c r="AQ835" s="9">
        <f t="shared" ref="AQ835:AQ888" si="680">O843-O835</f>
        <v>8.375</v>
      </c>
      <c r="AR835" s="9">
        <f t="shared" ref="AR835:AR888" si="681">O844-O835</f>
        <v>5.375</v>
      </c>
      <c r="AS835" s="9">
        <f t="shared" ref="AS835:AS888" si="682">P836 - P835</f>
        <v>1.375</v>
      </c>
      <c r="AT835" s="9">
        <f t="shared" ref="AT835:AT888" si="683">P837 - P835</f>
        <v>2.5</v>
      </c>
      <c r="AU835" s="9">
        <f t="shared" ref="AU835:AU888" si="684">P838 - P835</f>
        <v>2.375</v>
      </c>
      <c r="AV835" s="9">
        <f t="shared" ref="AV835:AV888" si="685">P839 - P835</f>
        <v>1.125</v>
      </c>
      <c r="AW835" s="9">
        <f t="shared" ref="AW835:AW888" si="686">P840 - P835</f>
        <v>2</v>
      </c>
      <c r="AX835" s="9">
        <f t="shared" ref="AX835:AX888" si="687">P841 - P835</f>
        <v>6.625</v>
      </c>
      <c r="AY835" s="9">
        <f t="shared" ref="AY835:AY888" si="688">P842 - P835</f>
        <v>8</v>
      </c>
      <c r="AZ835" s="9">
        <f t="shared" ref="AZ835:AZ888" si="689">P843 - P835</f>
        <v>4.875</v>
      </c>
      <c r="BA835" s="9">
        <f t="shared" ref="BA835:BA888" si="690">P844 - P835</f>
        <v>2.375</v>
      </c>
      <c r="BB835" s="9">
        <f t="shared" ref="BB835:BB888" si="691">Q836 - Q835</f>
        <v>1.375</v>
      </c>
      <c r="BC835" s="9">
        <f t="shared" ref="BC835:BC888" si="692">Q837 - Q835</f>
        <v>0.75</v>
      </c>
      <c r="BD835" s="9">
        <f t="shared" ref="BD835:BD888" si="693">Q838 - Q835</f>
        <v>0.875</v>
      </c>
      <c r="BE835" s="9">
        <f t="shared" ref="BE835:BE888" si="694">Q839 - Q835</f>
        <v>-1.125</v>
      </c>
      <c r="BF835" s="9">
        <f t="shared" ref="BF835:BF888" si="695">Q840 - Q835</f>
        <v>0.25</v>
      </c>
      <c r="BG835" s="9">
        <f t="shared" ref="BG835:BG888" si="696">Q841 - Q835</f>
        <v>5.375</v>
      </c>
      <c r="BH835" s="9">
        <f t="shared" ref="BH835:BH888" si="697">Q842 - Q835</f>
        <v>5.75</v>
      </c>
      <c r="BI835" s="9">
        <f t="shared" ref="BI835:BI888" si="698">Q843 - Q835</f>
        <v>2.625</v>
      </c>
      <c r="BJ835" s="9">
        <f t="shared" ref="BJ835:BJ888" si="699">Q844 - Q835</f>
        <v>-0.375</v>
      </c>
    </row>
    <row r="836" spans="1:62" x14ac:dyDescent="0.2">
      <c r="A836" s="9">
        <f>data!M837-data!M836</f>
        <v>-3.0999999999991701E-2</v>
      </c>
      <c r="B836" s="9">
        <f>data!C837-data!C836</f>
        <v>-1.1900000000000013</v>
      </c>
      <c r="C836" s="9">
        <f>data!D837-data!D836</f>
        <v>-0.25250000000000039</v>
      </c>
      <c r="D836" s="10">
        <f>data!B837-data!B836</f>
        <v>-9.9999999999999867E-2</v>
      </c>
      <c r="E836" s="9">
        <f>data!E836-data!G836</f>
        <v>0.8962</v>
      </c>
      <c r="F836" s="9">
        <f>(data!E836-data!F836)-(data!G836-data!H836)</f>
        <v>0.64410000000000001</v>
      </c>
      <c r="G836" s="9">
        <f t="shared" si="650"/>
        <v>0.18709999999999993</v>
      </c>
      <c r="H836" s="9">
        <f t="shared" si="651"/>
        <v>0.1792999999999999</v>
      </c>
      <c r="I836" s="9">
        <f>IF(data!M837&gt; 111.81,1,0)</f>
        <v>0</v>
      </c>
      <c r="J836" s="9">
        <f t="shared" si="652"/>
        <v>1</v>
      </c>
      <c r="K836" s="9">
        <f t="shared" si="653"/>
        <v>0</v>
      </c>
      <c r="L836" s="9">
        <f t="shared" si="654"/>
        <v>-3.0999999999991701E-2</v>
      </c>
      <c r="M836" s="9">
        <f>data!J836</f>
        <v>-22</v>
      </c>
      <c r="N836" s="9">
        <f>data!I836</f>
        <v>-35.5</v>
      </c>
      <c r="O836" s="9">
        <f>data!L836</f>
        <v>-44.625</v>
      </c>
      <c r="P836" s="9">
        <f>data!K836</f>
        <v>-47.875</v>
      </c>
      <c r="Q836" s="9">
        <f>data!R836</f>
        <v>-46.625</v>
      </c>
      <c r="R836" s="9">
        <f t="shared" si="655"/>
        <v>0.625</v>
      </c>
      <c r="S836" s="9">
        <f t="shared" si="656"/>
        <v>0.75</v>
      </c>
      <c r="T836" s="9">
        <f t="shared" si="657"/>
        <v>0.375</v>
      </c>
      <c r="U836" s="9">
        <f t="shared" si="658"/>
        <v>1.5</v>
      </c>
      <c r="V836" s="9">
        <f t="shared" si="659"/>
        <v>2.25</v>
      </c>
      <c r="W836" s="9">
        <f t="shared" si="660"/>
        <v>2.5</v>
      </c>
      <c r="X836" s="9">
        <f t="shared" si="661"/>
        <v>2</v>
      </c>
      <c r="Y836" s="9">
        <f t="shared" si="662"/>
        <v>0.25</v>
      </c>
      <c r="Z836" s="9">
        <f t="shared" si="663"/>
        <v>-0.625</v>
      </c>
      <c r="AA836" s="9">
        <f t="shared" si="664"/>
        <v>0.375</v>
      </c>
      <c r="AB836" s="9">
        <f t="shared" si="665"/>
        <v>1.75</v>
      </c>
      <c r="AC836" s="9">
        <f t="shared" si="666"/>
        <v>2.25</v>
      </c>
      <c r="AD836" s="9">
        <f t="shared" si="667"/>
        <v>2.75</v>
      </c>
      <c r="AE836" s="9">
        <f t="shared" si="668"/>
        <v>5</v>
      </c>
      <c r="AF836" s="9">
        <f t="shared" si="669"/>
        <v>7.75</v>
      </c>
      <c r="AG836" s="9">
        <f t="shared" si="670"/>
        <v>5.375</v>
      </c>
      <c r="AH836" s="9">
        <f t="shared" si="671"/>
        <v>1.25</v>
      </c>
      <c r="AI836" s="9">
        <f t="shared" si="672"/>
        <v>0.625</v>
      </c>
      <c r="AJ836" s="9">
        <f t="shared" si="673"/>
        <v>1.375</v>
      </c>
      <c r="AK836" s="9">
        <f t="shared" si="674"/>
        <v>3</v>
      </c>
      <c r="AL836" s="9">
        <f t="shared" si="675"/>
        <v>2.875</v>
      </c>
      <c r="AM836" s="9">
        <f t="shared" si="676"/>
        <v>3.75</v>
      </c>
      <c r="AN836" s="9">
        <f t="shared" si="677"/>
        <v>8.125</v>
      </c>
      <c r="AO836" s="9">
        <f t="shared" si="678"/>
        <v>10.375</v>
      </c>
      <c r="AP836" s="9">
        <f t="shared" si="679"/>
        <v>7.375</v>
      </c>
      <c r="AQ836" s="9">
        <f t="shared" si="680"/>
        <v>4.375</v>
      </c>
      <c r="AR836" s="9">
        <f t="shared" si="681"/>
        <v>4.75</v>
      </c>
      <c r="AS836" s="9">
        <f t="shared" si="682"/>
        <v>1.125</v>
      </c>
      <c r="AT836" s="9">
        <f t="shared" si="683"/>
        <v>1</v>
      </c>
      <c r="AU836" s="9">
        <f t="shared" si="684"/>
        <v>-0.25</v>
      </c>
      <c r="AV836" s="9">
        <f t="shared" si="685"/>
        <v>0.625</v>
      </c>
      <c r="AW836" s="9">
        <f t="shared" si="686"/>
        <v>5.25</v>
      </c>
      <c r="AX836" s="9">
        <f t="shared" si="687"/>
        <v>6.625</v>
      </c>
      <c r="AY836" s="9">
        <f t="shared" si="688"/>
        <v>3.5</v>
      </c>
      <c r="AZ836" s="9">
        <f t="shared" si="689"/>
        <v>1</v>
      </c>
      <c r="BA836" s="9">
        <f t="shared" si="690"/>
        <v>3.75</v>
      </c>
      <c r="BB836" s="9">
        <f t="shared" si="691"/>
        <v>-0.625</v>
      </c>
      <c r="BC836" s="9">
        <f t="shared" si="692"/>
        <v>-0.5</v>
      </c>
      <c r="BD836" s="9">
        <f t="shared" si="693"/>
        <v>-2.5</v>
      </c>
      <c r="BE836" s="9">
        <f t="shared" si="694"/>
        <v>-1.125</v>
      </c>
      <c r="BF836" s="9">
        <f t="shared" si="695"/>
        <v>4</v>
      </c>
      <c r="BG836" s="9">
        <f t="shared" si="696"/>
        <v>4.375</v>
      </c>
      <c r="BH836" s="9">
        <f t="shared" si="697"/>
        <v>1.25</v>
      </c>
      <c r="BI836" s="9">
        <f t="shared" si="698"/>
        <v>-1.75</v>
      </c>
      <c r="BJ836" s="9">
        <f t="shared" si="699"/>
        <v>1.125</v>
      </c>
    </row>
    <row r="837" spans="1:62" x14ac:dyDescent="0.2">
      <c r="A837" s="9">
        <f>data!M838-data!M837</f>
        <v>0.22379999999999711</v>
      </c>
      <c r="B837" s="9">
        <f>data!C838-data!C837</f>
        <v>2.7800000000000011</v>
      </c>
      <c r="C837" s="9">
        <f>data!D838-data!D837</f>
        <v>-0.14499999999999957</v>
      </c>
      <c r="D837" s="10">
        <f>data!B838-data!B837</f>
        <v>-8.0000000000000071E-2</v>
      </c>
      <c r="E837" s="9">
        <f>data!E837-data!G837</f>
        <v>1.0832999999999999</v>
      </c>
      <c r="F837" s="9">
        <f>(data!E837-data!F837)-(data!G837-data!H837)</f>
        <v>0.82339999999999991</v>
      </c>
      <c r="G837" s="9">
        <f t="shared" si="650"/>
        <v>-3.0799999999999939E-2</v>
      </c>
      <c r="H837" s="9">
        <f t="shared" si="651"/>
        <v>-2.9900000000000038E-2</v>
      </c>
      <c r="I837" s="9">
        <f>IF(data!M838&gt; 111.81,1,0)</f>
        <v>0</v>
      </c>
      <c r="J837" s="9">
        <f t="shared" si="652"/>
        <v>1</v>
      </c>
      <c r="K837" s="9">
        <f t="shared" si="653"/>
        <v>0</v>
      </c>
      <c r="L837" s="9">
        <f t="shared" si="654"/>
        <v>0.22379999999999711</v>
      </c>
      <c r="M837" s="9">
        <f>data!J837</f>
        <v>-21.375</v>
      </c>
      <c r="N837" s="9">
        <f>data!I837</f>
        <v>-35.125</v>
      </c>
      <c r="O837" s="9">
        <f>data!L837</f>
        <v>-43.25</v>
      </c>
      <c r="P837" s="9">
        <f>data!K837</f>
        <v>-46.75</v>
      </c>
      <c r="Q837" s="9">
        <f>data!R837</f>
        <v>-47.25</v>
      </c>
      <c r="R837" s="9">
        <f t="shared" si="655"/>
        <v>0.125</v>
      </c>
      <c r="S837" s="9">
        <f t="shared" si="656"/>
        <v>-0.25</v>
      </c>
      <c r="T837" s="9">
        <f t="shared" si="657"/>
        <v>0.875</v>
      </c>
      <c r="U837" s="9">
        <f t="shared" si="658"/>
        <v>1.625</v>
      </c>
      <c r="V837" s="9">
        <f t="shared" si="659"/>
        <v>1.875</v>
      </c>
      <c r="W837" s="9">
        <f t="shared" si="660"/>
        <v>1.375</v>
      </c>
      <c r="X837" s="9">
        <f t="shared" si="661"/>
        <v>-0.375</v>
      </c>
      <c r="Y837" s="9">
        <f t="shared" si="662"/>
        <v>-1.25</v>
      </c>
      <c r="Z837" s="9">
        <f t="shared" si="663"/>
        <v>0.375</v>
      </c>
      <c r="AA837" s="9">
        <f t="shared" si="664"/>
        <v>1.375</v>
      </c>
      <c r="AB837" s="9">
        <f t="shared" si="665"/>
        <v>1.875</v>
      </c>
      <c r="AC837" s="9">
        <f t="shared" si="666"/>
        <v>2.375</v>
      </c>
      <c r="AD837" s="9">
        <f t="shared" si="667"/>
        <v>4.625</v>
      </c>
      <c r="AE837" s="9">
        <f t="shared" si="668"/>
        <v>7.375</v>
      </c>
      <c r="AF837" s="9">
        <f t="shared" si="669"/>
        <v>5</v>
      </c>
      <c r="AG837" s="9">
        <f t="shared" si="670"/>
        <v>0.875</v>
      </c>
      <c r="AH837" s="9">
        <f t="shared" si="671"/>
        <v>0.25</v>
      </c>
      <c r="AI837" s="9">
        <f t="shared" si="672"/>
        <v>-2.375</v>
      </c>
      <c r="AJ837" s="9">
        <f t="shared" si="673"/>
        <v>1.625</v>
      </c>
      <c r="AK837" s="9">
        <f t="shared" si="674"/>
        <v>1.5</v>
      </c>
      <c r="AL837" s="9">
        <f t="shared" si="675"/>
        <v>2.375</v>
      </c>
      <c r="AM837" s="9">
        <f t="shared" si="676"/>
        <v>6.75</v>
      </c>
      <c r="AN837" s="9">
        <f t="shared" si="677"/>
        <v>9</v>
      </c>
      <c r="AO837" s="9">
        <f t="shared" si="678"/>
        <v>6</v>
      </c>
      <c r="AP837" s="9">
        <f t="shared" si="679"/>
        <v>3</v>
      </c>
      <c r="AQ837" s="9">
        <f t="shared" si="680"/>
        <v>3.375</v>
      </c>
      <c r="AR837" s="9">
        <f t="shared" si="681"/>
        <v>-1.625</v>
      </c>
      <c r="AS837" s="9">
        <f t="shared" si="682"/>
        <v>-0.125</v>
      </c>
      <c r="AT837" s="9">
        <f t="shared" si="683"/>
        <v>-1.375</v>
      </c>
      <c r="AU837" s="9">
        <f t="shared" si="684"/>
        <v>-0.5</v>
      </c>
      <c r="AV837" s="9">
        <f t="shared" si="685"/>
        <v>4.125</v>
      </c>
      <c r="AW837" s="9">
        <f t="shared" si="686"/>
        <v>5.5</v>
      </c>
      <c r="AX837" s="9">
        <f t="shared" si="687"/>
        <v>2.375</v>
      </c>
      <c r="AY837" s="9">
        <f t="shared" si="688"/>
        <v>-0.125</v>
      </c>
      <c r="AZ837" s="9">
        <f t="shared" si="689"/>
        <v>2.625</v>
      </c>
      <c r="BA837" s="9">
        <f t="shared" si="690"/>
        <v>-3.375</v>
      </c>
      <c r="BB837" s="9">
        <f t="shared" si="691"/>
        <v>0.125</v>
      </c>
      <c r="BC837" s="9">
        <f t="shared" si="692"/>
        <v>-1.875</v>
      </c>
      <c r="BD837" s="9">
        <f t="shared" si="693"/>
        <v>-0.5</v>
      </c>
      <c r="BE837" s="9">
        <f t="shared" si="694"/>
        <v>4.625</v>
      </c>
      <c r="BF837" s="9">
        <f t="shared" si="695"/>
        <v>5</v>
      </c>
      <c r="BG837" s="9">
        <f t="shared" si="696"/>
        <v>1.875</v>
      </c>
      <c r="BH837" s="9">
        <f t="shared" si="697"/>
        <v>-1.125</v>
      </c>
      <c r="BI837" s="9">
        <f t="shared" si="698"/>
        <v>1.75</v>
      </c>
      <c r="BJ837" s="9">
        <f t="shared" si="699"/>
        <v>-3.625</v>
      </c>
    </row>
    <row r="838" spans="1:62" x14ac:dyDescent="0.2">
      <c r="A838" s="9">
        <f>data!M839-data!M838</f>
        <v>4.3399999999991223E-2</v>
      </c>
      <c r="B838" s="9">
        <f>data!C839-data!C838</f>
        <v>-2.4299999999999997</v>
      </c>
      <c r="C838" s="9">
        <f>data!D839-data!D838</f>
        <v>-0.29999999999999982</v>
      </c>
      <c r="D838" s="10">
        <f>data!B839-data!B838</f>
        <v>8.4999999999999964E-2</v>
      </c>
      <c r="E838" s="9">
        <f>data!E838-data!G838</f>
        <v>1.0525</v>
      </c>
      <c r="F838" s="9">
        <f>(data!E838-data!F838)-(data!G838-data!H838)</f>
        <v>0.79349999999999987</v>
      </c>
      <c r="G838" s="9">
        <f t="shared" si="650"/>
        <v>-3.0000000000001137E-3</v>
      </c>
      <c r="H838" s="9">
        <f t="shared" si="651"/>
        <v>-3.9000000000000146E-3</v>
      </c>
      <c r="I838" s="9">
        <f>IF(data!M839&gt; 111.81,1,0)</f>
        <v>0</v>
      </c>
      <c r="J838" s="9">
        <f t="shared" si="652"/>
        <v>1</v>
      </c>
      <c r="K838" s="9">
        <f t="shared" si="653"/>
        <v>0</v>
      </c>
      <c r="L838" s="9">
        <f t="shared" si="654"/>
        <v>4.3399999999991223E-2</v>
      </c>
      <c r="M838" s="9">
        <f>data!J838</f>
        <v>-21.25</v>
      </c>
      <c r="N838" s="9">
        <f>data!I838</f>
        <v>-33.75</v>
      </c>
      <c r="O838" s="9">
        <f>data!L838</f>
        <v>-41.625</v>
      </c>
      <c r="P838" s="9">
        <f>data!K838</f>
        <v>-46.875</v>
      </c>
      <c r="Q838" s="9">
        <f>data!R838</f>
        <v>-47.125</v>
      </c>
      <c r="R838" s="9">
        <f t="shared" si="655"/>
        <v>-0.375</v>
      </c>
      <c r="S838" s="9">
        <f t="shared" si="656"/>
        <v>0.75</v>
      </c>
      <c r="T838" s="9">
        <f t="shared" si="657"/>
        <v>1.5</v>
      </c>
      <c r="U838" s="9">
        <f t="shared" si="658"/>
        <v>1.75</v>
      </c>
      <c r="V838" s="9">
        <f t="shared" si="659"/>
        <v>1.25</v>
      </c>
      <c r="W838" s="9">
        <f t="shared" si="660"/>
        <v>-0.5</v>
      </c>
      <c r="X838" s="9">
        <f t="shared" si="661"/>
        <v>-1.375</v>
      </c>
      <c r="Y838" s="9">
        <f t="shared" si="662"/>
        <v>0.25</v>
      </c>
      <c r="Z838" s="9">
        <f t="shared" si="663"/>
        <v>2.125</v>
      </c>
      <c r="AA838" s="9">
        <f t="shared" si="664"/>
        <v>0.5</v>
      </c>
      <c r="AB838" s="9">
        <f t="shared" si="665"/>
        <v>1</v>
      </c>
      <c r="AC838" s="9">
        <f t="shared" si="666"/>
        <v>3.25</v>
      </c>
      <c r="AD838" s="9">
        <f t="shared" si="667"/>
        <v>6</v>
      </c>
      <c r="AE838" s="9">
        <f t="shared" si="668"/>
        <v>3.625</v>
      </c>
      <c r="AF838" s="9">
        <f t="shared" si="669"/>
        <v>-0.5</v>
      </c>
      <c r="AG838" s="9">
        <f t="shared" si="670"/>
        <v>-1.125</v>
      </c>
      <c r="AH838" s="9">
        <f t="shared" si="671"/>
        <v>-3.75</v>
      </c>
      <c r="AI838" s="9">
        <f t="shared" si="672"/>
        <v>-1</v>
      </c>
      <c r="AJ838" s="9">
        <f t="shared" si="673"/>
        <v>-0.125</v>
      </c>
      <c r="AK838" s="9">
        <f t="shared" si="674"/>
        <v>0.75</v>
      </c>
      <c r="AL838" s="9">
        <f t="shared" si="675"/>
        <v>5.125</v>
      </c>
      <c r="AM838" s="9">
        <f t="shared" si="676"/>
        <v>7.375</v>
      </c>
      <c r="AN838" s="9">
        <f t="shared" si="677"/>
        <v>4.375</v>
      </c>
      <c r="AO838" s="9">
        <f t="shared" si="678"/>
        <v>1.375</v>
      </c>
      <c r="AP838" s="9">
        <f t="shared" si="679"/>
        <v>1.75</v>
      </c>
      <c r="AQ838" s="9">
        <f t="shared" si="680"/>
        <v>-3.25</v>
      </c>
      <c r="AR838" s="9">
        <f t="shared" si="681"/>
        <v>-1.5</v>
      </c>
      <c r="AS838" s="9">
        <f t="shared" si="682"/>
        <v>-1.25</v>
      </c>
      <c r="AT838" s="9">
        <f t="shared" si="683"/>
        <v>-0.375</v>
      </c>
      <c r="AU838" s="9">
        <f t="shared" si="684"/>
        <v>4.25</v>
      </c>
      <c r="AV838" s="9">
        <f t="shared" si="685"/>
        <v>5.625</v>
      </c>
      <c r="AW838" s="9">
        <f t="shared" si="686"/>
        <v>2.5</v>
      </c>
      <c r="AX838" s="9">
        <f t="shared" si="687"/>
        <v>0</v>
      </c>
      <c r="AY838" s="9">
        <f t="shared" si="688"/>
        <v>2.75</v>
      </c>
      <c r="AZ838" s="9">
        <f t="shared" si="689"/>
        <v>-3.25</v>
      </c>
      <c r="BA838" s="9">
        <f t="shared" si="690"/>
        <v>-1.125</v>
      </c>
      <c r="BB838" s="9">
        <f t="shared" si="691"/>
        <v>-2</v>
      </c>
      <c r="BC838" s="9">
        <f t="shared" si="692"/>
        <v>-0.625</v>
      </c>
      <c r="BD838" s="9">
        <f t="shared" si="693"/>
        <v>4.5</v>
      </c>
      <c r="BE838" s="9">
        <f t="shared" si="694"/>
        <v>4.875</v>
      </c>
      <c r="BF838" s="9">
        <f t="shared" si="695"/>
        <v>1.75</v>
      </c>
      <c r="BG838" s="9">
        <f t="shared" si="696"/>
        <v>-1.25</v>
      </c>
      <c r="BH838" s="9">
        <f t="shared" si="697"/>
        <v>1.625</v>
      </c>
      <c r="BI838" s="9">
        <f t="shared" si="698"/>
        <v>-3.75</v>
      </c>
      <c r="BJ838" s="9">
        <f t="shared" si="699"/>
        <v>-1.75</v>
      </c>
    </row>
    <row r="839" spans="1:62" x14ac:dyDescent="0.2">
      <c r="A839" s="9">
        <f>data!M840-data!M839</f>
        <v>0.40020000000001232</v>
      </c>
      <c r="B839" s="9">
        <f>data!C840-data!C839</f>
        <v>11.180000000000003</v>
      </c>
      <c r="C839" s="9">
        <f>data!D840-data!D839</f>
        <v>0</v>
      </c>
      <c r="D839" s="10">
        <f>data!B840-data!B839</f>
        <v>-0.47</v>
      </c>
      <c r="E839" s="9">
        <f>data!E839-data!G839</f>
        <v>1.0494999999999999</v>
      </c>
      <c r="F839" s="9">
        <f>(data!E839-data!F839)-(data!G839-data!H839)</f>
        <v>0.78959999999999986</v>
      </c>
      <c r="G839" s="9">
        <f t="shared" si="650"/>
        <v>-3.2999999999999918E-2</v>
      </c>
      <c r="H839" s="9">
        <f t="shared" si="651"/>
        <v>-1.1399999999999855E-2</v>
      </c>
      <c r="I839" s="9">
        <f>IF(data!M840&gt; 111.81,1,0)</f>
        <v>1</v>
      </c>
      <c r="J839" s="9">
        <f t="shared" si="652"/>
        <v>0</v>
      </c>
      <c r="K839" s="9">
        <f t="shared" si="653"/>
        <v>0.40020000000001232</v>
      </c>
      <c r="L839" s="9">
        <f t="shared" si="654"/>
        <v>0</v>
      </c>
      <c r="M839" s="9">
        <f>data!J839</f>
        <v>-21.625</v>
      </c>
      <c r="N839" s="9">
        <f>data!I839</f>
        <v>-33.25</v>
      </c>
      <c r="O839" s="9">
        <f>data!L839</f>
        <v>-41.75</v>
      </c>
      <c r="P839" s="9">
        <f>data!K839</f>
        <v>-48.125</v>
      </c>
      <c r="Q839" s="9">
        <f>data!R839</f>
        <v>-49.125</v>
      </c>
      <c r="R839" s="9">
        <f t="shared" si="655"/>
        <v>1.125</v>
      </c>
      <c r="S839" s="9">
        <f t="shared" si="656"/>
        <v>1.875</v>
      </c>
      <c r="T839" s="9">
        <f t="shared" si="657"/>
        <v>2.125</v>
      </c>
      <c r="U839" s="9">
        <f t="shared" si="658"/>
        <v>1.625</v>
      </c>
      <c r="V839" s="9">
        <f t="shared" si="659"/>
        <v>-0.125</v>
      </c>
      <c r="W839" s="9">
        <f t="shared" si="660"/>
        <v>-1</v>
      </c>
      <c r="X839" s="9">
        <f t="shared" si="661"/>
        <v>0.625</v>
      </c>
      <c r="Y839" s="9">
        <f t="shared" si="662"/>
        <v>2.5</v>
      </c>
      <c r="Z839" s="9">
        <f t="shared" si="663"/>
        <v>1.75</v>
      </c>
      <c r="AA839" s="9">
        <f t="shared" si="664"/>
        <v>0.5</v>
      </c>
      <c r="AB839" s="9">
        <f t="shared" si="665"/>
        <v>2.75</v>
      </c>
      <c r="AC839" s="9">
        <f t="shared" si="666"/>
        <v>5.5</v>
      </c>
      <c r="AD839" s="9">
        <f t="shared" si="667"/>
        <v>3.125</v>
      </c>
      <c r="AE839" s="9">
        <f t="shared" si="668"/>
        <v>-1</v>
      </c>
      <c r="AF839" s="9">
        <f t="shared" si="669"/>
        <v>-1.625</v>
      </c>
      <c r="AG839" s="9">
        <f t="shared" si="670"/>
        <v>-4.25</v>
      </c>
      <c r="AH839" s="9">
        <f t="shared" si="671"/>
        <v>-1.5</v>
      </c>
      <c r="AI839" s="9">
        <f t="shared" si="672"/>
        <v>-0.625</v>
      </c>
      <c r="AJ839" s="9">
        <f t="shared" si="673"/>
        <v>0.875</v>
      </c>
      <c r="AK839" s="9">
        <f t="shared" si="674"/>
        <v>5.25</v>
      </c>
      <c r="AL839" s="9">
        <f t="shared" si="675"/>
        <v>7.5</v>
      </c>
      <c r="AM839" s="9">
        <f t="shared" si="676"/>
        <v>4.5</v>
      </c>
      <c r="AN839" s="9">
        <f t="shared" si="677"/>
        <v>1.5</v>
      </c>
      <c r="AO839" s="9">
        <f t="shared" si="678"/>
        <v>1.875</v>
      </c>
      <c r="AP839" s="9">
        <f t="shared" si="679"/>
        <v>-3.125</v>
      </c>
      <c r="AQ839" s="9">
        <f t="shared" si="680"/>
        <v>-1.375</v>
      </c>
      <c r="AR839" s="9">
        <f t="shared" si="681"/>
        <v>-1.125</v>
      </c>
      <c r="AS839" s="9">
        <f t="shared" si="682"/>
        <v>0.875</v>
      </c>
      <c r="AT839" s="9">
        <f t="shared" si="683"/>
        <v>5.5</v>
      </c>
      <c r="AU839" s="9">
        <f t="shared" si="684"/>
        <v>6.875</v>
      </c>
      <c r="AV839" s="9">
        <f t="shared" si="685"/>
        <v>3.75</v>
      </c>
      <c r="AW839" s="9">
        <f t="shared" si="686"/>
        <v>1.25</v>
      </c>
      <c r="AX839" s="9">
        <f t="shared" si="687"/>
        <v>4</v>
      </c>
      <c r="AY839" s="9">
        <f t="shared" si="688"/>
        <v>-2</v>
      </c>
      <c r="AZ839" s="9">
        <f t="shared" si="689"/>
        <v>0.125</v>
      </c>
      <c r="BA839" s="9">
        <f t="shared" si="690"/>
        <v>-1.25</v>
      </c>
      <c r="BB839" s="9">
        <f t="shared" si="691"/>
        <v>1.375</v>
      </c>
      <c r="BC839" s="9">
        <f t="shared" si="692"/>
        <v>6.5</v>
      </c>
      <c r="BD839" s="9">
        <f t="shared" si="693"/>
        <v>6.875</v>
      </c>
      <c r="BE839" s="9">
        <f t="shared" si="694"/>
        <v>3.75</v>
      </c>
      <c r="BF839" s="9">
        <f t="shared" si="695"/>
        <v>0.75</v>
      </c>
      <c r="BG839" s="9">
        <f t="shared" si="696"/>
        <v>3.625</v>
      </c>
      <c r="BH839" s="9">
        <f t="shared" si="697"/>
        <v>-1.75</v>
      </c>
      <c r="BI839" s="9">
        <f t="shared" si="698"/>
        <v>0.25</v>
      </c>
      <c r="BJ839" s="9">
        <f t="shared" si="699"/>
        <v>-1.625</v>
      </c>
    </row>
    <row r="840" spans="1:62" x14ac:dyDescent="0.2">
      <c r="A840" s="9">
        <f>data!M841-data!M840</f>
        <v>0.28589999999999804</v>
      </c>
      <c r="B840" s="9">
        <f>data!C841-data!C840</f>
        <v>-12.220000000000002</v>
      </c>
      <c r="C840" s="9">
        <f>data!D841-data!D840</f>
        <v>-0.14000000000000057</v>
      </c>
      <c r="D840" s="10">
        <f>data!B841-data!B840</f>
        <v>0.36749999999999994</v>
      </c>
      <c r="E840" s="9">
        <f>data!E840-data!G840</f>
        <v>1.0165</v>
      </c>
      <c r="F840" s="9">
        <f>(data!E840-data!F840)-(data!G840-data!H840)</f>
        <v>0.7782</v>
      </c>
      <c r="G840" s="9">
        <f t="shared" si="650"/>
        <v>9.2999999999999972E-2</v>
      </c>
      <c r="H840" s="9">
        <f t="shared" si="651"/>
        <v>9.6999999999999975E-2</v>
      </c>
      <c r="I840" s="9">
        <f>IF(data!M841&gt; 111.81,1,0)</f>
        <v>1</v>
      </c>
      <c r="J840" s="9">
        <f t="shared" si="652"/>
        <v>0</v>
      </c>
      <c r="K840" s="9">
        <f t="shared" si="653"/>
        <v>0.28589999999999804</v>
      </c>
      <c r="L840" s="9">
        <f t="shared" si="654"/>
        <v>0</v>
      </c>
      <c r="M840" s="9">
        <f>data!J840</f>
        <v>-20.5</v>
      </c>
      <c r="N840" s="9">
        <f>data!I840</f>
        <v>-32.75</v>
      </c>
      <c r="O840" s="9">
        <f>data!L840</f>
        <v>-40.875</v>
      </c>
      <c r="P840" s="9">
        <f>data!K840</f>
        <v>-47.25</v>
      </c>
      <c r="Q840" s="9">
        <f>data!R840</f>
        <v>-47.75</v>
      </c>
      <c r="R840" s="9">
        <f t="shared" si="655"/>
        <v>0.75</v>
      </c>
      <c r="S840" s="9">
        <f t="shared" si="656"/>
        <v>1</v>
      </c>
      <c r="T840" s="9">
        <f t="shared" si="657"/>
        <v>0.5</v>
      </c>
      <c r="U840" s="9">
        <f t="shared" si="658"/>
        <v>-1.25</v>
      </c>
      <c r="V840" s="9">
        <f t="shared" si="659"/>
        <v>-2.125</v>
      </c>
      <c r="W840" s="9">
        <f t="shared" si="660"/>
        <v>-0.5</v>
      </c>
      <c r="X840" s="9">
        <f t="shared" si="661"/>
        <v>1.375</v>
      </c>
      <c r="Y840" s="9">
        <f t="shared" si="662"/>
        <v>0.625</v>
      </c>
      <c r="Z840" s="9">
        <f t="shared" si="663"/>
        <v>-0.5</v>
      </c>
      <c r="AA840" s="9">
        <f t="shared" si="664"/>
        <v>2.25</v>
      </c>
      <c r="AB840" s="9">
        <f t="shared" si="665"/>
        <v>5</v>
      </c>
      <c r="AC840" s="9">
        <f t="shared" si="666"/>
        <v>2.625</v>
      </c>
      <c r="AD840" s="9">
        <f t="shared" si="667"/>
        <v>-1.5</v>
      </c>
      <c r="AE840" s="9">
        <f t="shared" si="668"/>
        <v>-2.125</v>
      </c>
      <c r="AF840" s="9">
        <f t="shared" si="669"/>
        <v>-4.75</v>
      </c>
      <c r="AG840" s="9">
        <f t="shared" si="670"/>
        <v>-2</v>
      </c>
      <c r="AH840" s="9">
        <f t="shared" si="671"/>
        <v>-1.125</v>
      </c>
      <c r="AI840" s="9">
        <f t="shared" si="672"/>
        <v>-1.625</v>
      </c>
      <c r="AJ840" s="9">
        <f t="shared" si="673"/>
        <v>4.375</v>
      </c>
      <c r="AK840" s="9">
        <f t="shared" si="674"/>
        <v>6.625</v>
      </c>
      <c r="AL840" s="9">
        <f t="shared" si="675"/>
        <v>3.625</v>
      </c>
      <c r="AM840" s="9">
        <f t="shared" si="676"/>
        <v>0.625</v>
      </c>
      <c r="AN840" s="9">
        <f t="shared" si="677"/>
        <v>1</v>
      </c>
      <c r="AO840" s="9">
        <f t="shared" si="678"/>
        <v>-4</v>
      </c>
      <c r="AP840" s="9">
        <f t="shared" si="679"/>
        <v>-2.25</v>
      </c>
      <c r="AQ840" s="9">
        <f t="shared" si="680"/>
        <v>-2</v>
      </c>
      <c r="AR840" s="9">
        <f t="shared" si="681"/>
        <v>-1.875</v>
      </c>
      <c r="AS840" s="9">
        <f t="shared" si="682"/>
        <v>4.625</v>
      </c>
      <c r="AT840" s="9">
        <f t="shared" si="683"/>
        <v>6</v>
      </c>
      <c r="AU840" s="9">
        <f t="shared" si="684"/>
        <v>2.875</v>
      </c>
      <c r="AV840" s="9">
        <f t="shared" si="685"/>
        <v>0.375</v>
      </c>
      <c r="AW840" s="9">
        <f t="shared" si="686"/>
        <v>3.125</v>
      </c>
      <c r="AX840" s="9">
        <f t="shared" si="687"/>
        <v>-2.875</v>
      </c>
      <c r="AY840" s="9">
        <f t="shared" si="688"/>
        <v>-0.75</v>
      </c>
      <c r="AZ840" s="9">
        <f t="shared" si="689"/>
        <v>-2.125</v>
      </c>
      <c r="BA840" s="9">
        <f t="shared" si="690"/>
        <v>-1</v>
      </c>
      <c r="BB840" s="9">
        <f t="shared" si="691"/>
        <v>5.125</v>
      </c>
      <c r="BC840" s="9">
        <f t="shared" si="692"/>
        <v>5.5</v>
      </c>
      <c r="BD840" s="9">
        <f t="shared" si="693"/>
        <v>2.375</v>
      </c>
      <c r="BE840" s="9">
        <f t="shared" si="694"/>
        <v>-0.625</v>
      </c>
      <c r="BF840" s="9">
        <f t="shared" si="695"/>
        <v>2.25</v>
      </c>
      <c r="BG840" s="9">
        <f t="shared" si="696"/>
        <v>-3.125</v>
      </c>
      <c r="BH840" s="9">
        <f t="shared" si="697"/>
        <v>-1.125</v>
      </c>
      <c r="BI840" s="9">
        <f t="shared" si="698"/>
        <v>-3</v>
      </c>
      <c r="BJ840" s="9">
        <f t="shared" si="699"/>
        <v>-1.5</v>
      </c>
    </row>
    <row r="841" spans="1:62" x14ac:dyDescent="0.2">
      <c r="A841" s="9">
        <f>data!M842-data!M841</f>
        <v>-0.7482000000000113</v>
      </c>
      <c r="B841" s="9">
        <f>data!C842-data!C841</f>
        <v>-0.90000000000000213</v>
      </c>
      <c r="C841" s="9">
        <f>data!D842-data!D841</f>
        <v>1.0000000000000675E-2</v>
      </c>
      <c r="D841" s="10">
        <f>data!B842-data!B841</f>
        <v>0.1100000000000001</v>
      </c>
      <c r="E841" s="9">
        <f>data!E841-data!G841</f>
        <v>1.1094999999999999</v>
      </c>
      <c r="F841" s="9">
        <f>(data!E841-data!F841)-(data!G841-data!H841)</f>
        <v>0.87519999999999998</v>
      </c>
      <c r="G841" s="9">
        <f t="shared" si="650"/>
        <v>3.4699999999999953E-2</v>
      </c>
      <c r="H841" s="9">
        <f t="shared" si="651"/>
        <v>2.6000000000000023E-2</v>
      </c>
      <c r="I841" s="9">
        <f>IF(data!M842&gt; 111.81,1,0)</f>
        <v>0</v>
      </c>
      <c r="J841" s="9">
        <f t="shared" si="652"/>
        <v>1</v>
      </c>
      <c r="K841" s="9">
        <f t="shared" si="653"/>
        <v>0</v>
      </c>
      <c r="L841" s="9">
        <f t="shared" si="654"/>
        <v>-0.7482000000000113</v>
      </c>
      <c r="M841" s="9">
        <f>data!J841</f>
        <v>-19.75</v>
      </c>
      <c r="N841" s="9">
        <f>data!I841</f>
        <v>-30.5</v>
      </c>
      <c r="O841" s="9">
        <f>data!L841</f>
        <v>-36.5</v>
      </c>
      <c r="P841" s="9">
        <f>data!K841</f>
        <v>-42.625</v>
      </c>
      <c r="Q841" s="9">
        <f>data!R841</f>
        <v>-42.625</v>
      </c>
      <c r="R841" s="9">
        <f t="shared" si="655"/>
        <v>0.25</v>
      </c>
      <c r="S841" s="9">
        <f t="shared" si="656"/>
        <v>-0.25</v>
      </c>
      <c r="T841" s="9">
        <f t="shared" si="657"/>
        <v>-2</v>
      </c>
      <c r="U841" s="9">
        <f t="shared" si="658"/>
        <v>-2.875</v>
      </c>
      <c r="V841" s="9">
        <f t="shared" si="659"/>
        <v>-1.25</v>
      </c>
      <c r="W841" s="9">
        <f t="shared" si="660"/>
        <v>0.625</v>
      </c>
      <c r="X841" s="9">
        <f t="shared" si="661"/>
        <v>-0.125</v>
      </c>
      <c r="Y841" s="9">
        <f t="shared" si="662"/>
        <v>-1.25</v>
      </c>
      <c r="Z841" s="9">
        <f t="shared" si="663"/>
        <v>-0.25</v>
      </c>
      <c r="AA841" s="9">
        <f t="shared" si="664"/>
        <v>2.75</v>
      </c>
      <c r="AB841" s="9">
        <f t="shared" si="665"/>
        <v>0.375</v>
      </c>
      <c r="AC841" s="9">
        <f t="shared" si="666"/>
        <v>-3.75</v>
      </c>
      <c r="AD841" s="9">
        <f t="shared" si="667"/>
        <v>-4.375</v>
      </c>
      <c r="AE841" s="9">
        <f t="shared" si="668"/>
        <v>-7</v>
      </c>
      <c r="AF841" s="9">
        <f t="shared" si="669"/>
        <v>-4.25</v>
      </c>
      <c r="AG841" s="9">
        <f t="shared" si="670"/>
        <v>-3.375</v>
      </c>
      <c r="AH841" s="9">
        <f t="shared" si="671"/>
        <v>-3.875</v>
      </c>
      <c r="AI841" s="9">
        <f t="shared" si="672"/>
        <v>-0.625</v>
      </c>
      <c r="AJ841" s="9">
        <f t="shared" si="673"/>
        <v>2.25</v>
      </c>
      <c r="AK841" s="9">
        <f t="shared" si="674"/>
        <v>-0.75</v>
      </c>
      <c r="AL841" s="9">
        <f t="shared" si="675"/>
        <v>-3.75</v>
      </c>
      <c r="AM841" s="9">
        <f t="shared" si="676"/>
        <v>-3.375</v>
      </c>
      <c r="AN841" s="9">
        <f t="shared" si="677"/>
        <v>-8.375</v>
      </c>
      <c r="AO841" s="9">
        <f t="shared" si="678"/>
        <v>-6.625</v>
      </c>
      <c r="AP841" s="9">
        <f t="shared" si="679"/>
        <v>-6.375</v>
      </c>
      <c r="AQ841" s="9">
        <f t="shared" si="680"/>
        <v>-6.25</v>
      </c>
      <c r="AR841" s="9">
        <f t="shared" si="681"/>
        <v>-1.625</v>
      </c>
      <c r="AS841" s="9">
        <f t="shared" si="682"/>
        <v>1.375</v>
      </c>
      <c r="AT841" s="9">
        <f t="shared" si="683"/>
        <v>-1.75</v>
      </c>
      <c r="AU841" s="9">
        <f t="shared" si="684"/>
        <v>-4.25</v>
      </c>
      <c r="AV841" s="9">
        <f t="shared" si="685"/>
        <v>-1.5</v>
      </c>
      <c r="AW841" s="9">
        <f t="shared" si="686"/>
        <v>-7.5</v>
      </c>
      <c r="AX841" s="9">
        <f t="shared" si="687"/>
        <v>-5.375</v>
      </c>
      <c r="AY841" s="9">
        <f t="shared" si="688"/>
        <v>-6.75</v>
      </c>
      <c r="AZ841" s="9">
        <f t="shared" si="689"/>
        <v>-5.625</v>
      </c>
      <c r="BA841" s="9">
        <f t="shared" si="690"/>
        <v>-1.375</v>
      </c>
      <c r="BB841" s="9">
        <f t="shared" si="691"/>
        <v>0.375</v>
      </c>
      <c r="BC841" s="9">
        <f t="shared" si="692"/>
        <v>-2.75</v>
      </c>
      <c r="BD841" s="9">
        <f t="shared" si="693"/>
        <v>-5.75</v>
      </c>
      <c r="BE841" s="9">
        <f t="shared" si="694"/>
        <v>-2.875</v>
      </c>
      <c r="BF841" s="9">
        <f t="shared" si="695"/>
        <v>-8.25</v>
      </c>
      <c r="BG841" s="9">
        <f t="shared" si="696"/>
        <v>-6.25</v>
      </c>
      <c r="BH841" s="9">
        <f t="shared" si="697"/>
        <v>-8.125</v>
      </c>
      <c r="BI841" s="9">
        <f t="shared" si="698"/>
        <v>-6.625</v>
      </c>
      <c r="BJ841" s="9">
        <f t="shared" si="699"/>
        <v>-2</v>
      </c>
    </row>
    <row r="842" spans="1:62" x14ac:dyDescent="0.2">
      <c r="A842" s="9">
        <f>data!M843-data!M842</f>
        <v>0.21980000000000643</v>
      </c>
      <c r="B842" s="9">
        <f>data!C843-data!C842</f>
        <v>2.0800000000000018</v>
      </c>
      <c r="C842" s="9">
        <f>data!D843-data!D842</f>
        <v>0.33000000000000007</v>
      </c>
      <c r="D842" s="10">
        <f>data!B843-data!B842</f>
        <v>-7.7499999999999902E-2</v>
      </c>
      <c r="E842" s="9">
        <f>data!E842-data!G842</f>
        <v>1.1441999999999999</v>
      </c>
      <c r="F842" s="9">
        <f>(data!E842-data!F842)-(data!G842-data!H842)</f>
        <v>0.9012</v>
      </c>
      <c r="G842" s="9">
        <f t="shared" si="650"/>
        <v>8.7200000000000166E-2</v>
      </c>
      <c r="H842" s="9">
        <f t="shared" si="651"/>
        <v>0.10540000000000016</v>
      </c>
      <c r="I842" s="9">
        <f>IF(data!M843&gt; 111.81,1,0)</f>
        <v>0</v>
      </c>
      <c r="J842" s="9">
        <f t="shared" si="652"/>
        <v>1</v>
      </c>
      <c r="K842" s="9">
        <f t="shared" si="653"/>
        <v>0</v>
      </c>
      <c r="L842" s="9">
        <f t="shared" si="654"/>
        <v>0.21980000000000643</v>
      </c>
      <c r="M842" s="9">
        <f>data!J842</f>
        <v>-19.5</v>
      </c>
      <c r="N842" s="9">
        <f>data!I842</f>
        <v>-27.75</v>
      </c>
      <c r="O842" s="9">
        <f>data!L842</f>
        <v>-34.25</v>
      </c>
      <c r="P842" s="9">
        <f>data!K842</f>
        <v>-41.25</v>
      </c>
      <c r="Q842" s="9">
        <f>data!R842</f>
        <v>-42.25</v>
      </c>
      <c r="R842" s="9">
        <f t="shared" si="655"/>
        <v>-0.5</v>
      </c>
      <c r="S842" s="9">
        <f t="shared" si="656"/>
        <v>-2.25</v>
      </c>
      <c r="T842" s="9">
        <f t="shared" si="657"/>
        <v>-3.125</v>
      </c>
      <c r="U842" s="9">
        <f t="shared" si="658"/>
        <v>-1.5</v>
      </c>
      <c r="V842" s="9">
        <f t="shared" si="659"/>
        <v>0.375</v>
      </c>
      <c r="W842" s="9">
        <f t="shared" si="660"/>
        <v>-0.375</v>
      </c>
      <c r="X842" s="9">
        <f t="shared" si="661"/>
        <v>-1.5</v>
      </c>
      <c r="Y842" s="9">
        <f t="shared" si="662"/>
        <v>-0.5</v>
      </c>
      <c r="Z842" s="9">
        <f t="shared" si="663"/>
        <v>-0.25</v>
      </c>
      <c r="AA842" s="9">
        <f t="shared" si="664"/>
        <v>-2.375</v>
      </c>
      <c r="AB842" s="9">
        <f t="shared" si="665"/>
        <v>-6.5</v>
      </c>
      <c r="AC842" s="9">
        <f t="shared" si="666"/>
        <v>-7.125</v>
      </c>
      <c r="AD842" s="9">
        <f t="shared" si="667"/>
        <v>-9.75</v>
      </c>
      <c r="AE842" s="9">
        <f t="shared" si="668"/>
        <v>-7</v>
      </c>
      <c r="AF842" s="9">
        <f t="shared" si="669"/>
        <v>-6.125</v>
      </c>
      <c r="AG842" s="9">
        <f t="shared" si="670"/>
        <v>-6.625</v>
      </c>
      <c r="AH842" s="9">
        <f t="shared" si="671"/>
        <v>-3.375</v>
      </c>
      <c r="AI842" s="9">
        <f t="shared" si="672"/>
        <v>-3.25</v>
      </c>
      <c r="AJ842" s="9">
        <f t="shared" si="673"/>
        <v>-3</v>
      </c>
      <c r="AK842" s="9">
        <f t="shared" si="674"/>
        <v>-6</v>
      </c>
      <c r="AL842" s="9">
        <f t="shared" si="675"/>
        <v>-5.625</v>
      </c>
      <c r="AM842" s="9">
        <f t="shared" si="676"/>
        <v>-10.625</v>
      </c>
      <c r="AN842" s="9">
        <f t="shared" si="677"/>
        <v>-8.875</v>
      </c>
      <c r="AO842" s="9">
        <f t="shared" si="678"/>
        <v>-8.625</v>
      </c>
      <c r="AP842" s="9">
        <f t="shared" si="679"/>
        <v>-8.5</v>
      </c>
      <c r="AQ842" s="9">
        <f t="shared" si="680"/>
        <v>-3.875</v>
      </c>
      <c r="AR842" s="9">
        <f t="shared" si="681"/>
        <v>-3.125</v>
      </c>
      <c r="AS842" s="9">
        <f t="shared" si="682"/>
        <v>-3.125</v>
      </c>
      <c r="AT842" s="9">
        <f t="shared" si="683"/>
        <v>-5.625</v>
      </c>
      <c r="AU842" s="9">
        <f t="shared" si="684"/>
        <v>-2.875</v>
      </c>
      <c r="AV842" s="9">
        <f t="shared" si="685"/>
        <v>-8.875</v>
      </c>
      <c r="AW842" s="9">
        <f t="shared" si="686"/>
        <v>-6.75</v>
      </c>
      <c r="AX842" s="9">
        <f t="shared" si="687"/>
        <v>-8.125</v>
      </c>
      <c r="AY842" s="9">
        <f t="shared" si="688"/>
        <v>-7</v>
      </c>
      <c r="AZ842" s="9">
        <f t="shared" si="689"/>
        <v>-2.75</v>
      </c>
      <c r="BA842" s="9">
        <f t="shared" si="690"/>
        <v>-2</v>
      </c>
      <c r="BB842" s="9">
        <f t="shared" si="691"/>
        <v>-3.125</v>
      </c>
      <c r="BC842" s="9">
        <f t="shared" si="692"/>
        <v>-6.125</v>
      </c>
      <c r="BD842" s="9">
        <f t="shared" si="693"/>
        <v>-3.25</v>
      </c>
      <c r="BE842" s="9">
        <f t="shared" si="694"/>
        <v>-8.625</v>
      </c>
      <c r="BF842" s="9">
        <f t="shared" si="695"/>
        <v>-6.625</v>
      </c>
      <c r="BG842" s="9">
        <f t="shared" si="696"/>
        <v>-8.5</v>
      </c>
      <c r="BH842" s="9">
        <f t="shared" si="697"/>
        <v>-7</v>
      </c>
      <c r="BI842" s="9">
        <f t="shared" si="698"/>
        <v>-2.375</v>
      </c>
      <c r="BJ842" s="9">
        <f t="shared" si="699"/>
        <v>-1.875</v>
      </c>
    </row>
    <row r="843" spans="1:62" x14ac:dyDescent="0.2">
      <c r="A843" s="9">
        <f>data!M844-data!M843</f>
        <v>1.1253999999999991</v>
      </c>
      <c r="B843" s="9">
        <f>data!C844-data!C843</f>
        <v>5.8999999999999986</v>
      </c>
      <c r="C843" s="9">
        <f>data!D844-data!D843</f>
        <v>0.91499999999999915</v>
      </c>
      <c r="D843" s="10">
        <f>data!B844-data!B843</f>
        <v>-0.88000000000000012</v>
      </c>
      <c r="E843" s="9">
        <f>data!E843-data!G843</f>
        <v>1.2314000000000001</v>
      </c>
      <c r="F843" s="9">
        <f>(data!E843-data!F843)-(data!G843-data!H843)</f>
        <v>1.0066000000000002</v>
      </c>
      <c r="G843" s="9">
        <f t="shared" si="650"/>
        <v>1.7500000000000071E-2</v>
      </c>
      <c r="H843" s="9">
        <f t="shared" si="651"/>
        <v>-7.7000000000001512E-3</v>
      </c>
      <c r="I843" s="9">
        <f>IF(data!M844&gt; 111.81,1,0)</f>
        <v>1</v>
      </c>
      <c r="J843" s="9">
        <f t="shared" si="652"/>
        <v>0</v>
      </c>
      <c r="K843" s="9">
        <f t="shared" si="653"/>
        <v>1.1253999999999991</v>
      </c>
      <c r="L843" s="9">
        <f t="shared" si="654"/>
        <v>0</v>
      </c>
      <c r="M843" s="9">
        <f>data!J843</f>
        <v>-20</v>
      </c>
      <c r="N843" s="9">
        <f>data!I843</f>
        <v>-30.125</v>
      </c>
      <c r="O843" s="9">
        <f>data!L843</f>
        <v>-37.25</v>
      </c>
      <c r="P843" s="9">
        <f>data!K843</f>
        <v>-44.375</v>
      </c>
      <c r="Q843" s="9">
        <f>data!R843</f>
        <v>-45.375</v>
      </c>
      <c r="R843" s="9">
        <f t="shared" si="655"/>
        <v>-1.75</v>
      </c>
      <c r="S843" s="9">
        <f t="shared" si="656"/>
        <v>-2.625</v>
      </c>
      <c r="T843" s="9">
        <f t="shared" si="657"/>
        <v>-1</v>
      </c>
      <c r="U843" s="9">
        <f t="shared" si="658"/>
        <v>0.875</v>
      </c>
      <c r="V843" s="9">
        <f t="shared" si="659"/>
        <v>0.125</v>
      </c>
      <c r="W843" s="9">
        <f t="shared" si="660"/>
        <v>-1</v>
      </c>
      <c r="X843" s="9">
        <f t="shared" si="661"/>
        <v>0</v>
      </c>
      <c r="Y843" s="9">
        <f t="shared" si="662"/>
        <v>0.25</v>
      </c>
      <c r="Z843" s="9">
        <f t="shared" si="663"/>
        <v>1.375</v>
      </c>
      <c r="AA843" s="9">
        <f t="shared" si="664"/>
        <v>-4.125</v>
      </c>
      <c r="AB843" s="9">
        <f t="shared" si="665"/>
        <v>-4.75</v>
      </c>
      <c r="AC843" s="9">
        <f t="shared" si="666"/>
        <v>-7.375</v>
      </c>
      <c r="AD843" s="9">
        <f t="shared" si="667"/>
        <v>-4.625</v>
      </c>
      <c r="AE843" s="9">
        <f t="shared" si="668"/>
        <v>-3.75</v>
      </c>
      <c r="AF843" s="9">
        <f t="shared" si="669"/>
        <v>-4.25</v>
      </c>
      <c r="AG843" s="9">
        <f t="shared" si="670"/>
        <v>-1</v>
      </c>
      <c r="AH843" s="9">
        <f t="shared" si="671"/>
        <v>-0.875</v>
      </c>
      <c r="AI843" s="9">
        <f t="shared" si="672"/>
        <v>-1.25</v>
      </c>
      <c r="AJ843" s="9">
        <f t="shared" si="673"/>
        <v>-3</v>
      </c>
      <c r="AK843" s="9">
        <f t="shared" si="674"/>
        <v>-2.625</v>
      </c>
      <c r="AL843" s="9">
        <f t="shared" si="675"/>
        <v>-7.625</v>
      </c>
      <c r="AM843" s="9">
        <f t="shared" si="676"/>
        <v>-5.875</v>
      </c>
      <c r="AN843" s="9">
        <f t="shared" si="677"/>
        <v>-5.625</v>
      </c>
      <c r="AO843" s="9">
        <f t="shared" si="678"/>
        <v>-5.5</v>
      </c>
      <c r="AP843" s="9">
        <f t="shared" si="679"/>
        <v>-0.875</v>
      </c>
      <c r="AQ843" s="9">
        <f t="shared" si="680"/>
        <v>-0.125</v>
      </c>
      <c r="AR843" s="9">
        <f t="shared" si="681"/>
        <v>-2</v>
      </c>
      <c r="AS843" s="9">
        <f t="shared" si="682"/>
        <v>-2.5</v>
      </c>
      <c r="AT843" s="9">
        <f t="shared" si="683"/>
        <v>0.25</v>
      </c>
      <c r="AU843" s="9">
        <f t="shared" si="684"/>
        <v>-5.75</v>
      </c>
      <c r="AV843" s="9">
        <f t="shared" si="685"/>
        <v>-3.625</v>
      </c>
      <c r="AW843" s="9">
        <f t="shared" si="686"/>
        <v>-5</v>
      </c>
      <c r="AX843" s="9">
        <f t="shared" si="687"/>
        <v>-3.875</v>
      </c>
      <c r="AY843" s="9">
        <f t="shared" si="688"/>
        <v>0.375</v>
      </c>
      <c r="AZ843" s="9">
        <f t="shared" si="689"/>
        <v>1.125</v>
      </c>
      <c r="BA843" s="9">
        <f t="shared" si="690"/>
        <v>-0.125</v>
      </c>
      <c r="BB843" s="9">
        <f t="shared" si="691"/>
        <v>-3</v>
      </c>
      <c r="BC843" s="9">
        <f t="shared" si="692"/>
        <v>-0.125</v>
      </c>
      <c r="BD843" s="9">
        <f t="shared" si="693"/>
        <v>-5.5</v>
      </c>
      <c r="BE843" s="9">
        <f t="shared" si="694"/>
        <v>-3.5</v>
      </c>
      <c r="BF843" s="9">
        <f t="shared" si="695"/>
        <v>-5.375</v>
      </c>
      <c r="BG843" s="9">
        <f t="shared" si="696"/>
        <v>-3.875</v>
      </c>
      <c r="BH843" s="9">
        <f t="shared" si="697"/>
        <v>0.75</v>
      </c>
      <c r="BI843" s="9">
        <f t="shared" si="698"/>
        <v>1.25</v>
      </c>
      <c r="BJ843" s="9">
        <f t="shared" si="699"/>
        <v>-0.125</v>
      </c>
    </row>
    <row r="844" spans="1:62" x14ac:dyDescent="0.2">
      <c r="A844" s="9">
        <f>data!M845-data!M844</f>
        <v>0.91930000000000689</v>
      </c>
      <c r="B844" s="9">
        <f>data!C845-data!C844</f>
        <v>-3.2899999999999991</v>
      </c>
      <c r="C844" s="9">
        <f>data!D845-data!D844</f>
        <v>-0.5</v>
      </c>
      <c r="D844" s="10">
        <f>data!B845-data!B844</f>
        <v>0.32250000000000001</v>
      </c>
      <c r="E844" s="9">
        <f>data!E844-data!G844</f>
        <v>1.2489000000000001</v>
      </c>
      <c r="F844" s="9">
        <f>(data!E844-data!F844)-(data!G844-data!H844)</f>
        <v>0.99890000000000001</v>
      </c>
      <c r="G844" s="9">
        <f t="shared" si="650"/>
        <v>0.22919999999999985</v>
      </c>
      <c r="H844" s="9">
        <f t="shared" si="651"/>
        <v>0.20830000000000004</v>
      </c>
      <c r="I844" s="9">
        <f>IF(data!M845&gt; 111.81,1,0)</f>
        <v>1</v>
      </c>
      <c r="J844" s="9">
        <f t="shared" si="652"/>
        <v>0</v>
      </c>
      <c r="K844" s="9">
        <f t="shared" si="653"/>
        <v>0.91930000000000689</v>
      </c>
      <c r="L844" s="9">
        <f t="shared" si="654"/>
        <v>0</v>
      </c>
      <c r="M844" s="9">
        <f>data!J844</f>
        <v>-21.75</v>
      </c>
      <c r="N844" s="9">
        <f>data!I844</f>
        <v>-34.25</v>
      </c>
      <c r="O844" s="9">
        <f>data!L844</f>
        <v>-40.25</v>
      </c>
      <c r="P844" s="9">
        <f>data!K844</f>
        <v>-46.875</v>
      </c>
      <c r="Q844" s="9">
        <f>data!R844</f>
        <v>-48.375</v>
      </c>
      <c r="R844" s="9">
        <f t="shared" si="655"/>
        <v>-0.875</v>
      </c>
      <c r="S844" s="9">
        <f t="shared" si="656"/>
        <v>0.75</v>
      </c>
      <c r="T844" s="9">
        <f t="shared" si="657"/>
        <v>2.625</v>
      </c>
      <c r="U844" s="9">
        <f t="shared" si="658"/>
        <v>1.875</v>
      </c>
      <c r="V844" s="9">
        <f t="shared" si="659"/>
        <v>0.75</v>
      </c>
      <c r="W844" s="9">
        <f t="shared" si="660"/>
        <v>1.75</v>
      </c>
      <c r="X844" s="9">
        <f t="shared" si="661"/>
        <v>2</v>
      </c>
      <c r="Y844" s="9">
        <f t="shared" si="662"/>
        <v>3.125</v>
      </c>
      <c r="Z844" s="9">
        <f t="shared" si="663"/>
        <v>3.25</v>
      </c>
      <c r="AA844" s="9">
        <f t="shared" si="664"/>
        <v>-0.625</v>
      </c>
      <c r="AB844" s="9">
        <f t="shared" si="665"/>
        <v>-3.25</v>
      </c>
      <c r="AC844" s="9">
        <f t="shared" si="666"/>
        <v>-0.5</v>
      </c>
      <c r="AD844" s="9">
        <f t="shared" si="667"/>
        <v>0.375</v>
      </c>
      <c r="AE844" s="9">
        <f t="shared" si="668"/>
        <v>-0.125</v>
      </c>
      <c r="AF844" s="9">
        <f t="shared" si="669"/>
        <v>3.125</v>
      </c>
      <c r="AG844" s="9">
        <f t="shared" si="670"/>
        <v>3.25</v>
      </c>
      <c r="AH844" s="9">
        <f t="shared" si="671"/>
        <v>2.875</v>
      </c>
      <c r="AI844" s="9">
        <f t="shared" si="672"/>
        <v>2.375</v>
      </c>
      <c r="AJ844" s="9">
        <f t="shared" si="673"/>
        <v>0.375</v>
      </c>
      <c r="AK844" s="9">
        <f t="shared" si="674"/>
        <v>-4.625</v>
      </c>
      <c r="AL844" s="9">
        <f t="shared" si="675"/>
        <v>-2.875</v>
      </c>
      <c r="AM844" s="9">
        <f t="shared" si="676"/>
        <v>-2.625</v>
      </c>
      <c r="AN844" s="9">
        <f t="shared" si="677"/>
        <v>-2.5</v>
      </c>
      <c r="AO844" s="9">
        <f t="shared" si="678"/>
        <v>2.125</v>
      </c>
      <c r="AP844" s="9">
        <f t="shared" si="679"/>
        <v>2.875</v>
      </c>
      <c r="AQ844" s="9">
        <f t="shared" si="680"/>
        <v>1</v>
      </c>
      <c r="AR844" s="9">
        <f t="shared" si="681"/>
        <v>0.5</v>
      </c>
      <c r="AS844" s="9">
        <f t="shared" si="682"/>
        <v>2.75</v>
      </c>
      <c r="AT844" s="9">
        <f t="shared" si="683"/>
        <v>-3.25</v>
      </c>
      <c r="AU844" s="9">
        <f t="shared" si="684"/>
        <v>-1.125</v>
      </c>
      <c r="AV844" s="9">
        <f t="shared" si="685"/>
        <v>-2.5</v>
      </c>
      <c r="AW844" s="9">
        <f t="shared" si="686"/>
        <v>-1.375</v>
      </c>
      <c r="AX844" s="9">
        <f t="shared" si="687"/>
        <v>2.875</v>
      </c>
      <c r="AY844" s="9">
        <f t="shared" si="688"/>
        <v>3.625</v>
      </c>
      <c r="AZ844" s="9">
        <f t="shared" si="689"/>
        <v>2.375</v>
      </c>
      <c r="BA844" s="9">
        <f t="shared" si="690"/>
        <v>1.875</v>
      </c>
      <c r="BB844" s="9">
        <f t="shared" si="691"/>
        <v>2.875</v>
      </c>
      <c r="BC844" s="9">
        <f t="shared" si="692"/>
        <v>-2.5</v>
      </c>
      <c r="BD844" s="9">
        <f t="shared" si="693"/>
        <v>-0.5</v>
      </c>
      <c r="BE844" s="9">
        <f t="shared" si="694"/>
        <v>-2.375</v>
      </c>
      <c r="BF844" s="9">
        <f t="shared" si="695"/>
        <v>-0.875</v>
      </c>
      <c r="BG844" s="9">
        <f t="shared" si="696"/>
        <v>3.75</v>
      </c>
      <c r="BH844" s="9">
        <f t="shared" si="697"/>
        <v>4.25</v>
      </c>
      <c r="BI844" s="9">
        <f t="shared" si="698"/>
        <v>2.875</v>
      </c>
      <c r="BJ844" s="9">
        <f t="shared" si="699"/>
        <v>2.375</v>
      </c>
    </row>
    <row r="845" spans="1:62" x14ac:dyDescent="0.2">
      <c r="A845" s="9">
        <f>data!M846-data!M845</f>
        <v>-0.72230000000000416</v>
      </c>
      <c r="B845" s="9">
        <f>data!C846-data!C845</f>
        <v>-3.9699999999999989</v>
      </c>
      <c r="C845" s="9">
        <f>data!D846-data!D845</f>
        <v>0.10250000000000004</v>
      </c>
      <c r="D845" s="10">
        <f>data!B846-data!B845</f>
        <v>6.4999999999999947E-2</v>
      </c>
      <c r="E845" s="9">
        <f>data!E845-data!G845</f>
        <v>1.4781</v>
      </c>
      <c r="F845" s="9">
        <f>(data!E845-data!F845)-(data!G845-data!H845)</f>
        <v>1.2072000000000001</v>
      </c>
      <c r="G845" s="9">
        <f t="shared" si="650"/>
        <v>2.8599999999999959E-2</v>
      </c>
      <c r="H845" s="9">
        <f t="shared" si="651"/>
        <v>2.2499999999999964E-2</v>
      </c>
      <c r="I845" s="9">
        <f>IF(data!M846&gt; 111.81,1,0)</f>
        <v>1</v>
      </c>
      <c r="J845" s="9">
        <f t="shared" si="652"/>
        <v>0</v>
      </c>
      <c r="K845" s="9">
        <f t="shared" si="653"/>
        <v>-0.72230000000000416</v>
      </c>
      <c r="L845" s="9">
        <f t="shared" si="654"/>
        <v>0</v>
      </c>
      <c r="M845" s="9">
        <f>data!J845</f>
        <v>-22.625</v>
      </c>
      <c r="N845" s="9">
        <f>data!I845</f>
        <v>-34.875</v>
      </c>
      <c r="O845" s="9">
        <f>data!L845</f>
        <v>-39.875</v>
      </c>
      <c r="P845" s="9">
        <f>data!K845</f>
        <v>-44.125</v>
      </c>
      <c r="Q845" s="9">
        <f>data!R845</f>
        <v>-45.5</v>
      </c>
      <c r="R845" s="9">
        <f t="shared" si="655"/>
        <v>1.625</v>
      </c>
      <c r="S845" s="9">
        <f t="shared" si="656"/>
        <v>3.5</v>
      </c>
      <c r="T845" s="9">
        <f t="shared" si="657"/>
        <v>2.75</v>
      </c>
      <c r="U845" s="9">
        <f t="shared" si="658"/>
        <v>1.625</v>
      </c>
      <c r="V845" s="9">
        <f t="shared" si="659"/>
        <v>2.625</v>
      </c>
      <c r="W845" s="9">
        <f t="shared" si="660"/>
        <v>2.875</v>
      </c>
      <c r="X845" s="9">
        <f t="shared" si="661"/>
        <v>4</v>
      </c>
      <c r="Y845" s="9">
        <f t="shared" si="662"/>
        <v>4.125</v>
      </c>
      <c r="Z845" s="9">
        <f t="shared" si="663"/>
        <v>6.875</v>
      </c>
      <c r="AA845" s="9">
        <f t="shared" si="664"/>
        <v>-2.625</v>
      </c>
      <c r="AB845" s="9">
        <f t="shared" si="665"/>
        <v>0.125</v>
      </c>
      <c r="AC845" s="9">
        <f t="shared" si="666"/>
        <v>1</v>
      </c>
      <c r="AD845" s="9">
        <f t="shared" si="667"/>
        <v>0.5</v>
      </c>
      <c r="AE845" s="9">
        <f t="shared" si="668"/>
        <v>3.75</v>
      </c>
      <c r="AF845" s="9">
        <f t="shared" si="669"/>
        <v>3.875</v>
      </c>
      <c r="AG845" s="9">
        <f t="shared" si="670"/>
        <v>3.5</v>
      </c>
      <c r="AH845" s="9">
        <f t="shared" si="671"/>
        <v>3</v>
      </c>
      <c r="AI845" s="9">
        <f t="shared" si="672"/>
        <v>7.125</v>
      </c>
      <c r="AJ845" s="9">
        <f t="shared" si="673"/>
        <v>-5</v>
      </c>
      <c r="AK845" s="9">
        <f t="shared" si="674"/>
        <v>-3.25</v>
      </c>
      <c r="AL845" s="9">
        <f t="shared" si="675"/>
        <v>-3</v>
      </c>
      <c r="AM845" s="9">
        <f t="shared" si="676"/>
        <v>-2.875</v>
      </c>
      <c r="AN845" s="9">
        <f t="shared" si="677"/>
        <v>1.75</v>
      </c>
      <c r="AO845" s="9">
        <f t="shared" si="678"/>
        <v>2.5</v>
      </c>
      <c r="AP845" s="9">
        <f t="shared" si="679"/>
        <v>0.625</v>
      </c>
      <c r="AQ845" s="9">
        <f t="shared" si="680"/>
        <v>0.125</v>
      </c>
      <c r="AR845" s="9">
        <f t="shared" si="681"/>
        <v>4.25</v>
      </c>
      <c r="AS845" s="9">
        <f t="shared" si="682"/>
        <v>-6</v>
      </c>
      <c r="AT845" s="9">
        <f t="shared" si="683"/>
        <v>-3.875</v>
      </c>
      <c r="AU845" s="9">
        <f t="shared" si="684"/>
        <v>-5.25</v>
      </c>
      <c r="AV845" s="9">
        <f t="shared" si="685"/>
        <v>-4.125</v>
      </c>
      <c r="AW845" s="9">
        <f t="shared" si="686"/>
        <v>0.125</v>
      </c>
      <c r="AX845" s="9">
        <f t="shared" si="687"/>
        <v>0.875</v>
      </c>
      <c r="AY845" s="9">
        <f t="shared" si="688"/>
        <v>-0.375</v>
      </c>
      <c r="AZ845" s="9">
        <f t="shared" si="689"/>
        <v>-0.875</v>
      </c>
      <c r="BA845" s="9">
        <f t="shared" si="690"/>
        <v>3</v>
      </c>
      <c r="BB845" s="9">
        <f t="shared" si="691"/>
        <v>-5.375</v>
      </c>
      <c r="BC845" s="9">
        <f t="shared" si="692"/>
        <v>-3.375</v>
      </c>
      <c r="BD845" s="9">
        <f t="shared" si="693"/>
        <v>-5.25</v>
      </c>
      <c r="BE845" s="9">
        <f t="shared" si="694"/>
        <v>-3.75</v>
      </c>
      <c r="BF845" s="9">
        <f t="shared" si="695"/>
        <v>0.875</v>
      </c>
      <c r="BG845" s="9">
        <f t="shared" si="696"/>
        <v>1.375</v>
      </c>
      <c r="BH845" s="9">
        <f t="shared" si="697"/>
        <v>0</v>
      </c>
      <c r="BI845" s="9">
        <f t="shared" si="698"/>
        <v>-0.5</v>
      </c>
      <c r="BJ845" s="9">
        <f t="shared" si="699"/>
        <v>3.875</v>
      </c>
    </row>
    <row r="846" spans="1:62" x14ac:dyDescent="0.2">
      <c r="A846" s="9">
        <f>data!M847-data!M846</f>
        <v>-5.2599999999998204E-2</v>
      </c>
      <c r="B846" s="9">
        <f>data!C847-data!C846</f>
        <v>0.25999999999999801</v>
      </c>
      <c r="C846" s="9">
        <f>data!D847-data!D846</f>
        <v>-0.30499999999999972</v>
      </c>
      <c r="D846" s="10">
        <f>data!B847-data!B846</f>
        <v>9.4999999999999973E-2</v>
      </c>
      <c r="E846" s="9">
        <f>data!E846-data!G846</f>
        <v>1.5066999999999999</v>
      </c>
      <c r="F846" s="9">
        <f>(data!E846-data!F846)-(data!G846-data!H846)</f>
        <v>1.2297</v>
      </c>
      <c r="G846" s="9">
        <f t="shared" si="650"/>
        <v>0.10730000000000017</v>
      </c>
      <c r="H846" s="9">
        <f t="shared" si="651"/>
        <v>9.3099999999999961E-2</v>
      </c>
      <c r="I846" s="9">
        <f>IF(data!M847&gt; 111.81,1,0)</f>
        <v>1</v>
      </c>
      <c r="J846" s="9">
        <f t="shared" si="652"/>
        <v>0</v>
      </c>
      <c r="K846" s="9">
        <f t="shared" si="653"/>
        <v>-5.2599999999998204E-2</v>
      </c>
      <c r="L846" s="9">
        <f t="shared" si="654"/>
        <v>0</v>
      </c>
      <c r="M846" s="9">
        <f>data!J846</f>
        <v>-21</v>
      </c>
      <c r="N846" s="9">
        <f>data!I846</f>
        <v>-37.5</v>
      </c>
      <c r="O846" s="9">
        <f>data!L846</f>
        <v>-44.875</v>
      </c>
      <c r="P846" s="9">
        <f>data!K846</f>
        <v>-50.125</v>
      </c>
      <c r="Q846" s="9">
        <f>data!R846</f>
        <v>-50.875</v>
      </c>
      <c r="R846" s="9">
        <f t="shared" si="655"/>
        <v>1.875</v>
      </c>
      <c r="S846" s="9">
        <f t="shared" si="656"/>
        <v>1.125</v>
      </c>
      <c r="T846" s="9">
        <f t="shared" si="657"/>
        <v>0</v>
      </c>
      <c r="U846" s="9">
        <f t="shared" si="658"/>
        <v>1</v>
      </c>
      <c r="V846" s="9">
        <f t="shared" si="659"/>
        <v>1.25</v>
      </c>
      <c r="W846" s="9">
        <f t="shared" si="660"/>
        <v>2.375</v>
      </c>
      <c r="X846" s="9">
        <f t="shared" si="661"/>
        <v>2.5</v>
      </c>
      <c r="Y846" s="9">
        <f t="shared" si="662"/>
        <v>5.25</v>
      </c>
      <c r="Z846" s="9">
        <f t="shared" si="663"/>
        <v>4.75</v>
      </c>
      <c r="AA846" s="9">
        <f t="shared" si="664"/>
        <v>2.75</v>
      </c>
      <c r="AB846" s="9">
        <f t="shared" si="665"/>
        <v>3.625</v>
      </c>
      <c r="AC846" s="9">
        <f t="shared" si="666"/>
        <v>3.125</v>
      </c>
      <c r="AD846" s="9">
        <f t="shared" si="667"/>
        <v>6.375</v>
      </c>
      <c r="AE846" s="9">
        <f t="shared" si="668"/>
        <v>6.5</v>
      </c>
      <c r="AF846" s="9">
        <f t="shared" si="669"/>
        <v>6.125</v>
      </c>
      <c r="AG846" s="9">
        <f t="shared" si="670"/>
        <v>5.625</v>
      </c>
      <c r="AH846" s="9">
        <f t="shared" si="671"/>
        <v>9.75</v>
      </c>
      <c r="AI846" s="9">
        <f t="shared" si="672"/>
        <v>8.875</v>
      </c>
      <c r="AJ846" s="9">
        <f t="shared" si="673"/>
        <v>1.75</v>
      </c>
      <c r="AK846" s="9">
        <f t="shared" si="674"/>
        <v>2</v>
      </c>
      <c r="AL846" s="9">
        <f t="shared" si="675"/>
        <v>2.125</v>
      </c>
      <c r="AM846" s="9">
        <f t="shared" si="676"/>
        <v>6.75</v>
      </c>
      <c r="AN846" s="9">
        <f t="shared" si="677"/>
        <v>7.5</v>
      </c>
      <c r="AO846" s="9">
        <f t="shared" si="678"/>
        <v>5.625</v>
      </c>
      <c r="AP846" s="9">
        <f t="shared" si="679"/>
        <v>5.125</v>
      </c>
      <c r="AQ846" s="9">
        <f t="shared" si="680"/>
        <v>9.25</v>
      </c>
      <c r="AR846" s="9">
        <f t="shared" si="681"/>
        <v>8.25</v>
      </c>
      <c r="AS846" s="9">
        <f t="shared" si="682"/>
        <v>2.125</v>
      </c>
      <c r="AT846" s="9">
        <f t="shared" si="683"/>
        <v>0.75</v>
      </c>
      <c r="AU846" s="9">
        <f t="shared" si="684"/>
        <v>1.875</v>
      </c>
      <c r="AV846" s="9">
        <f t="shared" si="685"/>
        <v>6.125</v>
      </c>
      <c r="AW846" s="9">
        <f t="shared" si="686"/>
        <v>6.875</v>
      </c>
      <c r="AX846" s="9">
        <f t="shared" si="687"/>
        <v>5.625</v>
      </c>
      <c r="AY846" s="9">
        <f t="shared" si="688"/>
        <v>5.125</v>
      </c>
      <c r="AZ846" s="9">
        <f t="shared" si="689"/>
        <v>9</v>
      </c>
      <c r="BA846" s="9">
        <f t="shared" si="690"/>
        <v>7.25</v>
      </c>
      <c r="BB846" s="9">
        <f t="shared" si="691"/>
        <v>2</v>
      </c>
      <c r="BC846" s="9">
        <f t="shared" si="692"/>
        <v>0.125</v>
      </c>
      <c r="BD846" s="9">
        <f t="shared" si="693"/>
        <v>1.625</v>
      </c>
      <c r="BE846" s="9">
        <f t="shared" si="694"/>
        <v>6.25</v>
      </c>
      <c r="BF846" s="9">
        <f t="shared" si="695"/>
        <v>6.75</v>
      </c>
      <c r="BG846" s="9">
        <f t="shared" si="696"/>
        <v>5.375</v>
      </c>
      <c r="BH846" s="9">
        <f t="shared" si="697"/>
        <v>4.875</v>
      </c>
      <c r="BI846" s="9">
        <f t="shared" si="698"/>
        <v>9.25</v>
      </c>
      <c r="BJ846" s="9">
        <f t="shared" si="699"/>
        <v>7.5</v>
      </c>
    </row>
    <row r="847" spans="1:62" x14ac:dyDescent="0.2">
      <c r="A847" s="9">
        <f>data!M848-data!M847</f>
        <v>0.76550000000000296</v>
      </c>
      <c r="B847" s="9">
        <f>data!C848-data!C847</f>
        <v>-2.09</v>
      </c>
      <c r="C847" s="9">
        <f>data!D848-data!D847</f>
        <v>-4.9999999999999822E-2</v>
      </c>
      <c r="D847" s="10">
        <f>data!B848-data!B847</f>
        <v>1.2500000000000178E-2</v>
      </c>
      <c r="E847" s="9">
        <f>data!E847-data!G847</f>
        <v>1.6140000000000001</v>
      </c>
      <c r="F847" s="9">
        <f>(data!E847-data!F847)-(data!G847-data!H847)</f>
        <v>1.3228</v>
      </c>
      <c r="G847" s="9">
        <f t="shared" si="650"/>
        <v>-1.6000000000000236E-2</v>
      </c>
      <c r="H847" s="9">
        <f t="shared" si="651"/>
        <v>-2.5000000000001688E-3</v>
      </c>
      <c r="I847" s="9">
        <f>IF(data!M848&gt; 111.81,1,0)</f>
        <v>1</v>
      </c>
      <c r="J847" s="9">
        <f t="shared" si="652"/>
        <v>0</v>
      </c>
      <c r="K847" s="9">
        <f t="shared" si="653"/>
        <v>0.76550000000000296</v>
      </c>
      <c r="L847" s="9">
        <f t="shared" si="654"/>
        <v>0</v>
      </c>
      <c r="M847" s="9">
        <f>data!J847</f>
        <v>-19.125</v>
      </c>
      <c r="N847" s="9">
        <f>data!I847</f>
        <v>-34.75</v>
      </c>
      <c r="O847" s="9">
        <f>data!L847</f>
        <v>-43.125</v>
      </c>
      <c r="P847" s="9">
        <f>data!K847</f>
        <v>-48</v>
      </c>
      <c r="Q847" s="9">
        <f>data!R847</f>
        <v>-48.875</v>
      </c>
      <c r="R847" s="9">
        <f t="shared" si="655"/>
        <v>-0.75</v>
      </c>
      <c r="S847" s="9">
        <f t="shared" si="656"/>
        <v>-1.875</v>
      </c>
      <c r="T847" s="9">
        <f t="shared" si="657"/>
        <v>-0.875</v>
      </c>
      <c r="U847" s="9">
        <f t="shared" si="658"/>
        <v>-0.625</v>
      </c>
      <c r="V847" s="9">
        <f t="shared" si="659"/>
        <v>0.5</v>
      </c>
      <c r="W847" s="9">
        <f t="shared" si="660"/>
        <v>0.625</v>
      </c>
      <c r="X847" s="9">
        <f t="shared" si="661"/>
        <v>3.375</v>
      </c>
      <c r="Y847" s="9">
        <f t="shared" si="662"/>
        <v>2.875</v>
      </c>
      <c r="Z847" s="9">
        <f t="shared" si="663"/>
        <v>3.125</v>
      </c>
      <c r="AA847" s="9">
        <f t="shared" si="664"/>
        <v>0.875</v>
      </c>
      <c r="AB847" s="9">
        <f t="shared" si="665"/>
        <v>0.375</v>
      </c>
      <c r="AC847" s="9">
        <f t="shared" si="666"/>
        <v>3.625</v>
      </c>
      <c r="AD847" s="9">
        <f t="shared" si="667"/>
        <v>3.75</v>
      </c>
      <c r="AE847" s="9">
        <f t="shared" si="668"/>
        <v>3.375</v>
      </c>
      <c r="AF847" s="9">
        <f t="shared" si="669"/>
        <v>2.875</v>
      </c>
      <c r="AG847" s="9">
        <f t="shared" si="670"/>
        <v>7</v>
      </c>
      <c r="AH847" s="9">
        <f t="shared" si="671"/>
        <v>6.125</v>
      </c>
      <c r="AI847" s="9">
        <f t="shared" si="672"/>
        <v>7.125</v>
      </c>
      <c r="AJ847" s="9">
        <f t="shared" si="673"/>
        <v>0.25</v>
      </c>
      <c r="AK847" s="9">
        <f t="shared" si="674"/>
        <v>0.375</v>
      </c>
      <c r="AL847" s="9">
        <f t="shared" si="675"/>
        <v>5</v>
      </c>
      <c r="AM847" s="9">
        <f t="shared" si="676"/>
        <v>5.75</v>
      </c>
      <c r="AN847" s="9">
        <f t="shared" si="677"/>
        <v>3.875</v>
      </c>
      <c r="AO847" s="9">
        <f t="shared" si="678"/>
        <v>3.375</v>
      </c>
      <c r="AP847" s="9">
        <f t="shared" si="679"/>
        <v>7.5</v>
      </c>
      <c r="AQ847" s="9">
        <f t="shared" si="680"/>
        <v>6.5</v>
      </c>
      <c r="AR847" s="9">
        <f t="shared" si="681"/>
        <v>6.375</v>
      </c>
      <c r="AS847" s="9">
        <f t="shared" si="682"/>
        <v>-1.375</v>
      </c>
      <c r="AT847" s="9">
        <f t="shared" si="683"/>
        <v>-0.25</v>
      </c>
      <c r="AU847" s="9">
        <f t="shared" si="684"/>
        <v>4</v>
      </c>
      <c r="AV847" s="9">
        <f t="shared" si="685"/>
        <v>4.75</v>
      </c>
      <c r="AW847" s="9">
        <f t="shared" si="686"/>
        <v>3.5</v>
      </c>
      <c r="AX847" s="9">
        <f t="shared" si="687"/>
        <v>3</v>
      </c>
      <c r="AY847" s="9">
        <f t="shared" si="688"/>
        <v>6.875</v>
      </c>
      <c r="AZ847" s="9">
        <f t="shared" si="689"/>
        <v>5.125</v>
      </c>
      <c r="BA847" s="9">
        <f t="shared" si="690"/>
        <v>4.75</v>
      </c>
      <c r="BB847" s="9">
        <f t="shared" si="691"/>
        <v>-1.875</v>
      </c>
      <c r="BC847" s="9">
        <f t="shared" si="692"/>
        <v>-0.375</v>
      </c>
      <c r="BD847" s="9">
        <f t="shared" si="693"/>
        <v>4.25</v>
      </c>
      <c r="BE847" s="9">
        <f t="shared" si="694"/>
        <v>4.75</v>
      </c>
      <c r="BF847" s="9">
        <f t="shared" si="695"/>
        <v>3.375</v>
      </c>
      <c r="BG847" s="9">
        <f t="shared" si="696"/>
        <v>2.875</v>
      </c>
      <c r="BH847" s="9">
        <f t="shared" si="697"/>
        <v>7.25</v>
      </c>
      <c r="BI847" s="9">
        <f t="shared" si="698"/>
        <v>5.5</v>
      </c>
      <c r="BJ847" s="9">
        <f t="shared" si="699"/>
        <v>5.125</v>
      </c>
    </row>
    <row r="848" spans="1:62" x14ac:dyDescent="0.2">
      <c r="A848" s="9">
        <f>data!M849-data!M848</f>
        <v>-1.0300000000000864E-2</v>
      </c>
      <c r="B848" s="9">
        <f>data!C849-data!C848</f>
        <v>-1.5300000000000011</v>
      </c>
      <c r="C848" s="9">
        <f>data!D849-data!D848</f>
        <v>6.4999999999999503E-2</v>
      </c>
      <c r="D848" s="10">
        <f>data!B849-data!B848</f>
        <v>3.2499999999999973E-2</v>
      </c>
      <c r="E848" s="9">
        <f>data!E848-data!G848</f>
        <v>1.5979999999999999</v>
      </c>
      <c r="F848" s="9">
        <f>(data!E848-data!F848)-(data!G848-data!H848)</f>
        <v>1.3202999999999998</v>
      </c>
      <c r="G848" s="9">
        <f t="shared" si="650"/>
        <v>2.6000000000001577E-3</v>
      </c>
      <c r="H848" s="9">
        <f t="shared" si="651"/>
        <v>-2.5899999999999812E-2</v>
      </c>
      <c r="I848" s="9">
        <f>IF(data!M849&gt; 111.81,1,0)</f>
        <v>1</v>
      </c>
      <c r="J848" s="9">
        <f t="shared" si="652"/>
        <v>0</v>
      </c>
      <c r="K848" s="9">
        <f t="shared" si="653"/>
        <v>-1.0300000000000864E-2</v>
      </c>
      <c r="L848" s="9">
        <f t="shared" si="654"/>
        <v>0</v>
      </c>
      <c r="M848" s="9">
        <f>data!J848</f>
        <v>-19.875</v>
      </c>
      <c r="N848" s="9">
        <f>data!I848</f>
        <v>-33.875</v>
      </c>
      <c r="O848" s="9">
        <f>data!L848</f>
        <v>-42.875</v>
      </c>
      <c r="P848" s="9">
        <f>data!K848</f>
        <v>-49.375</v>
      </c>
      <c r="Q848" s="9">
        <f>data!R848</f>
        <v>-50.75</v>
      </c>
      <c r="R848" s="9">
        <f t="shared" si="655"/>
        <v>-1.125</v>
      </c>
      <c r="S848" s="9">
        <f t="shared" si="656"/>
        <v>-0.125</v>
      </c>
      <c r="T848" s="9">
        <f t="shared" si="657"/>
        <v>0.125</v>
      </c>
      <c r="U848" s="9">
        <f t="shared" si="658"/>
        <v>1.25</v>
      </c>
      <c r="V848" s="9">
        <f t="shared" si="659"/>
        <v>1.375</v>
      </c>
      <c r="W848" s="9">
        <f t="shared" si="660"/>
        <v>4.125</v>
      </c>
      <c r="X848" s="9">
        <f t="shared" si="661"/>
        <v>3.625</v>
      </c>
      <c r="Y848" s="9">
        <f t="shared" si="662"/>
        <v>3.875</v>
      </c>
      <c r="Z848" s="9">
        <f t="shared" si="663"/>
        <v>5.875</v>
      </c>
      <c r="AA848" s="9">
        <f t="shared" si="664"/>
        <v>-0.5</v>
      </c>
      <c r="AB848" s="9">
        <f t="shared" si="665"/>
        <v>2.75</v>
      </c>
      <c r="AC848" s="9">
        <f t="shared" si="666"/>
        <v>2.875</v>
      </c>
      <c r="AD848" s="9">
        <f t="shared" si="667"/>
        <v>2.5</v>
      </c>
      <c r="AE848" s="9">
        <f t="shared" si="668"/>
        <v>2</v>
      </c>
      <c r="AF848" s="9">
        <f t="shared" si="669"/>
        <v>6.125</v>
      </c>
      <c r="AG848" s="9">
        <f t="shared" si="670"/>
        <v>5.25</v>
      </c>
      <c r="AH848" s="9">
        <f t="shared" si="671"/>
        <v>6.25</v>
      </c>
      <c r="AI848" s="9">
        <f t="shared" si="672"/>
        <v>6.375</v>
      </c>
      <c r="AJ848" s="9">
        <f t="shared" si="673"/>
        <v>0.125</v>
      </c>
      <c r="AK848" s="9">
        <f t="shared" si="674"/>
        <v>4.75</v>
      </c>
      <c r="AL848" s="9">
        <f t="shared" si="675"/>
        <v>5.5</v>
      </c>
      <c r="AM848" s="9">
        <f t="shared" si="676"/>
        <v>3.625</v>
      </c>
      <c r="AN848" s="9">
        <f t="shared" si="677"/>
        <v>3.125</v>
      </c>
      <c r="AO848" s="9">
        <f t="shared" si="678"/>
        <v>7.25</v>
      </c>
      <c r="AP848" s="9">
        <f t="shared" si="679"/>
        <v>6.25</v>
      </c>
      <c r="AQ848" s="9">
        <f t="shared" si="680"/>
        <v>6.125</v>
      </c>
      <c r="AR848" s="9">
        <f t="shared" si="681"/>
        <v>6.125</v>
      </c>
      <c r="AS848" s="9">
        <f t="shared" si="682"/>
        <v>1.125</v>
      </c>
      <c r="AT848" s="9">
        <f t="shared" si="683"/>
        <v>5.375</v>
      </c>
      <c r="AU848" s="9">
        <f t="shared" si="684"/>
        <v>6.125</v>
      </c>
      <c r="AV848" s="9">
        <f t="shared" si="685"/>
        <v>4.875</v>
      </c>
      <c r="AW848" s="9">
        <f t="shared" si="686"/>
        <v>4.375</v>
      </c>
      <c r="AX848" s="9">
        <f t="shared" si="687"/>
        <v>8.25</v>
      </c>
      <c r="AY848" s="9">
        <f t="shared" si="688"/>
        <v>6.5</v>
      </c>
      <c r="AZ848" s="9">
        <f t="shared" si="689"/>
        <v>6.125</v>
      </c>
      <c r="BA848" s="9">
        <f t="shared" si="690"/>
        <v>5.25</v>
      </c>
      <c r="BB848" s="9">
        <f t="shared" si="691"/>
        <v>1.5</v>
      </c>
      <c r="BC848" s="9">
        <f t="shared" si="692"/>
        <v>6.125</v>
      </c>
      <c r="BD848" s="9">
        <f t="shared" si="693"/>
        <v>6.625</v>
      </c>
      <c r="BE848" s="9">
        <f t="shared" si="694"/>
        <v>5.25</v>
      </c>
      <c r="BF848" s="9">
        <f t="shared" si="695"/>
        <v>4.75</v>
      </c>
      <c r="BG848" s="9">
        <f t="shared" si="696"/>
        <v>9.125</v>
      </c>
      <c r="BH848" s="9">
        <f t="shared" si="697"/>
        <v>7.375</v>
      </c>
      <c r="BI848" s="9">
        <f t="shared" si="698"/>
        <v>7</v>
      </c>
      <c r="BJ848" s="9">
        <f t="shared" si="699"/>
        <v>6.125</v>
      </c>
    </row>
    <row r="849" spans="1:62" x14ac:dyDescent="0.2">
      <c r="A849" s="9">
        <f>data!M850-data!M849</f>
        <v>-0.52970000000000539</v>
      </c>
      <c r="B849" s="9">
        <f>data!C850-data!C849</f>
        <v>-0.63999999999999702</v>
      </c>
      <c r="C849" s="9">
        <f>data!D850-data!D849</f>
        <v>-9.9999999999999645E-2</v>
      </c>
      <c r="D849" s="10">
        <f>data!B850-data!B849</f>
        <v>0.22999999999999998</v>
      </c>
      <c r="E849" s="9">
        <f>data!E849-data!G849</f>
        <v>1.6006</v>
      </c>
      <c r="F849" s="9">
        <f>(data!E849-data!F849)-(data!G849-data!H849)</f>
        <v>1.2944</v>
      </c>
      <c r="G849" s="9">
        <f t="shared" si="650"/>
        <v>-4.610000000000003E-2</v>
      </c>
      <c r="H849" s="9">
        <f t="shared" si="651"/>
        <v>-2.1700000000000053E-2</v>
      </c>
      <c r="I849" s="9">
        <f>IF(data!M850&gt; 111.81,1,0)</f>
        <v>1</v>
      </c>
      <c r="J849" s="9">
        <f t="shared" si="652"/>
        <v>0</v>
      </c>
      <c r="K849" s="9">
        <f t="shared" si="653"/>
        <v>-0.52970000000000539</v>
      </c>
      <c r="L849" s="9">
        <f t="shared" si="654"/>
        <v>0</v>
      </c>
      <c r="M849" s="9">
        <f>data!J849</f>
        <v>-21</v>
      </c>
      <c r="N849" s="9">
        <f>data!I849</f>
        <v>-34.375</v>
      </c>
      <c r="O849" s="9">
        <f>data!L849</f>
        <v>-42.75</v>
      </c>
      <c r="P849" s="9">
        <f>data!K849</f>
        <v>-48.25</v>
      </c>
      <c r="Q849" s="9">
        <f>data!R849</f>
        <v>-49.25</v>
      </c>
      <c r="R849" s="9">
        <f t="shared" si="655"/>
        <v>1</v>
      </c>
      <c r="S849" s="9">
        <f t="shared" si="656"/>
        <v>1.25</v>
      </c>
      <c r="T849" s="9">
        <f t="shared" si="657"/>
        <v>2.375</v>
      </c>
      <c r="U849" s="9">
        <f t="shared" si="658"/>
        <v>2.5</v>
      </c>
      <c r="V849" s="9">
        <f t="shared" si="659"/>
        <v>5.25</v>
      </c>
      <c r="W849" s="9">
        <f t="shared" si="660"/>
        <v>4.75</v>
      </c>
      <c r="X849" s="9">
        <f t="shared" si="661"/>
        <v>5</v>
      </c>
      <c r="Y849" s="9">
        <f t="shared" si="662"/>
        <v>7</v>
      </c>
      <c r="Z849" s="9">
        <f t="shared" si="663"/>
        <v>6.5</v>
      </c>
      <c r="AA849" s="9">
        <f t="shared" si="664"/>
        <v>3.25</v>
      </c>
      <c r="AB849" s="9">
        <f t="shared" si="665"/>
        <v>3.375</v>
      </c>
      <c r="AC849" s="9">
        <f t="shared" si="666"/>
        <v>3</v>
      </c>
      <c r="AD849" s="9">
        <f t="shared" si="667"/>
        <v>2.5</v>
      </c>
      <c r="AE849" s="9">
        <f t="shared" si="668"/>
        <v>6.625</v>
      </c>
      <c r="AF849" s="9">
        <f t="shared" si="669"/>
        <v>5.75</v>
      </c>
      <c r="AG849" s="9">
        <f t="shared" si="670"/>
        <v>6.75</v>
      </c>
      <c r="AH849" s="9">
        <f t="shared" si="671"/>
        <v>6.875</v>
      </c>
      <c r="AI849" s="9">
        <f t="shared" si="672"/>
        <v>6.625</v>
      </c>
      <c r="AJ849" s="9">
        <f t="shared" si="673"/>
        <v>4.625</v>
      </c>
      <c r="AK849" s="9">
        <f t="shared" si="674"/>
        <v>5.375</v>
      </c>
      <c r="AL849" s="9">
        <f t="shared" si="675"/>
        <v>3.5</v>
      </c>
      <c r="AM849" s="9">
        <f t="shared" si="676"/>
        <v>3</v>
      </c>
      <c r="AN849" s="9">
        <f t="shared" si="677"/>
        <v>7.125</v>
      </c>
      <c r="AO849" s="9">
        <f t="shared" si="678"/>
        <v>6.125</v>
      </c>
      <c r="AP849" s="9">
        <f t="shared" si="679"/>
        <v>6</v>
      </c>
      <c r="AQ849" s="9">
        <f t="shared" si="680"/>
        <v>6</v>
      </c>
      <c r="AR849" s="9">
        <f t="shared" si="681"/>
        <v>5.875</v>
      </c>
      <c r="AS849" s="9">
        <f t="shared" si="682"/>
        <v>4.25</v>
      </c>
      <c r="AT849" s="9">
        <f t="shared" si="683"/>
        <v>5</v>
      </c>
      <c r="AU849" s="9">
        <f t="shared" si="684"/>
        <v>3.75</v>
      </c>
      <c r="AV849" s="9">
        <f t="shared" si="685"/>
        <v>3.25</v>
      </c>
      <c r="AW849" s="9">
        <f t="shared" si="686"/>
        <v>7.125</v>
      </c>
      <c r="AX849" s="9">
        <f t="shared" si="687"/>
        <v>5.375</v>
      </c>
      <c r="AY849" s="9">
        <f t="shared" si="688"/>
        <v>5</v>
      </c>
      <c r="AZ849" s="9">
        <f t="shared" si="689"/>
        <v>4.125</v>
      </c>
      <c r="BA849" s="9">
        <f t="shared" si="690"/>
        <v>3.75</v>
      </c>
      <c r="BB849" s="9">
        <f t="shared" si="691"/>
        <v>4.625</v>
      </c>
      <c r="BC849" s="9">
        <f t="shared" si="692"/>
        <v>5.125</v>
      </c>
      <c r="BD849" s="9">
        <f t="shared" si="693"/>
        <v>3.75</v>
      </c>
      <c r="BE849" s="9">
        <f t="shared" si="694"/>
        <v>3.25</v>
      </c>
      <c r="BF849" s="9">
        <f t="shared" si="695"/>
        <v>7.625</v>
      </c>
      <c r="BG849" s="9">
        <f t="shared" si="696"/>
        <v>5.875</v>
      </c>
      <c r="BH849" s="9">
        <f t="shared" si="697"/>
        <v>5.5</v>
      </c>
      <c r="BI849" s="9">
        <f t="shared" si="698"/>
        <v>4.625</v>
      </c>
      <c r="BJ849" s="9">
        <f t="shared" si="699"/>
        <v>4.625</v>
      </c>
    </row>
    <row r="850" spans="1:62" x14ac:dyDescent="0.2">
      <c r="A850" s="9">
        <f>data!M851-data!M850</f>
        <v>-0.72190000000000509</v>
      </c>
      <c r="B850" s="9">
        <f>data!C851-data!C850</f>
        <v>-0.44000000000000128</v>
      </c>
      <c r="C850" s="9">
        <f>data!D851-data!D850</f>
        <v>-0.38999999999999968</v>
      </c>
      <c r="D850" s="10">
        <f>data!B851-data!B850</f>
        <v>0.32999999999999985</v>
      </c>
      <c r="E850" s="9">
        <f>data!E850-data!G850</f>
        <v>1.5545</v>
      </c>
      <c r="F850" s="9">
        <f>(data!E850-data!F850)-(data!G850-data!H850)</f>
        <v>1.2726999999999999</v>
      </c>
      <c r="G850" s="9">
        <f t="shared" si="650"/>
        <v>-6.1699999999999866E-2</v>
      </c>
      <c r="H850" s="9">
        <f t="shared" si="651"/>
        <v>-7.7099999999999946E-2</v>
      </c>
      <c r="I850" s="9">
        <f>IF(data!M851&gt; 111.81,1,0)</f>
        <v>1</v>
      </c>
      <c r="J850" s="9">
        <f t="shared" si="652"/>
        <v>0</v>
      </c>
      <c r="K850" s="9">
        <f t="shared" si="653"/>
        <v>-0.72190000000000509</v>
      </c>
      <c r="L850" s="9">
        <f t="shared" si="654"/>
        <v>0</v>
      </c>
      <c r="M850" s="9">
        <f>data!J850</f>
        <v>-20</v>
      </c>
      <c r="N850" s="9">
        <f>data!I850</f>
        <v>-31.125</v>
      </c>
      <c r="O850" s="9">
        <f>data!L850</f>
        <v>-38.125</v>
      </c>
      <c r="P850" s="9">
        <f>data!K850</f>
        <v>-44</v>
      </c>
      <c r="Q850" s="9">
        <f>data!R850</f>
        <v>-44.625</v>
      </c>
      <c r="R850" s="9">
        <f t="shared" si="655"/>
        <v>0.25</v>
      </c>
      <c r="S850" s="9">
        <f t="shared" si="656"/>
        <v>1.375</v>
      </c>
      <c r="T850" s="9">
        <f t="shared" si="657"/>
        <v>1.5</v>
      </c>
      <c r="U850" s="9">
        <f t="shared" si="658"/>
        <v>4.25</v>
      </c>
      <c r="V850" s="9">
        <f t="shared" si="659"/>
        <v>3.75</v>
      </c>
      <c r="W850" s="9">
        <f t="shared" si="660"/>
        <v>4</v>
      </c>
      <c r="X850" s="9">
        <f t="shared" si="661"/>
        <v>6</v>
      </c>
      <c r="Y850" s="9">
        <f t="shared" si="662"/>
        <v>5.5</v>
      </c>
      <c r="Z850" s="9">
        <f t="shared" si="663"/>
        <v>5.375</v>
      </c>
      <c r="AA850" s="9">
        <f t="shared" si="664"/>
        <v>0.125</v>
      </c>
      <c r="AB850" s="9">
        <f t="shared" si="665"/>
        <v>-0.25</v>
      </c>
      <c r="AC850" s="9">
        <f t="shared" si="666"/>
        <v>-0.75</v>
      </c>
      <c r="AD850" s="9">
        <f t="shared" si="667"/>
        <v>3.375</v>
      </c>
      <c r="AE850" s="9">
        <f t="shared" si="668"/>
        <v>2.5</v>
      </c>
      <c r="AF850" s="9">
        <f t="shared" si="669"/>
        <v>3.5</v>
      </c>
      <c r="AG850" s="9">
        <f t="shared" si="670"/>
        <v>3.625</v>
      </c>
      <c r="AH850" s="9">
        <f t="shared" si="671"/>
        <v>3.375</v>
      </c>
      <c r="AI850" s="9">
        <f t="shared" si="672"/>
        <v>2.875</v>
      </c>
      <c r="AJ850" s="9">
        <f t="shared" si="673"/>
        <v>0.75</v>
      </c>
      <c r="AK850" s="9">
        <f t="shared" si="674"/>
        <v>-1.125</v>
      </c>
      <c r="AL850" s="9">
        <f t="shared" si="675"/>
        <v>-1.625</v>
      </c>
      <c r="AM850" s="9">
        <f t="shared" si="676"/>
        <v>2.5</v>
      </c>
      <c r="AN850" s="9">
        <f t="shared" si="677"/>
        <v>1.5</v>
      </c>
      <c r="AO850" s="9">
        <f t="shared" si="678"/>
        <v>1.375</v>
      </c>
      <c r="AP850" s="9">
        <f t="shared" si="679"/>
        <v>1.375</v>
      </c>
      <c r="AQ850" s="9">
        <f t="shared" si="680"/>
        <v>1.25</v>
      </c>
      <c r="AR850" s="9">
        <f t="shared" si="681"/>
        <v>1.375</v>
      </c>
      <c r="AS850" s="9">
        <f t="shared" si="682"/>
        <v>0.75</v>
      </c>
      <c r="AT850" s="9">
        <f t="shared" si="683"/>
        <v>-0.5</v>
      </c>
      <c r="AU850" s="9">
        <f t="shared" si="684"/>
        <v>-1</v>
      </c>
      <c r="AV850" s="9">
        <f t="shared" si="685"/>
        <v>2.875</v>
      </c>
      <c r="AW850" s="9">
        <f t="shared" si="686"/>
        <v>1.125</v>
      </c>
      <c r="AX850" s="9">
        <f t="shared" si="687"/>
        <v>0.75</v>
      </c>
      <c r="AY850" s="9">
        <f t="shared" si="688"/>
        <v>-0.125</v>
      </c>
      <c r="AZ850" s="9">
        <f t="shared" si="689"/>
        <v>-0.5</v>
      </c>
      <c r="BA850" s="9">
        <f t="shared" si="690"/>
        <v>0.125</v>
      </c>
      <c r="BB850" s="9">
        <f t="shared" si="691"/>
        <v>0.5</v>
      </c>
      <c r="BC850" s="9">
        <f t="shared" si="692"/>
        <v>-0.875</v>
      </c>
      <c r="BD850" s="9">
        <f t="shared" si="693"/>
        <v>-1.375</v>
      </c>
      <c r="BE850" s="9">
        <f t="shared" si="694"/>
        <v>3</v>
      </c>
      <c r="BF850" s="9">
        <f t="shared" si="695"/>
        <v>1.25</v>
      </c>
      <c r="BG850" s="9">
        <f t="shared" si="696"/>
        <v>0.875</v>
      </c>
      <c r="BH850" s="9">
        <f t="shared" si="697"/>
        <v>0</v>
      </c>
      <c r="BI850" s="9">
        <f t="shared" si="698"/>
        <v>0</v>
      </c>
      <c r="BJ850" s="9">
        <f t="shared" si="699"/>
        <v>0.75</v>
      </c>
    </row>
    <row r="851" spans="1:62" x14ac:dyDescent="0.2">
      <c r="A851" s="9">
        <f>data!M852-data!M851</f>
        <v>-0.39319999999999311</v>
      </c>
      <c r="B851" s="9">
        <f>data!C852-data!C851</f>
        <v>1.0799999999999983</v>
      </c>
      <c r="C851" s="9">
        <f>data!D852-data!D851</f>
        <v>4.9999999999999822E-2</v>
      </c>
      <c r="D851" s="10">
        <f>data!B852-data!B851</f>
        <v>-0.13249999999999984</v>
      </c>
      <c r="E851" s="9">
        <f>data!E851-data!G851</f>
        <v>1.4928000000000001</v>
      </c>
      <c r="F851" s="9">
        <f>(data!E851-data!F851)-(data!G851-data!H851)</f>
        <v>1.1956</v>
      </c>
      <c r="G851" s="9">
        <f t="shared" si="650"/>
        <v>-9.9999999999988987E-5</v>
      </c>
      <c r="H851" s="9">
        <f t="shared" si="651"/>
        <v>6.6000000000001613E-3</v>
      </c>
      <c r="I851" s="9">
        <f>IF(data!M852&gt; 111.81,1,0)</f>
        <v>1</v>
      </c>
      <c r="J851" s="9">
        <f t="shared" si="652"/>
        <v>0</v>
      </c>
      <c r="K851" s="9">
        <f t="shared" si="653"/>
        <v>-0.39319999999999311</v>
      </c>
      <c r="L851" s="9">
        <f t="shared" si="654"/>
        <v>0</v>
      </c>
      <c r="M851" s="9">
        <f>data!J851</f>
        <v>-19.75</v>
      </c>
      <c r="N851" s="9">
        <f>data!I851</f>
        <v>-31</v>
      </c>
      <c r="O851" s="9">
        <f>data!L851</f>
        <v>-37.375</v>
      </c>
      <c r="P851" s="9">
        <f>data!K851</f>
        <v>-43.25</v>
      </c>
      <c r="Q851" s="9">
        <f>data!R851</f>
        <v>-44.125</v>
      </c>
      <c r="R851" s="9">
        <f t="shared" si="655"/>
        <v>1.125</v>
      </c>
      <c r="S851" s="9">
        <f t="shared" si="656"/>
        <v>1.25</v>
      </c>
      <c r="T851" s="9">
        <f t="shared" si="657"/>
        <v>4</v>
      </c>
      <c r="U851" s="9">
        <f t="shared" si="658"/>
        <v>3.5</v>
      </c>
      <c r="V851" s="9">
        <f t="shared" si="659"/>
        <v>3.75</v>
      </c>
      <c r="W851" s="9">
        <f t="shared" si="660"/>
        <v>5.75</v>
      </c>
      <c r="X851" s="9">
        <f t="shared" si="661"/>
        <v>5.25</v>
      </c>
      <c r="Y851" s="9">
        <f t="shared" si="662"/>
        <v>5.125</v>
      </c>
      <c r="Z851" s="9">
        <f t="shared" si="663"/>
        <v>4.375</v>
      </c>
      <c r="AA851" s="9">
        <f t="shared" si="664"/>
        <v>-0.375</v>
      </c>
      <c r="AB851" s="9">
        <f t="shared" si="665"/>
        <v>-0.875</v>
      </c>
      <c r="AC851" s="9">
        <f t="shared" si="666"/>
        <v>3.25</v>
      </c>
      <c r="AD851" s="9">
        <f t="shared" si="667"/>
        <v>2.375</v>
      </c>
      <c r="AE851" s="9">
        <f t="shared" si="668"/>
        <v>3.375</v>
      </c>
      <c r="AF851" s="9">
        <f t="shared" si="669"/>
        <v>3.5</v>
      </c>
      <c r="AG851" s="9">
        <f t="shared" si="670"/>
        <v>3.25</v>
      </c>
      <c r="AH851" s="9">
        <f t="shared" si="671"/>
        <v>2.75</v>
      </c>
      <c r="AI851" s="9">
        <f t="shared" si="672"/>
        <v>2.375</v>
      </c>
      <c r="AJ851" s="9">
        <f t="shared" si="673"/>
        <v>-1.875</v>
      </c>
      <c r="AK851" s="9">
        <f t="shared" si="674"/>
        <v>-2.375</v>
      </c>
      <c r="AL851" s="9">
        <f t="shared" si="675"/>
        <v>1.75</v>
      </c>
      <c r="AM851" s="9">
        <f t="shared" si="676"/>
        <v>0.75</v>
      </c>
      <c r="AN851" s="9">
        <f t="shared" si="677"/>
        <v>0.625</v>
      </c>
      <c r="AO851" s="9">
        <f t="shared" si="678"/>
        <v>0.625</v>
      </c>
      <c r="AP851" s="9">
        <f t="shared" si="679"/>
        <v>0.5</v>
      </c>
      <c r="AQ851" s="9">
        <f t="shared" si="680"/>
        <v>0.625</v>
      </c>
      <c r="AR851" s="9">
        <f t="shared" si="681"/>
        <v>-0.375</v>
      </c>
      <c r="AS851" s="9">
        <f t="shared" si="682"/>
        <v>-1.25</v>
      </c>
      <c r="AT851" s="9">
        <f t="shared" si="683"/>
        <v>-1.75</v>
      </c>
      <c r="AU851" s="9">
        <f t="shared" si="684"/>
        <v>2.125</v>
      </c>
      <c r="AV851" s="9">
        <f t="shared" si="685"/>
        <v>0.375</v>
      </c>
      <c r="AW851" s="9">
        <f t="shared" si="686"/>
        <v>0</v>
      </c>
      <c r="AX851" s="9">
        <f t="shared" si="687"/>
        <v>-0.875</v>
      </c>
      <c r="AY851" s="9">
        <f t="shared" si="688"/>
        <v>-1.25</v>
      </c>
      <c r="AZ851" s="9">
        <f t="shared" si="689"/>
        <v>-0.625</v>
      </c>
      <c r="BA851" s="9">
        <f t="shared" si="690"/>
        <v>-1.5</v>
      </c>
      <c r="BB851" s="9">
        <f t="shared" si="691"/>
        <v>-1.375</v>
      </c>
      <c r="BC851" s="9">
        <f t="shared" si="692"/>
        <v>-1.875</v>
      </c>
      <c r="BD851" s="9">
        <f t="shared" si="693"/>
        <v>2.5</v>
      </c>
      <c r="BE851" s="9">
        <f t="shared" si="694"/>
        <v>0.75</v>
      </c>
      <c r="BF851" s="9">
        <f t="shared" si="695"/>
        <v>0.375</v>
      </c>
      <c r="BG851" s="9">
        <f t="shared" si="696"/>
        <v>-0.5</v>
      </c>
      <c r="BH851" s="9">
        <f t="shared" si="697"/>
        <v>-0.5</v>
      </c>
      <c r="BI851" s="9">
        <f t="shared" si="698"/>
        <v>0.25</v>
      </c>
      <c r="BJ851" s="9">
        <f t="shared" si="699"/>
        <v>-0.625</v>
      </c>
    </row>
    <row r="852" spans="1:62" x14ac:dyDescent="0.2">
      <c r="A852" s="9">
        <f>data!M853-data!M852</f>
        <v>-2.2000000000019782E-3</v>
      </c>
      <c r="B852" s="9">
        <f>data!C853-data!C852</f>
        <v>1.2800000000000011</v>
      </c>
      <c r="C852" s="9">
        <f>data!D853-data!D852</f>
        <v>9.9999999999999645E-2</v>
      </c>
      <c r="D852" s="10">
        <f>data!B853-data!B852</f>
        <v>9.2500000000000027E-2</v>
      </c>
      <c r="E852" s="9">
        <f>data!E852-data!G852</f>
        <v>1.4927000000000001</v>
      </c>
      <c r="F852" s="9">
        <f>(data!E852-data!F852)-(data!G852-data!H852)</f>
        <v>1.2022000000000002</v>
      </c>
      <c r="G852" s="9">
        <f t="shared" si="650"/>
        <v>4.2199999999999793E-2</v>
      </c>
      <c r="H852" s="9">
        <f t="shared" si="651"/>
        <v>4.6299999999999564E-2</v>
      </c>
      <c r="I852" s="9">
        <f>IF(data!M853&gt; 111.81,1,0)</f>
        <v>1</v>
      </c>
      <c r="J852" s="9">
        <f t="shared" si="652"/>
        <v>0</v>
      </c>
      <c r="K852" s="9">
        <f t="shared" si="653"/>
        <v>-2.2000000000019782E-3</v>
      </c>
      <c r="L852" s="9">
        <f t="shared" si="654"/>
        <v>0</v>
      </c>
      <c r="M852" s="9">
        <f>data!J852</f>
        <v>-18.625</v>
      </c>
      <c r="N852" s="9">
        <f>data!I852</f>
        <v>-31.375</v>
      </c>
      <c r="O852" s="9">
        <f>data!L852</f>
        <v>-39.25</v>
      </c>
      <c r="P852" s="9">
        <f>data!K852</f>
        <v>-44.5</v>
      </c>
      <c r="Q852" s="9">
        <f>data!R852</f>
        <v>-45.5</v>
      </c>
      <c r="R852" s="9">
        <f t="shared" si="655"/>
        <v>0.125</v>
      </c>
      <c r="S852" s="9">
        <f t="shared" si="656"/>
        <v>2.875</v>
      </c>
      <c r="T852" s="9">
        <f t="shared" si="657"/>
        <v>2.375</v>
      </c>
      <c r="U852" s="9">
        <f t="shared" si="658"/>
        <v>2.625</v>
      </c>
      <c r="V852" s="9">
        <f t="shared" si="659"/>
        <v>4.625</v>
      </c>
      <c r="W852" s="9">
        <f t="shared" si="660"/>
        <v>4.125</v>
      </c>
      <c r="X852" s="9">
        <f t="shared" si="661"/>
        <v>4</v>
      </c>
      <c r="Y852" s="9">
        <f t="shared" si="662"/>
        <v>3.25</v>
      </c>
      <c r="Z852" s="9">
        <f t="shared" si="663"/>
        <v>2.625</v>
      </c>
      <c r="AA852" s="9">
        <f t="shared" si="664"/>
        <v>-0.5</v>
      </c>
      <c r="AB852" s="9">
        <f t="shared" si="665"/>
        <v>3.625</v>
      </c>
      <c r="AC852" s="9">
        <f t="shared" si="666"/>
        <v>2.75</v>
      </c>
      <c r="AD852" s="9">
        <f t="shared" si="667"/>
        <v>3.75</v>
      </c>
      <c r="AE852" s="9">
        <f t="shared" si="668"/>
        <v>3.875</v>
      </c>
      <c r="AF852" s="9">
        <f t="shared" si="669"/>
        <v>3.625</v>
      </c>
      <c r="AG852" s="9">
        <f t="shared" si="670"/>
        <v>3.125</v>
      </c>
      <c r="AH852" s="9">
        <f t="shared" si="671"/>
        <v>2.75</v>
      </c>
      <c r="AI852" s="9">
        <f t="shared" si="672"/>
        <v>2.125</v>
      </c>
      <c r="AJ852" s="9">
        <f t="shared" si="673"/>
        <v>-0.5</v>
      </c>
      <c r="AK852" s="9">
        <f t="shared" si="674"/>
        <v>3.625</v>
      </c>
      <c r="AL852" s="9">
        <f t="shared" si="675"/>
        <v>2.625</v>
      </c>
      <c r="AM852" s="9">
        <f t="shared" si="676"/>
        <v>2.5</v>
      </c>
      <c r="AN852" s="9">
        <f t="shared" si="677"/>
        <v>2.5</v>
      </c>
      <c r="AO852" s="9">
        <f t="shared" si="678"/>
        <v>2.375</v>
      </c>
      <c r="AP852" s="9">
        <f t="shared" si="679"/>
        <v>2.5</v>
      </c>
      <c r="AQ852" s="9">
        <f t="shared" si="680"/>
        <v>1.5</v>
      </c>
      <c r="AR852" s="9">
        <f t="shared" si="681"/>
        <v>0.25</v>
      </c>
      <c r="AS852" s="9">
        <f t="shared" si="682"/>
        <v>-0.5</v>
      </c>
      <c r="AT852" s="9">
        <f t="shared" si="683"/>
        <v>3.375</v>
      </c>
      <c r="AU852" s="9">
        <f t="shared" si="684"/>
        <v>1.625</v>
      </c>
      <c r="AV852" s="9">
        <f t="shared" si="685"/>
        <v>1.25</v>
      </c>
      <c r="AW852" s="9">
        <f t="shared" si="686"/>
        <v>0.375</v>
      </c>
      <c r="AX852" s="9">
        <f t="shared" si="687"/>
        <v>0</v>
      </c>
      <c r="AY852" s="9">
        <f t="shared" si="688"/>
        <v>0.625</v>
      </c>
      <c r="AZ852" s="9">
        <f t="shared" si="689"/>
        <v>-0.25</v>
      </c>
      <c r="BA852" s="9">
        <f t="shared" si="690"/>
        <v>-2.25</v>
      </c>
      <c r="BB852" s="9">
        <f t="shared" si="691"/>
        <v>-0.5</v>
      </c>
      <c r="BC852" s="9">
        <f t="shared" si="692"/>
        <v>3.875</v>
      </c>
      <c r="BD852" s="9">
        <f t="shared" si="693"/>
        <v>2.125</v>
      </c>
      <c r="BE852" s="9">
        <f t="shared" si="694"/>
        <v>1.75</v>
      </c>
      <c r="BF852" s="9">
        <f t="shared" si="695"/>
        <v>0.875</v>
      </c>
      <c r="BG852" s="9">
        <f t="shared" si="696"/>
        <v>0.875</v>
      </c>
      <c r="BH852" s="9">
        <f t="shared" si="697"/>
        <v>1.625</v>
      </c>
      <c r="BI852" s="9">
        <f t="shared" si="698"/>
        <v>0.75</v>
      </c>
      <c r="BJ852" s="9">
        <f t="shared" si="699"/>
        <v>-1.375</v>
      </c>
    </row>
    <row r="853" spans="1:62" x14ac:dyDescent="0.2">
      <c r="A853" s="9">
        <f>data!M854-data!M853</f>
        <v>-1.0587000000000018</v>
      </c>
      <c r="B853" s="9">
        <f>data!C854-data!C853</f>
        <v>-1.9199999999999982</v>
      </c>
      <c r="C853" s="9">
        <f>data!D854-data!D853</f>
        <v>0.125</v>
      </c>
      <c r="D853" s="10">
        <f>data!B854-data!B853</f>
        <v>-5.0000000000001155E-3</v>
      </c>
      <c r="E853" s="9">
        <f>data!E853-data!G853</f>
        <v>1.5348999999999999</v>
      </c>
      <c r="F853" s="9">
        <f>(data!E853-data!F853)-(data!G853-data!H853)</f>
        <v>1.2484999999999997</v>
      </c>
      <c r="G853" s="9">
        <f t="shared" si="650"/>
        <v>-3.9800000000000058E-2</v>
      </c>
      <c r="H853" s="9">
        <f t="shared" si="651"/>
        <v>-3.2199999999999784E-2</v>
      </c>
      <c r="I853" s="9">
        <f>IF(data!M854&gt; 111.81,1,0)</f>
        <v>0</v>
      </c>
      <c r="J853" s="9">
        <f t="shared" si="652"/>
        <v>1</v>
      </c>
      <c r="K853" s="9">
        <f t="shared" si="653"/>
        <v>0</v>
      </c>
      <c r="L853" s="9">
        <f t="shared" si="654"/>
        <v>-1.0587000000000018</v>
      </c>
      <c r="M853" s="9">
        <f>data!J853</f>
        <v>-18.5</v>
      </c>
      <c r="N853" s="9">
        <f>data!I853</f>
        <v>-31.875</v>
      </c>
      <c r="O853" s="9">
        <f>data!L853</f>
        <v>-39.75</v>
      </c>
      <c r="P853" s="9">
        <f>data!K853</f>
        <v>-45</v>
      </c>
      <c r="Q853" s="9">
        <f>data!R853</f>
        <v>-46</v>
      </c>
      <c r="R853" s="9">
        <f t="shared" si="655"/>
        <v>2.75</v>
      </c>
      <c r="S853" s="9">
        <f t="shared" si="656"/>
        <v>2.25</v>
      </c>
      <c r="T853" s="9">
        <f t="shared" si="657"/>
        <v>2.5</v>
      </c>
      <c r="U853" s="9">
        <f t="shared" si="658"/>
        <v>4.5</v>
      </c>
      <c r="V853" s="9">
        <f t="shared" si="659"/>
        <v>4</v>
      </c>
      <c r="W853" s="9">
        <f t="shared" si="660"/>
        <v>3.875</v>
      </c>
      <c r="X853" s="9">
        <f t="shared" si="661"/>
        <v>3.125</v>
      </c>
      <c r="Y853" s="9">
        <f t="shared" si="662"/>
        <v>2.5</v>
      </c>
      <c r="Z853" s="9">
        <f t="shared" si="663"/>
        <v>1.375</v>
      </c>
      <c r="AA853" s="9">
        <f t="shared" si="664"/>
        <v>4.125</v>
      </c>
      <c r="AB853" s="9">
        <f t="shared" si="665"/>
        <v>3.25</v>
      </c>
      <c r="AC853" s="9">
        <f t="shared" si="666"/>
        <v>4.25</v>
      </c>
      <c r="AD853" s="9">
        <f t="shared" si="667"/>
        <v>4.375</v>
      </c>
      <c r="AE853" s="9">
        <f t="shared" si="668"/>
        <v>4.125</v>
      </c>
      <c r="AF853" s="9">
        <f t="shared" si="669"/>
        <v>3.625</v>
      </c>
      <c r="AG853" s="9">
        <f t="shared" si="670"/>
        <v>3.25</v>
      </c>
      <c r="AH853" s="9">
        <f t="shared" si="671"/>
        <v>2.625</v>
      </c>
      <c r="AI853" s="9">
        <f t="shared" si="672"/>
        <v>2.375</v>
      </c>
      <c r="AJ853" s="9">
        <f t="shared" si="673"/>
        <v>4.125</v>
      </c>
      <c r="AK853" s="9">
        <f t="shared" si="674"/>
        <v>3.125</v>
      </c>
      <c r="AL853" s="9">
        <f t="shared" si="675"/>
        <v>3</v>
      </c>
      <c r="AM853" s="9">
        <f t="shared" si="676"/>
        <v>3</v>
      </c>
      <c r="AN853" s="9">
        <f t="shared" si="677"/>
        <v>2.875</v>
      </c>
      <c r="AO853" s="9">
        <f t="shared" si="678"/>
        <v>3</v>
      </c>
      <c r="AP853" s="9">
        <f t="shared" si="679"/>
        <v>2</v>
      </c>
      <c r="AQ853" s="9">
        <f t="shared" si="680"/>
        <v>0.75</v>
      </c>
      <c r="AR853" s="9">
        <f t="shared" si="681"/>
        <v>0</v>
      </c>
      <c r="AS853" s="9">
        <f t="shared" si="682"/>
        <v>3.875</v>
      </c>
      <c r="AT853" s="9">
        <f t="shared" si="683"/>
        <v>2.125</v>
      </c>
      <c r="AU853" s="9">
        <f t="shared" si="684"/>
        <v>1.75</v>
      </c>
      <c r="AV853" s="9">
        <f t="shared" si="685"/>
        <v>0.875</v>
      </c>
      <c r="AW853" s="9">
        <f t="shared" si="686"/>
        <v>0.5</v>
      </c>
      <c r="AX853" s="9">
        <f t="shared" si="687"/>
        <v>1.125</v>
      </c>
      <c r="AY853" s="9">
        <f t="shared" si="688"/>
        <v>0.25</v>
      </c>
      <c r="AZ853" s="9">
        <f t="shared" si="689"/>
        <v>-1.75</v>
      </c>
      <c r="BA853" s="9">
        <f t="shared" si="690"/>
        <v>-3.25</v>
      </c>
      <c r="BB853" s="9">
        <f t="shared" si="691"/>
        <v>4.375</v>
      </c>
      <c r="BC853" s="9">
        <f t="shared" si="692"/>
        <v>2.625</v>
      </c>
      <c r="BD853" s="9">
        <f t="shared" si="693"/>
        <v>2.25</v>
      </c>
      <c r="BE853" s="9">
        <f t="shared" si="694"/>
        <v>1.375</v>
      </c>
      <c r="BF853" s="9">
        <f t="shared" si="695"/>
        <v>1.375</v>
      </c>
      <c r="BG853" s="9">
        <f t="shared" si="696"/>
        <v>2.125</v>
      </c>
      <c r="BH853" s="9">
        <f t="shared" si="697"/>
        <v>1.25</v>
      </c>
      <c r="BI853" s="9">
        <f t="shared" si="698"/>
        <v>-0.875</v>
      </c>
      <c r="BJ853" s="9">
        <f t="shared" si="699"/>
        <v>-2.75</v>
      </c>
    </row>
    <row r="854" spans="1:62" x14ac:dyDescent="0.2">
      <c r="A854" s="9">
        <f>data!M855-data!M854</f>
        <v>0.1103999999999985</v>
      </c>
      <c r="B854" s="9">
        <f>data!C855-data!C854</f>
        <v>2.1199999999999974</v>
      </c>
      <c r="C854" s="9">
        <f>data!D855-data!D854</f>
        <v>-0.1949999999999994</v>
      </c>
      <c r="D854" s="10">
        <f>data!B855-data!B854</f>
        <v>-0.19750000000000001</v>
      </c>
      <c r="E854" s="9">
        <f>data!E854-data!G854</f>
        <v>1.4950999999999999</v>
      </c>
      <c r="F854" s="9">
        <f>(data!E854-data!F854)-(data!G854-data!H854)</f>
        <v>1.2162999999999999</v>
      </c>
      <c r="G854" s="9">
        <f t="shared" si="650"/>
        <v>5.1300000000000123E-2</v>
      </c>
      <c r="H854" s="9">
        <f t="shared" si="651"/>
        <v>5.1100000000000145E-2</v>
      </c>
      <c r="I854" s="9">
        <f>IF(data!M855&gt; 111.81,1,0)</f>
        <v>0</v>
      </c>
      <c r="J854" s="9">
        <f t="shared" si="652"/>
        <v>1</v>
      </c>
      <c r="K854" s="9">
        <f t="shared" si="653"/>
        <v>0</v>
      </c>
      <c r="L854" s="9">
        <f t="shared" si="654"/>
        <v>0.1103999999999985</v>
      </c>
      <c r="M854" s="9">
        <f>data!J854</f>
        <v>-15.75</v>
      </c>
      <c r="N854" s="9">
        <f>data!I854</f>
        <v>-27.75</v>
      </c>
      <c r="O854" s="9">
        <f>data!L854</f>
        <v>-35.625</v>
      </c>
      <c r="P854" s="9">
        <f>data!K854</f>
        <v>-41.125</v>
      </c>
      <c r="Q854" s="9">
        <f>data!R854</f>
        <v>-41.625</v>
      </c>
      <c r="R854" s="9">
        <f t="shared" si="655"/>
        <v>-0.5</v>
      </c>
      <c r="S854" s="9">
        <f t="shared" si="656"/>
        <v>-0.25</v>
      </c>
      <c r="T854" s="9">
        <f t="shared" si="657"/>
        <v>1.75</v>
      </c>
      <c r="U854" s="9">
        <f t="shared" si="658"/>
        <v>1.25</v>
      </c>
      <c r="V854" s="9">
        <f t="shared" si="659"/>
        <v>1.125</v>
      </c>
      <c r="W854" s="9">
        <f t="shared" si="660"/>
        <v>0.375</v>
      </c>
      <c r="X854" s="9">
        <f t="shared" si="661"/>
        <v>-0.25</v>
      </c>
      <c r="Y854" s="9">
        <f t="shared" si="662"/>
        <v>-1.375</v>
      </c>
      <c r="Z854" s="9">
        <f t="shared" si="663"/>
        <v>-3</v>
      </c>
      <c r="AA854" s="9">
        <f t="shared" si="664"/>
        <v>-0.875</v>
      </c>
      <c r="AB854" s="9">
        <f t="shared" si="665"/>
        <v>0.125</v>
      </c>
      <c r="AC854" s="9">
        <f t="shared" si="666"/>
        <v>0.25</v>
      </c>
      <c r="AD854" s="9">
        <f t="shared" si="667"/>
        <v>0</v>
      </c>
      <c r="AE854" s="9">
        <f t="shared" si="668"/>
        <v>-0.5</v>
      </c>
      <c r="AF854" s="9">
        <f t="shared" si="669"/>
        <v>-0.875</v>
      </c>
      <c r="AG854" s="9">
        <f t="shared" si="670"/>
        <v>-1.5</v>
      </c>
      <c r="AH854" s="9">
        <f t="shared" si="671"/>
        <v>-1.75</v>
      </c>
      <c r="AI854" s="9">
        <f t="shared" si="672"/>
        <v>-2</v>
      </c>
      <c r="AJ854" s="9">
        <f t="shared" si="673"/>
        <v>-1</v>
      </c>
      <c r="AK854" s="9">
        <f t="shared" si="674"/>
        <v>-1.125</v>
      </c>
      <c r="AL854" s="9">
        <f t="shared" si="675"/>
        <v>-1.125</v>
      </c>
      <c r="AM854" s="9">
        <f t="shared" si="676"/>
        <v>-1.25</v>
      </c>
      <c r="AN854" s="9">
        <f t="shared" si="677"/>
        <v>-1.125</v>
      </c>
      <c r="AO854" s="9">
        <f t="shared" si="678"/>
        <v>-2.125</v>
      </c>
      <c r="AP854" s="9">
        <f t="shared" si="679"/>
        <v>-3.375</v>
      </c>
      <c r="AQ854" s="9">
        <f t="shared" si="680"/>
        <v>-4.125</v>
      </c>
      <c r="AR854" s="9">
        <f t="shared" si="681"/>
        <v>-2.75</v>
      </c>
      <c r="AS854" s="9">
        <f t="shared" si="682"/>
        <v>-1.75</v>
      </c>
      <c r="AT854" s="9">
        <f t="shared" si="683"/>
        <v>-2.125</v>
      </c>
      <c r="AU854" s="9">
        <f t="shared" si="684"/>
        <v>-3</v>
      </c>
      <c r="AV854" s="9">
        <f t="shared" si="685"/>
        <v>-3.375</v>
      </c>
      <c r="AW854" s="9">
        <f t="shared" si="686"/>
        <v>-2.75</v>
      </c>
      <c r="AX854" s="9">
        <f t="shared" si="687"/>
        <v>-3.625</v>
      </c>
      <c r="AY854" s="9">
        <f t="shared" si="688"/>
        <v>-5.625</v>
      </c>
      <c r="AZ854" s="9">
        <f t="shared" si="689"/>
        <v>-7.125</v>
      </c>
      <c r="BA854" s="9">
        <f t="shared" si="690"/>
        <v>-5.625</v>
      </c>
      <c r="BB854" s="9">
        <f t="shared" si="691"/>
        <v>-1.75</v>
      </c>
      <c r="BC854" s="9">
        <f t="shared" si="692"/>
        <v>-2.125</v>
      </c>
      <c r="BD854" s="9">
        <f t="shared" si="693"/>
        <v>-3</v>
      </c>
      <c r="BE854" s="9">
        <f t="shared" si="694"/>
        <v>-3</v>
      </c>
      <c r="BF854" s="9">
        <f t="shared" si="695"/>
        <v>-2.25</v>
      </c>
      <c r="BG854" s="9">
        <f t="shared" si="696"/>
        <v>-3.125</v>
      </c>
      <c r="BH854" s="9">
        <f t="shared" si="697"/>
        <v>-5.25</v>
      </c>
      <c r="BI854" s="9">
        <f t="shared" si="698"/>
        <v>-7.125</v>
      </c>
      <c r="BJ854" s="9">
        <f t="shared" si="699"/>
        <v>-5.25</v>
      </c>
    </row>
    <row r="855" spans="1:62" x14ac:dyDescent="0.2">
      <c r="A855" s="9">
        <f>data!M856-data!M855</f>
        <v>-7.6200000000000045E-2</v>
      </c>
      <c r="B855" s="9">
        <f>data!C856-data!C855</f>
        <v>1.3399999999999999</v>
      </c>
      <c r="C855" s="9">
        <f>data!D856-data!D855</f>
        <v>-6.5000000000000391E-2</v>
      </c>
      <c r="D855" s="10">
        <f>data!B856-data!B855</f>
        <v>0.10750000000000015</v>
      </c>
      <c r="E855" s="9">
        <f>data!E855-data!G855</f>
        <v>1.5464</v>
      </c>
      <c r="F855" s="9">
        <f>(data!E855-data!F855)-(data!G855-data!H855)</f>
        <v>1.2674000000000001</v>
      </c>
      <c r="G855" s="9">
        <f t="shared" si="650"/>
        <v>-2.8000000000001357E-3</v>
      </c>
      <c r="H855" s="9">
        <f t="shared" si="651"/>
        <v>-6.1000000000002164E-3</v>
      </c>
      <c r="I855" s="9">
        <f>IF(data!M856&gt; 111.81,1,0)</f>
        <v>0</v>
      </c>
      <c r="J855" s="9">
        <f t="shared" si="652"/>
        <v>1</v>
      </c>
      <c r="K855" s="9">
        <f t="shared" si="653"/>
        <v>0</v>
      </c>
      <c r="L855" s="9">
        <f t="shared" si="654"/>
        <v>-7.6200000000000045E-2</v>
      </c>
      <c r="M855" s="9">
        <f>data!J855</f>
        <v>-16.25</v>
      </c>
      <c r="N855" s="9">
        <f>data!I855</f>
        <v>-28.625</v>
      </c>
      <c r="O855" s="9">
        <f>data!L855</f>
        <v>-36.625</v>
      </c>
      <c r="P855" s="9">
        <f>data!K855</f>
        <v>-42.875</v>
      </c>
      <c r="Q855" s="9">
        <f>data!R855</f>
        <v>-43.375</v>
      </c>
      <c r="R855" s="9">
        <f t="shared" si="655"/>
        <v>0.25</v>
      </c>
      <c r="S855" s="9">
        <f t="shared" si="656"/>
        <v>2.25</v>
      </c>
      <c r="T855" s="9">
        <f t="shared" si="657"/>
        <v>1.75</v>
      </c>
      <c r="U855" s="9">
        <f t="shared" si="658"/>
        <v>1.625</v>
      </c>
      <c r="V855" s="9">
        <f t="shared" si="659"/>
        <v>0.875</v>
      </c>
      <c r="W855" s="9">
        <f t="shared" si="660"/>
        <v>0.25</v>
      </c>
      <c r="X855" s="9">
        <f t="shared" si="661"/>
        <v>-0.875</v>
      </c>
      <c r="Y855" s="9">
        <f t="shared" si="662"/>
        <v>-2.5</v>
      </c>
      <c r="Z855" s="9">
        <f t="shared" si="663"/>
        <v>-1.25</v>
      </c>
      <c r="AA855" s="9">
        <f t="shared" si="664"/>
        <v>1</v>
      </c>
      <c r="AB855" s="9">
        <f t="shared" si="665"/>
        <v>1.125</v>
      </c>
      <c r="AC855" s="9">
        <f t="shared" si="666"/>
        <v>0.875</v>
      </c>
      <c r="AD855" s="9">
        <f t="shared" si="667"/>
        <v>0.375</v>
      </c>
      <c r="AE855" s="9">
        <f t="shared" si="668"/>
        <v>0</v>
      </c>
      <c r="AF855" s="9">
        <f t="shared" si="669"/>
        <v>-0.625</v>
      </c>
      <c r="AG855" s="9">
        <f t="shared" si="670"/>
        <v>-0.875</v>
      </c>
      <c r="AH855" s="9">
        <f t="shared" si="671"/>
        <v>-1.125</v>
      </c>
      <c r="AI855" s="9">
        <f t="shared" si="672"/>
        <v>-0.25</v>
      </c>
      <c r="AJ855" s="9">
        <f t="shared" si="673"/>
        <v>-0.125</v>
      </c>
      <c r="AK855" s="9">
        <f t="shared" si="674"/>
        <v>-0.125</v>
      </c>
      <c r="AL855" s="9">
        <f t="shared" si="675"/>
        <v>-0.25</v>
      </c>
      <c r="AM855" s="9">
        <f t="shared" si="676"/>
        <v>-0.125</v>
      </c>
      <c r="AN855" s="9">
        <f t="shared" si="677"/>
        <v>-1.125</v>
      </c>
      <c r="AO855" s="9">
        <f t="shared" si="678"/>
        <v>-2.375</v>
      </c>
      <c r="AP855" s="9">
        <f t="shared" si="679"/>
        <v>-3.125</v>
      </c>
      <c r="AQ855" s="9">
        <f t="shared" si="680"/>
        <v>-1.75</v>
      </c>
      <c r="AR855" s="9">
        <f t="shared" si="681"/>
        <v>-0.75</v>
      </c>
      <c r="AS855" s="9">
        <f t="shared" si="682"/>
        <v>-0.375</v>
      </c>
      <c r="AT855" s="9">
        <f t="shared" si="683"/>
        <v>-1.25</v>
      </c>
      <c r="AU855" s="9">
        <f t="shared" si="684"/>
        <v>-1.625</v>
      </c>
      <c r="AV855" s="9">
        <f t="shared" si="685"/>
        <v>-1</v>
      </c>
      <c r="AW855" s="9">
        <f t="shared" si="686"/>
        <v>-1.875</v>
      </c>
      <c r="AX855" s="9">
        <f t="shared" si="687"/>
        <v>-3.875</v>
      </c>
      <c r="AY855" s="9">
        <f t="shared" si="688"/>
        <v>-5.375</v>
      </c>
      <c r="AZ855" s="9">
        <f t="shared" si="689"/>
        <v>-3.875</v>
      </c>
      <c r="BA855" s="9">
        <f t="shared" si="690"/>
        <v>-2.375</v>
      </c>
      <c r="BB855" s="9">
        <f t="shared" si="691"/>
        <v>-0.375</v>
      </c>
      <c r="BC855" s="9">
        <f t="shared" si="692"/>
        <v>-1.25</v>
      </c>
      <c r="BD855" s="9">
        <f t="shared" si="693"/>
        <v>-1.25</v>
      </c>
      <c r="BE855" s="9">
        <f t="shared" si="694"/>
        <v>-0.5</v>
      </c>
      <c r="BF855" s="9">
        <f t="shared" si="695"/>
        <v>-1.375</v>
      </c>
      <c r="BG855" s="9">
        <f t="shared" si="696"/>
        <v>-3.5</v>
      </c>
      <c r="BH855" s="9">
        <f t="shared" si="697"/>
        <v>-5.375</v>
      </c>
      <c r="BI855" s="9">
        <f t="shared" si="698"/>
        <v>-3.5</v>
      </c>
      <c r="BJ855" s="9">
        <f t="shared" si="699"/>
        <v>-1.875</v>
      </c>
    </row>
    <row r="856" spans="1:62" x14ac:dyDescent="0.2">
      <c r="A856" s="9">
        <f>data!M857-data!M856</f>
        <v>-0.30029999999999291</v>
      </c>
      <c r="B856" s="9">
        <f>data!C857-data!C856</f>
        <v>-3.389999999999997</v>
      </c>
      <c r="C856" s="9">
        <f>data!D857-data!D856</f>
        <v>4.0000000000000036E-2</v>
      </c>
      <c r="D856" s="10">
        <f>data!B857-data!B856</f>
        <v>9.749999999999992E-2</v>
      </c>
      <c r="E856" s="9">
        <f>data!E856-data!G856</f>
        <v>1.5435999999999999</v>
      </c>
      <c r="F856" s="9">
        <f>(data!E856-data!F856)-(data!G856-data!H856)</f>
        <v>1.2612999999999999</v>
      </c>
      <c r="G856" s="9">
        <f t="shared" si="650"/>
        <v>-2.729999999999988E-2</v>
      </c>
      <c r="H856" s="9">
        <f t="shared" si="651"/>
        <v>-1.9699999999999829E-2</v>
      </c>
      <c r="I856" s="9">
        <f>IF(data!M857&gt; 111.81,1,0)</f>
        <v>0</v>
      </c>
      <c r="J856" s="9">
        <f t="shared" si="652"/>
        <v>1</v>
      </c>
      <c r="K856" s="9">
        <f t="shared" si="653"/>
        <v>0</v>
      </c>
      <c r="L856" s="9">
        <f t="shared" si="654"/>
        <v>-0.30029999999999291</v>
      </c>
      <c r="M856" s="9">
        <f>data!J856</f>
        <v>-16</v>
      </c>
      <c r="N856" s="9">
        <f>data!I856</f>
        <v>-27.625</v>
      </c>
      <c r="O856" s="9">
        <f>data!L856</f>
        <v>-36.75</v>
      </c>
      <c r="P856" s="9">
        <f>data!K856</f>
        <v>-43.25</v>
      </c>
      <c r="Q856" s="9">
        <f>data!R856</f>
        <v>-43.75</v>
      </c>
      <c r="R856" s="9">
        <f t="shared" si="655"/>
        <v>2</v>
      </c>
      <c r="S856" s="9">
        <f t="shared" si="656"/>
        <v>1.5</v>
      </c>
      <c r="T856" s="9">
        <f t="shared" si="657"/>
        <v>1.375</v>
      </c>
      <c r="U856" s="9">
        <f t="shared" si="658"/>
        <v>0.625</v>
      </c>
      <c r="V856" s="9">
        <f t="shared" si="659"/>
        <v>0</v>
      </c>
      <c r="W856" s="9">
        <f t="shared" si="660"/>
        <v>-1.125</v>
      </c>
      <c r="X856" s="9">
        <f t="shared" si="661"/>
        <v>-2.75</v>
      </c>
      <c r="Y856" s="9">
        <f t="shared" si="662"/>
        <v>-1.5</v>
      </c>
      <c r="Z856" s="9">
        <f t="shared" si="663"/>
        <v>-1.625</v>
      </c>
      <c r="AA856" s="9">
        <f t="shared" si="664"/>
        <v>0.125</v>
      </c>
      <c r="AB856" s="9">
        <f t="shared" si="665"/>
        <v>-0.125</v>
      </c>
      <c r="AC856" s="9">
        <f t="shared" si="666"/>
        <v>-0.625</v>
      </c>
      <c r="AD856" s="9">
        <f t="shared" si="667"/>
        <v>-1</v>
      </c>
      <c r="AE856" s="9">
        <f t="shared" si="668"/>
        <v>-1.625</v>
      </c>
      <c r="AF856" s="9">
        <f t="shared" si="669"/>
        <v>-1.875</v>
      </c>
      <c r="AG856" s="9">
        <f t="shared" si="670"/>
        <v>-2.125</v>
      </c>
      <c r="AH856" s="9">
        <f t="shared" si="671"/>
        <v>-1.25</v>
      </c>
      <c r="AI856" s="9">
        <f t="shared" si="672"/>
        <v>-2.25</v>
      </c>
      <c r="AJ856" s="9">
        <f t="shared" si="673"/>
        <v>0</v>
      </c>
      <c r="AK856" s="9">
        <f t="shared" si="674"/>
        <v>-0.125</v>
      </c>
      <c r="AL856" s="9">
        <f t="shared" si="675"/>
        <v>0</v>
      </c>
      <c r="AM856" s="9">
        <f t="shared" si="676"/>
        <v>-1</v>
      </c>
      <c r="AN856" s="9">
        <f t="shared" si="677"/>
        <v>-2.25</v>
      </c>
      <c r="AO856" s="9">
        <f t="shared" si="678"/>
        <v>-3</v>
      </c>
      <c r="AP856" s="9">
        <f t="shared" si="679"/>
        <v>-1.625</v>
      </c>
      <c r="AQ856" s="9">
        <f t="shared" si="680"/>
        <v>-0.625</v>
      </c>
      <c r="AR856" s="9">
        <f t="shared" si="681"/>
        <v>-2.625</v>
      </c>
      <c r="AS856" s="9">
        <f t="shared" si="682"/>
        <v>-0.875</v>
      </c>
      <c r="AT856" s="9">
        <f t="shared" si="683"/>
        <v>-1.25</v>
      </c>
      <c r="AU856" s="9">
        <f t="shared" si="684"/>
        <v>-0.625</v>
      </c>
      <c r="AV856" s="9">
        <f t="shared" si="685"/>
        <v>-1.5</v>
      </c>
      <c r="AW856" s="9">
        <f t="shared" si="686"/>
        <v>-3.5</v>
      </c>
      <c r="AX856" s="9">
        <f t="shared" si="687"/>
        <v>-5</v>
      </c>
      <c r="AY856" s="9">
        <f t="shared" si="688"/>
        <v>-3.5</v>
      </c>
      <c r="AZ856" s="9">
        <f t="shared" si="689"/>
        <v>-2</v>
      </c>
      <c r="BA856" s="9">
        <f t="shared" si="690"/>
        <v>-4</v>
      </c>
      <c r="BB856" s="9">
        <f t="shared" si="691"/>
        <v>-0.875</v>
      </c>
      <c r="BC856" s="9">
        <f t="shared" si="692"/>
        <v>-0.875</v>
      </c>
      <c r="BD856" s="9">
        <f t="shared" si="693"/>
        <v>-0.125</v>
      </c>
      <c r="BE856" s="9">
        <f t="shared" si="694"/>
        <v>-1</v>
      </c>
      <c r="BF856" s="9">
        <f t="shared" si="695"/>
        <v>-3.125</v>
      </c>
      <c r="BG856" s="9">
        <f t="shared" si="696"/>
        <v>-5</v>
      </c>
      <c r="BH856" s="9">
        <f t="shared" si="697"/>
        <v>-3.125</v>
      </c>
      <c r="BI856" s="9">
        <f t="shared" si="698"/>
        <v>-1.5</v>
      </c>
      <c r="BJ856" s="9">
        <f t="shared" si="699"/>
        <v>-3.625</v>
      </c>
    </row>
    <row r="857" spans="1:62" x14ac:dyDescent="0.2">
      <c r="A857" s="9">
        <f>data!M858-data!M857</f>
        <v>-6.6000000000059345E-3</v>
      </c>
      <c r="B857" s="9">
        <f>data!C858-data!C857</f>
        <v>-0.33999999999999986</v>
      </c>
      <c r="C857" s="9">
        <f>data!D858-data!D857</f>
        <v>-8.9999999999999858E-2</v>
      </c>
      <c r="D857" s="10">
        <f>data!B858-data!B857</f>
        <v>9.4999999999999973E-2</v>
      </c>
      <c r="E857" s="9">
        <f>data!E857-data!G857</f>
        <v>1.5163</v>
      </c>
      <c r="F857" s="9">
        <f>(data!E857-data!F857)-(data!G857-data!H857)</f>
        <v>1.2416</v>
      </c>
      <c r="G857" s="9">
        <f t="shared" si="650"/>
        <v>-4.290000000000016E-2</v>
      </c>
      <c r="H857" s="9">
        <f t="shared" si="651"/>
        <v>-3.9000000000000146E-2</v>
      </c>
      <c r="I857" s="9">
        <f>IF(data!M858&gt; 111.81,1,0)</f>
        <v>0</v>
      </c>
      <c r="J857" s="9">
        <f t="shared" si="652"/>
        <v>1</v>
      </c>
      <c r="K857" s="9">
        <f t="shared" si="653"/>
        <v>0</v>
      </c>
      <c r="L857" s="9">
        <f t="shared" si="654"/>
        <v>-6.6000000000059345E-3</v>
      </c>
      <c r="M857" s="9">
        <f>data!J857</f>
        <v>-14</v>
      </c>
      <c r="N857" s="9">
        <f>data!I857</f>
        <v>-27.5</v>
      </c>
      <c r="O857" s="9">
        <f>data!L857</f>
        <v>-36.75</v>
      </c>
      <c r="P857" s="9">
        <f>data!K857</f>
        <v>-44.125</v>
      </c>
      <c r="Q857" s="9">
        <f>data!R857</f>
        <v>-44.625</v>
      </c>
      <c r="R857" s="9">
        <f t="shared" si="655"/>
        <v>-0.5</v>
      </c>
      <c r="S857" s="9">
        <f t="shared" si="656"/>
        <v>-0.625</v>
      </c>
      <c r="T857" s="9">
        <f t="shared" si="657"/>
        <v>-1.375</v>
      </c>
      <c r="U857" s="9">
        <f t="shared" si="658"/>
        <v>-2</v>
      </c>
      <c r="V857" s="9">
        <f t="shared" si="659"/>
        <v>-3.125</v>
      </c>
      <c r="W857" s="9">
        <f t="shared" si="660"/>
        <v>-4.75</v>
      </c>
      <c r="X857" s="9">
        <f t="shared" si="661"/>
        <v>-3.5</v>
      </c>
      <c r="Y857" s="9">
        <f t="shared" si="662"/>
        <v>-3.625</v>
      </c>
      <c r="Z857" s="9">
        <f t="shared" si="663"/>
        <v>-1.625</v>
      </c>
      <c r="AA857" s="9">
        <f t="shared" si="664"/>
        <v>-0.25</v>
      </c>
      <c r="AB857" s="9">
        <f t="shared" si="665"/>
        <v>-0.75</v>
      </c>
      <c r="AC857" s="9">
        <f t="shared" si="666"/>
        <v>-1.125</v>
      </c>
      <c r="AD857" s="9">
        <f t="shared" si="667"/>
        <v>-1.75</v>
      </c>
      <c r="AE857" s="9">
        <f t="shared" si="668"/>
        <v>-2</v>
      </c>
      <c r="AF857" s="9">
        <f t="shared" si="669"/>
        <v>-2.25</v>
      </c>
      <c r="AG857" s="9">
        <f t="shared" si="670"/>
        <v>-1.375</v>
      </c>
      <c r="AH857" s="9">
        <f t="shared" si="671"/>
        <v>-2.375</v>
      </c>
      <c r="AI857" s="9">
        <f t="shared" si="672"/>
        <v>-1</v>
      </c>
      <c r="AJ857" s="9">
        <f t="shared" si="673"/>
        <v>-0.125</v>
      </c>
      <c r="AK857" s="9">
        <f t="shared" si="674"/>
        <v>0</v>
      </c>
      <c r="AL857" s="9">
        <f t="shared" si="675"/>
        <v>-1</v>
      </c>
      <c r="AM857" s="9">
        <f t="shared" si="676"/>
        <v>-2.25</v>
      </c>
      <c r="AN857" s="9">
        <f t="shared" si="677"/>
        <v>-3</v>
      </c>
      <c r="AO857" s="9">
        <f t="shared" si="678"/>
        <v>-1.625</v>
      </c>
      <c r="AP857" s="9">
        <f t="shared" si="679"/>
        <v>-0.625</v>
      </c>
      <c r="AQ857" s="9">
        <f t="shared" si="680"/>
        <v>-2.625</v>
      </c>
      <c r="AR857" s="9">
        <f t="shared" si="681"/>
        <v>0.25</v>
      </c>
      <c r="AS857" s="9">
        <f t="shared" si="682"/>
        <v>-0.375</v>
      </c>
      <c r="AT857" s="9">
        <f t="shared" si="683"/>
        <v>0.25</v>
      </c>
      <c r="AU857" s="9">
        <f t="shared" si="684"/>
        <v>-0.625</v>
      </c>
      <c r="AV857" s="9">
        <f t="shared" si="685"/>
        <v>-2.625</v>
      </c>
      <c r="AW857" s="9">
        <f t="shared" si="686"/>
        <v>-4.125</v>
      </c>
      <c r="AX857" s="9">
        <f t="shared" si="687"/>
        <v>-2.625</v>
      </c>
      <c r="AY857" s="9">
        <f t="shared" si="688"/>
        <v>-1.125</v>
      </c>
      <c r="AZ857" s="9">
        <f t="shared" si="689"/>
        <v>-3.125</v>
      </c>
      <c r="BA857" s="9">
        <f t="shared" si="690"/>
        <v>0.25</v>
      </c>
      <c r="BB857" s="9">
        <f t="shared" si="691"/>
        <v>0</v>
      </c>
      <c r="BC857" s="9">
        <f t="shared" si="692"/>
        <v>0.75</v>
      </c>
      <c r="BD857" s="9">
        <f t="shared" si="693"/>
        <v>-0.125</v>
      </c>
      <c r="BE857" s="9">
        <f t="shared" si="694"/>
        <v>-2.25</v>
      </c>
      <c r="BF857" s="9">
        <f t="shared" si="695"/>
        <v>-4.125</v>
      </c>
      <c r="BG857" s="9">
        <f t="shared" si="696"/>
        <v>-2.25</v>
      </c>
      <c r="BH857" s="9">
        <f t="shared" si="697"/>
        <v>-0.625</v>
      </c>
      <c r="BI857" s="9">
        <f t="shared" si="698"/>
        <v>-2.75</v>
      </c>
      <c r="BJ857" s="9">
        <f t="shared" si="699"/>
        <v>0.625</v>
      </c>
    </row>
    <row r="858" spans="1:62" x14ac:dyDescent="0.2">
      <c r="A858" s="9">
        <f>data!M859-data!M858</f>
        <v>0.34069999999999823</v>
      </c>
      <c r="B858" s="9">
        <f>data!C859-data!C858</f>
        <v>-0.77000000000000135</v>
      </c>
      <c r="C858" s="9">
        <f>data!D859-data!D858</f>
        <v>-0.47250000000000014</v>
      </c>
      <c r="D858" s="10">
        <f>data!B859-data!B858</f>
        <v>0.11499999999999999</v>
      </c>
      <c r="E858" s="9">
        <f>data!E858-data!G858</f>
        <v>1.4733999999999998</v>
      </c>
      <c r="F858" s="9">
        <f>(data!E858-data!F858)-(data!G858-data!H858)</f>
        <v>1.2025999999999999</v>
      </c>
      <c r="G858" s="9">
        <f t="shared" si="650"/>
        <v>-5.0599999999999756E-2</v>
      </c>
      <c r="H858" s="9">
        <f t="shared" si="651"/>
        <v>-5.5699999999999861E-2</v>
      </c>
      <c r="I858" s="9">
        <f>IF(data!M859&gt; 111.81,1,0)</f>
        <v>0</v>
      </c>
      <c r="J858" s="9">
        <f t="shared" si="652"/>
        <v>1</v>
      </c>
      <c r="K858" s="9">
        <f t="shared" si="653"/>
        <v>0</v>
      </c>
      <c r="L858" s="9">
        <f t="shared" si="654"/>
        <v>0.34069999999999823</v>
      </c>
      <c r="M858" s="9">
        <f>data!J858</f>
        <v>-14.5</v>
      </c>
      <c r="N858" s="9">
        <f>data!I858</f>
        <v>-27.75</v>
      </c>
      <c r="O858" s="9">
        <f>data!L858</f>
        <v>-36.875</v>
      </c>
      <c r="P858" s="9">
        <f>data!K858</f>
        <v>-44.5</v>
      </c>
      <c r="Q858" s="9">
        <f>data!R858</f>
        <v>-44.625</v>
      </c>
      <c r="R858" s="9">
        <f t="shared" si="655"/>
        <v>-0.125</v>
      </c>
      <c r="S858" s="9">
        <f t="shared" si="656"/>
        <v>-0.875</v>
      </c>
      <c r="T858" s="9">
        <f t="shared" si="657"/>
        <v>-1.5</v>
      </c>
      <c r="U858" s="9">
        <f t="shared" si="658"/>
        <v>-2.625</v>
      </c>
      <c r="V858" s="9">
        <f t="shared" si="659"/>
        <v>-4.25</v>
      </c>
      <c r="W858" s="9">
        <f t="shared" si="660"/>
        <v>-3</v>
      </c>
      <c r="X858" s="9">
        <f t="shared" si="661"/>
        <v>-3.125</v>
      </c>
      <c r="Y858" s="9">
        <f t="shared" si="662"/>
        <v>-1.125</v>
      </c>
      <c r="Z858" s="9">
        <f t="shared" si="663"/>
        <v>-0.875</v>
      </c>
      <c r="AA858" s="9">
        <f t="shared" si="664"/>
        <v>-0.5</v>
      </c>
      <c r="AB858" s="9">
        <f t="shared" si="665"/>
        <v>-0.875</v>
      </c>
      <c r="AC858" s="9">
        <f t="shared" si="666"/>
        <v>-1.5</v>
      </c>
      <c r="AD858" s="9">
        <f t="shared" si="667"/>
        <v>-1.75</v>
      </c>
      <c r="AE858" s="9">
        <f t="shared" si="668"/>
        <v>-2</v>
      </c>
      <c r="AF858" s="9">
        <f t="shared" si="669"/>
        <v>-1.125</v>
      </c>
      <c r="AG858" s="9">
        <f t="shared" si="670"/>
        <v>-2.125</v>
      </c>
      <c r="AH858" s="9">
        <f t="shared" si="671"/>
        <v>-0.75</v>
      </c>
      <c r="AI858" s="9">
        <f t="shared" si="672"/>
        <v>0.375</v>
      </c>
      <c r="AJ858" s="9">
        <f t="shared" si="673"/>
        <v>0.125</v>
      </c>
      <c r="AK858" s="9">
        <f t="shared" si="674"/>
        <v>-0.875</v>
      </c>
      <c r="AL858" s="9">
        <f t="shared" si="675"/>
        <v>-2.125</v>
      </c>
      <c r="AM858" s="9">
        <f t="shared" si="676"/>
        <v>-2.875</v>
      </c>
      <c r="AN858" s="9">
        <f t="shared" si="677"/>
        <v>-1.5</v>
      </c>
      <c r="AO858" s="9">
        <f t="shared" si="678"/>
        <v>-0.5</v>
      </c>
      <c r="AP858" s="9">
        <f t="shared" si="679"/>
        <v>-2.5</v>
      </c>
      <c r="AQ858" s="9">
        <f t="shared" si="680"/>
        <v>0.375</v>
      </c>
      <c r="AR858" s="9">
        <f t="shared" si="681"/>
        <v>0.375</v>
      </c>
      <c r="AS858" s="9">
        <f t="shared" si="682"/>
        <v>0.625</v>
      </c>
      <c r="AT858" s="9">
        <f t="shared" si="683"/>
        <v>-0.25</v>
      </c>
      <c r="AU858" s="9">
        <f t="shared" si="684"/>
        <v>-2.25</v>
      </c>
      <c r="AV858" s="9">
        <f t="shared" si="685"/>
        <v>-3.75</v>
      </c>
      <c r="AW858" s="9">
        <f t="shared" si="686"/>
        <v>-2.25</v>
      </c>
      <c r="AX858" s="9">
        <f t="shared" si="687"/>
        <v>-0.75</v>
      </c>
      <c r="AY858" s="9">
        <f t="shared" si="688"/>
        <v>-2.75</v>
      </c>
      <c r="AZ858" s="9">
        <f t="shared" si="689"/>
        <v>0.625</v>
      </c>
      <c r="BA858" s="9">
        <f t="shared" si="690"/>
        <v>0.5</v>
      </c>
      <c r="BB858" s="9">
        <f t="shared" si="691"/>
        <v>0.75</v>
      </c>
      <c r="BC858" s="9">
        <f t="shared" si="692"/>
        <v>-0.125</v>
      </c>
      <c r="BD858" s="9">
        <f t="shared" si="693"/>
        <v>-2.25</v>
      </c>
      <c r="BE858" s="9">
        <f t="shared" si="694"/>
        <v>-4.125</v>
      </c>
      <c r="BF858" s="9">
        <f t="shared" si="695"/>
        <v>-2.25</v>
      </c>
      <c r="BG858" s="9">
        <f t="shared" si="696"/>
        <v>-0.625</v>
      </c>
      <c r="BH858" s="9">
        <f t="shared" si="697"/>
        <v>-2.75</v>
      </c>
      <c r="BI858" s="9">
        <f t="shared" si="698"/>
        <v>0.625</v>
      </c>
      <c r="BJ858" s="9">
        <f t="shared" si="699"/>
        <v>0.25</v>
      </c>
    </row>
    <row r="859" spans="1:62" x14ac:dyDescent="0.2">
      <c r="A859" s="9">
        <f>data!M860-data!M859</f>
        <v>1.9465000000000003</v>
      </c>
      <c r="B859" s="9">
        <f>data!C860-data!C859</f>
        <v>5.0499999999999989</v>
      </c>
      <c r="C859" s="9">
        <f>data!D860-data!D859</f>
        <v>0.3125</v>
      </c>
      <c r="D859" s="10">
        <f>data!B860-data!B859</f>
        <v>-0.32000000000000006</v>
      </c>
      <c r="E859" s="9">
        <f>data!E859-data!G859</f>
        <v>1.4228000000000001</v>
      </c>
      <c r="F859" s="9">
        <f>(data!E859-data!F859)-(data!G859-data!H859)</f>
        <v>1.1469</v>
      </c>
      <c r="G859" s="9">
        <f t="shared" si="650"/>
        <v>-3.6700000000000177E-2</v>
      </c>
      <c r="H859" s="9">
        <f t="shared" si="651"/>
        <v>-0.13890000000000002</v>
      </c>
      <c r="I859" s="9">
        <f>IF(data!M860&gt; 111.81,1,0)</f>
        <v>1</v>
      </c>
      <c r="J859" s="9">
        <f t="shared" si="652"/>
        <v>0</v>
      </c>
      <c r="K859" s="9">
        <f t="shared" si="653"/>
        <v>1.9465000000000003</v>
      </c>
      <c r="L859" s="9">
        <f t="shared" si="654"/>
        <v>0</v>
      </c>
      <c r="M859" s="9">
        <f>data!J859</f>
        <v>-14.625</v>
      </c>
      <c r="N859" s="9">
        <f>data!I859</f>
        <v>-28.25</v>
      </c>
      <c r="O859" s="9">
        <f>data!L859</f>
        <v>-36.75</v>
      </c>
      <c r="P859" s="9">
        <f>data!K859</f>
        <v>-43.875</v>
      </c>
      <c r="Q859" s="9">
        <f>data!R859</f>
        <v>-43.875</v>
      </c>
      <c r="R859" s="9">
        <f t="shared" si="655"/>
        <v>-0.75</v>
      </c>
      <c r="S859" s="9">
        <f t="shared" si="656"/>
        <v>-1.375</v>
      </c>
      <c r="T859" s="9">
        <f t="shared" si="657"/>
        <v>-2.5</v>
      </c>
      <c r="U859" s="9">
        <f t="shared" si="658"/>
        <v>-4.125</v>
      </c>
      <c r="V859" s="9">
        <f t="shared" si="659"/>
        <v>-2.875</v>
      </c>
      <c r="W859" s="9">
        <f t="shared" si="660"/>
        <v>-3</v>
      </c>
      <c r="X859" s="9">
        <f t="shared" si="661"/>
        <v>-1</v>
      </c>
      <c r="Y859" s="9">
        <f t="shared" si="662"/>
        <v>-0.75</v>
      </c>
      <c r="Z859" s="9">
        <f t="shared" si="663"/>
        <v>-2.25</v>
      </c>
      <c r="AA859" s="9">
        <f t="shared" si="664"/>
        <v>-0.375</v>
      </c>
      <c r="AB859" s="9">
        <f t="shared" si="665"/>
        <v>-1</v>
      </c>
      <c r="AC859" s="9">
        <f t="shared" si="666"/>
        <v>-1.25</v>
      </c>
      <c r="AD859" s="9">
        <f t="shared" si="667"/>
        <v>-1.5</v>
      </c>
      <c r="AE859" s="9">
        <f t="shared" si="668"/>
        <v>-0.625</v>
      </c>
      <c r="AF859" s="9">
        <f t="shared" si="669"/>
        <v>-1.625</v>
      </c>
      <c r="AG859" s="9">
        <f t="shared" si="670"/>
        <v>-0.25</v>
      </c>
      <c r="AH859" s="9">
        <f t="shared" si="671"/>
        <v>0.875</v>
      </c>
      <c r="AI859" s="9">
        <f t="shared" si="672"/>
        <v>-0.25</v>
      </c>
      <c r="AJ859" s="9">
        <f t="shared" si="673"/>
        <v>-1</v>
      </c>
      <c r="AK859" s="9">
        <f t="shared" si="674"/>
        <v>-2.25</v>
      </c>
      <c r="AL859" s="9">
        <f t="shared" si="675"/>
        <v>-3</v>
      </c>
      <c r="AM859" s="9">
        <f t="shared" si="676"/>
        <v>-1.625</v>
      </c>
      <c r="AN859" s="9">
        <f t="shared" si="677"/>
        <v>-0.625</v>
      </c>
      <c r="AO859" s="9">
        <f t="shared" si="678"/>
        <v>-2.625</v>
      </c>
      <c r="AP859" s="9">
        <f t="shared" si="679"/>
        <v>0.25</v>
      </c>
      <c r="AQ859" s="9">
        <f t="shared" si="680"/>
        <v>0.25</v>
      </c>
      <c r="AR859" s="9">
        <f t="shared" si="681"/>
        <v>-1.375</v>
      </c>
      <c r="AS859" s="9">
        <f t="shared" si="682"/>
        <v>-0.875</v>
      </c>
      <c r="AT859" s="9">
        <f t="shared" si="683"/>
        <v>-2.875</v>
      </c>
      <c r="AU859" s="9">
        <f t="shared" si="684"/>
        <v>-4.375</v>
      </c>
      <c r="AV859" s="9">
        <f t="shared" si="685"/>
        <v>-2.875</v>
      </c>
      <c r="AW859" s="9">
        <f t="shared" si="686"/>
        <v>-1.375</v>
      </c>
      <c r="AX859" s="9">
        <f t="shared" si="687"/>
        <v>-3.375</v>
      </c>
      <c r="AY859" s="9">
        <f t="shared" si="688"/>
        <v>0</v>
      </c>
      <c r="AZ859" s="9">
        <f t="shared" si="689"/>
        <v>-0.125</v>
      </c>
      <c r="BA859" s="9">
        <f t="shared" si="690"/>
        <v>-2</v>
      </c>
      <c r="BB859" s="9">
        <f t="shared" si="691"/>
        <v>-0.875</v>
      </c>
      <c r="BC859" s="9">
        <f t="shared" si="692"/>
        <v>-3</v>
      </c>
      <c r="BD859" s="9">
        <f t="shared" si="693"/>
        <v>-4.875</v>
      </c>
      <c r="BE859" s="9">
        <f t="shared" si="694"/>
        <v>-3</v>
      </c>
      <c r="BF859" s="9">
        <f t="shared" si="695"/>
        <v>-1.375</v>
      </c>
      <c r="BG859" s="9">
        <f t="shared" si="696"/>
        <v>-3.5</v>
      </c>
      <c r="BH859" s="9">
        <f t="shared" si="697"/>
        <v>-0.125</v>
      </c>
      <c r="BI859" s="9">
        <f t="shared" si="698"/>
        <v>-0.5</v>
      </c>
      <c r="BJ859" s="9">
        <f t="shared" si="699"/>
        <v>-2.125</v>
      </c>
    </row>
    <row r="860" spans="1:62" x14ac:dyDescent="0.2">
      <c r="A860" s="9">
        <f>data!M861-data!M860</f>
        <v>-1.0775000000000006</v>
      </c>
      <c r="B860" s="9">
        <f>data!C861-data!C860</f>
        <v>-5.08</v>
      </c>
      <c r="C860" s="9">
        <f>data!D861-data!D860</f>
        <v>-0.15500000000000025</v>
      </c>
      <c r="D860" s="10">
        <f>data!B861-data!B860</f>
        <v>0.16000000000000014</v>
      </c>
      <c r="E860" s="9">
        <f>data!E860-data!G860</f>
        <v>1.3860999999999999</v>
      </c>
      <c r="F860" s="9">
        <f>(data!E860-data!F860)-(data!G860-data!H860)</f>
        <v>1.008</v>
      </c>
      <c r="G860" s="9">
        <f t="shared" si="650"/>
        <v>9.7000000000000197E-2</v>
      </c>
      <c r="H860" s="9">
        <f t="shared" si="651"/>
        <v>9.000000000000008E-2</v>
      </c>
      <c r="I860" s="9">
        <f>IF(data!M861&gt; 111.81,1,0)</f>
        <v>1</v>
      </c>
      <c r="J860" s="9">
        <f t="shared" si="652"/>
        <v>0</v>
      </c>
      <c r="K860" s="9">
        <f t="shared" si="653"/>
        <v>-1.0775000000000006</v>
      </c>
      <c r="L860" s="9">
        <f t="shared" si="654"/>
        <v>0</v>
      </c>
      <c r="M860" s="9">
        <f>data!J860</f>
        <v>-15.375</v>
      </c>
      <c r="N860" s="9">
        <f>data!I860</f>
        <v>-28.625</v>
      </c>
      <c r="O860" s="9">
        <f>data!L860</f>
        <v>-37.75</v>
      </c>
      <c r="P860" s="9">
        <f>data!K860</f>
        <v>-44.75</v>
      </c>
      <c r="Q860" s="9">
        <f>data!R860</f>
        <v>-44.75</v>
      </c>
      <c r="R860" s="9">
        <f t="shared" si="655"/>
        <v>-0.625</v>
      </c>
      <c r="S860" s="9">
        <f t="shared" si="656"/>
        <v>-1.75</v>
      </c>
      <c r="T860" s="9">
        <f t="shared" si="657"/>
        <v>-3.375</v>
      </c>
      <c r="U860" s="9">
        <f t="shared" si="658"/>
        <v>-2.125</v>
      </c>
      <c r="V860" s="9">
        <f t="shared" si="659"/>
        <v>-2.25</v>
      </c>
      <c r="W860" s="9">
        <f t="shared" si="660"/>
        <v>-0.25</v>
      </c>
      <c r="X860" s="9">
        <f t="shared" si="661"/>
        <v>0</v>
      </c>
      <c r="Y860" s="9">
        <f t="shared" si="662"/>
        <v>-1.5</v>
      </c>
      <c r="Z860" s="9">
        <f t="shared" si="663"/>
        <v>-1.625</v>
      </c>
      <c r="AA860" s="9">
        <f t="shared" si="664"/>
        <v>-0.625</v>
      </c>
      <c r="AB860" s="9">
        <f t="shared" si="665"/>
        <v>-0.875</v>
      </c>
      <c r="AC860" s="9">
        <f t="shared" si="666"/>
        <v>-1.125</v>
      </c>
      <c r="AD860" s="9">
        <f t="shared" si="667"/>
        <v>-0.25</v>
      </c>
      <c r="AE860" s="9">
        <f t="shared" si="668"/>
        <v>-1.25</v>
      </c>
      <c r="AF860" s="9">
        <f t="shared" si="669"/>
        <v>0.125</v>
      </c>
      <c r="AG860" s="9">
        <f t="shared" si="670"/>
        <v>1.25</v>
      </c>
      <c r="AH860" s="9">
        <f t="shared" si="671"/>
        <v>0.125</v>
      </c>
      <c r="AI860" s="9">
        <f t="shared" si="672"/>
        <v>1</v>
      </c>
      <c r="AJ860" s="9">
        <f t="shared" si="673"/>
        <v>-1.25</v>
      </c>
      <c r="AK860" s="9">
        <f t="shared" si="674"/>
        <v>-2</v>
      </c>
      <c r="AL860" s="9">
        <f t="shared" si="675"/>
        <v>-0.625</v>
      </c>
      <c r="AM860" s="9">
        <f t="shared" si="676"/>
        <v>0.375</v>
      </c>
      <c r="AN860" s="9">
        <f t="shared" si="677"/>
        <v>-1.625</v>
      </c>
      <c r="AO860" s="9">
        <f t="shared" si="678"/>
        <v>1.25</v>
      </c>
      <c r="AP860" s="9">
        <f t="shared" si="679"/>
        <v>1.25</v>
      </c>
      <c r="AQ860" s="9">
        <f t="shared" si="680"/>
        <v>-0.375</v>
      </c>
      <c r="AR860" s="9">
        <f t="shared" si="681"/>
        <v>0.5</v>
      </c>
      <c r="AS860" s="9">
        <f t="shared" si="682"/>
        <v>-2</v>
      </c>
      <c r="AT860" s="9">
        <f t="shared" si="683"/>
        <v>-3.5</v>
      </c>
      <c r="AU860" s="9">
        <f t="shared" si="684"/>
        <v>-2</v>
      </c>
      <c r="AV860" s="9">
        <f t="shared" si="685"/>
        <v>-0.5</v>
      </c>
      <c r="AW860" s="9">
        <f t="shared" si="686"/>
        <v>-2.5</v>
      </c>
      <c r="AX860" s="9">
        <f t="shared" si="687"/>
        <v>0.875</v>
      </c>
      <c r="AY860" s="9">
        <f t="shared" si="688"/>
        <v>0.75</v>
      </c>
      <c r="AZ860" s="9">
        <f t="shared" si="689"/>
        <v>-1.125</v>
      </c>
      <c r="BA860" s="9">
        <f t="shared" si="690"/>
        <v>-0.125</v>
      </c>
      <c r="BB860" s="9">
        <f t="shared" si="691"/>
        <v>-2.125</v>
      </c>
      <c r="BC860" s="9">
        <f t="shared" si="692"/>
        <v>-4</v>
      </c>
      <c r="BD860" s="9">
        <f t="shared" si="693"/>
        <v>-2.125</v>
      </c>
      <c r="BE860" s="9">
        <f t="shared" si="694"/>
        <v>-0.5</v>
      </c>
      <c r="BF860" s="9">
        <f t="shared" si="695"/>
        <v>-2.625</v>
      </c>
      <c r="BG860" s="9">
        <f t="shared" si="696"/>
        <v>0.75</v>
      </c>
      <c r="BH860" s="9">
        <f t="shared" si="697"/>
        <v>0.375</v>
      </c>
      <c r="BI860" s="9">
        <f t="shared" si="698"/>
        <v>-1.25</v>
      </c>
      <c r="BJ860" s="9">
        <f t="shared" si="699"/>
        <v>-0.125</v>
      </c>
    </row>
    <row r="861" spans="1:62" x14ac:dyDescent="0.2">
      <c r="A861" s="9">
        <f>data!M862-data!M861</f>
        <v>0.57650000000001</v>
      </c>
      <c r="B861" s="9">
        <f>data!C862-data!C861</f>
        <v>-0.54999999999999893</v>
      </c>
      <c r="C861" s="9">
        <f>data!D862-data!D861</f>
        <v>6.25E-2</v>
      </c>
      <c r="D861" s="10">
        <f>data!B862-data!B861</f>
        <v>-8.7500000000000133E-2</v>
      </c>
      <c r="E861" s="9">
        <f>data!E861-data!G861</f>
        <v>1.4831000000000001</v>
      </c>
      <c r="F861" s="9">
        <f>(data!E861-data!F861)-(data!G861-data!H861)</f>
        <v>1.0980000000000001</v>
      </c>
      <c r="G861" s="9">
        <f t="shared" si="650"/>
        <v>-9.8300000000000054E-2</v>
      </c>
      <c r="H861" s="9">
        <f t="shared" si="651"/>
        <v>-6.5800000000000081E-2</v>
      </c>
      <c r="I861" s="9">
        <f>IF(data!M862&gt; 111.81,1,0)</f>
        <v>1</v>
      </c>
      <c r="J861" s="9">
        <f t="shared" si="652"/>
        <v>0</v>
      </c>
      <c r="K861" s="9">
        <f t="shared" si="653"/>
        <v>0.57650000000001</v>
      </c>
      <c r="L861" s="9">
        <f t="shared" si="654"/>
        <v>0</v>
      </c>
      <c r="M861" s="9">
        <f>data!J861</f>
        <v>-16</v>
      </c>
      <c r="N861" s="9">
        <f>data!I861</f>
        <v>-29.25</v>
      </c>
      <c r="O861" s="9">
        <f>data!L861</f>
        <v>-39</v>
      </c>
      <c r="P861" s="9">
        <f>data!K861</f>
        <v>-46.75</v>
      </c>
      <c r="Q861" s="9">
        <f>data!R861</f>
        <v>-46.875</v>
      </c>
      <c r="R861" s="9">
        <f t="shared" si="655"/>
        <v>-1.125</v>
      </c>
      <c r="S861" s="9">
        <f t="shared" si="656"/>
        <v>-2.75</v>
      </c>
      <c r="T861" s="9">
        <f t="shared" si="657"/>
        <v>-1.5</v>
      </c>
      <c r="U861" s="9">
        <f t="shared" si="658"/>
        <v>-1.625</v>
      </c>
      <c r="V861" s="9">
        <f t="shared" si="659"/>
        <v>0.375</v>
      </c>
      <c r="W861" s="9">
        <f t="shared" si="660"/>
        <v>0.625</v>
      </c>
      <c r="X861" s="9">
        <f t="shared" si="661"/>
        <v>-0.875</v>
      </c>
      <c r="Y861" s="9">
        <f t="shared" si="662"/>
        <v>-1</v>
      </c>
      <c r="Z861" s="9">
        <f t="shared" si="663"/>
        <v>-1.75</v>
      </c>
      <c r="AA861" s="9">
        <f t="shared" si="664"/>
        <v>-0.25</v>
      </c>
      <c r="AB861" s="9">
        <f t="shared" si="665"/>
        <v>-0.5</v>
      </c>
      <c r="AC861" s="9">
        <f t="shared" si="666"/>
        <v>0.375</v>
      </c>
      <c r="AD861" s="9">
        <f t="shared" si="667"/>
        <v>-0.625</v>
      </c>
      <c r="AE861" s="9">
        <f t="shared" si="668"/>
        <v>0.75</v>
      </c>
      <c r="AF861" s="9">
        <f t="shared" si="669"/>
        <v>1.875</v>
      </c>
      <c r="AG861" s="9">
        <f t="shared" si="670"/>
        <v>0.75</v>
      </c>
      <c r="AH861" s="9">
        <f t="shared" si="671"/>
        <v>1.625</v>
      </c>
      <c r="AI861" s="9">
        <f t="shared" si="672"/>
        <v>2.25</v>
      </c>
      <c r="AJ861" s="9">
        <f t="shared" si="673"/>
        <v>-0.75</v>
      </c>
      <c r="AK861" s="9">
        <f t="shared" si="674"/>
        <v>0.625</v>
      </c>
      <c r="AL861" s="9">
        <f t="shared" si="675"/>
        <v>1.625</v>
      </c>
      <c r="AM861" s="9">
        <f t="shared" si="676"/>
        <v>-0.375</v>
      </c>
      <c r="AN861" s="9">
        <f t="shared" si="677"/>
        <v>2.5</v>
      </c>
      <c r="AO861" s="9">
        <f t="shared" si="678"/>
        <v>2.5</v>
      </c>
      <c r="AP861" s="9">
        <f t="shared" si="679"/>
        <v>0.875</v>
      </c>
      <c r="AQ861" s="9">
        <f t="shared" si="680"/>
        <v>1.75</v>
      </c>
      <c r="AR861" s="9">
        <f t="shared" si="681"/>
        <v>3.25</v>
      </c>
      <c r="AS861" s="9">
        <f t="shared" si="682"/>
        <v>-1.5</v>
      </c>
      <c r="AT861" s="9">
        <f t="shared" si="683"/>
        <v>0</v>
      </c>
      <c r="AU861" s="9">
        <f t="shared" si="684"/>
        <v>1.5</v>
      </c>
      <c r="AV861" s="9">
        <f t="shared" si="685"/>
        <v>-0.5</v>
      </c>
      <c r="AW861" s="9">
        <f t="shared" si="686"/>
        <v>2.875</v>
      </c>
      <c r="AX861" s="9">
        <f t="shared" si="687"/>
        <v>2.75</v>
      </c>
      <c r="AY861" s="9">
        <f t="shared" si="688"/>
        <v>0.875</v>
      </c>
      <c r="AZ861" s="9">
        <f t="shared" si="689"/>
        <v>1.875</v>
      </c>
      <c r="BA861" s="9">
        <f t="shared" si="690"/>
        <v>3.625</v>
      </c>
      <c r="BB861" s="9">
        <f t="shared" si="691"/>
        <v>-1.875</v>
      </c>
      <c r="BC861" s="9">
        <f t="shared" si="692"/>
        <v>0</v>
      </c>
      <c r="BD861" s="9">
        <f t="shared" si="693"/>
        <v>1.625</v>
      </c>
      <c r="BE861" s="9">
        <f t="shared" si="694"/>
        <v>-0.5</v>
      </c>
      <c r="BF861" s="9">
        <f t="shared" si="695"/>
        <v>2.875</v>
      </c>
      <c r="BG861" s="9">
        <f t="shared" si="696"/>
        <v>2.5</v>
      </c>
      <c r="BH861" s="9">
        <f t="shared" si="697"/>
        <v>0.875</v>
      </c>
      <c r="BI861" s="9">
        <f t="shared" si="698"/>
        <v>2</v>
      </c>
      <c r="BJ861" s="9">
        <f t="shared" si="699"/>
        <v>3.625</v>
      </c>
    </row>
    <row r="862" spans="1:62" x14ac:dyDescent="0.2">
      <c r="A862" s="9">
        <f>data!M863-data!M862</f>
        <v>0.29609999999999559</v>
      </c>
      <c r="B862" s="9">
        <f>data!C863-data!C862</f>
        <v>1.1099999999999994</v>
      </c>
      <c r="C862" s="9">
        <f>data!D863-data!D862</f>
        <v>0.10500000000000043</v>
      </c>
      <c r="D862" s="10">
        <f>data!B863-data!B862</f>
        <v>-9.4999999999999973E-2</v>
      </c>
      <c r="E862" s="9">
        <f>data!E862-data!G862</f>
        <v>1.3848</v>
      </c>
      <c r="F862" s="9">
        <f>(data!E862-data!F862)-(data!G862-data!H862)</f>
        <v>1.0322</v>
      </c>
      <c r="G862" s="9">
        <f t="shared" si="650"/>
        <v>-5.3300000000000125E-2</v>
      </c>
      <c r="H862" s="9">
        <f t="shared" si="651"/>
        <v>-3.2299999999999995E-2</v>
      </c>
      <c r="I862" s="9">
        <f>IF(data!M863&gt; 111.81,1,0)</f>
        <v>1</v>
      </c>
      <c r="J862" s="9">
        <f t="shared" si="652"/>
        <v>0</v>
      </c>
      <c r="K862" s="9">
        <f t="shared" si="653"/>
        <v>0.29609999999999559</v>
      </c>
      <c r="L862" s="9">
        <f t="shared" si="654"/>
        <v>0</v>
      </c>
      <c r="M862" s="9">
        <f>data!J862</f>
        <v>-17.125</v>
      </c>
      <c r="N862" s="9">
        <f>data!I862</f>
        <v>-29.5</v>
      </c>
      <c r="O862" s="9">
        <f>data!L862</f>
        <v>-39.75</v>
      </c>
      <c r="P862" s="9">
        <f>data!K862</f>
        <v>-48.25</v>
      </c>
      <c r="Q862" s="9">
        <f>data!R862</f>
        <v>-48.75</v>
      </c>
      <c r="R862" s="9">
        <f t="shared" si="655"/>
        <v>-1.625</v>
      </c>
      <c r="S862" s="9">
        <f t="shared" si="656"/>
        <v>-0.375</v>
      </c>
      <c r="T862" s="9">
        <f t="shared" si="657"/>
        <v>-0.5</v>
      </c>
      <c r="U862" s="9">
        <f t="shared" si="658"/>
        <v>1.5</v>
      </c>
      <c r="V862" s="9">
        <f t="shared" si="659"/>
        <v>1.75</v>
      </c>
      <c r="W862" s="9">
        <f t="shared" si="660"/>
        <v>0.25</v>
      </c>
      <c r="X862" s="9">
        <f t="shared" si="661"/>
        <v>0.125</v>
      </c>
      <c r="Y862" s="9">
        <f t="shared" si="662"/>
        <v>-0.625</v>
      </c>
      <c r="Z862" s="9">
        <f t="shared" si="663"/>
        <v>-0.125</v>
      </c>
      <c r="AA862" s="9">
        <f t="shared" si="664"/>
        <v>-0.25</v>
      </c>
      <c r="AB862" s="9">
        <f t="shared" si="665"/>
        <v>0.625</v>
      </c>
      <c r="AC862" s="9">
        <f t="shared" si="666"/>
        <v>-0.375</v>
      </c>
      <c r="AD862" s="9">
        <f t="shared" si="667"/>
        <v>1</v>
      </c>
      <c r="AE862" s="9">
        <f t="shared" si="668"/>
        <v>2.125</v>
      </c>
      <c r="AF862" s="9">
        <f t="shared" si="669"/>
        <v>1</v>
      </c>
      <c r="AG862" s="9">
        <f t="shared" si="670"/>
        <v>1.875</v>
      </c>
      <c r="AH862" s="9">
        <f t="shared" si="671"/>
        <v>2.5</v>
      </c>
      <c r="AI862" s="9">
        <f t="shared" si="672"/>
        <v>3.125</v>
      </c>
      <c r="AJ862" s="9">
        <f t="shared" si="673"/>
        <v>1.375</v>
      </c>
      <c r="AK862" s="9">
        <f t="shared" si="674"/>
        <v>2.375</v>
      </c>
      <c r="AL862" s="9">
        <f t="shared" si="675"/>
        <v>0.375</v>
      </c>
      <c r="AM862" s="9">
        <f t="shared" si="676"/>
        <v>3.25</v>
      </c>
      <c r="AN862" s="9">
        <f t="shared" si="677"/>
        <v>3.25</v>
      </c>
      <c r="AO862" s="9">
        <f t="shared" si="678"/>
        <v>1.625</v>
      </c>
      <c r="AP862" s="9">
        <f t="shared" si="679"/>
        <v>2.5</v>
      </c>
      <c r="AQ862" s="9">
        <f t="shared" si="680"/>
        <v>4</v>
      </c>
      <c r="AR862" s="9">
        <f t="shared" si="681"/>
        <v>5.75</v>
      </c>
      <c r="AS862" s="9">
        <f t="shared" si="682"/>
        <v>1.5</v>
      </c>
      <c r="AT862" s="9">
        <f t="shared" si="683"/>
        <v>3</v>
      </c>
      <c r="AU862" s="9">
        <f t="shared" si="684"/>
        <v>1</v>
      </c>
      <c r="AV862" s="9">
        <f t="shared" si="685"/>
        <v>4.375</v>
      </c>
      <c r="AW862" s="9">
        <f t="shared" si="686"/>
        <v>4.25</v>
      </c>
      <c r="AX862" s="9">
        <f t="shared" si="687"/>
        <v>2.375</v>
      </c>
      <c r="AY862" s="9">
        <f t="shared" si="688"/>
        <v>3.375</v>
      </c>
      <c r="AZ862" s="9">
        <f t="shared" si="689"/>
        <v>5.125</v>
      </c>
      <c r="BA862" s="9">
        <f t="shared" si="690"/>
        <v>7.5</v>
      </c>
      <c r="BB862" s="9">
        <f t="shared" si="691"/>
        <v>1.875</v>
      </c>
      <c r="BC862" s="9">
        <f t="shared" si="692"/>
        <v>3.5</v>
      </c>
      <c r="BD862" s="9">
        <f t="shared" si="693"/>
        <v>1.375</v>
      </c>
      <c r="BE862" s="9">
        <f t="shared" si="694"/>
        <v>4.75</v>
      </c>
      <c r="BF862" s="9">
        <f t="shared" si="695"/>
        <v>4.375</v>
      </c>
      <c r="BG862" s="9">
        <f t="shared" si="696"/>
        <v>2.75</v>
      </c>
      <c r="BH862" s="9">
        <f t="shared" si="697"/>
        <v>3.875</v>
      </c>
      <c r="BI862" s="9">
        <f t="shared" si="698"/>
        <v>5.5</v>
      </c>
      <c r="BJ862" s="9">
        <f t="shared" si="699"/>
        <v>7.75</v>
      </c>
    </row>
    <row r="863" spans="1:62" x14ac:dyDescent="0.2">
      <c r="A863" s="9">
        <f>data!M864-data!M863</f>
        <v>0.20359999999999445</v>
      </c>
      <c r="B863" s="9">
        <f>data!C864-data!C863</f>
        <v>2.2699999999999996</v>
      </c>
      <c r="C863" s="9">
        <f>data!D864-data!D863</f>
        <v>-6.5000000000000391E-2</v>
      </c>
      <c r="D863" s="10">
        <f>data!B864-data!B863</f>
        <v>2.5000000000000133E-2</v>
      </c>
      <c r="E863" s="9">
        <f>data!E863-data!G863</f>
        <v>1.3314999999999999</v>
      </c>
      <c r="F863" s="9">
        <f>(data!E863-data!F863)-(data!G863-data!H863)</f>
        <v>0.99990000000000001</v>
      </c>
      <c r="G863" s="9">
        <f t="shared" si="650"/>
        <v>-6.0199999999999809E-2</v>
      </c>
      <c r="H863" s="9">
        <f t="shared" si="651"/>
        <v>-8.010000000000006E-2</v>
      </c>
      <c r="I863" s="9">
        <f>IF(data!M864&gt; 111.81,1,0)</f>
        <v>1</v>
      </c>
      <c r="J863" s="9">
        <f t="shared" si="652"/>
        <v>0</v>
      </c>
      <c r="K863" s="9">
        <f t="shared" si="653"/>
        <v>0.20359999999999445</v>
      </c>
      <c r="L863" s="9">
        <f t="shared" si="654"/>
        <v>0</v>
      </c>
      <c r="M863" s="9">
        <f>data!J863</f>
        <v>-18.75</v>
      </c>
      <c r="N863" s="9">
        <f>data!I863</f>
        <v>-29.75</v>
      </c>
      <c r="O863" s="9">
        <f>data!L863</f>
        <v>-38.375</v>
      </c>
      <c r="P863" s="9">
        <f>data!K863</f>
        <v>-46.75</v>
      </c>
      <c r="Q863" s="9">
        <f>data!R863</f>
        <v>-46.875</v>
      </c>
      <c r="R863" s="9">
        <f t="shared" si="655"/>
        <v>1.25</v>
      </c>
      <c r="S863" s="9">
        <f t="shared" si="656"/>
        <v>1.125</v>
      </c>
      <c r="T863" s="9">
        <f t="shared" si="657"/>
        <v>3.125</v>
      </c>
      <c r="U863" s="9">
        <f t="shared" si="658"/>
        <v>3.375</v>
      </c>
      <c r="V863" s="9">
        <f t="shared" si="659"/>
        <v>1.875</v>
      </c>
      <c r="W863" s="9">
        <f t="shared" si="660"/>
        <v>1.75</v>
      </c>
      <c r="X863" s="9">
        <f t="shared" si="661"/>
        <v>1</v>
      </c>
      <c r="Y863" s="9">
        <f t="shared" si="662"/>
        <v>1.5</v>
      </c>
      <c r="Z863" s="9">
        <f t="shared" si="663"/>
        <v>2</v>
      </c>
      <c r="AA863" s="9">
        <f t="shared" si="664"/>
        <v>0.875</v>
      </c>
      <c r="AB863" s="9">
        <f t="shared" si="665"/>
        <v>-0.125</v>
      </c>
      <c r="AC863" s="9">
        <f t="shared" si="666"/>
        <v>1.25</v>
      </c>
      <c r="AD863" s="9">
        <f t="shared" si="667"/>
        <v>2.375</v>
      </c>
      <c r="AE863" s="9">
        <f t="shared" si="668"/>
        <v>1.25</v>
      </c>
      <c r="AF863" s="9">
        <f t="shared" si="669"/>
        <v>2.125</v>
      </c>
      <c r="AG863" s="9">
        <f t="shared" si="670"/>
        <v>2.75</v>
      </c>
      <c r="AH863" s="9">
        <f t="shared" si="671"/>
        <v>3.375</v>
      </c>
      <c r="AI863" s="9">
        <f t="shared" si="672"/>
        <v>4</v>
      </c>
      <c r="AJ863" s="9">
        <f t="shared" si="673"/>
        <v>1</v>
      </c>
      <c r="AK863" s="9">
        <f t="shared" si="674"/>
        <v>-1</v>
      </c>
      <c r="AL863" s="9">
        <f t="shared" si="675"/>
        <v>1.875</v>
      </c>
      <c r="AM863" s="9">
        <f t="shared" si="676"/>
        <v>1.875</v>
      </c>
      <c r="AN863" s="9">
        <f t="shared" si="677"/>
        <v>0.25</v>
      </c>
      <c r="AO863" s="9">
        <f t="shared" si="678"/>
        <v>1.125</v>
      </c>
      <c r="AP863" s="9">
        <f t="shared" si="679"/>
        <v>2.625</v>
      </c>
      <c r="AQ863" s="9">
        <f t="shared" si="680"/>
        <v>4.375</v>
      </c>
      <c r="AR863" s="9">
        <f t="shared" si="681"/>
        <v>4.75</v>
      </c>
      <c r="AS863" s="9">
        <f t="shared" si="682"/>
        <v>1.5</v>
      </c>
      <c r="AT863" s="9">
        <f t="shared" si="683"/>
        <v>-0.5</v>
      </c>
      <c r="AU863" s="9">
        <f t="shared" si="684"/>
        <v>2.875</v>
      </c>
      <c r="AV863" s="9">
        <f t="shared" si="685"/>
        <v>2.75</v>
      </c>
      <c r="AW863" s="9">
        <f t="shared" si="686"/>
        <v>0.875</v>
      </c>
      <c r="AX863" s="9">
        <f t="shared" si="687"/>
        <v>1.875</v>
      </c>
      <c r="AY863" s="9">
        <f t="shared" si="688"/>
        <v>3.625</v>
      </c>
      <c r="AZ863" s="9">
        <f t="shared" si="689"/>
        <v>6</v>
      </c>
      <c r="BA863" s="9">
        <f t="shared" si="690"/>
        <v>5.5</v>
      </c>
      <c r="BB863" s="9">
        <f t="shared" si="691"/>
        <v>1.625</v>
      </c>
      <c r="BC863" s="9">
        <f t="shared" si="692"/>
        <v>-0.5</v>
      </c>
      <c r="BD863" s="9">
        <f t="shared" si="693"/>
        <v>2.875</v>
      </c>
      <c r="BE863" s="9">
        <f t="shared" si="694"/>
        <v>2.5</v>
      </c>
      <c r="BF863" s="9">
        <f t="shared" si="695"/>
        <v>0.875</v>
      </c>
      <c r="BG863" s="9">
        <f t="shared" si="696"/>
        <v>2</v>
      </c>
      <c r="BH863" s="9">
        <f t="shared" si="697"/>
        <v>3.625</v>
      </c>
      <c r="BI863" s="9">
        <f t="shared" si="698"/>
        <v>5.875</v>
      </c>
      <c r="BJ863" s="9">
        <f t="shared" si="699"/>
        <v>5.375</v>
      </c>
    </row>
    <row r="864" spans="1:62" x14ac:dyDescent="0.2">
      <c r="A864" s="9">
        <f>data!M865-data!M864</f>
        <v>0.39820000000000277</v>
      </c>
      <c r="B864" s="9">
        <f>data!C865-data!C864</f>
        <v>-1.25</v>
      </c>
      <c r="C864" s="9">
        <f>data!D865-data!D864</f>
        <v>4.9999999999999822E-2</v>
      </c>
      <c r="D864" s="10">
        <f>data!B865-data!B864</f>
        <v>-0.10750000000000015</v>
      </c>
      <c r="E864" s="9">
        <f>data!E864-data!G864</f>
        <v>1.2713000000000001</v>
      </c>
      <c r="F864" s="9">
        <f>(data!E864-data!F864)-(data!G864-data!H864)</f>
        <v>0.91979999999999995</v>
      </c>
      <c r="G864" s="9">
        <f t="shared" si="650"/>
        <v>-7.0000000000001172E-3</v>
      </c>
      <c r="H864" s="9">
        <f t="shared" si="651"/>
        <v>1.3400000000000079E-2</v>
      </c>
      <c r="I864" s="9">
        <f>IF(data!M865&gt; 111.81,1,0)</f>
        <v>1</v>
      </c>
      <c r="J864" s="9">
        <f t="shared" si="652"/>
        <v>0</v>
      </c>
      <c r="K864" s="9">
        <f t="shared" si="653"/>
        <v>0.39820000000000277</v>
      </c>
      <c r="L864" s="9">
        <f t="shared" si="654"/>
        <v>0</v>
      </c>
      <c r="M864" s="9">
        <f>data!J864</f>
        <v>-17.5</v>
      </c>
      <c r="N864" s="9">
        <f>data!I864</f>
        <v>-28.875</v>
      </c>
      <c r="O864" s="9">
        <f>data!L864</f>
        <v>-37.375</v>
      </c>
      <c r="P864" s="9">
        <f>data!K864</f>
        <v>-45.25</v>
      </c>
      <c r="Q864" s="9">
        <f>data!R864</f>
        <v>-45.25</v>
      </c>
      <c r="R864" s="9">
        <f t="shared" si="655"/>
        <v>-0.125</v>
      </c>
      <c r="S864" s="9">
        <f t="shared" si="656"/>
        <v>1.875</v>
      </c>
      <c r="T864" s="9">
        <f t="shared" si="657"/>
        <v>2.125</v>
      </c>
      <c r="U864" s="9">
        <f t="shared" si="658"/>
        <v>0.625</v>
      </c>
      <c r="V864" s="9">
        <f t="shared" si="659"/>
        <v>0.5</v>
      </c>
      <c r="W864" s="9">
        <f t="shared" si="660"/>
        <v>-0.25</v>
      </c>
      <c r="X864" s="9">
        <f t="shared" si="661"/>
        <v>0.25</v>
      </c>
      <c r="Y864" s="9">
        <f t="shared" si="662"/>
        <v>0.75</v>
      </c>
      <c r="Z864" s="9">
        <f t="shared" si="663"/>
        <v>1</v>
      </c>
      <c r="AA864" s="9">
        <f t="shared" si="664"/>
        <v>-1</v>
      </c>
      <c r="AB864" s="9">
        <f t="shared" si="665"/>
        <v>0.375</v>
      </c>
      <c r="AC864" s="9">
        <f t="shared" si="666"/>
        <v>1.5</v>
      </c>
      <c r="AD864" s="9">
        <f t="shared" si="667"/>
        <v>0.375</v>
      </c>
      <c r="AE864" s="9">
        <f t="shared" si="668"/>
        <v>1.25</v>
      </c>
      <c r="AF864" s="9">
        <f t="shared" si="669"/>
        <v>1.875</v>
      </c>
      <c r="AG864" s="9">
        <f t="shared" si="670"/>
        <v>2.5</v>
      </c>
      <c r="AH864" s="9">
        <f t="shared" si="671"/>
        <v>3.125</v>
      </c>
      <c r="AI864" s="9">
        <f t="shared" si="672"/>
        <v>2.625</v>
      </c>
      <c r="AJ864" s="9">
        <f t="shared" si="673"/>
        <v>-2</v>
      </c>
      <c r="AK864" s="9">
        <f t="shared" si="674"/>
        <v>0.875</v>
      </c>
      <c r="AL864" s="9">
        <f t="shared" si="675"/>
        <v>0.875</v>
      </c>
      <c r="AM864" s="9">
        <f t="shared" si="676"/>
        <v>-0.75</v>
      </c>
      <c r="AN864" s="9">
        <f t="shared" si="677"/>
        <v>0.125</v>
      </c>
      <c r="AO864" s="9">
        <f t="shared" si="678"/>
        <v>1.625</v>
      </c>
      <c r="AP864" s="9">
        <f t="shared" si="679"/>
        <v>3.375</v>
      </c>
      <c r="AQ864" s="9">
        <f t="shared" si="680"/>
        <v>3.75</v>
      </c>
      <c r="AR864" s="9">
        <f t="shared" si="681"/>
        <v>3.125</v>
      </c>
      <c r="AS864" s="9">
        <f t="shared" si="682"/>
        <v>-2</v>
      </c>
      <c r="AT864" s="9">
        <f t="shared" si="683"/>
        <v>1.375</v>
      </c>
      <c r="AU864" s="9">
        <f t="shared" si="684"/>
        <v>1.25</v>
      </c>
      <c r="AV864" s="9">
        <f t="shared" si="685"/>
        <v>-0.625</v>
      </c>
      <c r="AW864" s="9">
        <f t="shared" si="686"/>
        <v>0.375</v>
      </c>
      <c r="AX864" s="9">
        <f t="shared" si="687"/>
        <v>2.125</v>
      </c>
      <c r="AY864" s="9">
        <f t="shared" si="688"/>
        <v>4.5</v>
      </c>
      <c r="AZ864" s="9">
        <f t="shared" si="689"/>
        <v>4</v>
      </c>
      <c r="BA864" s="9">
        <f t="shared" si="690"/>
        <v>4.375</v>
      </c>
      <c r="BB864" s="9">
        <f t="shared" si="691"/>
        <v>-2.125</v>
      </c>
      <c r="BC864" s="9">
        <f t="shared" si="692"/>
        <v>1.25</v>
      </c>
      <c r="BD864" s="9">
        <f t="shared" si="693"/>
        <v>0.875</v>
      </c>
      <c r="BE864" s="9">
        <f t="shared" si="694"/>
        <v>-0.75</v>
      </c>
      <c r="BF864" s="9">
        <f t="shared" si="695"/>
        <v>0.375</v>
      </c>
      <c r="BG864" s="9">
        <f t="shared" si="696"/>
        <v>2</v>
      </c>
      <c r="BH864" s="9">
        <f t="shared" si="697"/>
        <v>4.25</v>
      </c>
      <c r="BI864" s="9">
        <f t="shared" si="698"/>
        <v>3.75</v>
      </c>
      <c r="BJ864" s="9">
        <f t="shared" si="699"/>
        <v>3.625</v>
      </c>
    </row>
    <row r="865" spans="1:62" x14ac:dyDescent="0.2">
      <c r="A865" s="9">
        <f>data!M866-data!M865</f>
        <v>-0.76779999999999404</v>
      </c>
      <c r="B865" s="9">
        <f>data!C866-data!C865</f>
        <v>1.0399999999999991</v>
      </c>
      <c r="C865" s="9">
        <f>data!D866-data!D865</f>
        <v>-2.9999999999999361E-2</v>
      </c>
      <c r="D865" s="10">
        <f>data!B866-data!B865</f>
        <v>1.5000000000000124E-2</v>
      </c>
      <c r="E865" s="9">
        <f>data!E865-data!G865</f>
        <v>1.2643</v>
      </c>
      <c r="F865" s="9">
        <f>(data!E865-data!F865)-(data!G865-data!H865)</f>
        <v>0.93320000000000003</v>
      </c>
      <c r="G865" s="9">
        <f t="shared" si="650"/>
        <v>-5.8000000000000052E-2</v>
      </c>
      <c r="H865" s="9">
        <f t="shared" si="651"/>
        <v>-3.8800000000000057E-2</v>
      </c>
      <c r="I865" s="9">
        <f>IF(data!M866&gt; 111.81,1,0)</f>
        <v>1</v>
      </c>
      <c r="J865" s="9">
        <f t="shared" si="652"/>
        <v>0</v>
      </c>
      <c r="K865" s="9">
        <f t="shared" si="653"/>
        <v>-0.76779999999999404</v>
      </c>
      <c r="L865" s="9">
        <f t="shared" si="654"/>
        <v>0</v>
      </c>
      <c r="M865" s="9">
        <f>data!J865</f>
        <v>-17.625</v>
      </c>
      <c r="N865" s="9">
        <f>data!I865</f>
        <v>-29.875</v>
      </c>
      <c r="O865" s="9">
        <f>data!L865</f>
        <v>-39.375</v>
      </c>
      <c r="P865" s="9">
        <f>data!K865</f>
        <v>-47.25</v>
      </c>
      <c r="Q865" s="9">
        <f>data!R865</f>
        <v>-47.375</v>
      </c>
      <c r="R865" s="9">
        <f t="shared" si="655"/>
        <v>2</v>
      </c>
      <c r="S865" s="9">
        <f t="shared" si="656"/>
        <v>2.25</v>
      </c>
      <c r="T865" s="9">
        <f t="shared" si="657"/>
        <v>0.75</v>
      </c>
      <c r="U865" s="9">
        <f t="shared" si="658"/>
        <v>0.625</v>
      </c>
      <c r="V865" s="9">
        <f t="shared" si="659"/>
        <v>-0.125</v>
      </c>
      <c r="W865" s="9">
        <f t="shared" si="660"/>
        <v>0.375</v>
      </c>
      <c r="X865" s="9">
        <f t="shared" si="661"/>
        <v>0.875</v>
      </c>
      <c r="Y865" s="9">
        <f t="shared" si="662"/>
        <v>1.125</v>
      </c>
      <c r="Z865" s="9">
        <f t="shared" si="663"/>
        <v>2.875</v>
      </c>
      <c r="AA865" s="9">
        <f t="shared" si="664"/>
        <v>1.375</v>
      </c>
      <c r="AB865" s="9">
        <f t="shared" si="665"/>
        <v>2.5</v>
      </c>
      <c r="AC865" s="9">
        <f t="shared" si="666"/>
        <v>1.375</v>
      </c>
      <c r="AD865" s="9">
        <f t="shared" si="667"/>
        <v>2.25</v>
      </c>
      <c r="AE865" s="9">
        <f t="shared" si="668"/>
        <v>2.875</v>
      </c>
      <c r="AF865" s="9">
        <f t="shared" si="669"/>
        <v>3.5</v>
      </c>
      <c r="AG865" s="9">
        <f t="shared" si="670"/>
        <v>4.125</v>
      </c>
      <c r="AH865" s="9">
        <f t="shared" si="671"/>
        <v>3.625</v>
      </c>
      <c r="AI865" s="9">
        <f t="shared" si="672"/>
        <v>3.5</v>
      </c>
      <c r="AJ865" s="9">
        <f t="shared" si="673"/>
        <v>2.875</v>
      </c>
      <c r="AK865" s="9">
        <f t="shared" si="674"/>
        <v>2.875</v>
      </c>
      <c r="AL865" s="9">
        <f t="shared" si="675"/>
        <v>1.25</v>
      </c>
      <c r="AM865" s="9">
        <f t="shared" si="676"/>
        <v>2.125</v>
      </c>
      <c r="AN865" s="9">
        <f t="shared" si="677"/>
        <v>3.625</v>
      </c>
      <c r="AO865" s="9">
        <f t="shared" si="678"/>
        <v>5.375</v>
      </c>
      <c r="AP865" s="9">
        <f t="shared" si="679"/>
        <v>5.75</v>
      </c>
      <c r="AQ865" s="9">
        <f t="shared" si="680"/>
        <v>5.125</v>
      </c>
      <c r="AR865" s="9">
        <f t="shared" si="681"/>
        <v>6</v>
      </c>
      <c r="AS865" s="9">
        <f t="shared" si="682"/>
        <v>3.375</v>
      </c>
      <c r="AT865" s="9">
        <f t="shared" si="683"/>
        <v>3.25</v>
      </c>
      <c r="AU865" s="9">
        <f t="shared" si="684"/>
        <v>1.375</v>
      </c>
      <c r="AV865" s="9">
        <f t="shared" si="685"/>
        <v>2.375</v>
      </c>
      <c r="AW865" s="9">
        <f t="shared" si="686"/>
        <v>4.125</v>
      </c>
      <c r="AX865" s="9">
        <f t="shared" si="687"/>
        <v>6.5</v>
      </c>
      <c r="AY865" s="9">
        <f t="shared" si="688"/>
        <v>6</v>
      </c>
      <c r="AZ865" s="9">
        <f t="shared" si="689"/>
        <v>6.375</v>
      </c>
      <c r="BA865" s="9">
        <f t="shared" si="690"/>
        <v>7.25</v>
      </c>
      <c r="BB865" s="9">
        <f t="shared" si="691"/>
        <v>3.375</v>
      </c>
      <c r="BC865" s="9">
        <f t="shared" si="692"/>
        <v>3</v>
      </c>
      <c r="BD865" s="9">
        <f t="shared" si="693"/>
        <v>1.375</v>
      </c>
      <c r="BE865" s="9">
        <f t="shared" si="694"/>
        <v>2.5</v>
      </c>
      <c r="BF865" s="9">
        <f t="shared" si="695"/>
        <v>4.125</v>
      </c>
      <c r="BG865" s="9">
        <f t="shared" si="696"/>
        <v>6.375</v>
      </c>
      <c r="BH865" s="9">
        <f t="shared" si="697"/>
        <v>5.875</v>
      </c>
      <c r="BI865" s="9">
        <f t="shared" si="698"/>
        <v>5.75</v>
      </c>
      <c r="BJ865" s="9">
        <f t="shared" si="699"/>
        <v>6.625</v>
      </c>
    </row>
    <row r="866" spans="1:62" x14ac:dyDescent="0.2">
      <c r="A866" s="9">
        <f>data!M867-data!M866</f>
        <v>0.63839999999999009</v>
      </c>
      <c r="B866" s="9">
        <f>data!C867-data!C866</f>
        <v>-2.09</v>
      </c>
      <c r="C866" s="9">
        <f>data!D867-data!D866</f>
        <v>0.14250000000000007</v>
      </c>
      <c r="D866" s="10">
        <f>data!B867-data!B866</f>
        <v>5.9999999999999831E-2</v>
      </c>
      <c r="E866" s="9">
        <f>data!E866-data!G866</f>
        <v>1.2062999999999999</v>
      </c>
      <c r="F866" s="9">
        <f>(data!E866-data!F866)-(data!G866-data!H866)</f>
        <v>0.89439999999999997</v>
      </c>
      <c r="G866" s="9">
        <f t="shared" si="650"/>
        <v>8.0600000000000005E-2</v>
      </c>
      <c r="H866" s="9">
        <f t="shared" si="651"/>
        <v>5.1200000000000023E-2</v>
      </c>
      <c r="I866" s="9">
        <f>IF(data!M867&gt; 111.81,1,0)</f>
        <v>1</v>
      </c>
      <c r="J866" s="9">
        <f t="shared" si="652"/>
        <v>0</v>
      </c>
      <c r="K866" s="9">
        <f t="shared" si="653"/>
        <v>0.63839999999999009</v>
      </c>
      <c r="L866" s="9">
        <f t="shared" si="654"/>
        <v>0</v>
      </c>
      <c r="M866" s="9">
        <f>data!J866</f>
        <v>-15.625</v>
      </c>
      <c r="N866" s="9">
        <f>data!I866</f>
        <v>-28.5</v>
      </c>
      <c r="O866" s="9">
        <f>data!L866</f>
        <v>-36.5</v>
      </c>
      <c r="P866" s="9">
        <f>data!K866</f>
        <v>-43.875</v>
      </c>
      <c r="Q866" s="9">
        <f>data!R866</f>
        <v>-44</v>
      </c>
      <c r="R866" s="9">
        <f t="shared" si="655"/>
        <v>0.25</v>
      </c>
      <c r="S866" s="9">
        <f t="shared" si="656"/>
        <v>-1.25</v>
      </c>
      <c r="T866" s="9">
        <f t="shared" si="657"/>
        <v>-1.375</v>
      </c>
      <c r="U866" s="9">
        <f t="shared" si="658"/>
        <v>-2.125</v>
      </c>
      <c r="V866" s="9">
        <f t="shared" si="659"/>
        <v>-1.625</v>
      </c>
      <c r="W866" s="9">
        <f t="shared" si="660"/>
        <v>-1.125</v>
      </c>
      <c r="X866" s="9">
        <f t="shared" si="661"/>
        <v>-0.875</v>
      </c>
      <c r="Y866" s="9">
        <f t="shared" si="662"/>
        <v>0.875</v>
      </c>
      <c r="Z866" s="9">
        <f t="shared" si="663"/>
        <v>1</v>
      </c>
      <c r="AA866" s="9">
        <f t="shared" si="664"/>
        <v>1.125</v>
      </c>
      <c r="AB866" s="9">
        <f t="shared" si="665"/>
        <v>0</v>
      </c>
      <c r="AC866" s="9">
        <f t="shared" si="666"/>
        <v>0.875</v>
      </c>
      <c r="AD866" s="9">
        <f t="shared" si="667"/>
        <v>1.5</v>
      </c>
      <c r="AE866" s="9">
        <f t="shared" si="668"/>
        <v>2.125</v>
      </c>
      <c r="AF866" s="9">
        <f t="shared" si="669"/>
        <v>2.75</v>
      </c>
      <c r="AG866" s="9">
        <f t="shared" si="670"/>
        <v>2.25</v>
      </c>
      <c r="AH866" s="9">
        <f t="shared" si="671"/>
        <v>2.125</v>
      </c>
      <c r="AI866" s="9">
        <f t="shared" si="672"/>
        <v>3.5</v>
      </c>
      <c r="AJ866" s="9">
        <f t="shared" si="673"/>
        <v>0</v>
      </c>
      <c r="AK866" s="9">
        <f t="shared" si="674"/>
        <v>-1.625</v>
      </c>
      <c r="AL866" s="9">
        <f t="shared" si="675"/>
        <v>-0.75</v>
      </c>
      <c r="AM866" s="9">
        <f t="shared" si="676"/>
        <v>0.75</v>
      </c>
      <c r="AN866" s="9">
        <f t="shared" si="677"/>
        <v>2.5</v>
      </c>
      <c r="AO866" s="9">
        <f t="shared" si="678"/>
        <v>2.875</v>
      </c>
      <c r="AP866" s="9">
        <f t="shared" si="679"/>
        <v>2.25</v>
      </c>
      <c r="AQ866" s="9">
        <f t="shared" si="680"/>
        <v>3.125</v>
      </c>
      <c r="AR866" s="9">
        <f t="shared" si="681"/>
        <v>3.875</v>
      </c>
      <c r="AS866" s="9">
        <f t="shared" si="682"/>
        <v>-0.125</v>
      </c>
      <c r="AT866" s="9">
        <f t="shared" si="683"/>
        <v>-2</v>
      </c>
      <c r="AU866" s="9">
        <f t="shared" si="684"/>
        <v>-1</v>
      </c>
      <c r="AV866" s="9">
        <f t="shared" si="685"/>
        <v>0.75</v>
      </c>
      <c r="AW866" s="9">
        <f t="shared" si="686"/>
        <v>3.125</v>
      </c>
      <c r="AX866" s="9">
        <f t="shared" si="687"/>
        <v>2.625</v>
      </c>
      <c r="AY866" s="9">
        <f t="shared" si="688"/>
        <v>3</v>
      </c>
      <c r="AZ866" s="9">
        <f t="shared" si="689"/>
        <v>3.875</v>
      </c>
      <c r="BA866" s="9">
        <f t="shared" si="690"/>
        <v>5</v>
      </c>
      <c r="BB866" s="9">
        <f t="shared" si="691"/>
        <v>-0.375</v>
      </c>
      <c r="BC866" s="9">
        <f t="shared" si="692"/>
        <v>-2</v>
      </c>
      <c r="BD866" s="9">
        <f t="shared" si="693"/>
        <v>-0.875</v>
      </c>
      <c r="BE866" s="9">
        <f t="shared" si="694"/>
        <v>0.75</v>
      </c>
      <c r="BF866" s="9">
        <f t="shared" si="695"/>
        <v>3</v>
      </c>
      <c r="BG866" s="9">
        <f t="shared" si="696"/>
        <v>2.5</v>
      </c>
      <c r="BH866" s="9">
        <f t="shared" si="697"/>
        <v>2.375</v>
      </c>
      <c r="BI866" s="9">
        <f t="shared" si="698"/>
        <v>3.25</v>
      </c>
      <c r="BJ866" s="9">
        <f t="shared" si="699"/>
        <v>4.125</v>
      </c>
    </row>
    <row r="867" spans="1:62" x14ac:dyDescent="0.2">
      <c r="A867" s="9">
        <f>data!M868-data!M867</f>
        <v>-0.24839999999998952</v>
      </c>
      <c r="B867" s="9">
        <f>data!C868-data!C867</f>
        <v>-0.69999999999999929</v>
      </c>
      <c r="C867" s="9">
        <f>data!D868-data!D867</f>
        <v>-0.20750000000000046</v>
      </c>
      <c r="D867" s="10">
        <f>data!B868-data!B867</f>
        <v>0.14500000000000002</v>
      </c>
      <c r="E867" s="9">
        <f>data!E867-data!G867</f>
        <v>1.2868999999999999</v>
      </c>
      <c r="F867" s="9">
        <f>(data!E867-data!F867)-(data!G867-data!H867)</f>
        <v>0.9456</v>
      </c>
      <c r="G867" s="9">
        <f t="shared" si="650"/>
        <v>-3.4200000000000008E-2</v>
      </c>
      <c r="H867" s="9">
        <f t="shared" si="651"/>
        <v>-3.1000000000000139E-2</v>
      </c>
      <c r="I867" s="9">
        <f>IF(data!M868&gt; 111.81,1,0)</f>
        <v>1</v>
      </c>
      <c r="J867" s="9">
        <f t="shared" si="652"/>
        <v>0</v>
      </c>
      <c r="K867" s="9">
        <f t="shared" si="653"/>
        <v>-0.24839999999998952</v>
      </c>
      <c r="L867" s="9">
        <f t="shared" si="654"/>
        <v>0</v>
      </c>
      <c r="M867" s="9">
        <f>data!J867</f>
        <v>-15.375</v>
      </c>
      <c r="N867" s="9">
        <f>data!I867</f>
        <v>-27.375</v>
      </c>
      <c r="O867" s="9">
        <f>data!L867</f>
        <v>-36.5</v>
      </c>
      <c r="P867" s="9">
        <f>data!K867</f>
        <v>-44</v>
      </c>
      <c r="Q867" s="9">
        <f>data!R867</f>
        <v>-44.375</v>
      </c>
      <c r="R867" s="9">
        <f t="shared" si="655"/>
        <v>-1.5</v>
      </c>
      <c r="S867" s="9">
        <f t="shared" si="656"/>
        <v>-1.625</v>
      </c>
      <c r="T867" s="9">
        <f t="shared" si="657"/>
        <v>-2.375</v>
      </c>
      <c r="U867" s="9">
        <f t="shared" si="658"/>
        <v>-1.875</v>
      </c>
      <c r="V867" s="9">
        <f t="shared" si="659"/>
        <v>-1.375</v>
      </c>
      <c r="W867" s="9">
        <f t="shared" si="660"/>
        <v>-1.125</v>
      </c>
      <c r="X867" s="9">
        <f t="shared" si="661"/>
        <v>0.625</v>
      </c>
      <c r="Y867" s="9">
        <f t="shared" si="662"/>
        <v>0.75</v>
      </c>
      <c r="Z867" s="9">
        <f t="shared" si="663"/>
        <v>0</v>
      </c>
      <c r="AA867" s="9">
        <f t="shared" si="664"/>
        <v>-1.125</v>
      </c>
      <c r="AB867" s="9">
        <f t="shared" si="665"/>
        <v>-0.25</v>
      </c>
      <c r="AC867" s="9">
        <f t="shared" si="666"/>
        <v>0.375</v>
      </c>
      <c r="AD867" s="9">
        <f t="shared" si="667"/>
        <v>1</v>
      </c>
      <c r="AE867" s="9">
        <f t="shared" si="668"/>
        <v>1.625</v>
      </c>
      <c r="AF867" s="9">
        <f t="shared" si="669"/>
        <v>1.125</v>
      </c>
      <c r="AG867" s="9">
        <f t="shared" si="670"/>
        <v>1</v>
      </c>
      <c r="AH867" s="9">
        <f t="shared" si="671"/>
        <v>2.375</v>
      </c>
      <c r="AI867" s="9">
        <f t="shared" si="672"/>
        <v>1.25</v>
      </c>
      <c r="AJ867" s="9">
        <f t="shared" si="673"/>
        <v>-1.625</v>
      </c>
      <c r="AK867" s="9">
        <f t="shared" si="674"/>
        <v>-0.75</v>
      </c>
      <c r="AL867" s="9">
        <f t="shared" si="675"/>
        <v>0.75</v>
      </c>
      <c r="AM867" s="9">
        <f t="shared" si="676"/>
        <v>2.5</v>
      </c>
      <c r="AN867" s="9">
        <f t="shared" si="677"/>
        <v>2.875</v>
      </c>
      <c r="AO867" s="9">
        <f t="shared" si="678"/>
        <v>2.25</v>
      </c>
      <c r="AP867" s="9">
        <f t="shared" si="679"/>
        <v>3.125</v>
      </c>
      <c r="AQ867" s="9">
        <f t="shared" si="680"/>
        <v>3.875</v>
      </c>
      <c r="AR867" s="9">
        <f t="shared" si="681"/>
        <v>3.125</v>
      </c>
      <c r="AS867" s="9">
        <f t="shared" si="682"/>
        <v>-1.875</v>
      </c>
      <c r="AT867" s="9">
        <f t="shared" si="683"/>
        <v>-0.875</v>
      </c>
      <c r="AU867" s="9">
        <f t="shared" si="684"/>
        <v>0.875</v>
      </c>
      <c r="AV867" s="9">
        <f t="shared" si="685"/>
        <v>3.25</v>
      </c>
      <c r="AW867" s="9">
        <f t="shared" si="686"/>
        <v>2.75</v>
      </c>
      <c r="AX867" s="9">
        <f t="shared" si="687"/>
        <v>3.125</v>
      </c>
      <c r="AY867" s="9">
        <f t="shared" si="688"/>
        <v>4</v>
      </c>
      <c r="AZ867" s="9">
        <f t="shared" si="689"/>
        <v>5.125</v>
      </c>
      <c r="BA867" s="9">
        <f t="shared" si="690"/>
        <v>4</v>
      </c>
      <c r="BB867" s="9">
        <f t="shared" si="691"/>
        <v>-1.625</v>
      </c>
      <c r="BC867" s="9">
        <f t="shared" si="692"/>
        <v>-0.5</v>
      </c>
      <c r="BD867" s="9">
        <f t="shared" si="693"/>
        <v>1.125</v>
      </c>
      <c r="BE867" s="9">
        <f t="shared" si="694"/>
        <v>3.375</v>
      </c>
      <c r="BF867" s="9">
        <f t="shared" si="695"/>
        <v>2.875</v>
      </c>
      <c r="BG867" s="9">
        <f t="shared" si="696"/>
        <v>2.75</v>
      </c>
      <c r="BH867" s="9">
        <f t="shared" si="697"/>
        <v>3.625</v>
      </c>
      <c r="BI867" s="9">
        <f t="shared" si="698"/>
        <v>4.5</v>
      </c>
      <c r="BJ867" s="9">
        <f t="shared" si="699"/>
        <v>3.375</v>
      </c>
    </row>
    <row r="868" spans="1:62" x14ac:dyDescent="0.2">
      <c r="A868" s="9">
        <f>data!M869-data!M868</f>
        <v>1.4399999999999977</v>
      </c>
      <c r="B868" s="9">
        <f>data!C869-data!C868</f>
        <v>3.1099999999999994</v>
      </c>
      <c r="C868" s="9">
        <f>data!D869-data!D868</f>
        <v>0.19249999999999989</v>
      </c>
      <c r="D868" s="10">
        <f>data!B869-data!B868</f>
        <v>-0.37999999999999989</v>
      </c>
      <c r="E868" s="9">
        <f>data!E868-data!G868</f>
        <v>1.2526999999999999</v>
      </c>
      <c r="F868" s="9">
        <f>(data!E868-data!F868)-(data!G868-data!H868)</f>
        <v>0.91459999999999986</v>
      </c>
      <c r="G868" s="9">
        <f t="shared" si="650"/>
        <v>-4.6999999999999265E-3</v>
      </c>
      <c r="H868" s="9">
        <f t="shared" si="651"/>
        <v>-3.069999999999995E-2</v>
      </c>
      <c r="I868" s="9">
        <f>IF(data!M869&gt; 111.81,1,0)</f>
        <v>1</v>
      </c>
      <c r="J868" s="9">
        <f t="shared" si="652"/>
        <v>0</v>
      </c>
      <c r="K868" s="9">
        <f t="shared" si="653"/>
        <v>1.4399999999999977</v>
      </c>
      <c r="L868" s="9">
        <f t="shared" si="654"/>
        <v>0</v>
      </c>
      <c r="M868" s="9">
        <f>data!J868</f>
        <v>-16.875</v>
      </c>
      <c r="N868" s="9">
        <f>data!I868</f>
        <v>-28.5</v>
      </c>
      <c r="O868" s="9">
        <f>data!L868</f>
        <v>-38.125</v>
      </c>
      <c r="P868" s="9">
        <f>data!K868</f>
        <v>-45.875</v>
      </c>
      <c r="Q868" s="9">
        <f>data!R868</f>
        <v>-46</v>
      </c>
      <c r="R868" s="9">
        <f t="shared" si="655"/>
        <v>-0.125</v>
      </c>
      <c r="S868" s="9">
        <f t="shared" si="656"/>
        <v>-0.875</v>
      </c>
      <c r="T868" s="9">
        <f t="shared" si="657"/>
        <v>-0.375</v>
      </c>
      <c r="U868" s="9">
        <f t="shared" si="658"/>
        <v>0.125</v>
      </c>
      <c r="V868" s="9">
        <f t="shared" si="659"/>
        <v>0.375</v>
      </c>
      <c r="W868" s="9">
        <f t="shared" si="660"/>
        <v>2.125</v>
      </c>
      <c r="X868" s="9">
        <f t="shared" si="661"/>
        <v>2.25</v>
      </c>
      <c r="Y868" s="9">
        <f t="shared" si="662"/>
        <v>1.5</v>
      </c>
      <c r="Z868" s="9">
        <f t="shared" si="663"/>
        <v>0.5</v>
      </c>
      <c r="AA868" s="9">
        <f t="shared" si="664"/>
        <v>0.875</v>
      </c>
      <c r="AB868" s="9">
        <f t="shared" si="665"/>
        <v>1.5</v>
      </c>
      <c r="AC868" s="9">
        <f t="shared" si="666"/>
        <v>2.125</v>
      </c>
      <c r="AD868" s="9">
        <f t="shared" si="667"/>
        <v>2.75</v>
      </c>
      <c r="AE868" s="9">
        <f t="shared" si="668"/>
        <v>2.25</v>
      </c>
      <c r="AF868" s="9">
        <f t="shared" si="669"/>
        <v>2.125</v>
      </c>
      <c r="AG868" s="9">
        <f t="shared" si="670"/>
        <v>3.5</v>
      </c>
      <c r="AH868" s="9">
        <f t="shared" si="671"/>
        <v>2.375</v>
      </c>
      <c r="AI868" s="9">
        <f t="shared" si="672"/>
        <v>0.375</v>
      </c>
      <c r="AJ868" s="9">
        <f t="shared" si="673"/>
        <v>0.875</v>
      </c>
      <c r="AK868" s="9">
        <f t="shared" si="674"/>
        <v>2.375</v>
      </c>
      <c r="AL868" s="9">
        <f t="shared" si="675"/>
        <v>4.125</v>
      </c>
      <c r="AM868" s="9">
        <f t="shared" si="676"/>
        <v>4.5</v>
      </c>
      <c r="AN868" s="9">
        <f t="shared" si="677"/>
        <v>3.875</v>
      </c>
      <c r="AO868" s="9">
        <f t="shared" si="678"/>
        <v>4.75</v>
      </c>
      <c r="AP868" s="9">
        <f t="shared" si="679"/>
        <v>5.5</v>
      </c>
      <c r="AQ868" s="9">
        <f t="shared" si="680"/>
        <v>4.75</v>
      </c>
      <c r="AR868" s="9">
        <f t="shared" si="681"/>
        <v>3.375</v>
      </c>
      <c r="AS868" s="9">
        <f t="shared" si="682"/>
        <v>1</v>
      </c>
      <c r="AT868" s="9">
        <f t="shared" si="683"/>
        <v>2.75</v>
      </c>
      <c r="AU868" s="9">
        <f t="shared" si="684"/>
        <v>5.125</v>
      </c>
      <c r="AV868" s="9">
        <f t="shared" si="685"/>
        <v>4.625</v>
      </c>
      <c r="AW868" s="9">
        <f t="shared" si="686"/>
        <v>5</v>
      </c>
      <c r="AX868" s="9">
        <f t="shared" si="687"/>
        <v>5.875</v>
      </c>
      <c r="AY868" s="9">
        <f t="shared" si="688"/>
        <v>7</v>
      </c>
      <c r="AZ868" s="9">
        <f t="shared" si="689"/>
        <v>5.875</v>
      </c>
      <c r="BA868" s="9">
        <f t="shared" si="690"/>
        <v>4.5</v>
      </c>
      <c r="BB868" s="9">
        <f t="shared" si="691"/>
        <v>1.125</v>
      </c>
      <c r="BC868" s="9">
        <f t="shared" si="692"/>
        <v>2.75</v>
      </c>
      <c r="BD868" s="9">
        <f t="shared" si="693"/>
        <v>5</v>
      </c>
      <c r="BE868" s="9">
        <f t="shared" si="694"/>
        <v>4.5</v>
      </c>
      <c r="BF868" s="9">
        <f t="shared" si="695"/>
        <v>4.375</v>
      </c>
      <c r="BG868" s="9">
        <f t="shared" si="696"/>
        <v>5.25</v>
      </c>
      <c r="BH868" s="9">
        <f t="shared" si="697"/>
        <v>6.125</v>
      </c>
      <c r="BI868" s="9">
        <f t="shared" si="698"/>
        <v>5</v>
      </c>
      <c r="BJ868" s="9">
        <f t="shared" si="699"/>
        <v>3.625</v>
      </c>
    </row>
    <row r="869" spans="1:62" x14ac:dyDescent="0.2">
      <c r="A869" s="9">
        <f>data!M870-data!M869</f>
        <v>-1.1597000000000008</v>
      </c>
      <c r="B869" s="9">
        <f>data!C870-data!C869</f>
        <v>-2.1699999999999982</v>
      </c>
      <c r="C869" s="9">
        <f>data!D870-data!D869</f>
        <v>-0.21249999999999947</v>
      </c>
      <c r="D869" s="10">
        <f>data!B870-data!B869</f>
        <v>0.26750000000000007</v>
      </c>
      <c r="E869" s="9">
        <f>data!E869-data!G869</f>
        <v>1.248</v>
      </c>
      <c r="F869" s="9">
        <f>(data!E869-data!F869)-(data!G869-data!H869)</f>
        <v>0.88389999999999991</v>
      </c>
      <c r="G869" s="9">
        <f t="shared" si="650"/>
        <v>3.6999999999999922E-2</v>
      </c>
      <c r="H869" s="9">
        <f t="shared" si="651"/>
        <v>5.4999999999999938E-2</v>
      </c>
      <c r="I869" s="9">
        <f>IF(data!M870&gt; 111.81,1,0)</f>
        <v>1</v>
      </c>
      <c r="J869" s="9">
        <f t="shared" si="652"/>
        <v>0</v>
      </c>
      <c r="K869" s="9">
        <f t="shared" si="653"/>
        <v>-1.1597000000000008</v>
      </c>
      <c r="L869" s="9">
        <f t="shared" si="654"/>
        <v>0</v>
      </c>
      <c r="M869" s="9">
        <f>data!J869</f>
        <v>-17</v>
      </c>
      <c r="N869" s="9">
        <f>data!I869</f>
        <v>-27.625</v>
      </c>
      <c r="O869" s="9">
        <f>data!L869</f>
        <v>-37.25</v>
      </c>
      <c r="P869" s="9">
        <f>data!K869</f>
        <v>-44.875</v>
      </c>
      <c r="Q869" s="9">
        <f>data!R869</f>
        <v>-44.875</v>
      </c>
      <c r="R869" s="9">
        <f t="shared" si="655"/>
        <v>-0.75</v>
      </c>
      <c r="S869" s="9">
        <f t="shared" si="656"/>
        <v>-0.25</v>
      </c>
      <c r="T869" s="9">
        <f t="shared" si="657"/>
        <v>0.25</v>
      </c>
      <c r="U869" s="9">
        <f t="shared" si="658"/>
        <v>0.5</v>
      </c>
      <c r="V869" s="9">
        <f t="shared" si="659"/>
        <v>2.25</v>
      </c>
      <c r="W869" s="9">
        <f t="shared" si="660"/>
        <v>2.375</v>
      </c>
      <c r="X869" s="9">
        <f t="shared" si="661"/>
        <v>1.625</v>
      </c>
      <c r="Y869" s="9">
        <f t="shared" si="662"/>
        <v>0.625</v>
      </c>
      <c r="Z869" s="9">
        <f t="shared" si="663"/>
        <v>-1.625</v>
      </c>
      <c r="AA869" s="9">
        <f t="shared" si="664"/>
        <v>0.625</v>
      </c>
      <c r="AB869" s="9">
        <f t="shared" si="665"/>
        <v>1.25</v>
      </c>
      <c r="AC869" s="9">
        <f t="shared" si="666"/>
        <v>1.875</v>
      </c>
      <c r="AD869" s="9">
        <f t="shared" si="667"/>
        <v>1.375</v>
      </c>
      <c r="AE869" s="9">
        <f t="shared" si="668"/>
        <v>1.25</v>
      </c>
      <c r="AF869" s="9">
        <f t="shared" si="669"/>
        <v>2.625</v>
      </c>
      <c r="AG869" s="9">
        <f t="shared" si="670"/>
        <v>1.5</v>
      </c>
      <c r="AH869" s="9">
        <f t="shared" si="671"/>
        <v>-0.5</v>
      </c>
      <c r="AI869" s="9">
        <f t="shared" si="672"/>
        <v>-3.125</v>
      </c>
      <c r="AJ869" s="9">
        <f t="shared" si="673"/>
        <v>1.5</v>
      </c>
      <c r="AK869" s="9">
        <f t="shared" si="674"/>
        <v>3.25</v>
      </c>
      <c r="AL869" s="9">
        <f t="shared" si="675"/>
        <v>3.625</v>
      </c>
      <c r="AM869" s="9">
        <f t="shared" si="676"/>
        <v>3</v>
      </c>
      <c r="AN869" s="9">
        <f t="shared" si="677"/>
        <v>3.875</v>
      </c>
      <c r="AO869" s="9">
        <f t="shared" si="678"/>
        <v>4.625</v>
      </c>
      <c r="AP869" s="9">
        <f t="shared" si="679"/>
        <v>3.875</v>
      </c>
      <c r="AQ869" s="9">
        <f t="shared" si="680"/>
        <v>2.5</v>
      </c>
      <c r="AR869" s="9">
        <f t="shared" si="681"/>
        <v>-1.375</v>
      </c>
      <c r="AS869" s="9">
        <f t="shared" si="682"/>
        <v>1.75</v>
      </c>
      <c r="AT869" s="9">
        <f t="shared" si="683"/>
        <v>4.125</v>
      </c>
      <c r="AU869" s="9">
        <f t="shared" si="684"/>
        <v>3.625</v>
      </c>
      <c r="AV869" s="9">
        <f t="shared" si="685"/>
        <v>4</v>
      </c>
      <c r="AW869" s="9">
        <f t="shared" si="686"/>
        <v>4.875</v>
      </c>
      <c r="AX869" s="9">
        <f t="shared" si="687"/>
        <v>6</v>
      </c>
      <c r="AY869" s="9">
        <f t="shared" si="688"/>
        <v>4.875</v>
      </c>
      <c r="AZ869" s="9">
        <f t="shared" si="689"/>
        <v>3.5</v>
      </c>
      <c r="BA869" s="9">
        <f t="shared" si="690"/>
        <v>-1.25</v>
      </c>
      <c r="BB869" s="9">
        <f t="shared" si="691"/>
        <v>1.625</v>
      </c>
      <c r="BC869" s="9">
        <f t="shared" si="692"/>
        <v>3.875</v>
      </c>
      <c r="BD869" s="9">
        <f t="shared" si="693"/>
        <v>3.375</v>
      </c>
      <c r="BE869" s="9">
        <f t="shared" si="694"/>
        <v>3.25</v>
      </c>
      <c r="BF869" s="9">
        <f t="shared" si="695"/>
        <v>4.125</v>
      </c>
      <c r="BG869" s="9">
        <f t="shared" si="696"/>
        <v>5</v>
      </c>
      <c r="BH869" s="9">
        <f t="shared" si="697"/>
        <v>3.875</v>
      </c>
      <c r="BI869" s="9">
        <f t="shared" si="698"/>
        <v>2.5</v>
      </c>
      <c r="BJ869" s="9">
        <f t="shared" si="699"/>
        <v>-1.375</v>
      </c>
    </row>
    <row r="870" spans="1:62" x14ac:dyDescent="0.2">
      <c r="A870" s="9">
        <f>data!M871-data!M870</f>
        <v>-0.79309999999999548</v>
      </c>
      <c r="B870" s="9">
        <f>data!C871-data!C870</f>
        <v>1.9999999999999574E-2</v>
      </c>
      <c r="C870" s="9">
        <f>data!D871-data!D870</f>
        <v>-5.5000000000000604E-2</v>
      </c>
      <c r="D870" s="10">
        <f>data!B871-data!B870</f>
        <v>0.13749999999999996</v>
      </c>
      <c r="E870" s="9">
        <f>data!E870-data!G870</f>
        <v>1.2849999999999999</v>
      </c>
      <c r="F870" s="9">
        <f>(data!E870-data!F870)-(data!G870-data!H870)</f>
        <v>0.93889999999999985</v>
      </c>
      <c r="G870" s="9">
        <f t="shared" si="650"/>
        <v>3.00000000000189E-4</v>
      </c>
      <c r="H870" s="9">
        <f t="shared" si="651"/>
        <v>1.23000000000002E-2</v>
      </c>
      <c r="I870" s="9">
        <f>IF(data!M871&gt; 111.81,1,0)</f>
        <v>1</v>
      </c>
      <c r="J870" s="9">
        <f t="shared" si="652"/>
        <v>0</v>
      </c>
      <c r="K870" s="9">
        <f t="shared" si="653"/>
        <v>-0.79309999999999548</v>
      </c>
      <c r="L870" s="9">
        <f t="shared" si="654"/>
        <v>0</v>
      </c>
      <c r="M870" s="9">
        <f>data!J870</f>
        <v>-17.75</v>
      </c>
      <c r="N870" s="9">
        <f>data!I870</f>
        <v>-27</v>
      </c>
      <c r="O870" s="9">
        <f>data!L870</f>
        <v>-35.75</v>
      </c>
      <c r="P870" s="9">
        <f>data!K870</f>
        <v>-43.125</v>
      </c>
      <c r="Q870" s="9">
        <f>data!R870</f>
        <v>-43.25</v>
      </c>
      <c r="R870" s="9">
        <f t="shared" si="655"/>
        <v>0.5</v>
      </c>
      <c r="S870" s="9">
        <f t="shared" si="656"/>
        <v>1</v>
      </c>
      <c r="T870" s="9">
        <f t="shared" si="657"/>
        <v>1.25</v>
      </c>
      <c r="U870" s="9">
        <f t="shared" si="658"/>
        <v>3</v>
      </c>
      <c r="V870" s="9">
        <f t="shared" si="659"/>
        <v>3.125</v>
      </c>
      <c r="W870" s="9">
        <f t="shared" si="660"/>
        <v>2.375</v>
      </c>
      <c r="X870" s="9">
        <f t="shared" si="661"/>
        <v>1.375</v>
      </c>
      <c r="Y870" s="9">
        <f t="shared" si="662"/>
        <v>-0.875</v>
      </c>
      <c r="Z870" s="9">
        <f t="shared" si="663"/>
        <v>-11.375</v>
      </c>
      <c r="AA870" s="9">
        <f t="shared" si="664"/>
        <v>0.625</v>
      </c>
      <c r="AB870" s="9">
        <f t="shared" si="665"/>
        <v>1.25</v>
      </c>
      <c r="AC870" s="9">
        <f t="shared" si="666"/>
        <v>0.75</v>
      </c>
      <c r="AD870" s="9">
        <f t="shared" si="667"/>
        <v>0.625</v>
      </c>
      <c r="AE870" s="9">
        <f t="shared" si="668"/>
        <v>2</v>
      </c>
      <c r="AF870" s="9">
        <f t="shared" si="669"/>
        <v>0.875</v>
      </c>
      <c r="AG870" s="9">
        <f t="shared" si="670"/>
        <v>-1.125</v>
      </c>
      <c r="AH870" s="9">
        <f t="shared" si="671"/>
        <v>-3.75</v>
      </c>
      <c r="AI870" s="9">
        <f t="shared" si="672"/>
        <v>-13.5</v>
      </c>
      <c r="AJ870" s="9">
        <f t="shared" si="673"/>
        <v>1.75</v>
      </c>
      <c r="AK870" s="9">
        <f t="shared" si="674"/>
        <v>2.125</v>
      </c>
      <c r="AL870" s="9">
        <f t="shared" si="675"/>
        <v>1.5</v>
      </c>
      <c r="AM870" s="9">
        <f t="shared" si="676"/>
        <v>2.375</v>
      </c>
      <c r="AN870" s="9">
        <f t="shared" si="677"/>
        <v>3.125</v>
      </c>
      <c r="AO870" s="9">
        <f t="shared" si="678"/>
        <v>2.375</v>
      </c>
      <c r="AP870" s="9">
        <f t="shared" si="679"/>
        <v>1</v>
      </c>
      <c r="AQ870" s="9">
        <f t="shared" si="680"/>
        <v>-2.875</v>
      </c>
      <c r="AR870" s="9">
        <f t="shared" si="681"/>
        <v>-8.875</v>
      </c>
      <c r="AS870" s="9">
        <f t="shared" si="682"/>
        <v>2.375</v>
      </c>
      <c r="AT870" s="9">
        <f t="shared" si="683"/>
        <v>1.875</v>
      </c>
      <c r="AU870" s="9">
        <f t="shared" si="684"/>
        <v>2.25</v>
      </c>
      <c r="AV870" s="9">
        <f t="shared" si="685"/>
        <v>3.125</v>
      </c>
      <c r="AW870" s="9">
        <f t="shared" si="686"/>
        <v>4.25</v>
      </c>
      <c r="AX870" s="9">
        <f t="shared" si="687"/>
        <v>3.125</v>
      </c>
      <c r="AY870" s="9">
        <f t="shared" si="688"/>
        <v>1.75</v>
      </c>
      <c r="AZ870" s="9">
        <f t="shared" si="689"/>
        <v>-3</v>
      </c>
      <c r="BA870" s="9">
        <f t="shared" si="690"/>
        <v>-8.625</v>
      </c>
      <c r="BB870" s="9">
        <f t="shared" si="691"/>
        <v>2.25</v>
      </c>
      <c r="BC870" s="9">
        <f t="shared" si="692"/>
        <v>1.75</v>
      </c>
      <c r="BD870" s="9">
        <f t="shared" si="693"/>
        <v>1.625</v>
      </c>
      <c r="BE870" s="9">
        <f t="shared" si="694"/>
        <v>2.5</v>
      </c>
      <c r="BF870" s="9">
        <f t="shared" si="695"/>
        <v>3.375</v>
      </c>
      <c r="BG870" s="9">
        <f t="shared" si="696"/>
        <v>2.25</v>
      </c>
      <c r="BH870" s="9">
        <f t="shared" si="697"/>
        <v>0.875</v>
      </c>
      <c r="BI870" s="9">
        <f t="shared" si="698"/>
        <v>-3</v>
      </c>
      <c r="BJ870" s="9">
        <f t="shared" si="699"/>
        <v>-8.375</v>
      </c>
    </row>
    <row r="871" spans="1:62" x14ac:dyDescent="0.2">
      <c r="A871" s="9">
        <f>data!M872-data!M871</f>
        <v>0.39389999999998793</v>
      </c>
      <c r="B871" s="9">
        <f>data!C872-data!C871</f>
        <v>4.5399999999999991</v>
      </c>
      <c r="C871" s="9">
        <f>data!D872-data!D871</f>
        <v>-0.125</v>
      </c>
      <c r="D871" s="10">
        <f>data!B872-data!B871</f>
        <v>-0.21500000000000008</v>
      </c>
      <c r="E871" s="9">
        <f>data!E871-data!G871</f>
        <v>1.2853000000000001</v>
      </c>
      <c r="F871" s="9">
        <f>(data!E871-data!F871)-(data!G871-data!H871)</f>
        <v>0.95120000000000005</v>
      </c>
      <c r="G871" s="9">
        <f t="shared" si="650"/>
        <v>1.3799999999999812E-2</v>
      </c>
      <c r="H871" s="9">
        <f t="shared" si="651"/>
        <v>8.1999999999999851E-3</v>
      </c>
      <c r="I871" s="9">
        <f>IF(data!M872&gt; 111.81,1,0)</f>
        <v>1</v>
      </c>
      <c r="J871" s="9">
        <f t="shared" si="652"/>
        <v>0</v>
      </c>
      <c r="K871" s="9">
        <f t="shared" si="653"/>
        <v>0.39389999999998793</v>
      </c>
      <c r="L871" s="9">
        <f t="shared" si="654"/>
        <v>0</v>
      </c>
      <c r="M871" s="9">
        <f>data!J871</f>
        <v>-17.25</v>
      </c>
      <c r="N871" s="9">
        <f>data!I871</f>
        <v>-26.375</v>
      </c>
      <c r="O871" s="9">
        <f>data!L871</f>
        <v>-34</v>
      </c>
      <c r="P871" s="9">
        <f>data!K871</f>
        <v>-40.75</v>
      </c>
      <c r="Q871" s="9">
        <f>data!R871</f>
        <v>-41</v>
      </c>
      <c r="R871" s="9">
        <f t="shared" si="655"/>
        <v>0.5</v>
      </c>
      <c r="S871" s="9">
        <f t="shared" si="656"/>
        <v>0.75</v>
      </c>
      <c r="T871" s="9">
        <f t="shared" si="657"/>
        <v>2.5</v>
      </c>
      <c r="U871" s="9">
        <f t="shared" si="658"/>
        <v>2.625</v>
      </c>
      <c r="V871" s="9">
        <f t="shared" si="659"/>
        <v>1.875</v>
      </c>
      <c r="W871" s="9">
        <f t="shared" si="660"/>
        <v>0.875</v>
      </c>
      <c r="X871" s="9">
        <f t="shared" si="661"/>
        <v>-1.375</v>
      </c>
      <c r="Y871" s="9">
        <f t="shared" si="662"/>
        <v>-11.875</v>
      </c>
      <c r="Z871" s="9">
        <f t="shared" si="663"/>
        <v>-4.75</v>
      </c>
      <c r="AA871" s="9">
        <f t="shared" si="664"/>
        <v>0.625</v>
      </c>
      <c r="AB871" s="9">
        <f t="shared" si="665"/>
        <v>0.125</v>
      </c>
      <c r="AC871" s="9">
        <f t="shared" si="666"/>
        <v>0</v>
      </c>
      <c r="AD871" s="9">
        <f t="shared" si="667"/>
        <v>1.375</v>
      </c>
      <c r="AE871" s="9">
        <f t="shared" si="668"/>
        <v>0.25</v>
      </c>
      <c r="AF871" s="9">
        <f t="shared" si="669"/>
        <v>-1.75</v>
      </c>
      <c r="AG871" s="9">
        <f t="shared" si="670"/>
        <v>-4.375</v>
      </c>
      <c r="AH871" s="9">
        <f t="shared" si="671"/>
        <v>-14.125</v>
      </c>
      <c r="AI871" s="9">
        <f t="shared" si="672"/>
        <v>-6.875</v>
      </c>
      <c r="AJ871" s="9">
        <f t="shared" si="673"/>
        <v>0.375</v>
      </c>
      <c r="AK871" s="9">
        <f t="shared" si="674"/>
        <v>-0.25</v>
      </c>
      <c r="AL871" s="9">
        <f t="shared" si="675"/>
        <v>0.625</v>
      </c>
      <c r="AM871" s="9">
        <f t="shared" si="676"/>
        <v>1.375</v>
      </c>
      <c r="AN871" s="9">
        <f t="shared" si="677"/>
        <v>0.625</v>
      </c>
      <c r="AO871" s="9">
        <f t="shared" si="678"/>
        <v>-0.75</v>
      </c>
      <c r="AP871" s="9">
        <f t="shared" si="679"/>
        <v>-4.625</v>
      </c>
      <c r="AQ871" s="9">
        <f t="shared" si="680"/>
        <v>-10.625</v>
      </c>
      <c r="AR871" s="9">
        <f t="shared" si="681"/>
        <v>-2.75</v>
      </c>
      <c r="AS871" s="9">
        <f t="shared" si="682"/>
        <v>-0.5</v>
      </c>
      <c r="AT871" s="9">
        <f t="shared" si="683"/>
        <v>-0.125</v>
      </c>
      <c r="AU871" s="9">
        <f t="shared" si="684"/>
        <v>0.75</v>
      </c>
      <c r="AV871" s="9">
        <f t="shared" si="685"/>
        <v>1.875</v>
      </c>
      <c r="AW871" s="9">
        <f t="shared" si="686"/>
        <v>0.75</v>
      </c>
      <c r="AX871" s="9">
        <f t="shared" si="687"/>
        <v>-0.625</v>
      </c>
      <c r="AY871" s="9">
        <f t="shared" si="688"/>
        <v>-5.375</v>
      </c>
      <c r="AZ871" s="9">
        <f t="shared" si="689"/>
        <v>-11</v>
      </c>
      <c r="BA871" s="9">
        <f t="shared" si="690"/>
        <v>-3.5</v>
      </c>
      <c r="BB871" s="9">
        <f t="shared" si="691"/>
        <v>-0.5</v>
      </c>
      <c r="BC871" s="9">
        <f t="shared" si="692"/>
        <v>-0.625</v>
      </c>
      <c r="BD871" s="9">
        <f t="shared" si="693"/>
        <v>0.25</v>
      </c>
      <c r="BE871" s="9">
        <f t="shared" si="694"/>
        <v>1.125</v>
      </c>
      <c r="BF871" s="9">
        <f t="shared" si="695"/>
        <v>0</v>
      </c>
      <c r="BG871" s="9">
        <f t="shared" si="696"/>
        <v>-1.375</v>
      </c>
      <c r="BH871" s="9">
        <f t="shared" si="697"/>
        <v>-5.25</v>
      </c>
      <c r="BI871" s="9">
        <f t="shared" si="698"/>
        <v>-10.625</v>
      </c>
      <c r="BJ871" s="9">
        <f t="shared" si="699"/>
        <v>-5</v>
      </c>
    </row>
    <row r="872" spans="1:62" x14ac:dyDescent="0.2">
      <c r="A872" s="9">
        <f>data!M873-data!M872</f>
        <v>0.65550000000000352</v>
      </c>
      <c r="B872" s="9">
        <f>data!C873-data!C872</f>
        <v>-0.14000000000000057</v>
      </c>
      <c r="C872" s="9">
        <f>data!D873-data!D872</f>
        <v>0.125</v>
      </c>
      <c r="D872" s="10">
        <f>data!B873-data!B872</f>
        <v>-2.750000000000008E-2</v>
      </c>
      <c r="E872" s="9">
        <f>data!E872-data!G872</f>
        <v>1.2990999999999999</v>
      </c>
      <c r="F872" s="9">
        <f>(data!E872-data!F872)-(data!G872-data!H872)</f>
        <v>0.95940000000000003</v>
      </c>
      <c r="G872" s="9">
        <f t="shared" si="650"/>
        <v>1.4499999999999957E-2</v>
      </c>
      <c r="H872" s="9">
        <f t="shared" si="651"/>
        <v>3.4999999999998366E-3</v>
      </c>
      <c r="I872" s="9">
        <f>IF(data!M873&gt; 111.81,1,0)</f>
        <v>1</v>
      </c>
      <c r="J872" s="9">
        <f t="shared" si="652"/>
        <v>0</v>
      </c>
      <c r="K872" s="9">
        <f t="shared" si="653"/>
        <v>0.65550000000000352</v>
      </c>
      <c r="L872" s="9">
        <f t="shared" si="654"/>
        <v>0</v>
      </c>
      <c r="M872" s="9">
        <f>data!J872</f>
        <v>-16.75</v>
      </c>
      <c r="N872" s="9">
        <f>data!I872</f>
        <v>-25.75</v>
      </c>
      <c r="O872" s="9">
        <f>data!L872</f>
        <v>-33.625</v>
      </c>
      <c r="P872" s="9">
        <f>data!K872</f>
        <v>-41.25</v>
      </c>
      <c r="Q872" s="9">
        <f>data!R872</f>
        <v>-41.5</v>
      </c>
      <c r="R872" s="9">
        <f t="shared" si="655"/>
        <v>0.25</v>
      </c>
      <c r="S872" s="9">
        <f t="shared" si="656"/>
        <v>2</v>
      </c>
      <c r="T872" s="9">
        <f t="shared" si="657"/>
        <v>2.125</v>
      </c>
      <c r="U872" s="9">
        <f t="shared" si="658"/>
        <v>1.375</v>
      </c>
      <c r="V872" s="9">
        <f t="shared" si="659"/>
        <v>0.375</v>
      </c>
      <c r="W872" s="9">
        <f t="shared" si="660"/>
        <v>-1.875</v>
      </c>
      <c r="X872" s="9">
        <f t="shared" si="661"/>
        <v>-12.375</v>
      </c>
      <c r="Y872" s="9">
        <f t="shared" si="662"/>
        <v>-5.25</v>
      </c>
      <c r="Z872" s="9">
        <f t="shared" si="663"/>
        <v>-7.5</v>
      </c>
      <c r="AA872" s="9">
        <f t="shared" si="664"/>
        <v>-0.5</v>
      </c>
      <c r="AB872" s="9">
        <f t="shared" si="665"/>
        <v>-0.625</v>
      </c>
      <c r="AC872" s="9">
        <f t="shared" si="666"/>
        <v>0.75</v>
      </c>
      <c r="AD872" s="9">
        <f t="shared" si="667"/>
        <v>-0.375</v>
      </c>
      <c r="AE872" s="9">
        <f t="shared" si="668"/>
        <v>-2.375</v>
      </c>
      <c r="AF872" s="9">
        <f t="shared" si="669"/>
        <v>-5</v>
      </c>
      <c r="AG872" s="9">
        <f t="shared" si="670"/>
        <v>-14.75</v>
      </c>
      <c r="AH872" s="9">
        <f t="shared" si="671"/>
        <v>-7.5</v>
      </c>
      <c r="AI872" s="9">
        <f t="shared" si="672"/>
        <v>-6</v>
      </c>
      <c r="AJ872" s="9">
        <f t="shared" si="673"/>
        <v>-0.625</v>
      </c>
      <c r="AK872" s="9">
        <f t="shared" si="674"/>
        <v>0.25</v>
      </c>
      <c r="AL872" s="9">
        <f t="shared" si="675"/>
        <v>1</v>
      </c>
      <c r="AM872" s="9">
        <f t="shared" si="676"/>
        <v>0.25</v>
      </c>
      <c r="AN872" s="9">
        <f t="shared" si="677"/>
        <v>-1.125</v>
      </c>
      <c r="AO872" s="9">
        <f t="shared" si="678"/>
        <v>-5</v>
      </c>
      <c r="AP872" s="9">
        <f t="shared" si="679"/>
        <v>-11</v>
      </c>
      <c r="AQ872" s="9">
        <f t="shared" si="680"/>
        <v>-3.125</v>
      </c>
      <c r="AR872" s="9">
        <f t="shared" si="681"/>
        <v>-3.125</v>
      </c>
      <c r="AS872" s="9">
        <f t="shared" si="682"/>
        <v>0.375</v>
      </c>
      <c r="AT872" s="9">
        <f t="shared" si="683"/>
        <v>1.25</v>
      </c>
      <c r="AU872" s="9">
        <f t="shared" si="684"/>
        <v>2.375</v>
      </c>
      <c r="AV872" s="9">
        <f t="shared" si="685"/>
        <v>1.25</v>
      </c>
      <c r="AW872" s="9">
        <f t="shared" si="686"/>
        <v>-0.125</v>
      </c>
      <c r="AX872" s="9">
        <f t="shared" si="687"/>
        <v>-4.875</v>
      </c>
      <c r="AY872" s="9">
        <f t="shared" si="688"/>
        <v>-10.5</v>
      </c>
      <c r="AZ872" s="9">
        <f t="shared" si="689"/>
        <v>-3</v>
      </c>
      <c r="BA872" s="9">
        <f t="shared" si="690"/>
        <v>-2.75</v>
      </c>
      <c r="BB872" s="9">
        <f t="shared" si="691"/>
        <v>-0.125</v>
      </c>
      <c r="BC872" s="9">
        <f t="shared" si="692"/>
        <v>0.75</v>
      </c>
      <c r="BD872" s="9">
        <f t="shared" si="693"/>
        <v>1.625</v>
      </c>
      <c r="BE872" s="9">
        <f t="shared" si="694"/>
        <v>0.5</v>
      </c>
      <c r="BF872" s="9">
        <f t="shared" si="695"/>
        <v>-0.875</v>
      </c>
      <c r="BG872" s="9">
        <f t="shared" si="696"/>
        <v>-4.75</v>
      </c>
      <c r="BH872" s="9">
        <f t="shared" si="697"/>
        <v>-10.125</v>
      </c>
      <c r="BI872" s="9">
        <f t="shared" si="698"/>
        <v>-4.5</v>
      </c>
      <c r="BJ872" s="9">
        <f t="shared" si="699"/>
        <v>-4.125</v>
      </c>
    </row>
    <row r="873" spans="1:62" x14ac:dyDescent="0.2">
      <c r="A873" s="9">
        <f>data!M874-data!M873</f>
        <v>0.16200000000000614</v>
      </c>
      <c r="B873" s="9">
        <f>data!C874-data!C873</f>
        <v>-3.0599999999999987</v>
      </c>
      <c r="C873" s="9">
        <f>data!D874-data!D873</f>
        <v>0.26250000000000018</v>
      </c>
      <c r="D873" s="10">
        <f>data!B874-data!B873</f>
        <v>-3.9999999999999813E-2</v>
      </c>
      <c r="E873" s="9">
        <f>data!E873-data!G873</f>
        <v>1.3135999999999999</v>
      </c>
      <c r="F873" s="9">
        <f>(data!E873-data!F873)-(data!G873-data!H873)</f>
        <v>0.96289999999999987</v>
      </c>
      <c r="G873" s="9">
        <f t="shared" si="650"/>
        <v>8.2300000000000262E-2</v>
      </c>
      <c r="H873" s="9">
        <f t="shared" si="651"/>
        <v>3.4500000000000197E-2</v>
      </c>
      <c r="I873" s="9">
        <f>IF(data!M874&gt; 111.81,1,0)</f>
        <v>1</v>
      </c>
      <c r="J873" s="9">
        <f t="shared" si="652"/>
        <v>0</v>
      </c>
      <c r="K873" s="9">
        <f t="shared" si="653"/>
        <v>0.16200000000000614</v>
      </c>
      <c r="L873" s="9">
        <f t="shared" si="654"/>
        <v>0</v>
      </c>
      <c r="M873" s="9">
        <f>data!J873</f>
        <v>-16.5</v>
      </c>
      <c r="N873" s="9">
        <f>data!I873</f>
        <v>-26.25</v>
      </c>
      <c r="O873" s="9">
        <f>data!L873</f>
        <v>-34.25</v>
      </c>
      <c r="P873" s="9">
        <f>data!K873</f>
        <v>-40.875</v>
      </c>
      <c r="Q873" s="9">
        <f>data!R873</f>
        <v>-41.625</v>
      </c>
      <c r="R873" s="9">
        <f t="shared" si="655"/>
        <v>1.75</v>
      </c>
      <c r="S873" s="9">
        <f t="shared" si="656"/>
        <v>1.875</v>
      </c>
      <c r="T873" s="9">
        <f t="shared" si="657"/>
        <v>1.125</v>
      </c>
      <c r="U873" s="9">
        <f t="shared" si="658"/>
        <v>0.125</v>
      </c>
      <c r="V873" s="9">
        <f t="shared" si="659"/>
        <v>-2.125</v>
      </c>
      <c r="W873" s="9">
        <f t="shared" si="660"/>
        <v>-12.625</v>
      </c>
      <c r="X873" s="9">
        <f t="shared" si="661"/>
        <v>-5.5</v>
      </c>
      <c r="Y873" s="9">
        <f t="shared" si="662"/>
        <v>-7.75</v>
      </c>
      <c r="Z873" s="9">
        <f t="shared" si="663"/>
        <v>-8.625</v>
      </c>
      <c r="AA873" s="9">
        <f t="shared" si="664"/>
        <v>-0.125</v>
      </c>
      <c r="AB873" s="9">
        <f t="shared" si="665"/>
        <v>1.25</v>
      </c>
      <c r="AC873" s="9">
        <f t="shared" si="666"/>
        <v>0.125</v>
      </c>
      <c r="AD873" s="9">
        <f t="shared" si="667"/>
        <v>-1.875</v>
      </c>
      <c r="AE873" s="9">
        <f t="shared" si="668"/>
        <v>-4.5</v>
      </c>
      <c r="AF873" s="9">
        <f t="shared" si="669"/>
        <v>-14.25</v>
      </c>
      <c r="AG873" s="9">
        <f t="shared" si="670"/>
        <v>-7</v>
      </c>
      <c r="AH873" s="9">
        <f t="shared" si="671"/>
        <v>-5.5</v>
      </c>
      <c r="AI873" s="9">
        <f t="shared" si="672"/>
        <v>-7.5</v>
      </c>
      <c r="AJ873" s="9">
        <f t="shared" si="673"/>
        <v>0.875</v>
      </c>
      <c r="AK873" s="9">
        <f t="shared" si="674"/>
        <v>1.625</v>
      </c>
      <c r="AL873" s="9">
        <f t="shared" si="675"/>
        <v>0.875</v>
      </c>
      <c r="AM873" s="9">
        <f t="shared" si="676"/>
        <v>-0.5</v>
      </c>
      <c r="AN873" s="9">
        <f t="shared" si="677"/>
        <v>-4.375</v>
      </c>
      <c r="AO873" s="9">
        <f t="shared" si="678"/>
        <v>-10.375</v>
      </c>
      <c r="AP873" s="9">
        <f t="shared" si="679"/>
        <v>-2.5</v>
      </c>
      <c r="AQ873" s="9">
        <f t="shared" si="680"/>
        <v>-2.5</v>
      </c>
      <c r="AR873" s="9">
        <f t="shared" si="681"/>
        <v>-2.125</v>
      </c>
      <c r="AS873" s="9">
        <f t="shared" si="682"/>
        <v>0.875</v>
      </c>
      <c r="AT873" s="9">
        <f t="shared" si="683"/>
        <v>2</v>
      </c>
      <c r="AU873" s="9">
        <f t="shared" si="684"/>
        <v>0.875</v>
      </c>
      <c r="AV873" s="9">
        <f t="shared" si="685"/>
        <v>-0.5</v>
      </c>
      <c r="AW873" s="9">
        <f t="shared" si="686"/>
        <v>-5.25</v>
      </c>
      <c r="AX873" s="9">
        <f t="shared" si="687"/>
        <v>-10.875</v>
      </c>
      <c r="AY873" s="9">
        <f t="shared" si="688"/>
        <v>-3.375</v>
      </c>
      <c r="AZ873" s="9">
        <f t="shared" si="689"/>
        <v>-3.125</v>
      </c>
      <c r="BA873" s="9">
        <f t="shared" si="690"/>
        <v>-2.75</v>
      </c>
      <c r="BB873" s="9">
        <f t="shared" si="691"/>
        <v>0.875</v>
      </c>
      <c r="BC873" s="9">
        <f t="shared" si="692"/>
        <v>1.75</v>
      </c>
      <c r="BD873" s="9">
        <f t="shared" si="693"/>
        <v>0.625</v>
      </c>
      <c r="BE873" s="9">
        <f t="shared" si="694"/>
        <v>-0.75</v>
      </c>
      <c r="BF873" s="9">
        <f t="shared" si="695"/>
        <v>-4.625</v>
      </c>
      <c r="BG873" s="9">
        <f t="shared" si="696"/>
        <v>-10</v>
      </c>
      <c r="BH873" s="9">
        <f t="shared" si="697"/>
        <v>-4.375</v>
      </c>
      <c r="BI873" s="9">
        <f t="shared" si="698"/>
        <v>-4</v>
      </c>
      <c r="BJ873" s="9">
        <f t="shared" si="699"/>
        <v>-3.375</v>
      </c>
    </row>
    <row r="874" spans="1:62" x14ac:dyDescent="0.2">
      <c r="A874" s="9">
        <f>data!M875-data!M874</f>
        <v>0.62049999999999272</v>
      </c>
      <c r="B874" s="9">
        <f>data!C875-data!C874</f>
        <v>3.3999999999999986</v>
      </c>
      <c r="C874" s="9">
        <f>data!D875-data!D874</f>
        <v>0.19000000000000039</v>
      </c>
      <c r="D874" s="10">
        <f>data!B875-data!B874</f>
        <v>-3.7500000000000089E-2</v>
      </c>
      <c r="E874" s="9">
        <f>data!E874-data!G874</f>
        <v>1.3959000000000001</v>
      </c>
      <c r="F874" s="9">
        <f>(data!E874-data!F874)-(data!G874-data!H874)</f>
        <v>0.99740000000000006</v>
      </c>
      <c r="G874" s="9">
        <f t="shared" si="650"/>
        <v>1.1699999999999822E-2</v>
      </c>
      <c r="H874" s="9">
        <f t="shared" si="651"/>
        <v>2.3399999999999865E-2</v>
      </c>
      <c r="I874" s="9">
        <f>IF(data!M875&gt; 111.81,1,0)</f>
        <v>1</v>
      </c>
      <c r="J874" s="9">
        <f t="shared" si="652"/>
        <v>0</v>
      </c>
      <c r="K874" s="9">
        <f t="shared" si="653"/>
        <v>0.62049999999999272</v>
      </c>
      <c r="L874" s="9">
        <f t="shared" si="654"/>
        <v>0</v>
      </c>
      <c r="M874" s="9">
        <f>data!J874</f>
        <v>-14.75</v>
      </c>
      <c r="N874" s="9">
        <f>data!I874</f>
        <v>-26.375</v>
      </c>
      <c r="O874" s="9">
        <f>data!L874</f>
        <v>-33.375</v>
      </c>
      <c r="P874" s="9">
        <f>data!K874</f>
        <v>-40</v>
      </c>
      <c r="Q874" s="9">
        <f>data!R874</f>
        <v>-40.75</v>
      </c>
      <c r="R874" s="9">
        <f t="shared" si="655"/>
        <v>0.125</v>
      </c>
      <c r="S874" s="9">
        <f t="shared" si="656"/>
        <v>-0.625</v>
      </c>
      <c r="T874" s="9">
        <f t="shared" si="657"/>
        <v>-1.625</v>
      </c>
      <c r="U874" s="9">
        <f t="shared" si="658"/>
        <v>-3.875</v>
      </c>
      <c r="V874" s="9">
        <f t="shared" si="659"/>
        <v>-14.375</v>
      </c>
      <c r="W874" s="9">
        <f t="shared" si="660"/>
        <v>-7.25</v>
      </c>
      <c r="X874" s="9">
        <f t="shared" si="661"/>
        <v>-9.5</v>
      </c>
      <c r="Y874" s="9">
        <f t="shared" si="662"/>
        <v>-10.375</v>
      </c>
      <c r="Z874" s="9">
        <f t="shared" si="663"/>
        <v>-11.75</v>
      </c>
      <c r="AA874" s="9">
        <f t="shared" si="664"/>
        <v>1.375</v>
      </c>
      <c r="AB874" s="9">
        <f t="shared" si="665"/>
        <v>0.25</v>
      </c>
      <c r="AC874" s="9">
        <f t="shared" si="666"/>
        <v>-1.75</v>
      </c>
      <c r="AD874" s="9">
        <f t="shared" si="667"/>
        <v>-4.375</v>
      </c>
      <c r="AE874" s="9">
        <f t="shared" si="668"/>
        <v>-14.125</v>
      </c>
      <c r="AF874" s="9">
        <f t="shared" si="669"/>
        <v>-6.875</v>
      </c>
      <c r="AG874" s="9">
        <f t="shared" si="670"/>
        <v>-5.375</v>
      </c>
      <c r="AH874" s="9">
        <f t="shared" si="671"/>
        <v>-7.375</v>
      </c>
      <c r="AI874" s="9">
        <f t="shared" si="672"/>
        <v>-8</v>
      </c>
      <c r="AJ874" s="9">
        <f t="shared" si="673"/>
        <v>0.75</v>
      </c>
      <c r="AK874" s="9">
        <f t="shared" si="674"/>
        <v>0</v>
      </c>
      <c r="AL874" s="9">
        <f t="shared" si="675"/>
        <v>-1.375</v>
      </c>
      <c r="AM874" s="9">
        <f t="shared" si="676"/>
        <v>-5.25</v>
      </c>
      <c r="AN874" s="9">
        <f t="shared" si="677"/>
        <v>-11.25</v>
      </c>
      <c r="AO874" s="9">
        <f t="shared" si="678"/>
        <v>-3.375</v>
      </c>
      <c r="AP874" s="9">
        <f t="shared" si="679"/>
        <v>-3.375</v>
      </c>
      <c r="AQ874" s="9">
        <f t="shared" si="680"/>
        <v>-3</v>
      </c>
      <c r="AR874" s="9">
        <f t="shared" si="681"/>
        <v>-3</v>
      </c>
      <c r="AS874" s="9">
        <f t="shared" si="682"/>
        <v>1.125</v>
      </c>
      <c r="AT874" s="9">
        <f t="shared" si="683"/>
        <v>0</v>
      </c>
      <c r="AU874" s="9">
        <f t="shared" si="684"/>
        <v>-1.375</v>
      </c>
      <c r="AV874" s="9">
        <f t="shared" si="685"/>
        <v>-6.125</v>
      </c>
      <c r="AW874" s="9">
        <f t="shared" si="686"/>
        <v>-11.75</v>
      </c>
      <c r="AX874" s="9">
        <f t="shared" si="687"/>
        <v>-4.25</v>
      </c>
      <c r="AY874" s="9">
        <f t="shared" si="688"/>
        <v>-4</v>
      </c>
      <c r="AZ874" s="9">
        <f t="shared" si="689"/>
        <v>-3.625</v>
      </c>
      <c r="BA874" s="9">
        <f t="shared" si="690"/>
        <v>-4.125</v>
      </c>
      <c r="BB874" s="9">
        <f t="shared" si="691"/>
        <v>0.875</v>
      </c>
      <c r="BC874" s="9">
        <f t="shared" si="692"/>
        <v>-0.25</v>
      </c>
      <c r="BD874" s="9">
        <f t="shared" si="693"/>
        <v>-1.625</v>
      </c>
      <c r="BE874" s="9">
        <f t="shared" si="694"/>
        <v>-5.5</v>
      </c>
      <c r="BF874" s="9">
        <f t="shared" si="695"/>
        <v>-10.875</v>
      </c>
      <c r="BG874" s="9">
        <f t="shared" si="696"/>
        <v>-5.25</v>
      </c>
      <c r="BH874" s="9">
        <f t="shared" si="697"/>
        <v>-4.875</v>
      </c>
      <c r="BI874" s="9">
        <f t="shared" si="698"/>
        <v>-4.25</v>
      </c>
      <c r="BJ874" s="9">
        <f t="shared" si="699"/>
        <v>-4.75</v>
      </c>
    </row>
    <row r="875" spans="1:62" x14ac:dyDescent="0.2">
      <c r="A875" s="9">
        <f>data!M876-data!M875</f>
        <v>0.22090000000000032</v>
      </c>
      <c r="B875" s="9">
        <f>data!C876-data!C875</f>
        <v>-2.379999999999999</v>
      </c>
      <c r="C875" s="9">
        <f>data!D876-data!D875</f>
        <v>2.2499999999999964E-2</v>
      </c>
      <c r="D875" s="10">
        <f>data!B876-data!B875</f>
        <v>8.2500000000000018E-2</v>
      </c>
      <c r="E875" s="9">
        <f>data!E875-data!G875</f>
        <v>1.4076</v>
      </c>
      <c r="F875" s="9">
        <f>(data!E875-data!F875)-(data!G875-data!H875)</f>
        <v>1.0207999999999999</v>
      </c>
      <c r="G875" s="9">
        <f t="shared" si="650"/>
        <v>0.12219999999999986</v>
      </c>
      <c r="H875" s="9">
        <f t="shared" si="651"/>
        <v>7.4199999999999822E-2</v>
      </c>
      <c r="I875" s="9">
        <f>IF(data!M876&gt; 111.81,1,0)</f>
        <v>1</v>
      </c>
      <c r="J875" s="9">
        <f t="shared" si="652"/>
        <v>0</v>
      </c>
      <c r="K875" s="9">
        <f t="shared" si="653"/>
        <v>0.22090000000000032</v>
      </c>
      <c r="L875" s="9">
        <f t="shared" si="654"/>
        <v>0</v>
      </c>
      <c r="M875" s="9">
        <f>data!J875</f>
        <v>-14.625</v>
      </c>
      <c r="N875" s="9">
        <f>data!I875</f>
        <v>-25</v>
      </c>
      <c r="O875" s="9">
        <f>data!L875</f>
        <v>-32.625</v>
      </c>
      <c r="P875" s="9">
        <f>data!K875</f>
        <v>-38.875</v>
      </c>
      <c r="Q875" s="9">
        <f>data!R875</f>
        <v>-39.875</v>
      </c>
      <c r="R875" s="9">
        <f t="shared" si="655"/>
        <v>-0.75</v>
      </c>
      <c r="S875" s="9">
        <f t="shared" si="656"/>
        <v>-1.75</v>
      </c>
      <c r="T875" s="9">
        <f t="shared" si="657"/>
        <v>-4</v>
      </c>
      <c r="U875" s="9">
        <f t="shared" si="658"/>
        <v>-14.5</v>
      </c>
      <c r="V875" s="9">
        <f t="shared" si="659"/>
        <v>-7.375</v>
      </c>
      <c r="W875" s="9">
        <f t="shared" si="660"/>
        <v>-9.625</v>
      </c>
      <c r="X875" s="9">
        <f t="shared" si="661"/>
        <v>-10.5</v>
      </c>
      <c r="Y875" s="9">
        <f t="shared" si="662"/>
        <v>-11.875</v>
      </c>
      <c r="Z875" s="9">
        <f t="shared" si="663"/>
        <v>-5.625</v>
      </c>
      <c r="AA875" s="9">
        <f t="shared" si="664"/>
        <v>-1.125</v>
      </c>
      <c r="AB875" s="9">
        <f t="shared" si="665"/>
        <v>-3.125</v>
      </c>
      <c r="AC875" s="9">
        <f t="shared" si="666"/>
        <v>-5.75</v>
      </c>
      <c r="AD875" s="9">
        <f t="shared" si="667"/>
        <v>-15.5</v>
      </c>
      <c r="AE875" s="9">
        <f t="shared" si="668"/>
        <v>-8.25</v>
      </c>
      <c r="AF875" s="9">
        <f t="shared" si="669"/>
        <v>-6.75</v>
      </c>
      <c r="AG875" s="9">
        <f t="shared" si="670"/>
        <v>-8.75</v>
      </c>
      <c r="AH875" s="9">
        <f t="shared" si="671"/>
        <v>-9.375</v>
      </c>
      <c r="AI875" s="9">
        <f t="shared" si="672"/>
        <v>-5.75</v>
      </c>
      <c r="AJ875" s="9">
        <f t="shared" si="673"/>
        <v>-0.75</v>
      </c>
      <c r="AK875" s="9">
        <f t="shared" si="674"/>
        <v>-2.125</v>
      </c>
      <c r="AL875" s="9">
        <f t="shared" si="675"/>
        <v>-6</v>
      </c>
      <c r="AM875" s="9">
        <f t="shared" si="676"/>
        <v>-12</v>
      </c>
      <c r="AN875" s="9">
        <f t="shared" si="677"/>
        <v>-4.125</v>
      </c>
      <c r="AO875" s="9">
        <f t="shared" si="678"/>
        <v>-4.125</v>
      </c>
      <c r="AP875" s="9">
        <f t="shared" si="679"/>
        <v>-3.75</v>
      </c>
      <c r="AQ875" s="9">
        <f t="shared" si="680"/>
        <v>-3.75</v>
      </c>
      <c r="AR875" s="9">
        <f t="shared" si="681"/>
        <v>-0.25</v>
      </c>
      <c r="AS875" s="9">
        <f t="shared" si="682"/>
        <v>-1.125</v>
      </c>
      <c r="AT875" s="9">
        <f t="shared" si="683"/>
        <v>-2.5</v>
      </c>
      <c r="AU875" s="9">
        <f t="shared" si="684"/>
        <v>-7.25</v>
      </c>
      <c r="AV875" s="9">
        <f t="shared" si="685"/>
        <v>-12.875</v>
      </c>
      <c r="AW875" s="9">
        <f t="shared" si="686"/>
        <v>-5.375</v>
      </c>
      <c r="AX875" s="9">
        <f t="shared" si="687"/>
        <v>-5.125</v>
      </c>
      <c r="AY875" s="9">
        <f t="shared" si="688"/>
        <v>-4.75</v>
      </c>
      <c r="AZ875" s="9">
        <f t="shared" si="689"/>
        <v>-5.25</v>
      </c>
      <c r="BA875" s="9">
        <f t="shared" si="690"/>
        <v>-1.25</v>
      </c>
      <c r="BB875" s="9">
        <f t="shared" si="691"/>
        <v>-1.125</v>
      </c>
      <c r="BC875" s="9">
        <f t="shared" si="692"/>
        <v>-2.5</v>
      </c>
      <c r="BD875" s="9">
        <f t="shared" si="693"/>
        <v>-6.375</v>
      </c>
      <c r="BE875" s="9">
        <f t="shared" si="694"/>
        <v>-11.75</v>
      </c>
      <c r="BF875" s="9">
        <f t="shared" si="695"/>
        <v>-6.125</v>
      </c>
      <c r="BG875" s="9">
        <f t="shared" si="696"/>
        <v>-5.75</v>
      </c>
      <c r="BH875" s="9">
        <f t="shared" si="697"/>
        <v>-5.125</v>
      </c>
      <c r="BI875" s="9">
        <f t="shared" si="698"/>
        <v>-5.625</v>
      </c>
      <c r="BJ875" s="9">
        <f t="shared" si="699"/>
        <v>-2</v>
      </c>
    </row>
    <row r="876" spans="1:62" x14ac:dyDescent="0.2">
      <c r="A876" s="9">
        <f>data!M877-data!M876</f>
        <v>-0.50749999999999318</v>
      </c>
      <c r="B876" s="9">
        <f>data!C877-data!C876</f>
        <v>-2.4699999999999989</v>
      </c>
      <c r="C876" s="9">
        <f>data!D877-data!D876</f>
        <v>0.67750000000000021</v>
      </c>
      <c r="D876" s="10">
        <f>data!B877-data!B876</f>
        <v>0.11250000000000004</v>
      </c>
      <c r="E876" s="9">
        <f>data!E876-data!G876</f>
        <v>1.5297999999999998</v>
      </c>
      <c r="F876" s="9">
        <f>(data!E876-data!F876)-(data!G876-data!H876)</f>
        <v>1.0949999999999998</v>
      </c>
      <c r="G876" s="9">
        <f t="shared" si="650"/>
        <v>-3.6499999999999755E-2</v>
      </c>
      <c r="H876" s="9">
        <f t="shared" si="651"/>
        <v>-0.11859999999999982</v>
      </c>
      <c r="I876" s="9">
        <f>IF(data!M877&gt; 111.81,1,0)</f>
        <v>1</v>
      </c>
      <c r="J876" s="9">
        <f t="shared" si="652"/>
        <v>0</v>
      </c>
      <c r="K876" s="9">
        <f t="shared" si="653"/>
        <v>-0.50749999999999318</v>
      </c>
      <c r="L876" s="9">
        <f t="shared" si="654"/>
        <v>0</v>
      </c>
      <c r="M876" s="9">
        <f>data!J876</f>
        <v>-15.375</v>
      </c>
      <c r="N876" s="9">
        <f>data!I876</f>
        <v>-26.125</v>
      </c>
      <c r="O876" s="9">
        <f>data!L876</f>
        <v>-33.375</v>
      </c>
      <c r="P876" s="9">
        <f>data!K876</f>
        <v>-40</v>
      </c>
      <c r="Q876" s="9">
        <f>data!R876</f>
        <v>-41</v>
      </c>
      <c r="R876" s="9">
        <f t="shared" si="655"/>
        <v>-1</v>
      </c>
      <c r="S876" s="9">
        <f t="shared" si="656"/>
        <v>-3.25</v>
      </c>
      <c r="T876" s="9">
        <f t="shared" si="657"/>
        <v>-13.75</v>
      </c>
      <c r="U876" s="9">
        <f t="shared" si="658"/>
        <v>-6.625</v>
      </c>
      <c r="V876" s="9">
        <f t="shared" si="659"/>
        <v>-8.875</v>
      </c>
      <c r="W876" s="9">
        <f t="shared" si="660"/>
        <v>-9.75</v>
      </c>
      <c r="X876" s="9">
        <f t="shared" si="661"/>
        <v>-11.125</v>
      </c>
      <c r="Y876" s="9">
        <f t="shared" si="662"/>
        <v>-4.875</v>
      </c>
      <c r="Z876" s="9">
        <f t="shared" si="663"/>
        <v>-3.875</v>
      </c>
      <c r="AA876" s="9">
        <f t="shared" si="664"/>
        <v>-2</v>
      </c>
      <c r="AB876" s="9">
        <f t="shared" si="665"/>
        <v>-4.625</v>
      </c>
      <c r="AC876" s="9">
        <f t="shared" si="666"/>
        <v>-14.375</v>
      </c>
      <c r="AD876" s="9">
        <f t="shared" si="667"/>
        <v>-7.125</v>
      </c>
      <c r="AE876" s="9">
        <f t="shared" si="668"/>
        <v>-5.625</v>
      </c>
      <c r="AF876" s="9">
        <f t="shared" si="669"/>
        <v>-7.625</v>
      </c>
      <c r="AG876" s="9">
        <f t="shared" si="670"/>
        <v>-8.25</v>
      </c>
      <c r="AH876" s="9">
        <f t="shared" si="671"/>
        <v>-4.625</v>
      </c>
      <c r="AI876" s="9">
        <f t="shared" si="672"/>
        <v>-6.25</v>
      </c>
      <c r="AJ876" s="9">
        <f t="shared" si="673"/>
        <v>-1.375</v>
      </c>
      <c r="AK876" s="9">
        <f t="shared" si="674"/>
        <v>-5.25</v>
      </c>
      <c r="AL876" s="9">
        <f t="shared" si="675"/>
        <v>-11.25</v>
      </c>
      <c r="AM876" s="9">
        <f t="shared" si="676"/>
        <v>-3.375</v>
      </c>
      <c r="AN876" s="9">
        <f t="shared" si="677"/>
        <v>-3.375</v>
      </c>
      <c r="AO876" s="9">
        <f t="shared" si="678"/>
        <v>-3</v>
      </c>
      <c r="AP876" s="9">
        <f t="shared" si="679"/>
        <v>-3</v>
      </c>
      <c r="AQ876" s="9">
        <f t="shared" si="680"/>
        <v>0.5</v>
      </c>
      <c r="AR876" s="9">
        <f t="shared" si="681"/>
        <v>-2.375</v>
      </c>
      <c r="AS876" s="9">
        <f t="shared" si="682"/>
        <v>-1.375</v>
      </c>
      <c r="AT876" s="9">
        <f t="shared" si="683"/>
        <v>-6.125</v>
      </c>
      <c r="AU876" s="9">
        <f t="shared" si="684"/>
        <v>-11.75</v>
      </c>
      <c r="AV876" s="9">
        <f t="shared" si="685"/>
        <v>-4.25</v>
      </c>
      <c r="AW876" s="9">
        <f t="shared" si="686"/>
        <v>-4</v>
      </c>
      <c r="AX876" s="9">
        <f t="shared" si="687"/>
        <v>-3.625</v>
      </c>
      <c r="AY876" s="9">
        <f t="shared" si="688"/>
        <v>-4.125</v>
      </c>
      <c r="AZ876" s="9">
        <f t="shared" si="689"/>
        <v>-0.125</v>
      </c>
      <c r="BA876" s="9">
        <f t="shared" si="690"/>
        <v>-2.625</v>
      </c>
      <c r="BB876" s="9">
        <f t="shared" si="691"/>
        <v>-1.375</v>
      </c>
      <c r="BC876" s="9">
        <f t="shared" si="692"/>
        <v>-5.25</v>
      </c>
      <c r="BD876" s="9">
        <f t="shared" si="693"/>
        <v>-10.625</v>
      </c>
      <c r="BE876" s="9">
        <f t="shared" si="694"/>
        <v>-5</v>
      </c>
      <c r="BF876" s="9">
        <f t="shared" si="695"/>
        <v>-4.625</v>
      </c>
      <c r="BG876" s="9">
        <f t="shared" si="696"/>
        <v>-4</v>
      </c>
      <c r="BH876" s="9">
        <f t="shared" si="697"/>
        <v>-4.5</v>
      </c>
      <c r="BI876" s="9">
        <f t="shared" si="698"/>
        <v>-0.875</v>
      </c>
      <c r="BJ876" s="9">
        <f t="shared" si="699"/>
        <v>-4.25</v>
      </c>
    </row>
    <row r="877" spans="1:62" x14ac:dyDescent="0.2">
      <c r="A877" s="9">
        <f>data!M878-data!M877</f>
        <v>-0.42050000000000409</v>
      </c>
      <c r="B877" s="9">
        <f>data!C878-data!C877</f>
        <v>-0.87000000000000099</v>
      </c>
      <c r="C877" s="9">
        <f>data!D878-data!D877</f>
        <v>2.9999999999999361E-2</v>
      </c>
      <c r="D877" s="10">
        <f>data!B878-data!B877</f>
        <v>3.0000000000000027E-2</v>
      </c>
      <c r="E877" s="9">
        <f>data!E877-data!G877</f>
        <v>1.4933000000000001</v>
      </c>
      <c r="F877" s="9">
        <f>(data!E877-data!F877)-(data!G877-data!H877)</f>
        <v>0.97639999999999993</v>
      </c>
      <c r="G877" s="9">
        <f t="shared" si="650"/>
        <v>4.610000000000003E-2</v>
      </c>
      <c r="H877" s="9">
        <f t="shared" si="651"/>
        <v>-4.3999999999999595E-3</v>
      </c>
      <c r="I877" s="9">
        <f>IF(data!M878&gt; 111.81,1,0)</f>
        <v>1</v>
      </c>
      <c r="J877" s="9">
        <f t="shared" si="652"/>
        <v>0</v>
      </c>
      <c r="K877" s="9">
        <f t="shared" si="653"/>
        <v>-0.42050000000000409</v>
      </c>
      <c r="L877" s="9">
        <f t="shared" si="654"/>
        <v>0</v>
      </c>
      <c r="M877" s="9">
        <f>data!J877</f>
        <v>-16.375</v>
      </c>
      <c r="N877" s="9">
        <f>data!I877</f>
        <v>-28.125</v>
      </c>
      <c r="O877" s="9">
        <f>data!L877</f>
        <v>-34.75</v>
      </c>
      <c r="P877" s="9">
        <f>data!K877</f>
        <v>-41.375</v>
      </c>
      <c r="Q877" s="9">
        <f>data!R877</f>
        <v>-42.375</v>
      </c>
      <c r="R877" s="9">
        <f t="shared" si="655"/>
        <v>-2.25</v>
      </c>
      <c r="S877" s="9">
        <f t="shared" si="656"/>
        <v>-12.75</v>
      </c>
      <c r="T877" s="9">
        <f t="shared" si="657"/>
        <v>-5.625</v>
      </c>
      <c r="U877" s="9">
        <f t="shared" si="658"/>
        <v>-7.875</v>
      </c>
      <c r="V877" s="9">
        <f t="shared" si="659"/>
        <v>-8.75</v>
      </c>
      <c r="W877" s="9">
        <f t="shared" si="660"/>
        <v>-10.125</v>
      </c>
      <c r="X877" s="9">
        <f t="shared" si="661"/>
        <v>-3.875</v>
      </c>
      <c r="Y877" s="9">
        <f t="shared" si="662"/>
        <v>-2.875</v>
      </c>
      <c r="Z877" s="9">
        <f t="shared" si="663"/>
        <v>-3.375</v>
      </c>
      <c r="AA877" s="9">
        <f t="shared" si="664"/>
        <v>-2.625</v>
      </c>
      <c r="AB877" s="9">
        <f t="shared" si="665"/>
        <v>-12.375</v>
      </c>
      <c r="AC877" s="9">
        <f t="shared" si="666"/>
        <v>-5.125</v>
      </c>
      <c r="AD877" s="9">
        <f t="shared" si="667"/>
        <v>-3.625</v>
      </c>
      <c r="AE877" s="9">
        <f t="shared" si="668"/>
        <v>-5.625</v>
      </c>
      <c r="AF877" s="9">
        <f t="shared" si="669"/>
        <v>-6.25</v>
      </c>
      <c r="AG877" s="9">
        <f t="shared" si="670"/>
        <v>-2.625</v>
      </c>
      <c r="AH877" s="9">
        <f t="shared" si="671"/>
        <v>-4.25</v>
      </c>
      <c r="AI877" s="9">
        <f t="shared" si="672"/>
        <v>-2.75</v>
      </c>
      <c r="AJ877" s="9">
        <f t="shared" si="673"/>
        <v>-3.875</v>
      </c>
      <c r="AK877" s="9">
        <f t="shared" si="674"/>
        <v>-9.875</v>
      </c>
      <c r="AL877" s="9">
        <f t="shared" si="675"/>
        <v>-2</v>
      </c>
      <c r="AM877" s="9">
        <f t="shared" si="676"/>
        <v>-2</v>
      </c>
      <c r="AN877" s="9">
        <f t="shared" si="677"/>
        <v>-1.625</v>
      </c>
      <c r="AO877" s="9">
        <f t="shared" si="678"/>
        <v>-1.625</v>
      </c>
      <c r="AP877" s="9">
        <f t="shared" si="679"/>
        <v>1.875</v>
      </c>
      <c r="AQ877" s="9">
        <f t="shared" si="680"/>
        <v>-1</v>
      </c>
      <c r="AR877" s="9">
        <f t="shared" si="681"/>
        <v>0</v>
      </c>
      <c r="AS877" s="9">
        <f t="shared" si="682"/>
        <v>-4.75</v>
      </c>
      <c r="AT877" s="9">
        <f t="shared" si="683"/>
        <v>-10.375</v>
      </c>
      <c r="AU877" s="9">
        <f t="shared" si="684"/>
        <v>-2.875</v>
      </c>
      <c r="AV877" s="9">
        <f t="shared" si="685"/>
        <v>-2.625</v>
      </c>
      <c r="AW877" s="9">
        <f t="shared" si="686"/>
        <v>-2.25</v>
      </c>
      <c r="AX877" s="9">
        <f t="shared" si="687"/>
        <v>-2.75</v>
      </c>
      <c r="AY877" s="9">
        <f t="shared" si="688"/>
        <v>1.25</v>
      </c>
      <c r="AZ877" s="9">
        <f t="shared" si="689"/>
        <v>-1.25</v>
      </c>
      <c r="BA877" s="9">
        <f t="shared" si="690"/>
        <v>-3.9375</v>
      </c>
      <c r="BB877" s="9">
        <f t="shared" si="691"/>
        <v>-3.875</v>
      </c>
      <c r="BC877" s="9">
        <f t="shared" si="692"/>
        <v>-9.25</v>
      </c>
      <c r="BD877" s="9">
        <f t="shared" si="693"/>
        <v>-3.625</v>
      </c>
      <c r="BE877" s="9">
        <f t="shared" si="694"/>
        <v>-3.25</v>
      </c>
      <c r="BF877" s="9">
        <f t="shared" si="695"/>
        <v>-2.625</v>
      </c>
      <c r="BG877" s="9">
        <f t="shared" si="696"/>
        <v>-3.125</v>
      </c>
      <c r="BH877" s="9">
        <f t="shared" si="697"/>
        <v>0.5</v>
      </c>
      <c r="BI877" s="9">
        <f t="shared" si="698"/>
        <v>-2.875</v>
      </c>
      <c r="BJ877" s="9">
        <f t="shared" si="699"/>
        <v>-2.25</v>
      </c>
    </row>
    <row r="878" spans="1:62" x14ac:dyDescent="0.2">
      <c r="A878" s="9">
        <f>data!M879-data!M878</f>
        <v>0.46620000000000061</v>
      </c>
      <c r="B878" s="9">
        <f>data!C879-data!C878</f>
        <v>0.83000000000000185</v>
      </c>
      <c r="C878" s="9">
        <f>data!D879-data!D878</f>
        <v>-0.11749999999999972</v>
      </c>
      <c r="D878" s="10">
        <f>data!B879-data!B878</f>
        <v>8.2500000000000018E-2</v>
      </c>
      <c r="E878" s="9">
        <f>data!E878-data!G878</f>
        <v>1.5394000000000001</v>
      </c>
      <c r="F878" s="9">
        <f>(data!E878-data!F878)-(data!G878-data!H878)</f>
        <v>0.97199999999999998</v>
      </c>
      <c r="G878" s="9">
        <f t="shared" si="650"/>
        <v>-8.130000000000015E-2</v>
      </c>
      <c r="H878" s="9">
        <f t="shared" si="651"/>
        <v>-0.1129</v>
      </c>
      <c r="I878" s="9">
        <f>IF(data!M879&gt; 111.81,1,0)</f>
        <v>1</v>
      </c>
      <c r="J878" s="9">
        <f t="shared" si="652"/>
        <v>0</v>
      </c>
      <c r="K878" s="9">
        <f t="shared" si="653"/>
        <v>0.46620000000000061</v>
      </c>
      <c r="L878" s="9">
        <f t="shared" si="654"/>
        <v>0</v>
      </c>
      <c r="M878" s="9">
        <f>data!J878</f>
        <v>-18.625</v>
      </c>
      <c r="N878" s="9">
        <f>data!I878</f>
        <v>-30.75</v>
      </c>
      <c r="O878" s="9">
        <f>data!L878</f>
        <v>-38.625</v>
      </c>
      <c r="P878" s="9">
        <f>data!K878</f>
        <v>-46.125</v>
      </c>
      <c r="Q878" s="9">
        <f>data!R878</f>
        <v>-46.25</v>
      </c>
      <c r="R878" s="9">
        <f t="shared" si="655"/>
        <v>-10.5</v>
      </c>
      <c r="S878" s="9">
        <f t="shared" si="656"/>
        <v>-3.375</v>
      </c>
      <c r="T878" s="9">
        <f t="shared" si="657"/>
        <v>-5.625</v>
      </c>
      <c r="U878" s="9">
        <f t="shared" si="658"/>
        <v>-6.5</v>
      </c>
      <c r="V878" s="9">
        <f t="shared" si="659"/>
        <v>-7.875</v>
      </c>
      <c r="W878" s="9">
        <f t="shared" si="660"/>
        <v>-1.625</v>
      </c>
      <c r="X878" s="9">
        <f t="shared" si="661"/>
        <v>-0.625</v>
      </c>
      <c r="Y878" s="9">
        <f t="shared" si="662"/>
        <v>-1.125</v>
      </c>
      <c r="Z878" s="9">
        <f t="shared" si="663"/>
        <v>0.25</v>
      </c>
      <c r="AA878" s="9">
        <f t="shared" si="664"/>
        <v>-9.75</v>
      </c>
      <c r="AB878" s="9">
        <f t="shared" si="665"/>
        <v>-2.5</v>
      </c>
      <c r="AC878" s="9">
        <f t="shared" si="666"/>
        <v>-1</v>
      </c>
      <c r="AD878" s="9">
        <f t="shared" si="667"/>
        <v>-3</v>
      </c>
      <c r="AE878" s="9">
        <f t="shared" si="668"/>
        <v>-3.625</v>
      </c>
      <c r="AF878" s="9">
        <f t="shared" si="669"/>
        <v>0</v>
      </c>
      <c r="AG878" s="9">
        <f t="shared" si="670"/>
        <v>-1.625</v>
      </c>
      <c r="AH878" s="9">
        <f t="shared" si="671"/>
        <v>-0.125</v>
      </c>
      <c r="AI878" s="9">
        <f t="shared" si="672"/>
        <v>2.375</v>
      </c>
      <c r="AJ878" s="9">
        <f t="shared" si="673"/>
        <v>-6</v>
      </c>
      <c r="AK878" s="9">
        <f t="shared" si="674"/>
        <v>1.875</v>
      </c>
      <c r="AL878" s="9">
        <f t="shared" si="675"/>
        <v>1.875</v>
      </c>
      <c r="AM878" s="9">
        <f t="shared" si="676"/>
        <v>2.25</v>
      </c>
      <c r="AN878" s="9">
        <f t="shared" si="677"/>
        <v>2.25</v>
      </c>
      <c r="AO878" s="9">
        <f t="shared" si="678"/>
        <v>5.75</v>
      </c>
      <c r="AP878" s="9">
        <f t="shared" si="679"/>
        <v>2.875</v>
      </c>
      <c r="AQ878" s="9">
        <f t="shared" si="680"/>
        <v>3.875</v>
      </c>
      <c r="AR878" s="9">
        <f t="shared" si="681"/>
        <v>5</v>
      </c>
      <c r="AS878" s="9">
        <f t="shared" si="682"/>
        <v>-5.625</v>
      </c>
      <c r="AT878" s="9">
        <f t="shared" si="683"/>
        <v>1.875</v>
      </c>
      <c r="AU878" s="9">
        <f t="shared" si="684"/>
        <v>2.125</v>
      </c>
      <c r="AV878" s="9">
        <f t="shared" si="685"/>
        <v>2.5</v>
      </c>
      <c r="AW878" s="9">
        <f t="shared" si="686"/>
        <v>2</v>
      </c>
      <c r="AX878" s="9">
        <f t="shared" si="687"/>
        <v>6</v>
      </c>
      <c r="AY878" s="9">
        <f t="shared" si="688"/>
        <v>3.5</v>
      </c>
      <c r="AZ878" s="9">
        <f t="shared" si="689"/>
        <v>0.8125</v>
      </c>
      <c r="BA878" s="9">
        <f t="shared" si="690"/>
        <v>4.375</v>
      </c>
      <c r="BB878" s="9">
        <f t="shared" si="691"/>
        <v>-5.375</v>
      </c>
      <c r="BC878" s="9">
        <f t="shared" si="692"/>
        <v>0.25</v>
      </c>
      <c r="BD878" s="9">
        <f t="shared" si="693"/>
        <v>0.625</v>
      </c>
      <c r="BE878" s="9">
        <f t="shared" si="694"/>
        <v>1.25</v>
      </c>
      <c r="BF878" s="9">
        <f t="shared" si="695"/>
        <v>0.75</v>
      </c>
      <c r="BG878" s="9">
        <f t="shared" si="696"/>
        <v>4.375</v>
      </c>
      <c r="BH878" s="9">
        <f t="shared" si="697"/>
        <v>1</v>
      </c>
      <c r="BI878" s="9">
        <f t="shared" si="698"/>
        <v>1.625</v>
      </c>
      <c r="BJ878" s="9">
        <f t="shared" si="699"/>
        <v>1.625</v>
      </c>
    </row>
    <row r="879" spans="1:62" x14ac:dyDescent="0.2">
      <c r="A879" s="9">
        <f>data!M880-data!M879</f>
        <v>-6.25E-2</v>
      </c>
      <c r="B879" s="9">
        <f>data!C880-data!C879</f>
        <v>0.21999999999999886</v>
      </c>
      <c r="C879" s="9">
        <f>data!D880-data!D879</f>
        <v>-0.27749999999999986</v>
      </c>
      <c r="D879" s="10">
        <f>data!B880-data!B879</f>
        <v>7.2500000000000009E-2</v>
      </c>
      <c r="E879" s="9">
        <f>data!E879-data!G879</f>
        <v>1.4581</v>
      </c>
      <c r="F879" s="9">
        <f>(data!E879-data!F879)-(data!G879-data!H879)</f>
        <v>0.85909999999999997</v>
      </c>
      <c r="G879" s="9">
        <f t="shared" si="650"/>
        <v>-6.1799999999999855E-2</v>
      </c>
      <c r="H879" s="9">
        <f t="shared" si="651"/>
        <v>2.3399999999999976E-2</v>
      </c>
      <c r="I879" s="9">
        <f>IF(data!M880&gt; 111.81,1,0)</f>
        <v>1</v>
      </c>
      <c r="J879" s="9">
        <f t="shared" si="652"/>
        <v>0</v>
      </c>
      <c r="K879" s="9">
        <f t="shared" si="653"/>
        <v>-6.25E-2</v>
      </c>
      <c r="L879" s="9">
        <f t="shared" si="654"/>
        <v>0</v>
      </c>
      <c r="M879" s="9">
        <f>data!J879</f>
        <v>-29.125</v>
      </c>
      <c r="N879" s="9">
        <f>data!I879</f>
        <v>-40.5</v>
      </c>
      <c r="O879" s="9">
        <f>data!L879</f>
        <v>-44.625</v>
      </c>
      <c r="P879" s="9">
        <f>data!K879</f>
        <v>-51.75</v>
      </c>
      <c r="Q879" s="9">
        <f>data!R879</f>
        <v>-51.625</v>
      </c>
      <c r="R879" s="9">
        <f t="shared" si="655"/>
        <v>7.125</v>
      </c>
      <c r="S879" s="9">
        <f t="shared" si="656"/>
        <v>4.875</v>
      </c>
      <c r="T879" s="9">
        <f t="shared" si="657"/>
        <v>4</v>
      </c>
      <c r="U879" s="9">
        <f t="shared" si="658"/>
        <v>2.625</v>
      </c>
      <c r="V879" s="9">
        <f t="shared" si="659"/>
        <v>8.875</v>
      </c>
      <c r="W879" s="9">
        <f t="shared" si="660"/>
        <v>9.875</v>
      </c>
      <c r="X879" s="9">
        <f t="shared" si="661"/>
        <v>9.375</v>
      </c>
      <c r="Y879" s="9">
        <f t="shared" si="662"/>
        <v>10.75</v>
      </c>
      <c r="Z879" s="9">
        <f t="shared" si="663"/>
        <v>11.125</v>
      </c>
      <c r="AA879" s="9">
        <f t="shared" si="664"/>
        <v>7.25</v>
      </c>
      <c r="AB879" s="9">
        <f t="shared" si="665"/>
        <v>8.75</v>
      </c>
      <c r="AC879" s="9">
        <f t="shared" si="666"/>
        <v>6.75</v>
      </c>
      <c r="AD879" s="9">
        <f t="shared" si="667"/>
        <v>6.125</v>
      </c>
      <c r="AE879" s="9">
        <f t="shared" si="668"/>
        <v>9.75</v>
      </c>
      <c r="AF879" s="9">
        <f t="shared" si="669"/>
        <v>8.125</v>
      </c>
      <c r="AG879" s="9">
        <f t="shared" si="670"/>
        <v>9.625</v>
      </c>
      <c r="AH879" s="9">
        <f t="shared" si="671"/>
        <v>12.125</v>
      </c>
      <c r="AI879" s="9">
        <f t="shared" si="672"/>
        <v>11.25</v>
      </c>
      <c r="AJ879" s="9">
        <f t="shared" si="673"/>
        <v>7.875</v>
      </c>
      <c r="AK879" s="9">
        <f t="shared" si="674"/>
        <v>7.875</v>
      </c>
      <c r="AL879" s="9">
        <f t="shared" si="675"/>
        <v>8.25</v>
      </c>
      <c r="AM879" s="9">
        <f t="shared" si="676"/>
        <v>8.25</v>
      </c>
      <c r="AN879" s="9">
        <f t="shared" si="677"/>
        <v>11.75</v>
      </c>
      <c r="AO879" s="9">
        <f t="shared" si="678"/>
        <v>8.875</v>
      </c>
      <c r="AP879" s="9">
        <f t="shared" si="679"/>
        <v>9.875</v>
      </c>
      <c r="AQ879" s="9">
        <f t="shared" si="680"/>
        <v>11</v>
      </c>
      <c r="AR879" s="9">
        <f t="shared" si="681"/>
        <v>12.75</v>
      </c>
      <c r="AS879" s="9">
        <f t="shared" si="682"/>
        <v>7.5</v>
      </c>
      <c r="AT879" s="9">
        <f t="shared" si="683"/>
        <v>7.75</v>
      </c>
      <c r="AU879" s="9">
        <f t="shared" si="684"/>
        <v>8.125</v>
      </c>
      <c r="AV879" s="9">
        <f t="shared" si="685"/>
        <v>7.625</v>
      </c>
      <c r="AW879" s="9">
        <f t="shared" si="686"/>
        <v>11.625</v>
      </c>
      <c r="AX879" s="9">
        <f t="shared" si="687"/>
        <v>9.125</v>
      </c>
      <c r="AY879" s="9">
        <f t="shared" si="688"/>
        <v>6.4375</v>
      </c>
      <c r="AZ879" s="9">
        <f t="shared" si="689"/>
        <v>10</v>
      </c>
      <c r="BA879" s="9">
        <f t="shared" si="690"/>
        <v>11.875</v>
      </c>
      <c r="BB879" s="9">
        <f t="shared" si="691"/>
        <v>5.625</v>
      </c>
      <c r="BC879" s="9">
        <f t="shared" si="692"/>
        <v>6</v>
      </c>
      <c r="BD879" s="9">
        <f t="shared" si="693"/>
        <v>6.625</v>
      </c>
      <c r="BE879" s="9">
        <f t="shared" si="694"/>
        <v>6.125</v>
      </c>
      <c r="BF879" s="9">
        <f t="shared" si="695"/>
        <v>9.75</v>
      </c>
      <c r="BG879" s="9">
        <f t="shared" si="696"/>
        <v>6.375</v>
      </c>
      <c r="BH879" s="9">
        <f t="shared" si="697"/>
        <v>7</v>
      </c>
      <c r="BI879" s="9">
        <f t="shared" si="698"/>
        <v>7</v>
      </c>
      <c r="BJ879" s="9">
        <f t="shared" si="699"/>
        <v>8.5</v>
      </c>
    </row>
    <row r="880" spans="1:62" x14ac:dyDescent="0.2">
      <c r="A880" s="9">
        <f>data!M881-data!M880</f>
        <v>0.4398000000000053</v>
      </c>
      <c r="B880" s="9">
        <f>data!C881-data!C880</f>
        <v>-0.19000000000000128</v>
      </c>
      <c r="C880" s="9">
        <f>data!D881-data!D880</f>
        <v>0.18499999999999961</v>
      </c>
      <c r="D880" s="10">
        <f>data!B881-data!B880</f>
        <v>-1.7500000000000071E-2</v>
      </c>
      <c r="E880" s="9">
        <f>data!E880-data!G880</f>
        <v>1.3963000000000001</v>
      </c>
      <c r="F880" s="9">
        <f>(data!E880-data!F880)-(data!G880-data!H880)</f>
        <v>0.88249999999999995</v>
      </c>
      <c r="G880" s="9">
        <f t="shared" si="650"/>
        <v>9.3999999999999861E-2</v>
      </c>
      <c r="H880" s="9">
        <f t="shared" si="651"/>
        <v>-2.1700000000000164E-2</v>
      </c>
      <c r="I880" s="9">
        <f>IF(data!M881&gt; 111.81,1,0)</f>
        <v>1</v>
      </c>
      <c r="J880" s="9">
        <f t="shared" si="652"/>
        <v>0</v>
      </c>
      <c r="K880" s="9">
        <f t="shared" si="653"/>
        <v>0.4398000000000053</v>
      </c>
      <c r="L880" s="9">
        <f t="shared" si="654"/>
        <v>0</v>
      </c>
      <c r="M880" s="9">
        <f>data!J880</f>
        <v>-22</v>
      </c>
      <c r="N880" s="9">
        <f>data!I880</f>
        <v>-33.25</v>
      </c>
      <c r="O880" s="9">
        <f>data!L880</f>
        <v>-36.75</v>
      </c>
      <c r="P880" s="9">
        <f>data!K880</f>
        <v>-44.25</v>
      </c>
      <c r="Q880" s="9">
        <f>data!R880</f>
        <v>-46</v>
      </c>
      <c r="R880" s="9">
        <f t="shared" si="655"/>
        <v>-2.25</v>
      </c>
      <c r="S880" s="9">
        <f t="shared" si="656"/>
        <v>-3.125</v>
      </c>
      <c r="T880" s="9">
        <f t="shared" si="657"/>
        <v>-4.5</v>
      </c>
      <c r="U880" s="9">
        <f t="shared" si="658"/>
        <v>1.75</v>
      </c>
      <c r="V880" s="9">
        <f t="shared" si="659"/>
        <v>2.75</v>
      </c>
      <c r="W880" s="9">
        <f t="shared" si="660"/>
        <v>2.25</v>
      </c>
      <c r="X880" s="9">
        <f t="shared" si="661"/>
        <v>3.625</v>
      </c>
      <c r="Y880" s="9">
        <f t="shared" si="662"/>
        <v>4</v>
      </c>
      <c r="Z880" s="9">
        <f t="shared" si="663"/>
        <v>22</v>
      </c>
      <c r="AA880" s="9">
        <f t="shared" si="664"/>
        <v>1.5</v>
      </c>
      <c r="AB880" s="9">
        <f t="shared" si="665"/>
        <v>-0.5</v>
      </c>
      <c r="AC880" s="9">
        <f t="shared" si="666"/>
        <v>-1.125</v>
      </c>
      <c r="AD880" s="9">
        <f t="shared" si="667"/>
        <v>2.5</v>
      </c>
      <c r="AE880" s="9">
        <f t="shared" si="668"/>
        <v>0.875</v>
      </c>
      <c r="AF880" s="9">
        <f t="shared" si="669"/>
        <v>2.375</v>
      </c>
      <c r="AG880" s="9">
        <f t="shared" si="670"/>
        <v>4.875</v>
      </c>
      <c r="AH880" s="9">
        <f t="shared" si="671"/>
        <v>4</v>
      </c>
      <c r="AI880" s="9">
        <f t="shared" si="672"/>
        <v>33.25</v>
      </c>
      <c r="AJ880" s="9">
        <f t="shared" si="673"/>
        <v>0</v>
      </c>
      <c r="AK880" s="9">
        <f t="shared" si="674"/>
        <v>0.375</v>
      </c>
      <c r="AL880" s="9">
        <f t="shared" si="675"/>
        <v>0.375</v>
      </c>
      <c r="AM880" s="9">
        <f t="shared" si="676"/>
        <v>3.875</v>
      </c>
      <c r="AN880" s="9">
        <f t="shared" si="677"/>
        <v>1</v>
      </c>
      <c r="AO880" s="9">
        <f t="shared" si="678"/>
        <v>2</v>
      </c>
      <c r="AP880" s="9">
        <f t="shared" si="679"/>
        <v>3.125</v>
      </c>
      <c r="AQ880" s="9">
        <f t="shared" si="680"/>
        <v>4.875</v>
      </c>
      <c r="AR880" s="9">
        <f t="shared" si="681"/>
        <v>36.75</v>
      </c>
      <c r="AS880" s="9">
        <f t="shared" si="682"/>
        <v>0.25</v>
      </c>
      <c r="AT880" s="9">
        <f t="shared" si="683"/>
        <v>0.625</v>
      </c>
      <c r="AU880" s="9">
        <f t="shared" si="684"/>
        <v>0.125</v>
      </c>
      <c r="AV880" s="9">
        <f t="shared" si="685"/>
        <v>4.125</v>
      </c>
      <c r="AW880" s="9">
        <f t="shared" si="686"/>
        <v>1.625</v>
      </c>
      <c r="AX880" s="9">
        <f t="shared" si="687"/>
        <v>-1.0625</v>
      </c>
      <c r="AY880" s="9">
        <f t="shared" si="688"/>
        <v>2.5</v>
      </c>
      <c r="AZ880" s="9">
        <f t="shared" si="689"/>
        <v>4.375</v>
      </c>
      <c r="BA880" s="9">
        <f t="shared" si="690"/>
        <v>44.25</v>
      </c>
      <c r="BB880" s="9">
        <f t="shared" si="691"/>
        <v>0.375</v>
      </c>
      <c r="BC880" s="9">
        <f t="shared" si="692"/>
        <v>1</v>
      </c>
      <c r="BD880" s="9">
        <f t="shared" si="693"/>
        <v>0.5</v>
      </c>
      <c r="BE880" s="9">
        <f t="shared" si="694"/>
        <v>4.125</v>
      </c>
      <c r="BF880" s="9">
        <f t="shared" si="695"/>
        <v>0.75</v>
      </c>
      <c r="BG880" s="9">
        <f t="shared" si="696"/>
        <v>1.375</v>
      </c>
      <c r="BH880" s="9">
        <f t="shared" si="697"/>
        <v>1.375</v>
      </c>
      <c r="BI880" s="9">
        <f t="shared" si="698"/>
        <v>2.875</v>
      </c>
      <c r="BJ880" s="9">
        <f t="shared" si="699"/>
        <v>46</v>
      </c>
    </row>
    <row r="881" spans="1:62" x14ac:dyDescent="0.2">
      <c r="A881" s="9">
        <f>data!M882-data!M881</f>
        <v>0.70550000000000068</v>
      </c>
      <c r="B881" s="9">
        <f>data!C882-data!C881</f>
        <v>1.620000000000001</v>
      </c>
      <c r="C881" s="9">
        <f>data!D882-data!D881</f>
        <v>0.64749999999999996</v>
      </c>
      <c r="D881" s="10">
        <f>data!B882-data!B881</f>
        <v>-0.14000000000000012</v>
      </c>
      <c r="E881" s="9">
        <f>data!E881-data!G881</f>
        <v>1.4903</v>
      </c>
      <c r="F881" s="9">
        <f>(data!E881-data!F881)-(data!G881-data!H881)</f>
        <v>0.86079999999999979</v>
      </c>
      <c r="G881" s="9">
        <f t="shared" si="650"/>
        <v>-1.9099999999999895E-2</v>
      </c>
      <c r="H881" s="9">
        <f t="shared" si="651"/>
        <v>-1.8299999999999983E-2</v>
      </c>
      <c r="I881" s="9">
        <f>IF(data!M882&gt; 111.81,1,0)</f>
        <v>1</v>
      </c>
      <c r="J881" s="9">
        <f t="shared" si="652"/>
        <v>0</v>
      </c>
      <c r="K881" s="9">
        <f t="shared" si="653"/>
        <v>0.70550000000000068</v>
      </c>
      <c r="L881" s="9">
        <f t="shared" si="654"/>
        <v>0</v>
      </c>
      <c r="M881" s="9">
        <f>data!J881</f>
        <v>-24.25</v>
      </c>
      <c r="N881" s="9">
        <f>data!I881</f>
        <v>-31.75</v>
      </c>
      <c r="O881" s="9">
        <f>data!L881</f>
        <v>-36.75</v>
      </c>
      <c r="P881" s="9">
        <f>data!K881</f>
        <v>-44</v>
      </c>
      <c r="Q881" s="9">
        <f>data!R881</f>
        <v>-45.625</v>
      </c>
      <c r="R881" s="9">
        <f t="shared" si="655"/>
        <v>-0.875</v>
      </c>
      <c r="S881" s="9">
        <f t="shared" si="656"/>
        <v>-2.25</v>
      </c>
      <c r="T881" s="9">
        <f t="shared" si="657"/>
        <v>4</v>
      </c>
      <c r="U881" s="9">
        <f t="shared" si="658"/>
        <v>5</v>
      </c>
      <c r="V881" s="9">
        <f t="shared" si="659"/>
        <v>4.5</v>
      </c>
      <c r="W881" s="9">
        <f t="shared" si="660"/>
        <v>5.875</v>
      </c>
      <c r="X881" s="9">
        <f t="shared" si="661"/>
        <v>6.25</v>
      </c>
      <c r="Y881" s="9">
        <f t="shared" si="662"/>
        <v>24.25</v>
      </c>
      <c r="Z881" s="9">
        <f t="shared" si="663"/>
        <v>24.25</v>
      </c>
      <c r="AA881" s="9">
        <f t="shared" si="664"/>
        <v>-2</v>
      </c>
      <c r="AB881" s="9">
        <f t="shared" si="665"/>
        <v>-2.625</v>
      </c>
      <c r="AC881" s="9">
        <f t="shared" si="666"/>
        <v>1</v>
      </c>
      <c r="AD881" s="9">
        <f t="shared" si="667"/>
        <v>-0.625</v>
      </c>
      <c r="AE881" s="9">
        <f t="shared" si="668"/>
        <v>0.875</v>
      </c>
      <c r="AF881" s="9">
        <f t="shared" si="669"/>
        <v>3.375</v>
      </c>
      <c r="AG881" s="9">
        <f t="shared" si="670"/>
        <v>2.5</v>
      </c>
      <c r="AH881" s="9">
        <f t="shared" si="671"/>
        <v>31.75</v>
      </c>
      <c r="AI881" s="9">
        <f t="shared" si="672"/>
        <v>31.75</v>
      </c>
      <c r="AJ881" s="9">
        <f t="shared" si="673"/>
        <v>0.375</v>
      </c>
      <c r="AK881" s="9">
        <f t="shared" si="674"/>
        <v>0.375</v>
      </c>
      <c r="AL881" s="9">
        <f t="shared" si="675"/>
        <v>3.875</v>
      </c>
      <c r="AM881" s="9">
        <f t="shared" si="676"/>
        <v>1</v>
      </c>
      <c r="AN881" s="9">
        <f t="shared" si="677"/>
        <v>2</v>
      </c>
      <c r="AO881" s="9">
        <f t="shared" si="678"/>
        <v>3.125</v>
      </c>
      <c r="AP881" s="9">
        <f t="shared" si="679"/>
        <v>4.875</v>
      </c>
      <c r="AQ881" s="9">
        <f t="shared" si="680"/>
        <v>36.75</v>
      </c>
      <c r="AR881" s="9">
        <f t="shared" si="681"/>
        <v>36.75</v>
      </c>
      <c r="AS881" s="9">
        <f t="shared" si="682"/>
        <v>0.375</v>
      </c>
      <c r="AT881" s="9">
        <f t="shared" si="683"/>
        <v>-0.125</v>
      </c>
      <c r="AU881" s="9">
        <f t="shared" si="684"/>
        <v>3.875</v>
      </c>
      <c r="AV881" s="9">
        <f t="shared" si="685"/>
        <v>1.375</v>
      </c>
      <c r="AW881" s="9">
        <f t="shared" si="686"/>
        <v>-1.3125</v>
      </c>
      <c r="AX881" s="9">
        <f t="shared" si="687"/>
        <v>2.25</v>
      </c>
      <c r="AY881" s="9">
        <f t="shared" si="688"/>
        <v>4.125</v>
      </c>
      <c r="AZ881" s="9">
        <f t="shared" si="689"/>
        <v>44</v>
      </c>
      <c r="BA881" s="9">
        <f t="shared" si="690"/>
        <v>44</v>
      </c>
      <c r="BB881" s="9">
        <f t="shared" si="691"/>
        <v>0.625</v>
      </c>
      <c r="BC881" s="9">
        <f t="shared" si="692"/>
        <v>0.125</v>
      </c>
      <c r="BD881" s="9">
        <f t="shared" si="693"/>
        <v>3.75</v>
      </c>
      <c r="BE881" s="9">
        <f t="shared" si="694"/>
        <v>0.375</v>
      </c>
      <c r="BF881" s="9">
        <f t="shared" si="695"/>
        <v>1</v>
      </c>
      <c r="BG881" s="9">
        <f t="shared" si="696"/>
        <v>1</v>
      </c>
      <c r="BH881" s="9">
        <f t="shared" si="697"/>
        <v>2.5</v>
      </c>
      <c r="BI881" s="9">
        <f t="shared" si="698"/>
        <v>45.625</v>
      </c>
      <c r="BJ881" s="9">
        <f t="shared" si="699"/>
        <v>45.625</v>
      </c>
    </row>
    <row r="882" spans="1:62" x14ac:dyDescent="0.2">
      <c r="A882" s="9">
        <f>data!M883-data!M882</f>
        <v>1.294099999999986</v>
      </c>
      <c r="B882" s="9">
        <f>data!C883-data!C882</f>
        <v>10.71</v>
      </c>
      <c r="C882" s="9">
        <f>data!D883-data!D882</f>
        <v>1.1875000000000009</v>
      </c>
      <c r="D882" s="10">
        <f>data!B883-data!B882</f>
        <v>-0.71249999999999991</v>
      </c>
      <c r="E882" s="9">
        <f>data!E882-data!G882</f>
        <v>1.4712000000000001</v>
      </c>
      <c r="F882" s="9">
        <f>(data!E882-data!F882)-(data!G882-data!H882)</f>
        <v>0.8424999999999998</v>
      </c>
      <c r="G882" s="9">
        <f t="shared" si="650"/>
        <v>-6.9099999999999939E-2</v>
      </c>
      <c r="H882" s="9">
        <f t="shared" si="651"/>
        <v>-7.2399999999999798E-2</v>
      </c>
      <c r="I882" s="9">
        <f>IF(data!M883&gt; 111.81,1,0)</f>
        <v>1</v>
      </c>
      <c r="J882" s="9">
        <f t="shared" si="652"/>
        <v>0</v>
      </c>
      <c r="K882" s="9">
        <f t="shared" si="653"/>
        <v>1.294099999999986</v>
      </c>
      <c r="L882" s="9">
        <f t="shared" si="654"/>
        <v>0</v>
      </c>
      <c r="M882" s="9">
        <f>data!J882</f>
        <v>-25.125</v>
      </c>
      <c r="N882" s="9">
        <f>data!I882</f>
        <v>-33.75</v>
      </c>
      <c r="O882" s="9">
        <f>data!L882</f>
        <v>-36.375</v>
      </c>
      <c r="P882" s="9">
        <f>data!K882</f>
        <v>-43.625</v>
      </c>
      <c r="Q882" s="9">
        <f>data!R882</f>
        <v>-45</v>
      </c>
      <c r="R882" s="9">
        <f t="shared" si="655"/>
        <v>-1.375</v>
      </c>
      <c r="S882" s="9">
        <f t="shared" si="656"/>
        <v>4.875</v>
      </c>
      <c r="T882" s="9">
        <f t="shared" si="657"/>
        <v>5.875</v>
      </c>
      <c r="U882" s="9">
        <f t="shared" si="658"/>
        <v>5.375</v>
      </c>
      <c r="V882" s="9">
        <f t="shared" si="659"/>
        <v>6.75</v>
      </c>
      <c r="W882" s="9">
        <f t="shared" si="660"/>
        <v>7.125</v>
      </c>
      <c r="X882" s="9">
        <f t="shared" si="661"/>
        <v>25.125</v>
      </c>
      <c r="Y882" s="9">
        <f t="shared" si="662"/>
        <v>25.125</v>
      </c>
      <c r="Z882" s="9">
        <f t="shared" si="663"/>
        <v>25.125</v>
      </c>
      <c r="AA882" s="9">
        <f t="shared" si="664"/>
        <v>-0.625</v>
      </c>
      <c r="AB882" s="9">
        <f t="shared" si="665"/>
        <v>3</v>
      </c>
      <c r="AC882" s="9">
        <f t="shared" si="666"/>
        <v>1.375</v>
      </c>
      <c r="AD882" s="9">
        <f t="shared" si="667"/>
        <v>2.875</v>
      </c>
      <c r="AE882" s="9">
        <f t="shared" si="668"/>
        <v>5.375</v>
      </c>
      <c r="AF882" s="9">
        <f t="shared" si="669"/>
        <v>4.5</v>
      </c>
      <c r="AG882" s="9">
        <f t="shared" si="670"/>
        <v>33.75</v>
      </c>
      <c r="AH882" s="9">
        <f t="shared" si="671"/>
        <v>33.75</v>
      </c>
      <c r="AI882" s="9">
        <f t="shared" si="672"/>
        <v>33.75</v>
      </c>
      <c r="AJ882" s="9">
        <f t="shared" si="673"/>
        <v>0</v>
      </c>
      <c r="AK882" s="9">
        <f t="shared" si="674"/>
        <v>3.5</v>
      </c>
      <c r="AL882" s="9">
        <f t="shared" si="675"/>
        <v>0.625</v>
      </c>
      <c r="AM882" s="9">
        <f t="shared" si="676"/>
        <v>1.625</v>
      </c>
      <c r="AN882" s="9">
        <f t="shared" si="677"/>
        <v>2.75</v>
      </c>
      <c r="AO882" s="9">
        <f t="shared" si="678"/>
        <v>4.5</v>
      </c>
      <c r="AP882" s="9">
        <f t="shared" si="679"/>
        <v>36.375</v>
      </c>
      <c r="AQ882" s="9">
        <f t="shared" si="680"/>
        <v>36.375</v>
      </c>
      <c r="AR882" s="9">
        <f t="shared" si="681"/>
        <v>36.375</v>
      </c>
      <c r="AS882" s="9">
        <f t="shared" si="682"/>
        <v>-0.5</v>
      </c>
      <c r="AT882" s="9">
        <f t="shared" si="683"/>
        <v>3.5</v>
      </c>
      <c r="AU882" s="9">
        <f t="shared" si="684"/>
        <v>1</v>
      </c>
      <c r="AV882" s="9">
        <f t="shared" si="685"/>
        <v>-1.6875</v>
      </c>
      <c r="AW882" s="9">
        <f t="shared" si="686"/>
        <v>1.875</v>
      </c>
      <c r="AX882" s="9">
        <f t="shared" si="687"/>
        <v>3.75</v>
      </c>
      <c r="AY882" s="9">
        <f t="shared" si="688"/>
        <v>43.625</v>
      </c>
      <c r="AZ882" s="9">
        <f t="shared" si="689"/>
        <v>43.625</v>
      </c>
      <c r="BA882" s="9">
        <f t="shared" si="690"/>
        <v>43.625</v>
      </c>
      <c r="BB882" s="9">
        <f t="shared" si="691"/>
        <v>-0.5</v>
      </c>
      <c r="BC882" s="9">
        <f t="shared" si="692"/>
        <v>3.125</v>
      </c>
      <c r="BD882" s="9">
        <f t="shared" si="693"/>
        <v>-0.25</v>
      </c>
      <c r="BE882" s="9">
        <f t="shared" si="694"/>
        <v>0.375</v>
      </c>
      <c r="BF882" s="9">
        <f t="shared" si="695"/>
        <v>0.375</v>
      </c>
      <c r="BG882" s="9">
        <f t="shared" si="696"/>
        <v>1.875</v>
      </c>
      <c r="BH882" s="9">
        <f t="shared" si="697"/>
        <v>45</v>
      </c>
      <c r="BI882" s="9">
        <f t="shared" si="698"/>
        <v>45</v>
      </c>
      <c r="BJ882" s="9">
        <f t="shared" si="699"/>
        <v>45</v>
      </c>
    </row>
    <row r="883" spans="1:62" x14ac:dyDescent="0.2">
      <c r="A883" s="9">
        <f>data!M884-data!M883</f>
        <v>-0.27479999999999905</v>
      </c>
      <c r="B883" s="9">
        <f>data!C884-data!C883</f>
        <v>2.0500000000000007</v>
      </c>
      <c r="C883" s="9">
        <f>data!D884-data!D883</f>
        <v>-0.7425000000000006</v>
      </c>
      <c r="D883" s="10">
        <f>data!B884-data!B883</f>
        <v>0.1399999999999999</v>
      </c>
      <c r="E883" s="9">
        <f>data!E883-data!G883</f>
        <v>1.4021000000000001</v>
      </c>
      <c r="F883" s="9">
        <f>(data!E883-data!F883)-(data!G883-data!H883)</f>
        <v>0.77010000000000001</v>
      </c>
      <c r="G883" s="9">
        <f t="shared" si="650"/>
        <v>-0.1071000000000002</v>
      </c>
      <c r="H883" s="9">
        <f t="shared" si="651"/>
        <v>-0.18340000000000001</v>
      </c>
      <c r="I883" s="9">
        <f>IF(data!M884&gt; 111.81,1,0)</f>
        <v>1</v>
      </c>
      <c r="J883" s="9">
        <f t="shared" si="652"/>
        <v>0</v>
      </c>
      <c r="K883" s="9">
        <f t="shared" si="653"/>
        <v>-0.27479999999999905</v>
      </c>
      <c r="L883" s="9">
        <f t="shared" si="654"/>
        <v>0</v>
      </c>
      <c r="M883" s="9">
        <f>data!J883</f>
        <v>-26.5</v>
      </c>
      <c r="N883" s="9">
        <f>data!I883</f>
        <v>-34.375</v>
      </c>
      <c r="O883" s="9">
        <f>data!L883</f>
        <v>-36.375</v>
      </c>
      <c r="P883" s="9">
        <f>data!K883</f>
        <v>-44.125</v>
      </c>
      <c r="Q883" s="9">
        <f>data!R883</f>
        <v>-45.5</v>
      </c>
      <c r="R883" s="9">
        <f t="shared" si="655"/>
        <v>6.25</v>
      </c>
      <c r="S883" s="9">
        <f t="shared" si="656"/>
        <v>7.25</v>
      </c>
      <c r="T883" s="9">
        <f t="shared" si="657"/>
        <v>6.75</v>
      </c>
      <c r="U883" s="9">
        <f t="shared" si="658"/>
        <v>8.125</v>
      </c>
      <c r="V883" s="9">
        <f t="shared" si="659"/>
        <v>8.5</v>
      </c>
      <c r="W883" s="9">
        <f t="shared" si="660"/>
        <v>26.5</v>
      </c>
      <c r="X883" s="9">
        <f t="shared" si="661"/>
        <v>26.5</v>
      </c>
      <c r="Y883" s="9">
        <f t="shared" si="662"/>
        <v>26.5</v>
      </c>
      <c r="Z883" s="9">
        <f t="shared" si="663"/>
        <v>26.5</v>
      </c>
      <c r="AA883" s="9">
        <f t="shared" si="664"/>
        <v>3.625</v>
      </c>
      <c r="AB883" s="9">
        <f t="shared" si="665"/>
        <v>2</v>
      </c>
      <c r="AC883" s="9">
        <f t="shared" si="666"/>
        <v>3.5</v>
      </c>
      <c r="AD883" s="9">
        <f t="shared" si="667"/>
        <v>6</v>
      </c>
      <c r="AE883" s="9">
        <f t="shared" si="668"/>
        <v>5.125</v>
      </c>
      <c r="AF883" s="9">
        <f t="shared" si="669"/>
        <v>34.375</v>
      </c>
      <c r="AG883" s="9">
        <f t="shared" si="670"/>
        <v>34.375</v>
      </c>
      <c r="AH883" s="9">
        <f t="shared" si="671"/>
        <v>34.375</v>
      </c>
      <c r="AI883" s="9">
        <f t="shared" si="672"/>
        <v>34.375</v>
      </c>
      <c r="AJ883" s="9">
        <f t="shared" si="673"/>
        <v>3.5</v>
      </c>
      <c r="AK883" s="9">
        <f t="shared" si="674"/>
        <v>0.625</v>
      </c>
      <c r="AL883" s="9">
        <f t="shared" si="675"/>
        <v>1.625</v>
      </c>
      <c r="AM883" s="9">
        <f t="shared" si="676"/>
        <v>2.75</v>
      </c>
      <c r="AN883" s="9">
        <f t="shared" si="677"/>
        <v>4.5</v>
      </c>
      <c r="AO883" s="9">
        <f t="shared" si="678"/>
        <v>36.375</v>
      </c>
      <c r="AP883" s="9">
        <f t="shared" si="679"/>
        <v>36.375</v>
      </c>
      <c r="AQ883" s="9">
        <f t="shared" si="680"/>
        <v>36.375</v>
      </c>
      <c r="AR883" s="9">
        <f t="shared" si="681"/>
        <v>36.375</v>
      </c>
      <c r="AS883" s="9">
        <f t="shared" si="682"/>
        <v>4</v>
      </c>
      <c r="AT883" s="9">
        <f t="shared" si="683"/>
        <v>1.5</v>
      </c>
      <c r="AU883" s="9">
        <f t="shared" si="684"/>
        <v>-1.1875</v>
      </c>
      <c r="AV883" s="9">
        <f t="shared" si="685"/>
        <v>2.375</v>
      </c>
      <c r="AW883" s="9">
        <f t="shared" si="686"/>
        <v>4.25</v>
      </c>
      <c r="AX883" s="9">
        <f t="shared" si="687"/>
        <v>44.125</v>
      </c>
      <c r="AY883" s="9">
        <f t="shared" si="688"/>
        <v>44.125</v>
      </c>
      <c r="AZ883" s="9">
        <f t="shared" si="689"/>
        <v>44.125</v>
      </c>
      <c r="BA883" s="9">
        <f t="shared" si="690"/>
        <v>44.125</v>
      </c>
      <c r="BB883" s="9">
        <f t="shared" si="691"/>
        <v>3.625</v>
      </c>
      <c r="BC883" s="9">
        <f t="shared" si="692"/>
        <v>0.25</v>
      </c>
      <c r="BD883" s="9">
        <f t="shared" si="693"/>
        <v>0.875</v>
      </c>
      <c r="BE883" s="9">
        <f t="shared" si="694"/>
        <v>0.875</v>
      </c>
      <c r="BF883" s="9">
        <f t="shared" si="695"/>
        <v>2.375</v>
      </c>
      <c r="BG883" s="9">
        <f t="shared" si="696"/>
        <v>45.5</v>
      </c>
      <c r="BH883" s="9">
        <f t="shared" si="697"/>
        <v>45.5</v>
      </c>
      <c r="BI883" s="9">
        <f t="shared" si="698"/>
        <v>45.5</v>
      </c>
      <c r="BJ883" s="9">
        <f t="shared" si="699"/>
        <v>45.5</v>
      </c>
    </row>
    <row r="884" spans="1:62" x14ac:dyDescent="0.2">
      <c r="A884" s="9">
        <f>data!M885-data!M884</f>
        <v>-0.6658999999999935</v>
      </c>
      <c r="B884" s="9">
        <f>data!C885-data!C884</f>
        <v>-11.98</v>
      </c>
      <c r="C884" s="9">
        <f>data!D885-data!D884</f>
        <v>-0.54999999999999982</v>
      </c>
      <c r="D884" s="10">
        <f>data!B885-data!B884</f>
        <v>0.35000000000000009</v>
      </c>
      <c r="E884" s="9">
        <f>data!E884-data!G884</f>
        <v>1.2949999999999999</v>
      </c>
      <c r="F884" s="9">
        <f>(data!E884-data!F884)-(data!G884-data!H884)</f>
        <v>0.5867</v>
      </c>
      <c r="G884" s="9">
        <f t="shared" si="650"/>
        <v>0.13870000000000005</v>
      </c>
      <c r="H884" s="9">
        <f t="shared" si="651"/>
        <v>8.0699999999999994E-2</v>
      </c>
      <c r="I884" s="9">
        <f>IF(data!M885&gt; 111.81,1,0)</f>
        <v>1</v>
      </c>
      <c r="J884" s="9">
        <f t="shared" si="652"/>
        <v>0</v>
      </c>
      <c r="K884" s="9">
        <f t="shared" si="653"/>
        <v>-0.6658999999999935</v>
      </c>
      <c r="L884" s="9">
        <f t="shared" si="654"/>
        <v>0</v>
      </c>
      <c r="M884" s="9">
        <f>data!J884</f>
        <v>-20.25</v>
      </c>
      <c r="N884" s="9">
        <f>data!I884</f>
        <v>-30.75</v>
      </c>
      <c r="O884" s="9">
        <f>data!L884</f>
        <v>-32.875</v>
      </c>
      <c r="P884" s="9">
        <f>data!K884</f>
        <v>-40.125</v>
      </c>
      <c r="Q884" s="9">
        <f>data!R884</f>
        <v>-41.875</v>
      </c>
      <c r="R884" s="9">
        <f t="shared" si="655"/>
        <v>1</v>
      </c>
      <c r="S884" s="9">
        <f t="shared" si="656"/>
        <v>0.5</v>
      </c>
      <c r="T884" s="9">
        <f t="shared" si="657"/>
        <v>1.875</v>
      </c>
      <c r="U884" s="9">
        <f t="shared" si="658"/>
        <v>2.25</v>
      </c>
      <c r="V884" s="9">
        <f t="shared" si="659"/>
        <v>20.25</v>
      </c>
      <c r="W884" s="9">
        <f t="shared" si="660"/>
        <v>20.25</v>
      </c>
      <c r="X884" s="9">
        <f t="shared" si="661"/>
        <v>20.25</v>
      </c>
      <c r="Y884" s="9">
        <f t="shared" si="662"/>
        <v>20.25</v>
      </c>
      <c r="Z884" s="9">
        <f t="shared" si="663"/>
        <v>20.25</v>
      </c>
      <c r="AA884" s="9">
        <f t="shared" si="664"/>
        <v>-1.625</v>
      </c>
      <c r="AB884" s="9">
        <f t="shared" si="665"/>
        <v>-0.125</v>
      </c>
      <c r="AC884" s="9">
        <f t="shared" si="666"/>
        <v>2.375</v>
      </c>
      <c r="AD884" s="9">
        <f t="shared" si="667"/>
        <v>1.5</v>
      </c>
      <c r="AE884" s="9">
        <f t="shared" si="668"/>
        <v>30.75</v>
      </c>
      <c r="AF884" s="9">
        <f t="shared" si="669"/>
        <v>30.75</v>
      </c>
      <c r="AG884" s="9">
        <f t="shared" si="670"/>
        <v>30.75</v>
      </c>
      <c r="AH884" s="9">
        <f t="shared" si="671"/>
        <v>30.75</v>
      </c>
      <c r="AI884" s="9">
        <f t="shared" si="672"/>
        <v>30.75</v>
      </c>
      <c r="AJ884" s="9">
        <f t="shared" si="673"/>
        <v>-2.875</v>
      </c>
      <c r="AK884" s="9">
        <f t="shared" si="674"/>
        <v>-1.875</v>
      </c>
      <c r="AL884" s="9">
        <f t="shared" si="675"/>
        <v>-0.75</v>
      </c>
      <c r="AM884" s="9">
        <f t="shared" si="676"/>
        <v>1</v>
      </c>
      <c r="AN884" s="9">
        <f t="shared" si="677"/>
        <v>32.875</v>
      </c>
      <c r="AO884" s="9">
        <f t="shared" si="678"/>
        <v>32.875</v>
      </c>
      <c r="AP884" s="9">
        <f t="shared" si="679"/>
        <v>32.875</v>
      </c>
      <c r="AQ884" s="9">
        <f t="shared" si="680"/>
        <v>32.875</v>
      </c>
      <c r="AR884" s="9">
        <f t="shared" si="681"/>
        <v>32.875</v>
      </c>
      <c r="AS884" s="9">
        <f t="shared" si="682"/>
        <v>-2.5</v>
      </c>
      <c r="AT884" s="9">
        <f t="shared" si="683"/>
        <v>-5.1875</v>
      </c>
      <c r="AU884" s="9">
        <f t="shared" si="684"/>
        <v>-1.625</v>
      </c>
      <c r="AV884" s="9">
        <f t="shared" si="685"/>
        <v>0.25</v>
      </c>
      <c r="AW884" s="9">
        <f t="shared" si="686"/>
        <v>40.125</v>
      </c>
      <c r="AX884" s="9">
        <f t="shared" si="687"/>
        <v>40.125</v>
      </c>
      <c r="AY884" s="9">
        <f t="shared" si="688"/>
        <v>40.125</v>
      </c>
      <c r="AZ884" s="9">
        <f t="shared" si="689"/>
        <v>40.125</v>
      </c>
      <c r="BA884" s="9">
        <f t="shared" si="690"/>
        <v>40.125</v>
      </c>
      <c r="BB884" s="9">
        <f t="shared" si="691"/>
        <v>-3.375</v>
      </c>
      <c r="BC884" s="9">
        <f t="shared" si="692"/>
        <v>-2.75</v>
      </c>
      <c r="BD884" s="9">
        <f t="shared" si="693"/>
        <v>-2.75</v>
      </c>
      <c r="BE884" s="9">
        <f t="shared" si="694"/>
        <v>-1.25</v>
      </c>
      <c r="BF884" s="9">
        <f t="shared" si="695"/>
        <v>41.875</v>
      </c>
      <c r="BG884" s="9">
        <f t="shared" si="696"/>
        <v>41.875</v>
      </c>
      <c r="BH884" s="9">
        <f t="shared" si="697"/>
        <v>41.875</v>
      </c>
      <c r="BI884" s="9">
        <f t="shared" si="698"/>
        <v>41.875</v>
      </c>
      <c r="BJ884" s="9">
        <f t="shared" si="699"/>
        <v>41.875</v>
      </c>
    </row>
    <row r="885" spans="1:62" x14ac:dyDescent="0.2">
      <c r="A885" s="9">
        <f>data!M886-data!M885</f>
        <v>0.21699999999999875</v>
      </c>
      <c r="B885" s="9">
        <f>data!C886-data!C885</f>
        <v>2.879999999999999</v>
      </c>
      <c r="C885" s="9">
        <f>data!D886-data!D885</f>
        <v>-0.49500000000000011</v>
      </c>
      <c r="D885" s="10">
        <f>data!B886-data!B885</f>
        <v>0.14749999999999996</v>
      </c>
      <c r="E885" s="9">
        <f>data!E885-data!G885</f>
        <v>1.4337</v>
      </c>
      <c r="F885" s="9">
        <f>(data!E885-data!F885)-(data!G885-data!H885)</f>
        <v>0.66739999999999999</v>
      </c>
      <c r="G885" s="9">
        <f t="shared" si="650"/>
        <v>-7.5600000000000112E-2</v>
      </c>
      <c r="H885" s="9">
        <f t="shared" si="651"/>
        <v>-6.2900000000000067E-2</v>
      </c>
      <c r="I885" s="9">
        <f>IF(data!M886&gt; 111.81,1,0)</f>
        <v>1</v>
      </c>
      <c r="J885" s="9">
        <f t="shared" si="652"/>
        <v>0</v>
      </c>
      <c r="K885" s="9">
        <f t="shared" si="653"/>
        <v>0.21699999999999875</v>
      </c>
      <c r="L885" s="9">
        <f t="shared" si="654"/>
        <v>0</v>
      </c>
      <c r="M885" s="9">
        <f>data!J885</f>
        <v>-19.25</v>
      </c>
      <c r="N885" s="9">
        <f>data!I885</f>
        <v>-32.375</v>
      </c>
      <c r="O885" s="9">
        <f>data!L885</f>
        <v>-35.75</v>
      </c>
      <c r="P885" s="9">
        <f>data!K885</f>
        <v>-42.625</v>
      </c>
      <c r="Q885" s="9">
        <f>data!R885</f>
        <v>-45.25</v>
      </c>
      <c r="R885" s="9">
        <f t="shared" si="655"/>
        <v>-0.5</v>
      </c>
      <c r="S885" s="9">
        <f t="shared" si="656"/>
        <v>0.875</v>
      </c>
      <c r="T885" s="9">
        <f t="shared" si="657"/>
        <v>1.25</v>
      </c>
      <c r="U885" s="9">
        <f t="shared" si="658"/>
        <v>19.25</v>
      </c>
      <c r="V885" s="9">
        <f t="shared" si="659"/>
        <v>19.25</v>
      </c>
      <c r="W885" s="9">
        <f t="shared" si="660"/>
        <v>19.25</v>
      </c>
      <c r="X885" s="9">
        <f t="shared" si="661"/>
        <v>19.25</v>
      </c>
      <c r="Y885" s="9">
        <f t="shared" si="662"/>
        <v>19.25</v>
      </c>
      <c r="Z885" s="9">
        <f t="shared" si="663"/>
        <v>19.25</v>
      </c>
      <c r="AA885" s="9">
        <f t="shared" si="664"/>
        <v>1.5</v>
      </c>
      <c r="AB885" s="9">
        <f t="shared" si="665"/>
        <v>4</v>
      </c>
      <c r="AC885" s="9">
        <f t="shared" si="666"/>
        <v>3.125</v>
      </c>
      <c r="AD885" s="9">
        <f t="shared" si="667"/>
        <v>32.375</v>
      </c>
      <c r="AE885" s="9">
        <f t="shared" si="668"/>
        <v>32.375</v>
      </c>
      <c r="AF885" s="9">
        <f t="shared" si="669"/>
        <v>32.375</v>
      </c>
      <c r="AG885" s="9">
        <f t="shared" si="670"/>
        <v>32.375</v>
      </c>
      <c r="AH885" s="9">
        <f t="shared" si="671"/>
        <v>32.375</v>
      </c>
      <c r="AI885" s="9">
        <f t="shared" si="672"/>
        <v>32.375</v>
      </c>
      <c r="AJ885" s="9">
        <f t="shared" si="673"/>
        <v>1</v>
      </c>
      <c r="AK885" s="9">
        <f t="shared" si="674"/>
        <v>2.125</v>
      </c>
      <c r="AL885" s="9">
        <f t="shared" si="675"/>
        <v>3.875</v>
      </c>
      <c r="AM885" s="9">
        <f t="shared" si="676"/>
        <v>35.75</v>
      </c>
      <c r="AN885" s="9">
        <f t="shared" si="677"/>
        <v>35.75</v>
      </c>
      <c r="AO885" s="9">
        <f t="shared" si="678"/>
        <v>35.75</v>
      </c>
      <c r="AP885" s="9">
        <f t="shared" si="679"/>
        <v>35.75</v>
      </c>
      <c r="AQ885" s="9">
        <f t="shared" si="680"/>
        <v>35.75</v>
      </c>
      <c r="AR885" s="9">
        <f t="shared" si="681"/>
        <v>35.75</v>
      </c>
      <c r="AS885" s="9">
        <f t="shared" si="682"/>
        <v>-2.6875</v>
      </c>
      <c r="AT885" s="9">
        <f t="shared" si="683"/>
        <v>0.875</v>
      </c>
      <c r="AU885" s="9">
        <f t="shared" si="684"/>
        <v>2.75</v>
      </c>
      <c r="AV885" s="9">
        <f t="shared" si="685"/>
        <v>42.625</v>
      </c>
      <c r="AW885" s="9">
        <f t="shared" si="686"/>
        <v>42.625</v>
      </c>
      <c r="AX885" s="9">
        <f t="shared" si="687"/>
        <v>42.625</v>
      </c>
      <c r="AY885" s="9">
        <f t="shared" si="688"/>
        <v>42.625</v>
      </c>
      <c r="AZ885" s="9">
        <f t="shared" si="689"/>
        <v>42.625</v>
      </c>
      <c r="BA885" s="9">
        <f t="shared" si="690"/>
        <v>42.625</v>
      </c>
      <c r="BB885" s="9">
        <f t="shared" si="691"/>
        <v>0.625</v>
      </c>
      <c r="BC885" s="9">
        <f t="shared" si="692"/>
        <v>0.625</v>
      </c>
      <c r="BD885" s="9">
        <f t="shared" si="693"/>
        <v>2.125</v>
      </c>
      <c r="BE885" s="9">
        <f t="shared" si="694"/>
        <v>45.25</v>
      </c>
      <c r="BF885" s="9">
        <f t="shared" si="695"/>
        <v>45.25</v>
      </c>
      <c r="BG885" s="9">
        <f t="shared" si="696"/>
        <v>45.25</v>
      </c>
      <c r="BH885" s="9">
        <f t="shared" si="697"/>
        <v>45.25</v>
      </c>
      <c r="BI885" s="9">
        <f t="shared" si="698"/>
        <v>45.25</v>
      </c>
      <c r="BJ885" s="9">
        <f t="shared" si="699"/>
        <v>45.25</v>
      </c>
    </row>
    <row r="886" spans="1:62" x14ac:dyDescent="0.2">
      <c r="A886" s="9">
        <f>data!M887-data!M886</f>
        <v>-0.25530000000000541</v>
      </c>
      <c r="B886" s="9">
        <f>data!C887-data!C886</f>
        <v>-3.6099999999999994</v>
      </c>
      <c r="C886" s="9">
        <f>data!D887-data!D886</f>
        <v>-0.34250000000000025</v>
      </c>
      <c r="D886" s="10">
        <f>data!B887-data!B886</f>
        <v>0.21750000000000003</v>
      </c>
      <c r="E886" s="9">
        <f>data!E886-data!G886</f>
        <v>1.3580999999999999</v>
      </c>
      <c r="F886" s="9">
        <f>(data!E886-data!F886)-(data!G886-data!H886)</f>
        <v>0.60449999999999993</v>
      </c>
      <c r="G886" s="9">
        <f t="shared" si="650"/>
        <v>7.360000000000011E-2</v>
      </c>
      <c r="H886" s="9">
        <f t="shared" si="651"/>
        <v>4.0099999999999913E-2</v>
      </c>
      <c r="I886" s="9">
        <f>IF(data!M887&gt; 111.81,1,0)</f>
        <v>1</v>
      </c>
      <c r="J886" s="9">
        <f t="shared" si="652"/>
        <v>0</v>
      </c>
      <c r="K886" s="9">
        <f t="shared" si="653"/>
        <v>-0.25530000000000541</v>
      </c>
      <c r="L886" s="9">
        <f t="shared" si="654"/>
        <v>0</v>
      </c>
      <c r="M886" s="9">
        <f>data!J886</f>
        <v>-19.75</v>
      </c>
      <c r="N886" s="9">
        <f>data!I886</f>
        <v>-30.875</v>
      </c>
      <c r="O886" s="9">
        <f>data!L886</f>
        <v>-34.75</v>
      </c>
      <c r="P886" s="9">
        <f>data!K886</f>
        <v>-45.3125</v>
      </c>
      <c r="Q886" s="9">
        <f>data!R886</f>
        <v>-44.625</v>
      </c>
      <c r="R886" s="9">
        <f t="shared" si="655"/>
        <v>1.375</v>
      </c>
      <c r="S886" s="9">
        <f t="shared" si="656"/>
        <v>1.75</v>
      </c>
      <c r="T886" s="9">
        <f t="shared" si="657"/>
        <v>19.75</v>
      </c>
      <c r="U886" s="9">
        <f t="shared" si="658"/>
        <v>19.75</v>
      </c>
      <c r="V886" s="9">
        <f t="shared" si="659"/>
        <v>19.75</v>
      </c>
      <c r="W886" s="9">
        <f t="shared" si="660"/>
        <v>19.75</v>
      </c>
      <c r="X886" s="9">
        <f t="shared" si="661"/>
        <v>19.75</v>
      </c>
      <c r="Y886" s="9">
        <f t="shared" si="662"/>
        <v>19.75</v>
      </c>
      <c r="Z886" s="9">
        <f t="shared" si="663"/>
        <v>19.75</v>
      </c>
      <c r="AA886" s="9">
        <f t="shared" si="664"/>
        <v>2.5</v>
      </c>
      <c r="AB886" s="9">
        <f t="shared" si="665"/>
        <v>1.625</v>
      </c>
      <c r="AC886" s="9">
        <f t="shared" si="666"/>
        <v>30.875</v>
      </c>
      <c r="AD886" s="9">
        <f t="shared" si="667"/>
        <v>30.875</v>
      </c>
      <c r="AE886" s="9">
        <f t="shared" si="668"/>
        <v>30.875</v>
      </c>
      <c r="AF886" s="9">
        <f t="shared" si="669"/>
        <v>30.875</v>
      </c>
      <c r="AG886" s="9">
        <f t="shared" si="670"/>
        <v>30.875</v>
      </c>
      <c r="AH886" s="9">
        <f t="shared" si="671"/>
        <v>30.875</v>
      </c>
      <c r="AI886" s="9">
        <f t="shared" si="672"/>
        <v>30.875</v>
      </c>
      <c r="AJ886" s="9">
        <f t="shared" si="673"/>
        <v>1.125</v>
      </c>
      <c r="AK886" s="9">
        <f t="shared" si="674"/>
        <v>2.875</v>
      </c>
      <c r="AL886" s="9">
        <f t="shared" si="675"/>
        <v>34.75</v>
      </c>
      <c r="AM886" s="9">
        <f t="shared" si="676"/>
        <v>34.75</v>
      </c>
      <c r="AN886" s="9">
        <f t="shared" si="677"/>
        <v>34.75</v>
      </c>
      <c r="AO886" s="9">
        <f t="shared" si="678"/>
        <v>34.75</v>
      </c>
      <c r="AP886" s="9">
        <f t="shared" si="679"/>
        <v>34.75</v>
      </c>
      <c r="AQ886" s="9">
        <f t="shared" si="680"/>
        <v>34.75</v>
      </c>
      <c r="AR886" s="9">
        <f t="shared" si="681"/>
        <v>34.75</v>
      </c>
      <c r="AS886" s="9">
        <f t="shared" si="682"/>
        <v>3.5625</v>
      </c>
      <c r="AT886" s="9">
        <f t="shared" si="683"/>
        <v>5.4375</v>
      </c>
      <c r="AU886" s="9">
        <f t="shared" si="684"/>
        <v>45.3125</v>
      </c>
      <c r="AV886" s="9">
        <f t="shared" si="685"/>
        <v>45.3125</v>
      </c>
      <c r="AW886" s="9">
        <f t="shared" si="686"/>
        <v>45.3125</v>
      </c>
      <c r="AX886" s="9">
        <f t="shared" si="687"/>
        <v>45.3125</v>
      </c>
      <c r="AY886" s="9">
        <f t="shared" si="688"/>
        <v>45.3125</v>
      </c>
      <c r="AZ886" s="9">
        <f t="shared" si="689"/>
        <v>45.3125</v>
      </c>
      <c r="BA886" s="9">
        <f t="shared" si="690"/>
        <v>45.3125</v>
      </c>
      <c r="BB886" s="9">
        <f t="shared" si="691"/>
        <v>0</v>
      </c>
      <c r="BC886" s="9">
        <f t="shared" si="692"/>
        <v>1.5</v>
      </c>
      <c r="BD886" s="9">
        <f t="shared" si="693"/>
        <v>44.625</v>
      </c>
      <c r="BE886" s="9">
        <f t="shared" si="694"/>
        <v>44.625</v>
      </c>
      <c r="BF886" s="9">
        <f t="shared" si="695"/>
        <v>44.625</v>
      </c>
      <c r="BG886" s="9">
        <f t="shared" si="696"/>
        <v>44.625</v>
      </c>
      <c r="BH886" s="9">
        <f t="shared" si="697"/>
        <v>44.625</v>
      </c>
      <c r="BI886" s="9">
        <f t="shared" si="698"/>
        <v>44.625</v>
      </c>
      <c r="BJ886" s="9">
        <f t="shared" si="699"/>
        <v>44.625</v>
      </c>
    </row>
    <row r="887" spans="1:62" x14ac:dyDescent="0.2">
      <c r="A887" s="9">
        <f>data!M888-data!M887</f>
        <v>-0.25</v>
      </c>
      <c r="B887" s="9">
        <f>data!C888-data!C887</f>
        <v>-0.74000000000000199</v>
      </c>
      <c r="C887" s="9">
        <f>data!D888-data!D887</f>
        <v>-0.16249999999999964</v>
      </c>
      <c r="D887" s="10">
        <f>data!B888-data!B887</f>
        <v>0.11499999999999999</v>
      </c>
      <c r="E887" s="9">
        <f>data!E887-data!G887</f>
        <v>1.4317</v>
      </c>
      <c r="F887" s="9">
        <f>(data!E887-data!F887)-(data!G887-data!H887)</f>
        <v>0.64459999999999984</v>
      </c>
      <c r="G887" s="9">
        <f t="shared" si="650"/>
        <v>1.3400000000000079E-2</v>
      </c>
      <c r="H887" s="9">
        <f t="shared" si="651"/>
        <v>-2.5699999999999834E-2</v>
      </c>
      <c r="I887" s="9">
        <f>IF(data!M888&gt; 111.81,1,0)</f>
        <v>1</v>
      </c>
      <c r="J887" s="9">
        <f t="shared" si="652"/>
        <v>0</v>
      </c>
      <c r="K887" s="9">
        <f t="shared" si="653"/>
        <v>-0.25</v>
      </c>
      <c r="L887" s="9">
        <f t="shared" si="654"/>
        <v>0</v>
      </c>
      <c r="M887" s="9">
        <f>data!J887</f>
        <v>-18.375</v>
      </c>
      <c r="N887" s="9">
        <f>data!I887</f>
        <v>-28.375</v>
      </c>
      <c r="O887" s="9">
        <f>data!L887</f>
        <v>-33.625</v>
      </c>
      <c r="P887" s="9">
        <f>data!K887</f>
        <v>-41.75</v>
      </c>
      <c r="Q887" s="9">
        <f>data!R887</f>
        <v>-44.625</v>
      </c>
      <c r="R887" s="9">
        <f t="shared" si="655"/>
        <v>0.375</v>
      </c>
      <c r="S887" s="9">
        <f t="shared" si="656"/>
        <v>18.375</v>
      </c>
      <c r="T887" s="9">
        <f t="shared" si="657"/>
        <v>18.375</v>
      </c>
      <c r="U887" s="9">
        <f t="shared" si="658"/>
        <v>18.375</v>
      </c>
      <c r="V887" s="9">
        <f t="shared" si="659"/>
        <v>18.375</v>
      </c>
      <c r="W887" s="9">
        <f t="shared" si="660"/>
        <v>18.375</v>
      </c>
      <c r="X887" s="9">
        <f t="shared" si="661"/>
        <v>18.375</v>
      </c>
      <c r="Y887" s="9">
        <f t="shared" si="662"/>
        <v>18.375</v>
      </c>
      <c r="Z887" s="9">
        <f t="shared" si="663"/>
        <v>18.375</v>
      </c>
      <c r="AA887" s="9">
        <f t="shared" si="664"/>
        <v>-0.875</v>
      </c>
      <c r="AB887" s="9">
        <f t="shared" si="665"/>
        <v>28.375</v>
      </c>
      <c r="AC887" s="9">
        <f t="shared" si="666"/>
        <v>28.375</v>
      </c>
      <c r="AD887" s="9">
        <f t="shared" si="667"/>
        <v>28.375</v>
      </c>
      <c r="AE887" s="9">
        <f t="shared" si="668"/>
        <v>28.375</v>
      </c>
      <c r="AF887" s="9">
        <f t="shared" si="669"/>
        <v>28.375</v>
      </c>
      <c r="AG887" s="9">
        <f t="shared" si="670"/>
        <v>28.375</v>
      </c>
      <c r="AH887" s="9">
        <f t="shared" si="671"/>
        <v>28.375</v>
      </c>
      <c r="AI887" s="9">
        <f t="shared" si="672"/>
        <v>28.375</v>
      </c>
      <c r="AJ887" s="9">
        <f t="shared" si="673"/>
        <v>1.75</v>
      </c>
      <c r="AK887" s="9">
        <f t="shared" si="674"/>
        <v>33.625</v>
      </c>
      <c r="AL887" s="9">
        <f t="shared" si="675"/>
        <v>33.625</v>
      </c>
      <c r="AM887" s="9">
        <f t="shared" si="676"/>
        <v>33.625</v>
      </c>
      <c r="AN887" s="9">
        <f t="shared" si="677"/>
        <v>33.625</v>
      </c>
      <c r="AO887" s="9">
        <f t="shared" si="678"/>
        <v>33.625</v>
      </c>
      <c r="AP887" s="9">
        <f t="shared" si="679"/>
        <v>33.625</v>
      </c>
      <c r="AQ887" s="9">
        <f t="shared" si="680"/>
        <v>33.625</v>
      </c>
      <c r="AR887" s="9">
        <f t="shared" si="681"/>
        <v>33.625</v>
      </c>
      <c r="AS887" s="9">
        <f t="shared" si="682"/>
        <v>1.875</v>
      </c>
      <c r="AT887" s="9">
        <f t="shared" si="683"/>
        <v>41.75</v>
      </c>
      <c r="AU887" s="9">
        <f t="shared" si="684"/>
        <v>41.75</v>
      </c>
      <c r="AV887" s="9">
        <f t="shared" si="685"/>
        <v>41.75</v>
      </c>
      <c r="AW887" s="9">
        <f t="shared" si="686"/>
        <v>41.75</v>
      </c>
      <c r="AX887" s="9">
        <f t="shared" si="687"/>
        <v>41.75</v>
      </c>
      <c r="AY887" s="9">
        <f t="shared" si="688"/>
        <v>41.75</v>
      </c>
      <c r="AZ887" s="9">
        <f t="shared" si="689"/>
        <v>41.75</v>
      </c>
      <c r="BA887" s="9">
        <f t="shared" si="690"/>
        <v>41.75</v>
      </c>
      <c r="BB887" s="9">
        <f t="shared" si="691"/>
        <v>1.5</v>
      </c>
      <c r="BC887" s="9">
        <f t="shared" si="692"/>
        <v>44.625</v>
      </c>
      <c r="BD887" s="9">
        <f t="shared" si="693"/>
        <v>44.625</v>
      </c>
      <c r="BE887" s="9">
        <f t="shared" si="694"/>
        <v>44.625</v>
      </c>
      <c r="BF887" s="9">
        <f t="shared" si="695"/>
        <v>44.625</v>
      </c>
      <c r="BG887" s="9">
        <f t="shared" si="696"/>
        <v>44.625</v>
      </c>
      <c r="BH887" s="9">
        <f t="shared" si="697"/>
        <v>44.625</v>
      </c>
      <c r="BI887" s="9">
        <f t="shared" si="698"/>
        <v>44.625</v>
      </c>
      <c r="BJ887" s="9">
        <f t="shared" si="699"/>
        <v>44.625</v>
      </c>
    </row>
    <row r="888" spans="1:62" x14ac:dyDescent="0.2">
      <c r="A888" s="9">
        <f>data!M889-data!M888</f>
        <v>-115.29689999999999</v>
      </c>
      <c r="B888" s="9">
        <f>data!C889-data!C888</f>
        <v>-17.22</v>
      </c>
      <c r="C888" s="9">
        <f>data!D889-data!D888</f>
        <v>-5.9275000000000002</v>
      </c>
      <c r="D888" s="10">
        <f>data!B889-data!B888</f>
        <v>0.90500000000000003</v>
      </c>
      <c r="E888" s="9">
        <f>data!E888-data!G888</f>
        <v>1.4451000000000001</v>
      </c>
      <c r="F888" s="9">
        <f>(data!E888-data!F888)-(data!G888-data!H888)</f>
        <v>0.61890000000000001</v>
      </c>
      <c r="G888" s="9">
        <f t="shared" si="650"/>
        <v>-1.4451000000000001</v>
      </c>
      <c r="H888" s="9">
        <f t="shared" si="651"/>
        <v>-0.61890000000000001</v>
      </c>
      <c r="I888" s="9">
        <f>IF(data!M889&gt; 111.81,1,0)</f>
        <v>0</v>
      </c>
      <c r="J888" s="9">
        <f t="shared" si="652"/>
        <v>1</v>
      </c>
      <c r="K888" s="9">
        <f t="shared" si="653"/>
        <v>0</v>
      </c>
      <c r="L888" s="9">
        <f t="shared" si="654"/>
        <v>-115.29689999999999</v>
      </c>
      <c r="M888" s="9">
        <f>data!J888</f>
        <v>-18</v>
      </c>
      <c r="N888" s="9">
        <f>data!I888</f>
        <v>-29.25</v>
      </c>
      <c r="O888" s="9">
        <f>data!L888</f>
        <v>-31.875</v>
      </c>
      <c r="P888" s="9">
        <f>data!K888</f>
        <v>-39.875</v>
      </c>
      <c r="Q888" s="9">
        <f>data!R888</f>
        <v>-43.125</v>
      </c>
      <c r="R888" s="9">
        <f t="shared" si="655"/>
        <v>18</v>
      </c>
      <c r="S888" s="9">
        <f t="shared" si="656"/>
        <v>18</v>
      </c>
      <c r="T888" s="9">
        <f t="shared" si="657"/>
        <v>18</v>
      </c>
      <c r="U888" s="9">
        <f t="shared" si="658"/>
        <v>18</v>
      </c>
      <c r="V888" s="9">
        <f t="shared" si="659"/>
        <v>18</v>
      </c>
      <c r="W888" s="9">
        <f t="shared" si="660"/>
        <v>18</v>
      </c>
      <c r="X888" s="9">
        <f t="shared" si="661"/>
        <v>18</v>
      </c>
      <c r="Y888" s="9">
        <f t="shared" si="662"/>
        <v>18</v>
      </c>
      <c r="Z888" s="9">
        <f t="shared" si="663"/>
        <v>18</v>
      </c>
      <c r="AA888" s="9">
        <f t="shared" si="664"/>
        <v>29.25</v>
      </c>
      <c r="AB888" s="9">
        <f t="shared" si="665"/>
        <v>29.25</v>
      </c>
      <c r="AC888" s="9">
        <f t="shared" si="666"/>
        <v>29.25</v>
      </c>
      <c r="AD888" s="9">
        <f t="shared" si="667"/>
        <v>29.25</v>
      </c>
      <c r="AE888" s="9">
        <f t="shared" si="668"/>
        <v>29.25</v>
      </c>
      <c r="AF888" s="9">
        <f t="shared" si="669"/>
        <v>29.25</v>
      </c>
      <c r="AG888" s="9">
        <f t="shared" si="670"/>
        <v>29.25</v>
      </c>
      <c r="AH888" s="9">
        <f t="shared" si="671"/>
        <v>29.25</v>
      </c>
      <c r="AI888" s="9">
        <f t="shared" si="672"/>
        <v>29.25</v>
      </c>
      <c r="AJ888" s="9">
        <f t="shared" si="673"/>
        <v>31.875</v>
      </c>
      <c r="AK888" s="9">
        <f t="shared" si="674"/>
        <v>31.875</v>
      </c>
      <c r="AL888" s="9">
        <f t="shared" si="675"/>
        <v>31.875</v>
      </c>
      <c r="AM888" s="9">
        <f t="shared" si="676"/>
        <v>31.875</v>
      </c>
      <c r="AN888" s="9">
        <f t="shared" si="677"/>
        <v>31.875</v>
      </c>
      <c r="AO888" s="9">
        <f t="shared" si="678"/>
        <v>31.875</v>
      </c>
      <c r="AP888" s="9">
        <f t="shared" si="679"/>
        <v>31.875</v>
      </c>
      <c r="AQ888" s="9">
        <f t="shared" si="680"/>
        <v>31.875</v>
      </c>
      <c r="AR888" s="9">
        <f t="shared" si="681"/>
        <v>31.875</v>
      </c>
      <c r="AS888" s="9">
        <f t="shared" si="682"/>
        <v>39.875</v>
      </c>
      <c r="AT888" s="9">
        <f t="shared" si="683"/>
        <v>39.875</v>
      </c>
      <c r="AU888" s="9">
        <f t="shared" si="684"/>
        <v>39.875</v>
      </c>
      <c r="AV888" s="9">
        <f t="shared" si="685"/>
        <v>39.875</v>
      </c>
      <c r="AW888" s="9">
        <f t="shared" si="686"/>
        <v>39.875</v>
      </c>
      <c r="AX888" s="9">
        <f t="shared" si="687"/>
        <v>39.875</v>
      </c>
      <c r="AY888" s="9">
        <f t="shared" si="688"/>
        <v>39.875</v>
      </c>
      <c r="AZ888" s="9">
        <f t="shared" si="689"/>
        <v>39.875</v>
      </c>
      <c r="BA888" s="9">
        <f t="shared" si="690"/>
        <v>39.875</v>
      </c>
      <c r="BB888" s="9">
        <f t="shared" si="691"/>
        <v>43.125</v>
      </c>
      <c r="BC888" s="9">
        <f t="shared" si="692"/>
        <v>43.125</v>
      </c>
      <c r="BD888" s="9">
        <f t="shared" si="693"/>
        <v>43.125</v>
      </c>
      <c r="BE888" s="9">
        <f t="shared" si="694"/>
        <v>43.125</v>
      </c>
      <c r="BF888" s="9">
        <f t="shared" si="695"/>
        <v>43.125</v>
      </c>
      <c r="BG888" s="9">
        <f t="shared" si="696"/>
        <v>43.125</v>
      </c>
      <c r="BH888" s="9">
        <f t="shared" si="697"/>
        <v>43.125</v>
      </c>
      <c r="BI888" s="9">
        <f t="shared" si="698"/>
        <v>43.125</v>
      </c>
      <c r="BJ888" s="9">
        <f t="shared" si="699"/>
        <v>43.125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data</vt:lpstr>
      <vt:lpstr>lp_ready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2026-01-28T15:23:16Z</dcterms:created>
  <dcterms:modified xsi:type="dcterms:W3CDTF">2026-01-31T18:17:04Z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2026-01-28T15:26:36Z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404203a0-e9dd-4b6a-9e59-d56c01ce1efb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