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esktop/"/>
    </mc:Choice>
  </mc:AlternateContent>
  <xr:revisionPtr revIDLastSave="0" documentId="13_ncr:1_{563C6D21-2100-6040-98EA-8AC34A7BF8ED}" xr6:coauthVersionLast="47" xr6:coauthVersionMax="47" xr10:uidLastSave="{00000000-0000-0000-0000-000000000000}"/>
  <bookViews>
    <workbookView xWindow="2900" yWindow="2640" windowWidth="23720" windowHeight="17380" xr2:uid="{055C91AC-DCA8-4341-9D5A-84E8255F2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G11" i="1"/>
  <c r="I10" i="1"/>
  <c r="H10" i="1"/>
  <c r="G10" i="1"/>
  <c r="F9" i="1"/>
  <c r="G9" i="1" s="1"/>
  <c r="H9" i="1" s="1"/>
  <c r="I9" i="1" s="1"/>
  <c r="J9" i="1" s="1"/>
  <c r="F8" i="1"/>
  <c r="G8" i="1" s="1"/>
  <c r="H8" i="1" s="1"/>
  <c r="I8" i="1" s="1"/>
  <c r="J8" i="1" s="1"/>
  <c r="G7" i="1"/>
  <c r="H7" i="1" s="1"/>
  <c r="I7" i="1" s="1"/>
  <c r="J7" i="1" s="1"/>
  <c r="F7" i="1"/>
  <c r="F6" i="1"/>
  <c r="G6" i="1" s="1"/>
  <c r="H6" i="1" s="1"/>
  <c r="I6" i="1" s="1"/>
  <c r="J6" i="1" s="1"/>
  <c r="F5" i="1"/>
  <c r="G5" i="1" s="1"/>
  <c r="H5" i="1" s="1"/>
  <c r="I5" i="1" s="1"/>
  <c r="J5" i="1" s="1"/>
  <c r="G4" i="1"/>
  <c r="H4" i="1" s="1"/>
  <c r="I4" i="1" s="1"/>
  <c r="J4" i="1" s="1"/>
  <c r="F4" i="1"/>
  <c r="I3" i="1"/>
  <c r="G3" i="1"/>
  <c r="F3" i="1"/>
</calcChain>
</file>

<file path=xl/sharedStrings.xml><?xml version="1.0" encoding="utf-8"?>
<sst xmlns="http://schemas.openxmlformats.org/spreadsheetml/2006/main" count="129" uniqueCount="86">
  <si>
    <t xml:space="preserve">Variables </t>
  </si>
  <si>
    <t>Description</t>
  </si>
  <si>
    <t>How it enters the regression</t>
  </si>
  <si>
    <t>Main Regression</t>
  </si>
  <si>
    <t>BITCOIN</t>
  </si>
  <si>
    <t>Natural log changes</t>
  </si>
  <si>
    <t>US Regression</t>
  </si>
  <si>
    <t>UK Regression</t>
  </si>
  <si>
    <t>Eurozone Regression</t>
  </si>
  <si>
    <t>Japan Regression</t>
  </si>
  <si>
    <t>Others (that is the EM countries)</t>
  </si>
  <si>
    <t>SPXT Index</t>
  </si>
  <si>
    <t>S&amp;P 500 Index</t>
  </si>
  <si>
    <t>Dependent</t>
  </si>
  <si>
    <t>SXXP Index</t>
  </si>
  <si>
    <t>Their stock index</t>
  </si>
  <si>
    <t>BCOM Index</t>
  </si>
  <si>
    <t>Commodity Index</t>
  </si>
  <si>
    <t>changes</t>
  </si>
  <si>
    <t>Indedpendent</t>
  </si>
  <si>
    <t>USTWBGD  Index</t>
  </si>
  <si>
    <t>Dollar Index</t>
  </si>
  <si>
    <t>VIX Index</t>
  </si>
  <si>
    <t>Volatility</t>
  </si>
  <si>
    <t>USGG10YR Index</t>
  </si>
  <si>
    <t>Long-term rates, US</t>
  </si>
  <si>
    <t>USGG1M Index</t>
  </si>
  <si>
    <t>Short-term rates, US</t>
  </si>
  <si>
    <t>SXXGV Index</t>
  </si>
  <si>
    <t>EUROSTOXX TOTAL RETURN</t>
  </si>
  <si>
    <t>EUROSTOXX(lcu)</t>
  </si>
  <si>
    <t>Their long Rates</t>
  </si>
  <si>
    <t>NKYTR Index</t>
  </si>
  <si>
    <t>JAPAN STOCK(lcu)</t>
  </si>
  <si>
    <t>Their short Rates</t>
  </si>
  <si>
    <t>SHCOMP Index</t>
  </si>
  <si>
    <t>CHINA STOCK(lcu)</t>
  </si>
  <si>
    <t>UKX Index</t>
  </si>
  <si>
    <t>UK STOCK(lcu)</t>
  </si>
  <si>
    <t>IBOV Index</t>
  </si>
  <si>
    <t>Brazil Stock Index</t>
  </si>
  <si>
    <t>NIFTY Index</t>
  </si>
  <si>
    <t>Indian Stock Index</t>
  </si>
  <si>
    <t>Robustness Checks</t>
  </si>
  <si>
    <t>JALSH Index</t>
  </si>
  <si>
    <t>South African Stock Index</t>
  </si>
  <si>
    <t>Repeat the same analysis as the main regressions,  but each time use a new crypto, e.g. etherum, litecoin, thether, ripple dodge</t>
  </si>
  <si>
    <t>GTBRL10YR @BGN Corp</t>
  </si>
  <si>
    <t>Long-term rates, Brazil</t>
  </si>
  <si>
    <t>GTBRL1YR @BGN Corp</t>
  </si>
  <si>
    <t>Short-term rates, Brazil</t>
  </si>
  <si>
    <t>GTINR10YR @NDSI Corp</t>
  </si>
  <si>
    <t>Long-term rates, India</t>
  </si>
  <si>
    <t>GTINR2YR @NDSI Corp</t>
  </si>
  <si>
    <t>Short-term rates, India</t>
  </si>
  <si>
    <t>GTZAR10YR @BGN Corp</t>
  </si>
  <si>
    <t>Long-term rates, South Africa</t>
  </si>
  <si>
    <t>GTZAR1YR @BGN Corp</t>
  </si>
  <si>
    <t>Short-term rates, South Africa</t>
  </si>
  <si>
    <t>GTEUR10YR @BGN Corp</t>
  </si>
  <si>
    <t>Long-term rates, EU</t>
  </si>
  <si>
    <t>GTEUR3MO @BGN Corp</t>
  </si>
  <si>
    <t>Short-term rates, EU</t>
  </si>
  <si>
    <t>GTJPY10YR @BGN Corp</t>
  </si>
  <si>
    <t>Long-term rates, Japan</t>
  </si>
  <si>
    <t>GTJPY3MO @BGN Corp</t>
  </si>
  <si>
    <t>Short-term rates, Japan</t>
  </si>
  <si>
    <t>GTCNY10YR @CHBE Corp</t>
  </si>
  <si>
    <t>Long-term rates, China</t>
  </si>
  <si>
    <t>GTCNY1YR @CHBE Corp</t>
  </si>
  <si>
    <t>Short-term rates, China</t>
  </si>
  <si>
    <t>GTGBPII10YR @BGN Corp</t>
  </si>
  <si>
    <t>Long-term rates, UK</t>
  </si>
  <si>
    <t>GTGBP3MO @BGN Corp</t>
  </si>
  <si>
    <t>Short-term rates, UK</t>
  </si>
  <si>
    <t>ETHEREUM</t>
  </si>
  <si>
    <t>ETHEREUM Index</t>
  </si>
  <si>
    <t>another crypto for robustness</t>
  </si>
  <si>
    <t>LITECOIN</t>
  </si>
  <si>
    <t>XLCUSD BGN Curncy</t>
  </si>
  <si>
    <t>THETHER</t>
  </si>
  <si>
    <t>XDT DAR Curncy</t>
  </si>
  <si>
    <t>RIPPLE</t>
  </si>
  <si>
    <t>XRP BGN Curncy</t>
  </si>
  <si>
    <t>DOGE COIN</t>
  </si>
  <si>
    <t>XDG BGN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</si>
</sst>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EEA7-26AD-49EE-B955-CFF6A4932294}">
  <dimension ref="A1:J35"/>
  <sheetViews>
    <sheetView tabSelected="1" topLeftCell="F1" zoomScaleNormal="116" workbookViewId="0">
      <selection activeCell="H10" sqref="H10"/>
    </sheetView>
  </sheetViews>
  <sheetFormatPr baseColWidth="10" defaultColWidth="8.83203125" defaultRowHeight="15" x14ac:dyDescent="0.2"/>
  <cols>
    <col min="1" max="1" width="23" bestFit="1" customWidth="1"/>
    <col min="2" max="2" width="21.5" bestFit="1" customWidth="1"/>
    <col min="3" max="3" width="24.33203125" bestFit="1" customWidth="1"/>
    <col min="4" max="4" width="24.1640625" bestFit="1" customWidth="1"/>
    <col min="5" max="5" width="12.33203125" customWidth="1"/>
    <col min="6" max="6" width="13.83203125" bestFit="1" customWidth="1"/>
    <col min="7" max="7" width="20.5" bestFit="1" customWidth="1"/>
    <col min="8" max="8" width="95.1640625" bestFit="1" customWidth="1"/>
    <col min="9" max="9" width="18" bestFit="1" customWidth="1"/>
    <col min="10" max="10" width="25.33203125" bestFit="1" customWidth="1"/>
  </cols>
  <sheetData>
    <row r="1" spans="2:10" x14ac:dyDescent="0.2">
      <c r="B1" t="s">
        <v>0</v>
      </c>
      <c r="C1" t="s">
        <v>1</v>
      </c>
      <c r="D1" s="1" t="s">
        <v>2</v>
      </c>
      <c r="G1" s="1" t="s">
        <v>3</v>
      </c>
    </row>
    <row r="2" spans="2:10" x14ac:dyDescent="0.2">
      <c r="B2" t="s">
        <v>4</v>
      </c>
      <c r="C2" t="s">
        <v>4</v>
      </c>
      <c r="D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2:10" x14ac:dyDescent="0.2">
      <c r="B3" s="2" t="s">
        <v>11</v>
      </c>
      <c r="C3" t="s">
        <v>12</v>
      </c>
      <c r="D3" t="s">
        <v>5</v>
      </c>
      <c r="E3" t="s">
        <v>13</v>
      </c>
      <c r="F3" s="2" t="str">
        <f>B3</f>
        <v>SPXT Index</v>
      </c>
      <c r="G3" s="2" t="str">
        <f>B13</f>
        <v>UKX Index</v>
      </c>
      <c r="H3" s="2" t="s">
        <v>14</v>
      </c>
      <c r="I3" s="2" t="str">
        <f>B11</f>
        <v>NKYTR Index</v>
      </c>
      <c r="J3" t="s">
        <v>15</v>
      </c>
    </row>
    <row r="4" spans="2:10" x14ac:dyDescent="0.2">
      <c r="B4" s="2" t="s">
        <v>16</v>
      </c>
      <c r="C4" t="s">
        <v>17</v>
      </c>
      <c r="D4" t="s">
        <v>18</v>
      </c>
      <c r="E4" t="s">
        <v>19</v>
      </c>
      <c r="F4" t="str">
        <f>B2</f>
        <v>BITCOIN</v>
      </c>
      <c r="G4" t="str">
        <f>F4</f>
        <v>BITCOIN</v>
      </c>
      <c r="H4" t="str">
        <f>G4</f>
        <v>BITCOIN</v>
      </c>
      <c r="I4" t="str">
        <f>H4</f>
        <v>BITCOIN</v>
      </c>
      <c r="J4" t="str">
        <f>I4</f>
        <v>BITCOIN</v>
      </c>
    </row>
    <row r="5" spans="2:10" x14ac:dyDescent="0.2">
      <c r="B5" t="s">
        <v>20</v>
      </c>
      <c r="C5" t="s">
        <v>21</v>
      </c>
      <c r="D5" t="s">
        <v>18</v>
      </c>
      <c r="F5" s="2" t="str">
        <f>B4</f>
        <v>BCOM Index</v>
      </c>
      <c r="G5" s="2" t="str">
        <f>F5</f>
        <v>BCOM Index</v>
      </c>
      <c r="H5" s="2" t="str">
        <f>G5</f>
        <v>BCOM Index</v>
      </c>
      <c r="I5" t="str">
        <f t="shared" ref="I5:J9" si="0">H5</f>
        <v>BCOM Index</v>
      </c>
      <c r="J5" t="str">
        <f t="shared" si="0"/>
        <v>BCOM Index</v>
      </c>
    </row>
    <row r="6" spans="2:10" x14ac:dyDescent="0.2">
      <c r="B6" s="2" t="s">
        <v>22</v>
      </c>
      <c r="C6" t="s">
        <v>23</v>
      </c>
      <c r="D6" t="s">
        <v>18</v>
      </c>
      <c r="F6" s="2" t="str">
        <f>B5</f>
        <v>USTWBGD  Index</v>
      </c>
      <c r="G6" s="2" t="str">
        <f t="shared" ref="G6:H9" si="1">F6</f>
        <v>USTWBGD  Index</v>
      </c>
      <c r="H6" s="2" t="str">
        <f t="shared" si="1"/>
        <v>USTWBGD  Index</v>
      </c>
      <c r="I6" t="str">
        <f t="shared" si="0"/>
        <v>USTWBGD  Index</v>
      </c>
      <c r="J6" t="str">
        <f t="shared" si="0"/>
        <v>USTWBGD  Index</v>
      </c>
    </row>
    <row r="7" spans="2:10" x14ac:dyDescent="0.2">
      <c r="B7" s="2" t="s">
        <v>24</v>
      </c>
      <c r="C7" t="s">
        <v>25</v>
      </c>
      <c r="D7" t="s">
        <v>18</v>
      </c>
      <c r="F7" s="2" t="str">
        <f>B6</f>
        <v>VIX Index</v>
      </c>
      <c r="G7" s="2" t="str">
        <f t="shared" si="1"/>
        <v>VIX Index</v>
      </c>
      <c r="H7" s="2" t="str">
        <f t="shared" si="1"/>
        <v>VIX Index</v>
      </c>
      <c r="I7" t="str">
        <f t="shared" si="0"/>
        <v>VIX Index</v>
      </c>
      <c r="J7" t="str">
        <f t="shared" si="0"/>
        <v>VIX Index</v>
      </c>
    </row>
    <row r="8" spans="2:10" x14ac:dyDescent="0.2">
      <c r="B8" s="2" t="s">
        <v>26</v>
      </c>
      <c r="C8" t="s">
        <v>27</v>
      </c>
      <c r="D8" t="s">
        <v>18</v>
      </c>
      <c r="F8" s="2" t="str">
        <f>B7</f>
        <v>USGG10YR Index</v>
      </c>
      <c r="G8" s="2" t="str">
        <f t="shared" si="1"/>
        <v>USGG10YR Index</v>
      </c>
      <c r="H8" s="2" t="str">
        <f t="shared" si="1"/>
        <v>USGG10YR Index</v>
      </c>
      <c r="I8" t="str">
        <f t="shared" si="0"/>
        <v>USGG10YR Index</v>
      </c>
      <c r="J8" t="str">
        <f t="shared" si="0"/>
        <v>USGG10YR Index</v>
      </c>
    </row>
    <row r="9" spans="2:10" x14ac:dyDescent="0.2">
      <c r="B9" s="2" t="s">
        <v>28</v>
      </c>
      <c r="C9" t="s">
        <v>29</v>
      </c>
      <c r="D9" t="s">
        <v>5</v>
      </c>
      <c r="F9" s="2" t="str">
        <f>B8</f>
        <v>USGG1M Index</v>
      </c>
      <c r="G9" s="2" t="str">
        <f t="shared" si="1"/>
        <v>USGG1M Index</v>
      </c>
      <c r="H9" s="2" t="str">
        <f t="shared" si="1"/>
        <v>USGG1M Index</v>
      </c>
      <c r="I9" t="str">
        <f t="shared" si="0"/>
        <v>USGG1M Index</v>
      </c>
      <c r="J9" t="str">
        <f t="shared" si="0"/>
        <v>USGG1M Index</v>
      </c>
    </row>
    <row r="10" spans="2:10" x14ac:dyDescent="0.2">
      <c r="B10" s="2" t="s">
        <v>14</v>
      </c>
      <c r="C10" t="s">
        <v>30</v>
      </c>
      <c r="D10" t="s">
        <v>5</v>
      </c>
      <c r="F10" s="2"/>
      <c r="G10" s="2" t="str">
        <f>B29</f>
        <v>GTGBPII10YR @BGN Corp</v>
      </c>
      <c r="H10" s="2" t="str">
        <f>B23</f>
        <v>GTEUR10YR @BGN Corp</v>
      </c>
      <c r="I10" t="str">
        <f>C25</f>
        <v>Long-term rates, Japan</v>
      </c>
      <c r="J10" t="s">
        <v>31</v>
      </c>
    </row>
    <row r="11" spans="2:10" x14ac:dyDescent="0.2">
      <c r="B11" s="2" t="s">
        <v>32</v>
      </c>
      <c r="C11" t="s">
        <v>33</v>
      </c>
      <c r="D11" t="s">
        <v>5</v>
      </c>
      <c r="F11" s="2"/>
      <c r="G11" s="2" t="str">
        <f>B30</f>
        <v>GTGBP3MO @BGN Corp</v>
      </c>
      <c r="H11" s="2" t="str">
        <f>B24</f>
        <v>GTEUR3MO @BGN Corp</v>
      </c>
      <c r="I11" t="str">
        <f>C26</f>
        <v>Short-term rates, Japan</v>
      </c>
      <c r="J11" t="s">
        <v>34</v>
      </c>
    </row>
    <row r="12" spans="2:10" x14ac:dyDescent="0.2">
      <c r="B12" s="2" t="s">
        <v>35</v>
      </c>
      <c r="C12" t="s">
        <v>36</v>
      </c>
      <c r="D12" t="s">
        <v>5</v>
      </c>
      <c r="G12" s="2"/>
    </row>
    <row r="13" spans="2:10" x14ac:dyDescent="0.2">
      <c r="B13" s="2" t="s">
        <v>37</v>
      </c>
      <c r="C13" t="s">
        <v>38</v>
      </c>
      <c r="D13" t="s">
        <v>5</v>
      </c>
      <c r="G13" s="2"/>
    </row>
    <row r="14" spans="2:10" x14ac:dyDescent="0.2">
      <c r="B14" s="2" t="s">
        <v>39</v>
      </c>
      <c r="C14" t="s">
        <v>40</v>
      </c>
      <c r="D14" t="s">
        <v>5</v>
      </c>
      <c r="G14" s="2"/>
    </row>
    <row r="15" spans="2:10" x14ac:dyDescent="0.2">
      <c r="B15" s="2" t="s">
        <v>41</v>
      </c>
      <c r="C15" t="s">
        <v>42</v>
      </c>
      <c r="D15" t="s">
        <v>5</v>
      </c>
      <c r="G15" s="2"/>
      <c r="H15" s="3" t="s">
        <v>43</v>
      </c>
    </row>
    <row r="16" spans="2:10" x14ac:dyDescent="0.2">
      <c r="B16" s="2" t="s">
        <v>44</v>
      </c>
      <c r="C16" t="s">
        <v>45</v>
      </c>
      <c r="D16" t="s">
        <v>5</v>
      </c>
      <c r="G16" s="2"/>
      <c r="H16" t="s">
        <v>46</v>
      </c>
    </row>
    <row r="17" spans="1:7" x14ac:dyDescent="0.2">
      <c r="B17" s="2" t="s">
        <v>47</v>
      </c>
      <c r="C17" t="s">
        <v>48</v>
      </c>
      <c r="D17" t="s">
        <v>18</v>
      </c>
      <c r="G17" s="2"/>
    </row>
    <row r="18" spans="1:7" x14ac:dyDescent="0.2">
      <c r="B18" s="2" t="s">
        <v>49</v>
      </c>
      <c r="C18" t="s">
        <v>50</v>
      </c>
      <c r="D18" t="s">
        <v>18</v>
      </c>
      <c r="G18" s="2"/>
    </row>
    <row r="19" spans="1:7" x14ac:dyDescent="0.2">
      <c r="B19" s="2" t="s">
        <v>51</v>
      </c>
      <c r="C19" t="s">
        <v>52</v>
      </c>
      <c r="D19" t="s">
        <v>18</v>
      </c>
      <c r="G19" s="2"/>
    </row>
    <row r="20" spans="1:7" x14ac:dyDescent="0.2">
      <c r="B20" s="2" t="s">
        <v>53</v>
      </c>
      <c r="C20" t="s">
        <v>54</v>
      </c>
      <c r="D20" t="s">
        <v>18</v>
      </c>
      <c r="G20" s="4"/>
    </row>
    <row r="21" spans="1:7" x14ac:dyDescent="0.2">
      <c r="B21" s="2" t="s">
        <v>55</v>
      </c>
      <c r="C21" t="s">
        <v>56</v>
      </c>
      <c r="D21" t="s">
        <v>18</v>
      </c>
      <c r="G21" s="4"/>
    </row>
    <row r="22" spans="1:7" x14ac:dyDescent="0.2">
      <c r="B22" s="2" t="s">
        <v>57</v>
      </c>
      <c r="C22" t="s">
        <v>58</v>
      </c>
      <c r="D22" t="s">
        <v>18</v>
      </c>
      <c r="G22" s="4"/>
    </row>
    <row r="23" spans="1:7" x14ac:dyDescent="0.2">
      <c r="B23" s="2" t="s">
        <v>59</v>
      </c>
      <c r="C23" t="s">
        <v>60</v>
      </c>
      <c r="D23" t="s">
        <v>18</v>
      </c>
    </row>
    <row r="24" spans="1:7" x14ac:dyDescent="0.2">
      <c r="B24" s="2" t="s">
        <v>61</v>
      </c>
      <c r="C24" t="s">
        <v>62</v>
      </c>
      <c r="D24" t="s">
        <v>18</v>
      </c>
    </row>
    <row r="25" spans="1:7" x14ac:dyDescent="0.2">
      <c r="B25" s="2" t="s">
        <v>63</v>
      </c>
      <c r="C25" t="s">
        <v>64</v>
      </c>
      <c r="D25" t="s">
        <v>18</v>
      </c>
    </row>
    <row r="26" spans="1:7" x14ac:dyDescent="0.2">
      <c r="B26" s="2" t="s">
        <v>65</v>
      </c>
      <c r="C26" t="s">
        <v>66</v>
      </c>
      <c r="D26" t="s">
        <v>18</v>
      </c>
    </row>
    <row r="27" spans="1:7" x14ac:dyDescent="0.2">
      <c r="B27" s="2" t="s">
        <v>67</v>
      </c>
      <c r="C27" t="s">
        <v>68</v>
      </c>
      <c r="D27" t="s">
        <v>18</v>
      </c>
    </row>
    <row r="28" spans="1:7" x14ac:dyDescent="0.2">
      <c r="B28" t="s">
        <v>69</v>
      </c>
      <c r="C28" t="s">
        <v>70</v>
      </c>
      <c r="D28" t="s">
        <v>18</v>
      </c>
    </row>
    <row r="29" spans="1:7" x14ac:dyDescent="0.2">
      <c r="B29" t="s">
        <v>71</v>
      </c>
      <c r="C29" t="s">
        <v>72</v>
      </c>
      <c r="D29" t="s">
        <v>18</v>
      </c>
    </row>
    <row r="30" spans="1:7" x14ac:dyDescent="0.2">
      <c r="B30" t="s">
        <v>73</v>
      </c>
      <c r="C30" t="s">
        <v>74</v>
      </c>
      <c r="D30" t="s">
        <v>18</v>
      </c>
    </row>
    <row r="31" spans="1:7" x14ac:dyDescent="0.2">
      <c r="A31" s="4" t="s">
        <v>75</v>
      </c>
      <c r="B31" s="4" t="s">
        <v>76</v>
      </c>
      <c r="C31" s="4" t="s">
        <v>75</v>
      </c>
      <c r="D31" t="s">
        <v>5</v>
      </c>
      <c r="E31" s="4" t="s">
        <v>77</v>
      </c>
    </row>
    <row r="32" spans="1:7" x14ac:dyDescent="0.2">
      <c r="A32" t="s">
        <v>78</v>
      </c>
      <c r="B32" s="4" t="s">
        <v>79</v>
      </c>
      <c r="C32" t="s">
        <v>78</v>
      </c>
      <c r="D32" t="s">
        <v>5</v>
      </c>
      <c r="E32" s="4" t="s">
        <v>77</v>
      </c>
    </row>
    <row r="33" spans="1:5" x14ac:dyDescent="0.2">
      <c r="A33" t="s">
        <v>80</v>
      </c>
      <c r="B33" s="4" t="s">
        <v>81</v>
      </c>
      <c r="C33" t="s">
        <v>80</v>
      </c>
      <c r="D33" t="s">
        <v>5</v>
      </c>
      <c r="E33" s="4" t="s">
        <v>77</v>
      </c>
    </row>
    <row r="34" spans="1:5" x14ac:dyDescent="0.2">
      <c r="A34" t="s">
        <v>82</v>
      </c>
      <c r="B34" s="4" t="s">
        <v>83</v>
      </c>
      <c r="C34" t="s">
        <v>82</v>
      </c>
      <c r="D34" t="s">
        <v>5</v>
      </c>
      <c r="E34" s="4" t="s">
        <v>77</v>
      </c>
    </row>
    <row r="35" spans="1:5" x14ac:dyDescent="0.2">
      <c r="A35" t="s">
        <v>84</v>
      </c>
      <c r="B35" t="s">
        <v>85</v>
      </c>
      <c r="C35" t="s">
        <v>84</v>
      </c>
      <c r="D35" t="s">
        <v>5</v>
      </c>
      <c r="E35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 Tenpers Research</dc:creator>
  <cp:lastModifiedBy>James Evans</cp:lastModifiedBy>
  <dcterms:created xsi:type="dcterms:W3CDTF">2025-09-30T14:26:55Z</dcterms:created>
  <dcterms:modified xsi:type="dcterms:W3CDTF">2025-09-30T22:32:12Z</dcterms:modified>
</cp:coreProperties>
</file>